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6638d6cb47a08a9/Documents/"/>
    </mc:Choice>
  </mc:AlternateContent>
  <xr:revisionPtr revIDLastSave="0" documentId="8_{8D762734-CFE4-4705-A1F9-9401BADB38B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ricing Data" sheetId="1" r:id="rId1"/>
    <sheet name="Project Guide" sheetId="2" r:id="rId2"/>
    <sheet name="Dashboard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5" i="4"/>
  <c r="B14" i="4"/>
  <c r="B13" i="4"/>
  <c r="N2" i="1"/>
  <c r="B8" i="4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B7" i="4" s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B6" i="4" s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B5" i="4"/>
  <c r="B4" i="4"/>
  <c r="B3" i="4"/>
  <c r="M4" i="1"/>
  <c r="M11" i="1"/>
  <c r="M15" i="1"/>
  <c r="M27" i="1"/>
  <c r="M38" i="1"/>
  <c r="M41" i="1"/>
  <c r="M49" i="1"/>
  <c r="M64" i="1"/>
  <c r="M67" i="1"/>
  <c r="M86" i="1"/>
  <c r="M99" i="1"/>
  <c r="M107" i="1"/>
  <c r="M109" i="1"/>
  <c r="M119" i="1"/>
  <c r="M123" i="1"/>
  <c r="M136" i="1"/>
  <c r="M143" i="1"/>
  <c r="M146" i="1"/>
  <c r="M165" i="1"/>
  <c r="M194" i="1"/>
  <c r="M230" i="1"/>
  <c r="M239" i="1"/>
  <c r="M242" i="1"/>
  <c r="M248" i="1"/>
  <c r="M266" i="1"/>
  <c r="M304" i="1"/>
  <c r="M320" i="1"/>
  <c r="M356" i="1"/>
  <c r="M362" i="1"/>
  <c r="M373" i="1"/>
  <c r="M396" i="1"/>
  <c r="M397" i="1"/>
  <c r="M403" i="1"/>
  <c r="M411" i="1"/>
  <c r="M415" i="1"/>
  <c r="M421" i="1"/>
  <c r="M431" i="1"/>
  <c r="M442" i="1"/>
  <c r="M446" i="1"/>
  <c r="M456" i="1"/>
  <c r="M494" i="1"/>
  <c r="M495" i="1"/>
  <c r="M497" i="1"/>
  <c r="M509" i="1"/>
  <c r="M513" i="1"/>
  <c r="M524" i="1"/>
  <c r="M545" i="1"/>
  <c r="M558" i="1"/>
  <c r="M585" i="1"/>
  <c r="M592" i="1"/>
  <c r="M599" i="1"/>
  <c r="M600" i="1"/>
  <c r="M620" i="1"/>
  <c r="M626" i="1"/>
  <c r="M638" i="1"/>
  <c r="M640" i="1"/>
  <c r="M654" i="1"/>
  <c r="M660" i="1"/>
  <c r="M667" i="1"/>
  <c r="M669" i="1"/>
  <c r="M682" i="1"/>
  <c r="M683" i="1"/>
  <c r="M684" i="1"/>
  <c r="M695" i="1"/>
  <c r="M708" i="1"/>
  <c r="M719" i="1"/>
  <c r="M721" i="1"/>
  <c r="M723" i="1"/>
  <c r="M725" i="1"/>
  <c r="M731" i="1"/>
  <c r="M737" i="1"/>
  <c r="M738" i="1"/>
  <c r="M739" i="1"/>
  <c r="M748" i="1"/>
  <c r="M773" i="1"/>
  <c r="M774" i="1"/>
  <c r="M779" i="1"/>
  <c r="M789" i="1"/>
  <c r="M817" i="1"/>
  <c r="M821" i="1"/>
  <c r="M825" i="1"/>
  <c r="M840" i="1"/>
  <c r="M841" i="1"/>
  <c r="M866" i="1"/>
  <c r="M871" i="1"/>
  <c r="M905" i="1"/>
  <c r="M909" i="1"/>
  <c r="M928" i="1"/>
  <c r="M932" i="1"/>
  <c r="M953" i="1"/>
  <c r="M970" i="1"/>
  <c r="M975" i="1"/>
  <c r="M976" i="1"/>
  <c r="M986" i="1"/>
  <c r="M990" i="1"/>
  <c r="M991" i="1"/>
  <c r="M1012" i="1"/>
  <c r="M1015" i="1"/>
  <c r="M1019" i="1"/>
  <c r="M1027" i="1"/>
  <c r="M1048" i="1"/>
  <c r="M1059" i="1"/>
  <c r="M1061" i="1"/>
  <c r="M1081" i="1"/>
  <c r="M1092" i="1"/>
  <c r="M1106" i="1"/>
  <c r="M1127" i="1"/>
  <c r="M1129" i="1"/>
  <c r="M1130" i="1"/>
  <c r="M1131" i="1"/>
  <c r="M1140" i="1"/>
  <c r="M1150" i="1"/>
  <c r="M1162" i="1"/>
  <c r="M1169" i="1"/>
  <c r="M1202" i="1"/>
  <c r="M1206" i="1"/>
  <c r="M1211" i="1"/>
  <c r="M1224" i="1"/>
  <c r="M1230" i="1"/>
  <c r="M1251" i="1"/>
  <c r="M1256" i="1"/>
  <c r="M1266" i="1"/>
  <c r="M1271" i="1"/>
  <c r="M1283" i="1"/>
  <c r="M1299" i="1"/>
  <c r="M1302" i="1"/>
  <c r="M1303" i="1"/>
  <c r="M1327" i="1"/>
  <c r="M1342" i="1"/>
  <c r="M1345" i="1"/>
  <c r="M1350" i="1"/>
  <c r="M1366" i="1"/>
  <c r="M1385" i="1"/>
  <c r="M1386" i="1"/>
  <c r="M1412" i="1"/>
  <c r="M1418" i="1"/>
  <c r="M1419" i="1"/>
  <c r="M1421" i="1"/>
  <c r="M1428" i="1"/>
  <c r="M1432" i="1"/>
  <c r="M1446" i="1"/>
  <c r="M1462" i="1"/>
  <c r="M1470" i="1"/>
  <c r="M1482" i="1"/>
  <c r="M1485" i="1"/>
  <c r="M1487" i="1"/>
  <c r="M1492" i="1"/>
  <c r="M1497" i="1"/>
  <c r="M1502" i="1"/>
  <c r="M1505" i="1"/>
  <c r="M1506" i="1"/>
  <c r="M1513" i="1"/>
  <c r="M1552" i="1"/>
  <c r="M1556" i="1"/>
  <c r="M1561" i="1"/>
  <c r="M1563" i="1"/>
  <c r="M1572" i="1"/>
  <c r="M1573" i="1"/>
  <c r="M1574" i="1"/>
  <c r="M1578" i="1"/>
  <c r="M1591" i="1"/>
  <c r="M1605" i="1"/>
  <c r="M1611" i="1"/>
  <c r="M1614" i="1"/>
  <c r="M1619" i="1"/>
  <c r="M1661" i="1"/>
  <c r="M1684" i="1"/>
  <c r="M1685" i="1"/>
  <c r="M1690" i="1"/>
  <c r="M1724" i="1"/>
  <c r="M1729" i="1"/>
  <c r="M1749" i="1"/>
  <c r="M1766" i="1"/>
  <c r="M1770" i="1"/>
  <c r="M1792" i="1"/>
  <c r="M1797" i="1"/>
  <c r="M1802" i="1"/>
  <c r="M1805" i="1"/>
  <c r="M1812" i="1"/>
  <c r="M1819" i="1"/>
  <c r="M1821" i="1"/>
  <c r="M1822" i="1"/>
  <c r="M1824" i="1"/>
  <c r="M1825" i="1"/>
  <c r="M1845" i="1"/>
  <c r="M1870" i="1"/>
  <c r="M1886" i="1"/>
  <c r="M1913" i="1"/>
  <c r="M1918" i="1"/>
  <c r="M1943" i="1"/>
  <c r="M1955" i="1"/>
  <c r="M1963" i="1"/>
  <c r="M1968" i="1"/>
  <c r="M1983" i="1"/>
  <c r="M2012" i="1"/>
  <c r="M2021" i="1"/>
  <c r="M2022" i="1"/>
  <c r="M2026" i="1"/>
  <c r="M2040" i="1"/>
  <c r="M2041" i="1"/>
  <c r="M2047" i="1"/>
  <c r="M2052" i="1"/>
  <c r="M2059" i="1"/>
  <c r="M2070" i="1"/>
  <c r="M2073" i="1"/>
  <c r="M2074" i="1"/>
  <c r="M2082" i="1"/>
  <c r="M2084" i="1"/>
  <c r="M2095" i="1"/>
  <c r="M2122" i="1"/>
  <c r="M2130" i="1"/>
  <c r="M2138" i="1"/>
  <c r="M2149" i="1"/>
  <c r="M2159" i="1"/>
  <c r="M2179" i="1"/>
  <c r="M2187" i="1"/>
  <c r="M2196" i="1"/>
  <c r="M2200" i="1"/>
  <c r="M2212" i="1"/>
  <c r="M2257" i="1"/>
  <c r="M2260" i="1"/>
  <c r="M2262" i="1"/>
  <c r="M2265" i="1"/>
  <c r="M2274" i="1"/>
  <c r="M2285" i="1"/>
  <c r="M2300" i="1"/>
  <c r="M2312" i="1"/>
  <c r="M2318" i="1"/>
  <c r="M2325" i="1"/>
  <c r="M2334" i="1"/>
  <c r="M2349" i="1"/>
  <c r="M2378" i="1"/>
  <c r="M2379" i="1"/>
  <c r="M2381" i="1"/>
  <c r="M2382" i="1"/>
  <c r="M2409" i="1"/>
  <c r="M2414" i="1"/>
  <c r="M2423" i="1"/>
  <c r="M2437" i="1"/>
  <c r="M2443" i="1"/>
  <c r="M2444" i="1"/>
  <c r="M2446" i="1"/>
  <c r="M2453" i="1"/>
  <c r="M2468" i="1"/>
  <c r="M2470" i="1"/>
  <c r="M2475" i="1"/>
  <c r="M2480" i="1"/>
  <c r="M2503" i="1"/>
  <c r="M2509" i="1"/>
  <c r="M2516" i="1"/>
  <c r="M2521" i="1"/>
  <c r="M2525" i="1"/>
  <c r="M2530" i="1"/>
  <c r="M2532" i="1"/>
  <c r="M2533" i="1"/>
  <c r="M2537" i="1"/>
  <c r="M2543" i="1"/>
  <c r="M2548" i="1"/>
  <c r="M2609" i="1"/>
  <c r="M2610" i="1"/>
  <c r="M2616" i="1"/>
  <c r="M2623" i="1"/>
  <c r="M2626" i="1"/>
  <c r="M2634" i="1"/>
  <c r="M2636" i="1"/>
  <c r="M2645" i="1"/>
  <c r="M2674" i="1"/>
  <c r="M2689" i="1"/>
  <c r="M2693" i="1"/>
  <c r="M2712" i="1"/>
  <c r="M2736" i="1"/>
  <c r="M2740" i="1"/>
  <c r="M2772" i="1"/>
  <c r="M2788" i="1"/>
  <c r="M2800" i="1"/>
  <c r="M2806" i="1"/>
  <c r="M2808" i="1"/>
  <c r="M2827" i="1"/>
  <c r="M2833" i="1"/>
  <c r="M2842" i="1"/>
  <c r="M2844" i="1"/>
  <c r="M2849" i="1"/>
  <c r="M2850" i="1"/>
  <c r="M2851" i="1"/>
  <c r="M2862" i="1"/>
  <c r="M2868" i="1"/>
  <c r="M2892" i="1"/>
  <c r="M2895" i="1"/>
  <c r="M2903" i="1"/>
  <c r="M2904" i="1"/>
  <c r="M2906" i="1"/>
  <c r="M2915" i="1"/>
  <c r="M2919" i="1"/>
  <c r="M2925" i="1"/>
  <c r="M2929" i="1"/>
  <c r="M2942" i="1"/>
  <c r="M2945" i="1"/>
  <c r="M2949" i="1"/>
  <c r="M2951" i="1"/>
  <c r="M2952" i="1"/>
  <c r="M2954" i="1"/>
  <c r="M2956" i="1"/>
  <c r="M2957" i="1"/>
  <c r="M2966" i="1"/>
  <c r="M2969" i="1"/>
  <c r="M2979" i="1"/>
  <c r="M3008" i="1"/>
  <c r="M3010" i="1"/>
  <c r="M3033" i="1"/>
  <c r="M3034" i="1"/>
  <c r="M3037" i="1"/>
  <c r="M3041" i="1"/>
  <c r="M3045" i="1"/>
  <c r="M3058" i="1"/>
  <c r="M3070" i="1"/>
  <c r="M3077" i="1"/>
  <c r="M3079" i="1"/>
  <c r="M3103" i="1"/>
  <c r="M3110" i="1"/>
  <c r="M3117" i="1"/>
  <c r="M3137" i="1"/>
  <c r="M3139" i="1"/>
  <c r="M3147" i="1"/>
  <c r="M3148" i="1"/>
  <c r="M3185" i="1"/>
  <c r="M3190" i="1"/>
  <c r="M3212" i="1"/>
  <c r="M3213" i="1"/>
  <c r="M3234" i="1"/>
  <c r="M3243" i="1"/>
  <c r="M3248" i="1"/>
  <c r="M3283" i="1"/>
  <c r="M3291" i="1"/>
  <c r="M3294" i="1"/>
  <c r="M3314" i="1"/>
  <c r="M3318" i="1"/>
  <c r="M3319" i="1"/>
  <c r="M3320" i="1"/>
  <c r="M3322" i="1"/>
  <c r="M3323" i="1"/>
  <c r="M3331" i="1"/>
  <c r="M3345" i="1"/>
  <c r="M3348" i="1"/>
  <c r="M3354" i="1"/>
  <c r="M3412" i="1"/>
  <c r="M3417" i="1"/>
  <c r="M3434" i="1"/>
  <c r="M3448" i="1"/>
  <c r="M3459" i="1"/>
  <c r="M3468" i="1"/>
  <c r="M3472" i="1"/>
  <c r="M3484" i="1"/>
  <c r="M3494" i="1"/>
  <c r="M3499" i="1"/>
  <c r="M3508" i="1"/>
  <c r="M3509" i="1"/>
  <c r="M3514" i="1"/>
  <c r="M3517" i="1"/>
  <c r="M3540" i="1"/>
  <c r="M3556" i="1"/>
  <c r="M3569" i="1"/>
  <c r="M3573" i="1"/>
  <c r="M3574" i="1"/>
  <c r="M3577" i="1"/>
  <c r="M3581" i="1"/>
  <c r="M3593" i="1"/>
  <c r="M3596" i="1"/>
  <c r="M3599" i="1"/>
  <c r="M3606" i="1"/>
  <c r="M3610" i="1"/>
  <c r="M3615" i="1"/>
  <c r="M3621" i="1"/>
  <c r="M3636" i="1"/>
  <c r="M3649" i="1"/>
  <c r="M3675" i="1"/>
  <c r="M3687" i="1"/>
  <c r="M3692" i="1"/>
  <c r="M3695" i="1"/>
  <c r="M3697" i="1"/>
  <c r="M3708" i="1"/>
  <c r="M3732" i="1"/>
  <c r="M3738" i="1"/>
  <c r="M3770" i="1"/>
  <c r="M3792" i="1"/>
  <c r="M3793" i="1"/>
  <c r="M3806" i="1"/>
  <c r="M3820" i="1"/>
  <c r="M3825" i="1"/>
  <c r="M3845" i="1"/>
  <c r="M3855" i="1"/>
  <c r="M3857" i="1"/>
  <c r="M3864" i="1"/>
  <c r="M3878" i="1"/>
  <c r="M3885" i="1"/>
  <c r="M3891" i="1"/>
  <c r="M3897" i="1"/>
  <c r="M3924" i="1"/>
  <c r="M3932" i="1"/>
  <c r="M3940" i="1"/>
  <c r="M3942" i="1"/>
  <c r="M3964" i="1"/>
  <c r="M3972" i="1"/>
  <c r="M3977" i="1"/>
  <c r="M3988" i="1"/>
  <c r="M3993" i="1"/>
  <c r="M3998" i="1"/>
  <c r="M4007" i="1"/>
  <c r="M4012" i="1"/>
  <c r="M4035" i="1"/>
  <c r="M4037" i="1"/>
  <c r="M4041" i="1"/>
  <c r="M4043" i="1"/>
  <c r="M4045" i="1"/>
  <c r="M4060" i="1"/>
  <c r="M4064" i="1"/>
  <c r="M4076" i="1"/>
  <c r="M4078" i="1"/>
  <c r="M4101" i="1"/>
  <c r="M4102" i="1"/>
  <c r="M4106" i="1"/>
  <c r="M4115" i="1"/>
  <c r="M4125" i="1"/>
  <c r="M4134" i="1"/>
  <c r="M4136" i="1"/>
  <c r="M4146" i="1"/>
  <c r="M4149" i="1"/>
  <c r="M4150" i="1"/>
  <c r="M4151" i="1"/>
  <c r="M4163" i="1"/>
  <c r="M4166" i="1"/>
  <c r="M4173" i="1"/>
  <c r="M4192" i="1"/>
  <c r="M4216" i="1"/>
  <c r="M4218" i="1"/>
  <c r="M4254" i="1"/>
  <c r="M4257" i="1"/>
  <c r="M4258" i="1"/>
  <c r="M4259" i="1"/>
  <c r="M4270" i="1"/>
  <c r="M4280" i="1"/>
  <c r="M4281" i="1"/>
  <c r="M4282" i="1"/>
  <c r="M4296" i="1"/>
  <c r="M4305" i="1"/>
  <c r="M4311" i="1"/>
  <c r="M4326" i="1"/>
  <c r="M4330" i="1"/>
  <c r="M4331" i="1"/>
  <c r="M4343" i="1"/>
  <c r="M4361" i="1"/>
  <c r="M4362" i="1"/>
  <c r="M4371" i="1"/>
  <c r="M4372" i="1"/>
  <c r="M4373" i="1"/>
  <c r="M4374" i="1"/>
  <c r="M4377" i="1"/>
  <c r="M4386" i="1"/>
  <c r="M4388" i="1"/>
  <c r="M4394" i="1"/>
  <c r="M4410" i="1"/>
  <c r="M4411" i="1"/>
  <c r="M4416" i="1"/>
  <c r="M4438" i="1"/>
  <c r="M4440" i="1"/>
  <c r="M4455" i="1"/>
  <c r="M4461" i="1"/>
  <c r="M4495" i="1"/>
  <c r="M4503" i="1"/>
  <c r="M4504" i="1"/>
  <c r="M4506" i="1"/>
  <c r="M4525" i="1"/>
  <c r="M4526" i="1"/>
  <c r="M4534" i="1"/>
  <c r="M4547" i="1"/>
  <c r="M4561" i="1"/>
  <c r="M4564" i="1"/>
  <c r="M4567" i="1"/>
  <c r="M4569" i="1"/>
  <c r="M4577" i="1"/>
  <c r="M4579" i="1"/>
  <c r="M4593" i="1"/>
  <c r="M4598" i="1"/>
  <c r="M4600" i="1"/>
  <c r="M4638" i="1"/>
  <c r="M4641" i="1"/>
  <c r="M4645" i="1"/>
  <c r="M4662" i="1"/>
  <c r="M4672" i="1"/>
  <c r="M4673" i="1"/>
  <c r="M4682" i="1"/>
  <c r="M4696" i="1"/>
  <c r="M4702" i="1"/>
  <c r="M4708" i="1"/>
  <c r="M4719" i="1"/>
  <c r="M4722" i="1"/>
  <c r="M4723" i="1"/>
  <c r="M4728" i="1"/>
  <c r="M4734" i="1"/>
  <c r="M4737" i="1"/>
  <c r="M4762" i="1"/>
  <c r="M4765" i="1"/>
  <c r="M4770" i="1"/>
  <c r="M4778" i="1"/>
  <c r="M4785" i="1"/>
  <c r="M4799" i="1"/>
  <c r="M4800" i="1"/>
  <c r="M4801" i="1"/>
  <c r="M4813" i="1"/>
  <c r="M4855" i="1"/>
  <c r="M4866" i="1"/>
  <c r="M4869" i="1"/>
  <c r="M4872" i="1"/>
  <c r="M4875" i="1"/>
  <c r="M4895" i="1"/>
  <c r="M4905" i="1"/>
  <c r="M4913" i="1"/>
  <c r="M4915" i="1"/>
  <c r="M4923" i="1"/>
  <c r="M4946" i="1"/>
  <c r="M4956" i="1"/>
  <c r="M4967" i="1"/>
  <c r="M4974" i="1"/>
  <c r="M4982" i="1"/>
  <c r="M4995" i="1"/>
  <c r="M50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  <c r="K1808" i="1"/>
  <c r="M1808" i="1" s="1"/>
  <c r="K1809" i="1"/>
  <c r="M1809" i="1" s="1"/>
  <c r="K1810" i="1"/>
  <c r="M1810" i="1" s="1"/>
  <c r="K1811" i="1"/>
  <c r="M1811" i="1" s="1"/>
  <c r="K1812" i="1"/>
  <c r="K1813" i="1"/>
  <c r="M1813" i="1" s="1"/>
  <c r="K1814" i="1"/>
  <c r="M1814" i="1" s="1"/>
  <c r="K1815" i="1"/>
  <c r="M1815" i="1" s="1"/>
  <c r="K1816" i="1"/>
  <c r="M1816" i="1" s="1"/>
  <c r="K1817" i="1"/>
  <c r="M1817" i="1" s="1"/>
  <c r="K1818" i="1"/>
  <c r="M1818" i="1" s="1"/>
  <c r="K1819" i="1"/>
  <c r="K1820" i="1"/>
  <c r="M1820" i="1" s="1"/>
  <c r="K1821" i="1"/>
  <c r="K1822" i="1"/>
  <c r="K1823" i="1"/>
  <c r="M1823" i="1" s="1"/>
  <c r="K1824" i="1"/>
  <c r="K1825" i="1"/>
  <c r="K1826" i="1"/>
  <c r="M1826" i="1" s="1"/>
  <c r="K1827" i="1"/>
  <c r="M1827" i="1" s="1"/>
  <c r="K1828" i="1"/>
  <c r="M1828" i="1" s="1"/>
  <c r="K1829" i="1"/>
  <c r="M1829" i="1" s="1"/>
  <c r="K1830" i="1"/>
  <c r="M1830" i="1" s="1"/>
  <c r="K1831" i="1"/>
  <c r="M1831" i="1" s="1"/>
  <c r="K1832" i="1"/>
  <c r="M1832" i="1" s="1"/>
  <c r="K1833" i="1"/>
  <c r="M1833" i="1" s="1"/>
  <c r="K1834" i="1"/>
  <c r="M1834" i="1" s="1"/>
  <c r="K1835" i="1"/>
  <c r="M1835" i="1" s="1"/>
  <c r="K1836" i="1"/>
  <c r="M1836" i="1" s="1"/>
  <c r="K1837" i="1"/>
  <c r="M1837" i="1" s="1"/>
  <c r="K1838" i="1"/>
  <c r="M1838" i="1" s="1"/>
  <c r="K1839" i="1"/>
  <c r="M1839" i="1" s="1"/>
  <c r="K1840" i="1"/>
  <c r="M1840" i="1" s="1"/>
  <c r="K1841" i="1"/>
  <c r="M1841" i="1" s="1"/>
  <c r="K1842" i="1"/>
  <c r="M1842" i="1" s="1"/>
  <c r="K1843" i="1"/>
  <c r="M1843" i="1" s="1"/>
  <c r="K1844" i="1"/>
  <c r="M1844" i="1" s="1"/>
  <c r="K1845" i="1"/>
  <c r="K1846" i="1"/>
  <c r="M1846" i="1" s="1"/>
  <c r="K1847" i="1"/>
  <c r="M1847" i="1" s="1"/>
  <c r="K1848" i="1"/>
  <c r="M1848" i="1" s="1"/>
  <c r="K1849" i="1"/>
  <c r="M1849" i="1" s="1"/>
  <c r="K1850" i="1"/>
  <c r="M1850" i="1" s="1"/>
  <c r="K1851" i="1"/>
  <c r="M1851" i="1" s="1"/>
  <c r="K1852" i="1"/>
  <c r="M1852" i="1" s="1"/>
  <c r="K1853" i="1"/>
  <c r="M1853" i="1" s="1"/>
  <c r="K1854" i="1"/>
  <c r="M1854" i="1" s="1"/>
  <c r="K1855" i="1"/>
  <c r="M1855" i="1" s="1"/>
  <c r="K1856" i="1"/>
  <c r="M1856" i="1" s="1"/>
  <c r="K1857" i="1"/>
  <c r="M1857" i="1" s="1"/>
  <c r="K1858" i="1"/>
  <c r="M1858" i="1" s="1"/>
  <c r="K1859" i="1"/>
  <c r="M1859" i="1" s="1"/>
  <c r="K1860" i="1"/>
  <c r="M1860" i="1" s="1"/>
  <c r="K1861" i="1"/>
  <c r="M1861" i="1" s="1"/>
  <c r="K1862" i="1"/>
  <c r="M1862" i="1" s="1"/>
  <c r="K1863" i="1"/>
  <c r="M1863" i="1" s="1"/>
  <c r="K1864" i="1"/>
  <c r="M1864" i="1" s="1"/>
  <c r="K1865" i="1"/>
  <c r="M1865" i="1" s="1"/>
  <c r="K1866" i="1"/>
  <c r="M1866" i="1" s="1"/>
  <c r="K1867" i="1"/>
  <c r="M1867" i="1" s="1"/>
  <c r="K1868" i="1"/>
  <c r="M1868" i="1" s="1"/>
  <c r="K1869" i="1"/>
  <c r="M1869" i="1" s="1"/>
  <c r="K1870" i="1"/>
  <c r="K1871" i="1"/>
  <c r="M1871" i="1" s="1"/>
  <c r="K1872" i="1"/>
  <c r="M1872" i="1" s="1"/>
  <c r="K1873" i="1"/>
  <c r="M1873" i="1" s="1"/>
  <c r="K1874" i="1"/>
  <c r="M1874" i="1" s="1"/>
  <c r="K1875" i="1"/>
  <c r="M1875" i="1" s="1"/>
  <c r="K1876" i="1"/>
  <c r="M1876" i="1" s="1"/>
  <c r="K1877" i="1"/>
  <c r="M1877" i="1" s="1"/>
  <c r="K1878" i="1"/>
  <c r="M1878" i="1" s="1"/>
  <c r="K1879" i="1"/>
  <c r="M1879" i="1" s="1"/>
  <c r="K1880" i="1"/>
  <c r="M1880" i="1" s="1"/>
  <c r="K1881" i="1"/>
  <c r="M1881" i="1" s="1"/>
  <c r="K1882" i="1"/>
  <c r="M1882" i="1" s="1"/>
  <c r="K1883" i="1"/>
  <c r="M1883" i="1" s="1"/>
  <c r="K1884" i="1"/>
  <c r="M1884" i="1" s="1"/>
  <c r="K1885" i="1"/>
  <c r="M1885" i="1" s="1"/>
  <c r="K1886" i="1"/>
  <c r="K1887" i="1"/>
  <c r="M1887" i="1" s="1"/>
  <c r="K1888" i="1"/>
  <c r="M1888" i="1" s="1"/>
  <c r="K1889" i="1"/>
  <c r="M1889" i="1" s="1"/>
  <c r="K1890" i="1"/>
  <c r="M1890" i="1" s="1"/>
  <c r="K1891" i="1"/>
  <c r="M1891" i="1" s="1"/>
  <c r="K1892" i="1"/>
  <c r="M1892" i="1" s="1"/>
  <c r="K1893" i="1"/>
  <c r="M1893" i="1" s="1"/>
  <c r="K1894" i="1"/>
  <c r="M1894" i="1" s="1"/>
  <c r="K1895" i="1"/>
  <c r="M1895" i="1" s="1"/>
  <c r="K1896" i="1"/>
  <c r="M1896" i="1" s="1"/>
  <c r="K1897" i="1"/>
  <c r="M1897" i="1" s="1"/>
  <c r="K1898" i="1"/>
  <c r="M1898" i="1" s="1"/>
  <c r="K1899" i="1"/>
  <c r="M1899" i="1" s="1"/>
  <c r="K1900" i="1"/>
  <c r="M1900" i="1" s="1"/>
  <c r="K1901" i="1"/>
  <c r="M1901" i="1" s="1"/>
  <c r="K1902" i="1"/>
  <c r="M1902" i="1" s="1"/>
  <c r="K1903" i="1"/>
  <c r="M1903" i="1" s="1"/>
  <c r="K1904" i="1"/>
  <c r="M1904" i="1" s="1"/>
  <c r="K1905" i="1"/>
  <c r="M1905" i="1" s="1"/>
  <c r="K1906" i="1"/>
  <c r="M1906" i="1" s="1"/>
  <c r="K1907" i="1"/>
  <c r="M1907" i="1" s="1"/>
  <c r="K1908" i="1"/>
  <c r="M1908" i="1" s="1"/>
  <c r="K1909" i="1"/>
  <c r="M1909" i="1" s="1"/>
  <c r="K1910" i="1"/>
  <c r="M1910" i="1" s="1"/>
  <c r="K1911" i="1"/>
  <c r="M1911" i="1" s="1"/>
  <c r="K1912" i="1"/>
  <c r="M1912" i="1" s="1"/>
  <c r="K1913" i="1"/>
  <c r="K1914" i="1"/>
  <c r="M1914" i="1" s="1"/>
  <c r="K1915" i="1"/>
  <c r="M1915" i="1" s="1"/>
  <c r="K1916" i="1"/>
  <c r="M1916" i="1" s="1"/>
  <c r="K1917" i="1"/>
  <c r="M1917" i="1" s="1"/>
  <c r="K1918" i="1"/>
  <c r="K1919" i="1"/>
  <c r="M1919" i="1" s="1"/>
  <c r="K1920" i="1"/>
  <c r="M1920" i="1" s="1"/>
  <c r="K1921" i="1"/>
  <c r="M1921" i="1" s="1"/>
  <c r="K1922" i="1"/>
  <c r="M1922" i="1" s="1"/>
  <c r="K1923" i="1"/>
  <c r="M1923" i="1" s="1"/>
  <c r="K1924" i="1"/>
  <c r="M1924" i="1" s="1"/>
  <c r="K1925" i="1"/>
  <c r="M1925" i="1" s="1"/>
  <c r="K1926" i="1"/>
  <c r="M1926" i="1" s="1"/>
  <c r="K1927" i="1"/>
  <c r="M1927" i="1" s="1"/>
  <c r="K1928" i="1"/>
  <c r="M1928" i="1" s="1"/>
  <c r="K1929" i="1"/>
  <c r="M1929" i="1" s="1"/>
  <c r="K1930" i="1"/>
  <c r="M1930" i="1" s="1"/>
  <c r="K1931" i="1"/>
  <c r="M1931" i="1" s="1"/>
  <c r="K1932" i="1"/>
  <c r="M1932" i="1" s="1"/>
  <c r="K1933" i="1"/>
  <c r="M1933" i="1" s="1"/>
  <c r="K1934" i="1"/>
  <c r="M1934" i="1" s="1"/>
  <c r="K1935" i="1"/>
  <c r="M1935" i="1" s="1"/>
  <c r="K1936" i="1"/>
  <c r="M1936" i="1" s="1"/>
  <c r="K1937" i="1"/>
  <c r="M1937" i="1" s="1"/>
  <c r="K1938" i="1"/>
  <c r="M1938" i="1" s="1"/>
  <c r="K1939" i="1"/>
  <c r="M1939" i="1" s="1"/>
  <c r="K1940" i="1"/>
  <c r="M1940" i="1" s="1"/>
  <c r="K1941" i="1"/>
  <c r="M1941" i="1" s="1"/>
  <c r="K1942" i="1"/>
  <c r="M1942" i="1" s="1"/>
  <c r="K1943" i="1"/>
  <c r="K1944" i="1"/>
  <c r="M1944" i="1" s="1"/>
  <c r="K1945" i="1"/>
  <c r="M1945" i="1" s="1"/>
  <c r="K1946" i="1"/>
  <c r="M1946" i="1" s="1"/>
  <c r="K1947" i="1"/>
  <c r="M1947" i="1" s="1"/>
  <c r="K1948" i="1"/>
  <c r="M1948" i="1" s="1"/>
  <c r="K1949" i="1"/>
  <c r="M1949" i="1" s="1"/>
  <c r="K1950" i="1"/>
  <c r="M1950" i="1" s="1"/>
  <c r="K1951" i="1"/>
  <c r="M1951" i="1" s="1"/>
  <c r="K1952" i="1"/>
  <c r="M1952" i="1" s="1"/>
  <c r="K1953" i="1"/>
  <c r="M1953" i="1" s="1"/>
  <c r="K1954" i="1"/>
  <c r="M1954" i="1" s="1"/>
  <c r="K1955" i="1"/>
  <c r="K1956" i="1"/>
  <c r="M1956" i="1" s="1"/>
  <c r="K1957" i="1"/>
  <c r="M1957" i="1" s="1"/>
  <c r="K1958" i="1"/>
  <c r="M1958" i="1" s="1"/>
  <c r="K1959" i="1"/>
  <c r="M1959" i="1" s="1"/>
  <c r="K1960" i="1"/>
  <c r="M1960" i="1" s="1"/>
  <c r="K1961" i="1"/>
  <c r="M1961" i="1" s="1"/>
  <c r="K1962" i="1"/>
  <c r="M1962" i="1" s="1"/>
  <c r="K1963" i="1"/>
  <c r="K1964" i="1"/>
  <c r="M1964" i="1" s="1"/>
  <c r="K1965" i="1"/>
  <c r="M1965" i="1" s="1"/>
  <c r="K1966" i="1"/>
  <c r="M1966" i="1" s="1"/>
  <c r="K1967" i="1"/>
  <c r="M1967" i="1" s="1"/>
  <c r="K1968" i="1"/>
  <c r="K1969" i="1"/>
  <c r="M1969" i="1" s="1"/>
  <c r="K1970" i="1"/>
  <c r="M1970" i="1" s="1"/>
  <c r="K1971" i="1"/>
  <c r="M1971" i="1" s="1"/>
  <c r="K1972" i="1"/>
  <c r="M1972" i="1" s="1"/>
  <c r="K1973" i="1"/>
  <c r="M1973" i="1" s="1"/>
  <c r="K1974" i="1"/>
  <c r="M1974" i="1" s="1"/>
  <c r="K1975" i="1"/>
  <c r="M1975" i="1" s="1"/>
  <c r="K1976" i="1"/>
  <c r="M1976" i="1" s="1"/>
  <c r="K1977" i="1"/>
  <c r="M1977" i="1" s="1"/>
  <c r="K1978" i="1"/>
  <c r="M1978" i="1" s="1"/>
  <c r="K1979" i="1"/>
  <c r="M1979" i="1" s="1"/>
  <c r="K1980" i="1"/>
  <c r="M1980" i="1" s="1"/>
  <c r="K1981" i="1"/>
  <c r="M1981" i="1" s="1"/>
  <c r="K1982" i="1"/>
  <c r="M1982" i="1" s="1"/>
  <c r="K1983" i="1"/>
  <c r="K1984" i="1"/>
  <c r="M1984" i="1" s="1"/>
  <c r="K1985" i="1"/>
  <c r="M1985" i="1" s="1"/>
  <c r="K1986" i="1"/>
  <c r="M1986" i="1" s="1"/>
  <c r="K1987" i="1"/>
  <c r="M1987" i="1" s="1"/>
  <c r="K1988" i="1"/>
  <c r="M1988" i="1" s="1"/>
  <c r="K1989" i="1"/>
  <c r="M1989" i="1" s="1"/>
  <c r="K1990" i="1"/>
  <c r="M1990" i="1" s="1"/>
  <c r="K1991" i="1"/>
  <c r="M1991" i="1" s="1"/>
  <c r="K1992" i="1"/>
  <c r="M1992" i="1" s="1"/>
  <c r="K1993" i="1"/>
  <c r="M1993" i="1" s="1"/>
  <c r="K1994" i="1"/>
  <c r="M1994" i="1" s="1"/>
  <c r="K1995" i="1"/>
  <c r="M1995" i="1" s="1"/>
  <c r="K1996" i="1"/>
  <c r="M1996" i="1" s="1"/>
  <c r="K1997" i="1"/>
  <c r="M1997" i="1" s="1"/>
  <c r="K1998" i="1"/>
  <c r="M1998" i="1" s="1"/>
  <c r="K1999" i="1"/>
  <c r="M1999" i="1" s="1"/>
  <c r="K2000" i="1"/>
  <c r="M2000" i="1" s="1"/>
  <c r="K2001" i="1"/>
  <c r="M2001" i="1" s="1"/>
  <c r="K2002" i="1"/>
  <c r="M2002" i="1" s="1"/>
  <c r="K2003" i="1"/>
  <c r="M2003" i="1" s="1"/>
  <c r="K2004" i="1"/>
  <c r="M2004" i="1" s="1"/>
  <c r="K2005" i="1"/>
  <c r="M2005" i="1" s="1"/>
  <c r="K2006" i="1"/>
  <c r="M2006" i="1" s="1"/>
  <c r="K2007" i="1"/>
  <c r="M2007" i="1" s="1"/>
  <c r="K2008" i="1"/>
  <c r="M2008" i="1" s="1"/>
  <c r="K2009" i="1"/>
  <c r="M2009" i="1" s="1"/>
  <c r="K2010" i="1"/>
  <c r="M2010" i="1" s="1"/>
  <c r="K2011" i="1"/>
  <c r="M2011" i="1" s="1"/>
  <c r="K2012" i="1"/>
  <c r="K2013" i="1"/>
  <c r="M2013" i="1" s="1"/>
  <c r="K2014" i="1"/>
  <c r="M2014" i="1" s="1"/>
  <c r="K2015" i="1"/>
  <c r="M2015" i="1" s="1"/>
  <c r="K2016" i="1"/>
  <c r="M2016" i="1" s="1"/>
  <c r="K2017" i="1"/>
  <c r="M2017" i="1" s="1"/>
  <c r="K2018" i="1"/>
  <c r="M2018" i="1" s="1"/>
  <c r="K2019" i="1"/>
  <c r="M2019" i="1" s="1"/>
  <c r="K2020" i="1"/>
  <c r="M2020" i="1" s="1"/>
  <c r="K2021" i="1"/>
  <c r="K2022" i="1"/>
  <c r="K2023" i="1"/>
  <c r="M2023" i="1" s="1"/>
  <c r="K2024" i="1"/>
  <c r="M2024" i="1" s="1"/>
  <c r="K2025" i="1"/>
  <c r="M2025" i="1" s="1"/>
  <c r="K2026" i="1"/>
  <c r="K2027" i="1"/>
  <c r="M2027" i="1" s="1"/>
  <c r="K2028" i="1"/>
  <c r="M2028" i="1" s="1"/>
  <c r="K2029" i="1"/>
  <c r="M2029" i="1" s="1"/>
  <c r="K2030" i="1"/>
  <c r="M2030" i="1" s="1"/>
  <c r="K2031" i="1"/>
  <c r="M2031" i="1" s="1"/>
  <c r="K2032" i="1"/>
  <c r="M2032" i="1" s="1"/>
  <c r="K2033" i="1"/>
  <c r="M2033" i="1" s="1"/>
  <c r="K2034" i="1"/>
  <c r="M2034" i="1" s="1"/>
  <c r="K2035" i="1"/>
  <c r="M2035" i="1" s="1"/>
  <c r="K2036" i="1"/>
  <c r="M2036" i="1" s="1"/>
  <c r="K2037" i="1"/>
  <c r="M2037" i="1" s="1"/>
  <c r="K2038" i="1"/>
  <c r="M2038" i="1" s="1"/>
  <c r="K2039" i="1"/>
  <c r="M2039" i="1" s="1"/>
  <c r="K2040" i="1"/>
  <c r="K2041" i="1"/>
  <c r="K2042" i="1"/>
  <c r="M2042" i="1" s="1"/>
  <c r="K2043" i="1"/>
  <c r="M2043" i="1" s="1"/>
  <c r="K2044" i="1"/>
  <c r="M2044" i="1" s="1"/>
  <c r="K2045" i="1"/>
  <c r="M2045" i="1" s="1"/>
  <c r="K2046" i="1"/>
  <c r="M2046" i="1" s="1"/>
  <c r="K2047" i="1"/>
  <c r="K2048" i="1"/>
  <c r="M2048" i="1" s="1"/>
  <c r="K2049" i="1"/>
  <c r="M2049" i="1" s="1"/>
  <c r="K2050" i="1"/>
  <c r="M2050" i="1" s="1"/>
  <c r="K2051" i="1"/>
  <c r="M2051" i="1" s="1"/>
  <c r="K2052" i="1"/>
  <c r="K2053" i="1"/>
  <c r="M2053" i="1" s="1"/>
  <c r="K2054" i="1"/>
  <c r="M2054" i="1" s="1"/>
  <c r="K2055" i="1"/>
  <c r="M2055" i="1" s="1"/>
  <c r="K2056" i="1"/>
  <c r="M2056" i="1" s="1"/>
  <c r="K2057" i="1"/>
  <c r="M2057" i="1" s="1"/>
  <c r="K2058" i="1"/>
  <c r="M2058" i="1" s="1"/>
  <c r="K2059" i="1"/>
  <c r="K2060" i="1"/>
  <c r="M2060" i="1" s="1"/>
  <c r="K2061" i="1"/>
  <c r="M2061" i="1" s="1"/>
  <c r="K2062" i="1"/>
  <c r="M2062" i="1" s="1"/>
  <c r="K2063" i="1"/>
  <c r="M2063" i="1" s="1"/>
  <c r="K2064" i="1"/>
  <c r="M2064" i="1" s="1"/>
  <c r="K2065" i="1"/>
  <c r="M2065" i="1" s="1"/>
  <c r="K2066" i="1"/>
  <c r="M2066" i="1" s="1"/>
  <c r="K2067" i="1"/>
  <c r="M2067" i="1" s="1"/>
  <c r="K2068" i="1"/>
  <c r="M2068" i="1" s="1"/>
  <c r="K2069" i="1"/>
  <c r="M2069" i="1" s="1"/>
  <c r="K2070" i="1"/>
  <c r="K2071" i="1"/>
  <c r="M2071" i="1" s="1"/>
  <c r="K2072" i="1"/>
  <c r="M2072" i="1" s="1"/>
  <c r="K2073" i="1"/>
  <c r="K2074" i="1"/>
  <c r="K2075" i="1"/>
  <c r="M2075" i="1" s="1"/>
  <c r="K2076" i="1"/>
  <c r="M2076" i="1" s="1"/>
  <c r="K2077" i="1"/>
  <c r="M2077" i="1" s="1"/>
  <c r="K2078" i="1"/>
  <c r="M2078" i="1" s="1"/>
  <c r="K2079" i="1"/>
  <c r="M2079" i="1" s="1"/>
  <c r="K2080" i="1"/>
  <c r="M2080" i="1" s="1"/>
  <c r="K2081" i="1"/>
  <c r="M2081" i="1" s="1"/>
  <c r="K2082" i="1"/>
  <c r="K2083" i="1"/>
  <c r="M2083" i="1" s="1"/>
  <c r="K2084" i="1"/>
  <c r="K2085" i="1"/>
  <c r="M2085" i="1" s="1"/>
  <c r="K2086" i="1"/>
  <c r="M2086" i="1" s="1"/>
  <c r="K2087" i="1"/>
  <c r="M2087" i="1" s="1"/>
  <c r="K2088" i="1"/>
  <c r="M2088" i="1" s="1"/>
  <c r="K2089" i="1"/>
  <c r="M2089" i="1" s="1"/>
  <c r="K2090" i="1"/>
  <c r="M2090" i="1" s="1"/>
  <c r="K2091" i="1"/>
  <c r="M2091" i="1" s="1"/>
  <c r="K2092" i="1"/>
  <c r="M2092" i="1" s="1"/>
  <c r="K2093" i="1"/>
  <c r="M2093" i="1" s="1"/>
  <c r="K2094" i="1"/>
  <c r="M2094" i="1" s="1"/>
  <c r="K2095" i="1"/>
  <c r="K2096" i="1"/>
  <c r="M2096" i="1" s="1"/>
  <c r="K2097" i="1"/>
  <c r="M2097" i="1" s="1"/>
  <c r="K2098" i="1"/>
  <c r="M2098" i="1" s="1"/>
  <c r="K2099" i="1"/>
  <c r="M2099" i="1" s="1"/>
  <c r="K2100" i="1"/>
  <c r="M2100" i="1" s="1"/>
  <c r="K2101" i="1"/>
  <c r="M2101" i="1" s="1"/>
  <c r="K2102" i="1"/>
  <c r="M2102" i="1" s="1"/>
  <c r="K2103" i="1"/>
  <c r="M2103" i="1" s="1"/>
  <c r="K2104" i="1"/>
  <c r="M2104" i="1" s="1"/>
  <c r="K2105" i="1"/>
  <c r="M2105" i="1" s="1"/>
  <c r="K2106" i="1"/>
  <c r="M2106" i="1" s="1"/>
  <c r="K2107" i="1"/>
  <c r="M2107" i="1" s="1"/>
  <c r="K2108" i="1"/>
  <c r="M2108" i="1" s="1"/>
  <c r="K2109" i="1"/>
  <c r="M2109" i="1" s="1"/>
  <c r="K2110" i="1"/>
  <c r="M2110" i="1" s="1"/>
  <c r="K2111" i="1"/>
  <c r="M2111" i="1" s="1"/>
  <c r="K2112" i="1"/>
  <c r="M2112" i="1" s="1"/>
  <c r="K2113" i="1"/>
  <c r="M2113" i="1" s="1"/>
  <c r="K2114" i="1"/>
  <c r="M2114" i="1" s="1"/>
  <c r="K2115" i="1"/>
  <c r="M2115" i="1" s="1"/>
  <c r="K2116" i="1"/>
  <c r="M2116" i="1" s="1"/>
  <c r="K2117" i="1"/>
  <c r="M2117" i="1" s="1"/>
  <c r="K2118" i="1"/>
  <c r="M2118" i="1" s="1"/>
  <c r="K2119" i="1"/>
  <c r="M2119" i="1" s="1"/>
  <c r="K2120" i="1"/>
  <c r="M2120" i="1" s="1"/>
  <c r="K2121" i="1"/>
  <c r="M2121" i="1" s="1"/>
  <c r="K2122" i="1"/>
  <c r="K2123" i="1"/>
  <c r="M2123" i="1" s="1"/>
  <c r="K2124" i="1"/>
  <c r="M2124" i="1" s="1"/>
  <c r="K2125" i="1"/>
  <c r="M2125" i="1" s="1"/>
  <c r="K2126" i="1"/>
  <c r="M2126" i="1" s="1"/>
  <c r="K2127" i="1"/>
  <c r="M2127" i="1" s="1"/>
  <c r="K2128" i="1"/>
  <c r="M2128" i="1" s="1"/>
  <c r="K2129" i="1"/>
  <c r="M2129" i="1" s="1"/>
  <c r="K2130" i="1"/>
  <c r="K2131" i="1"/>
  <c r="M2131" i="1" s="1"/>
  <c r="K2132" i="1"/>
  <c r="M2132" i="1" s="1"/>
  <c r="K2133" i="1"/>
  <c r="M2133" i="1" s="1"/>
  <c r="K2134" i="1"/>
  <c r="M2134" i="1" s="1"/>
  <c r="K2135" i="1"/>
  <c r="M2135" i="1" s="1"/>
  <c r="K2136" i="1"/>
  <c r="M2136" i="1" s="1"/>
  <c r="K2137" i="1"/>
  <c r="M2137" i="1" s="1"/>
  <c r="K2138" i="1"/>
  <c r="K2139" i="1"/>
  <c r="M2139" i="1" s="1"/>
  <c r="K2140" i="1"/>
  <c r="M2140" i="1" s="1"/>
  <c r="K2141" i="1"/>
  <c r="M2141" i="1" s="1"/>
  <c r="K2142" i="1"/>
  <c r="M2142" i="1" s="1"/>
  <c r="K2143" i="1"/>
  <c r="M2143" i="1" s="1"/>
  <c r="K2144" i="1"/>
  <c r="M2144" i="1" s="1"/>
  <c r="K2145" i="1"/>
  <c r="M2145" i="1" s="1"/>
  <c r="K2146" i="1"/>
  <c r="M2146" i="1" s="1"/>
  <c r="K2147" i="1"/>
  <c r="M2147" i="1" s="1"/>
  <c r="K2148" i="1"/>
  <c r="M2148" i="1" s="1"/>
  <c r="K2149" i="1"/>
  <c r="K2150" i="1"/>
  <c r="M2150" i="1" s="1"/>
  <c r="K2151" i="1"/>
  <c r="M2151" i="1" s="1"/>
  <c r="K2152" i="1"/>
  <c r="M2152" i="1" s="1"/>
  <c r="K2153" i="1"/>
  <c r="M2153" i="1" s="1"/>
  <c r="K2154" i="1"/>
  <c r="M2154" i="1" s="1"/>
  <c r="K2155" i="1"/>
  <c r="M2155" i="1" s="1"/>
  <c r="K2156" i="1"/>
  <c r="M2156" i="1" s="1"/>
  <c r="K2157" i="1"/>
  <c r="M2157" i="1" s="1"/>
  <c r="K2158" i="1"/>
  <c r="M2158" i="1" s="1"/>
  <c r="K2159" i="1"/>
  <c r="K2160" i="1"/>
  <c r="M2160" i="1" s="1"/>
  <c r="K2161" i="1"/>
  <c r="M2161" i="1" s="1"/>
  <c r="K2162" i="1"/>
  <c r="M2162" i="1" s="1"/>
  <c r="K2163" i="1"/>
  <c r="M2163" i="1" s="1"/>
  <c r="K2164" i="1"/>
  <c r="M2164" i="1" s="1"/>
  <c r="K2165" i="1"/>
  <c r="M2165" i="1" s="1"/>
  <c r="K2166" i="1"/>
  <c r="M2166" i="1" s="1"/>
  <c r="K2167" i="1"/>
  <c r="M2167" i="1" s="1"/>
  <c r="K2168" i="1"/>
  <c r="M2168" i="1" s="1"/>
  <c r="K2169" i="1"/>
  <c r="M2169" i="1" s="1"/>
  <c r="K2170" i="1"/>
  <c r="M2170" i="1" s="1"/>
  <c r="K2171" i="1"/>
  <c r="M2171" i="1" s="1"/>
  <c r="K2172" i="1"/>
  <c r="M2172" i="1" s="1"/>
  <c r="K2173" i="1"/>
  <c r="M2173" i="1" s="1"/>
  <c r="K2174" i="1"/>
  <c r="M2174" i="1" s="1"/>
  <c r="K2175" i="1"/>
  <c r="M2175" i="1" s="1"/>
  <c r="K2176" i="1"/>
  <c r="M2176" i="1" s="1"/>
  <c r="K2177" i="1"/>
  <c r="M2177" i="1" s="1"/>
  <c r="K2178" i="1"/>
  <c r="M2178" i="1" s="1"/>
  <c r="K2179" i="1"/>
  <c r="K2180" i="1"/>
  <c r="M2180" i="1" s="1"/>
  <c r="K2181" i="1"/>
  <c r="M2181" i="1" s="1"/>
  <c r="K2182" i="1"/>
  <c r="M2182" i="1" s="1"/>
  <c r="K2183" i="1"/>
  <c r="M2183" i="1" s="1"/>
  <c r="K2184" i="1"/>
  <c r="M2184" i="1" s="1"/>
  <c r="K2185" i="1"/>
  <c r="M2185" i="1" s="1"/>
  <c r="K2186" i="1"/>
  <c r="M2186" i="1" s="1"/>
  <c r="K2187" i="1"/>
  <c r="K2188" i="1"/>
  <c r="M2188" i="1" s="1"/>
  <c r="K2189" i="1"/>
  <c r="M2189" i="1" s="1"/>
  <c r="K2190" i="1"/>
  <c r="M2190" i="1" s="1"/>
  <c r="K2191" i="1"/>
  <c r="M2191" i="1" s="1"/>
  <c r="K2192" i="1"/>
  <c r="M2192" i="1" s="1"/>
  <c r="K2193" i="1"/>
  <c r="M2193" i="1" s="1"/>
  <c r="K2194" i="1"/>
  <c r="M2194" i="1" s="1"/>
  <c r="K2195" i="1"/>
  <c r="M2195" i="1" s="1"/>
  <c r="K2196" i="1"/>
  <c r="K2197" i="1"/>
  <c r="M2197" i="1" s="1"/>
  <c r="K2198" i="1"/>
  <c r="M2198" i="1" s="1"/>
  <c r="K2199" i="1"/>
  <c r="M2199" i="1" s="1"/>
  <c r="K2200" i="1"/>
  <c r="K2201" i="1"/>
  <c r="M2201" i="1" s="1"/>
  <c r="K2202" i="1"/>
  <c r="M2202" i="1" s="1"/>
  <c r="K2203" i="1"/>
  <c r="M2203" i="1" s="1"/>
  <c r="K2204" i="1"/>
  <c r="M2204" i="1" s="1"/>
  <c r="K2205" i="1"/>
  <c r="M2205" i="1" s="1"/>
  <c r="K2206" i="1"/>
  <c r="M2206" i="1" s="1"/>
  <c r="K2207" i="1"/>
  <c r="M2207" i="1" s="1"/>
  <c r="K2208" i="1"/>
  <c r="M2208" i="1" s="1"/>
  <c r="K2209" i="1"/>
  <c r="M2209" i="1" s="1"/>
  <c r="K2210" i="1"/>
  <c r="M2210" i="1" s="1"/>
  <c r="K2211" i="1"/>
  <c r="M2211" i="1" s="1"/>
  <c r="K2212" i="1"/>
  <c r="K2213" i="1"/>
  <c r="M2213" i="1" s="1"/>
  <c r="K2214" i="1"/>
  <c r="M2214" i="1" s="1"/>
  <c r="K2215" i="1"/>
  <c r="M2215" i="1" s="1"/>
  <c r="K2216" i="1"/>
  <c r="M2216" i="1" s="1"/>
  <c r="K2217" i="1"/>
  <c r="M2217" i="1" s="1"/>
  <c r="K2218" i="1"/>
  <c r="M2218" i="1" s="1"/>
  <c r="K2219" i="1"/>
  <c r="M2219" i="1" s="1"/>
  <c r="K2220" i="1"/>
  <c r="M2220" i="1" s="1"/>
  <c r="K2221" i="1"/>
  <c r="M2221" i="1" s="1"/>
  <c r="K2222" i="1"/>
  <c r="M2222" i="1" s="1"/>
  <c r="K2223" i="1"/>
  <c r="M2223" i="1" s="1"/>
  <c r="K2224" i="1"/>
  <c r="M2224" i="1" s="1"/>
  <c r="K2225" i="1"/>
  <c r="M2225" i="1" s="1"/>
  <c r="K2226" i="1"/>
  <c r="M2226" i="1" s="1"/>
  <c r="K2227" i="1"/>
  <c r="M2227" i="1" s="1"/>
  <c r="K2228" i="1"/>
  <c r="M2228" i="1" s="1"/>
  <c r="K2229" i="1"/>
  <c r="M2229" i="1" s="1"/>
  <c r="K2230" i="1"/>
  <c r="M2230" i="1" s="1"/>
  <c r="K2231" i="1"/>
  <c r="M2231" i="1" s="1"/>
  <c r="K2232" i="1"/>
  <c r="M2232" i="1" s="1"/>
  <c r="K2233" i="1"/>
  <c r="M2233" i="1" s="1"/>
  <c r="K2234" i="1"/>
  <c r="M2234" i="1" s="1"/>
  <c r="K2235" i="1"/>
  <c r="M2235" i="1" s="1"/>
  <c r="K2236" i="1"/>
  <c r="M2236" i="1" s="1"/>
  <c r="K2237" i="1"/>
  <c r="M2237" i="1" s="1"/>
  <c r="K2238" i="1"/>
  <c r="M2238" i="1" s="1"/>
  <c r="K2239" i="1"/>
  <c r="M2239" i="1" s="1"/>
  <c r="K2240" i="1"/>
  <c r="M2240" i="1" s="1"/>
  <c r="K2241" i="1"/>
  <c r="M2241" i="1" s="1"/>
  <c r="K2242" i="1"/>
  <c r="M2242" i="1" s="1"/>
  <c r="K2243" i="1"/>
  <c r="M2243" i="1" s="1"/>
  <c r="K2244" i="1"/>
  <c r="M2244" i="1" s="1"/>
  <c r="K2245" i="1"/>
  <c r="M2245" i="1" s="1"/>
  <c r="K2246" i="1"/>
  <c r="M2246" i="1" s="1"/>
  <c r="K2247" i="1"/>
  <c r="M2247" i="1" s="1"/>
  <c r="K2248" i="1"/>
  <c r="M2248" i="1" s="1"/>
  <c r="K2249" i="1"/>
  <c r="M2249" i="1" s="1"/>
  <c r="K2250" i="1"/>
  <c r="M2250" i="1" s="1"/>
  <c r="K2251" i="1"/>
  <c r="M2251" i="1" s="1"/>
  <c r="K2252" i="1"/>
  <c r="M2252" i="1" s="1"/>
  <c r="K2253" i="1"/>
  <c r="M2253" i="1" s="1"/>
  <c r="K2254" i="1"/>
  <c r="M2254" i="1" s="1"/>
  <c r="K2255" i="1"/>
  <c r="M2255" i="1" s="1"/>
  <c r="K2256" i="1"/>
  <c r="M2256" i="1" s="1"/>
  <c r="K2257" i="1"/>
  <c r="K2258" i="1"/>
  <c r="M2258" i="1" s="1"/>
  <c r="K2259" i="1"/>
  <c r="M2259" i="1" s="1"/>
  <c r="K2260" i="1"/>
  <c r="K2261" i="1"/>
  <c r="M2261" i="1" s="1"/>
  <c r="K2262" i="1"/>
  <c r="K2263" i="1"/>
  <c r="M2263" i="1" s="1"/>
  <c r="K2264" i="1"/>
  <c r="M2264" i="1" s="1"/>
  <c r="K2265" i="1"/>
  <c r="K2266" i="1"/>
  <c r="M2266" i="1" s="1"/>
  <c r="K2267" i="1"/>
  <c r="M2267" i="1" s="1"/>
  <c r="K2268" i="1"/>
  <c r="M2268" i="1" s="1"/>
  <c r="K2269" i="1"/>
  <c r="M2269" i="1" s="1"/>
  <c r="K2270" i="1"/>
  <c r="M2270" i="1" s="1"/>
  <c r="K2271" i="1"/>
  <c r="M2271" i="1" s="1"/>
  <c r="K2272" i="1"/>
  <c r="M2272" i="1" s="1"/>
  <c r="K2273" i="1"/>
  <c r="M2273" i="1" s="1"/>
  <c r="K2274" i="1"/>
  <c r="K2275" i="1"/>
  <c r="M2275" i="1" s="1"/>
  <c r="K2276" i="1"/>
  <c r="M2276" i="1" s="1"/>
  <c r="K2277" i="1"/>
  <c r="M2277" i="1" s="1"/>
  <c r="K2278" i="1"/>
  <c r="M2278" i="1" s="1"/>
  <c r="K2279" i="1"/>
  <c r="M2279" i="1" s="1"/>
  <c r="K2280" i="1"/>
  <c r="M2280" i="1" s="1"/>
  <c r="K2281" i="1"/>
  <c r="M2281" i="1" s="1"/>
  <c r="K2282" i="1"/>
  <c r="M2282" i="1" s="1"/>
  <c r="K2283" i="1"/>
  <c r="M2283" i="1" s="1"/>
  <c r="K2284" i="1"/>
  <c r="M2284" i="1" s="1"/>
  <c r="K2285" i="1"/>
  <c r="K2286" i="1"/>
  <c r="M2286" i="1" s="1"/>
  <c r="K2287" i="1"/>
  <c r="M2287" i="1" s="1"/>
  <c r="K2288" i="1"/>
  <c r="M2288" i="1" s="1"/>
  <c r="K2289" i="1"/>
  <c r="M2289" i="1" s="1"/>
  <c r="K2290" i="1"/>
  <c r="M2290" i="1" s="1"/>
  <c r="K2291" i="1"/>
  <c r="M2291" i="1" s="1"/>
  <c r="K2292" i="1"/>
  <c r="M2292" i="1" s="1"/>
  <c r="K2293" i="1"/>
  <c r="M2293" i="1" s="1"/>
  <c r="K2294" i="1"/>
  <c r="M2294" i="1" s="1"/>
  <c r="K2295" i="1"/>
  <c r="M2295" i="1" s="1"/>
  <c r="K2296" i="1"/>
  <c r="M2296" i="1" s="1"/>
  <c r="K2297" i="1"/>
  <c r="M2297" i="1" s="1"/>
  <c r="K2298" i="1"/>
  <c r="M2298" i="1" s="1"/>
  <c r="K2299" i="1"/>
  <c r="M2299" i="1" s="1"/>
  <c r="K2300" i="1"/>
  <c r="K2301" i="1"/>
  <c r="M2301" i="1" s="1"/>
  <c r="K2302" i="1"/>
  <c r="M2302" i="1" s="1"/>
  <c r="K2303" i="1"/>
  <c r="M2303" i="1" s="1"/>
  <c r="K2304" i="1"/>
  <c r="M2304" i="1" s="1"/>
  <c r="K2305" i="1"/>
  <c r="M2305" i="1" s="1"/>
  <c r="K2306" i="1"/>
  <c r="M2306" i="1" s="1"/>
  <c r="K2307" i="1"/>
  <c r="M2307" i="1" s="1"/>
  <c r="K2308" i="1"/>
  <c r="M2308" i="1" s="1"/>
  <c r="K2309" i="1"/>
  <c r="M2309" i="1" s="1"/>
  <c r="K2310" i="1"/>
  <c r="M2310" i="1" s="1"/>
  <c r="K2311" i="1"/>
  <c r="M2311" i="1" s="1"/>
  <c r="K2312" i="1"/>
  <c r="K2313" i="1"/>
  <c r="M2313" i="1" s="1"/>
  <c r="K2314" i="1"/>
  <c r="M2314" i="1" s="1"/>
  <c r="K2315" i="1"/>
  <c r="M2315" i="1" s="1"/>
  <c r="K2316" i="1"/>
  <c r="M2316" i="1" s="1"/>
  <c r="K2317" i="1"/>
  <c r="M2317" i="1" s="1"/>
  <c r="K2318" i="1"/>
  <c r="K2319" i="1"/>
  <c r="M2319" i="1" s="1"/>
  <c r="K2320" i="1"/>
  <c r="M2320" i="1" s="1"/>
  <c r="K2321" i="1"/>
  <c r="M2321" i="1" s="1"/>
  <c r="K2322" i="1"/>
  <c r="M2322" i="1" s="1"/>
  <c r="K2323" i="1"/>
  <c r="M2323" i="1" s="1"/>
  <c r="K2324" i="1"/>
  <c r="M2324" i="1" s="1"/>
  <c r="K2325" i="1"/>
  <c r="K2326" i="1"/>
  <c r="M2326" i="1" s="1"/>
  <c r="K2327" i="1"/>
  <c r="M2327" i="1" s="1"/>
  <c r="K2328" i="1"/>
  <c r="M2328" i="1" s="1"/>
  <c r="K2329" i="1"/>
  <c r="M2329" i="1" s="1"/>
  <c r="K2330" i="1"/>
  <c r="M2330" i="1" s="1"/>
  <c r="K2331" i="1"/>
  <c r="M2331" i="1" s="1"/>
  <c r="K2332" i="1"/>
  <c r="M2332" i="1" s="1"/>
  <c r="K2333" i="1"/>
  <c r="M2333" i="1" s="1"/>
  <c r="K2334" i="1"/>
  <c r="K2335" i="1"/>
  <c r="M2335" i="1" s="1"/>
  <c r="K2336" i="1"/>
  <c r="M2336" i="1" s="1"/>
  <c r="K2337" i="1"/>
  <c r="M2337" i="1" s="1"/>
  <c r="K2338" i="1"/>
  <c r="M2338" i="1" s="1"/>
  <c r="K2339" i="1"/>
  <c r="M2339" i="1" s="1"/>
  <c r="K2340" i="1"/>
  <c r="M2340" i="1" s="1"/>
  <c r="K2341" i="1"/>
  <c r="M2341" i="1" s="1"/>
  <c r="K2342" i="1"/>
  <c r="M2342" i="1" s="1"/>
  <c r="K2343" i="1"/>
  <c r="M2343" i="1" s="1"/>
  <c r="K2344" i="1"/>
  <c r="M2344" i="1" s="1"/>
  <c r="K2345" i="1"/>
  <c r="M2345" i="1" s="1"/>
  <c r="K2346" i="1"/>
  <c r="M2346" i="1" s="1"/>
  <c r="K2347" i="1"/>
  <c r="M2347" i="1" s="1"/>
  <c r="K2348" i="1"/>
  <c r="M2348" i="1" s="1"/>
  <c r="K2349" i="1"/>
  <c r="K2350" i="1"/>
  <c r="M2350" i="1" s="1"/>
  <c r="K2351" i="1"/>
  <c r="M2351" i="1" s="1"/>
  <c r="K2352" i="1"/>
  <c r="M2352" i="1" s="1"/>
  <c r="K2353" i="1"/>
  <c r="M2353" i="1" s="1"/>
  <c r="K2354" i="1"/>
  <c r="M2354" i="1" s="1"/>
  <c r="K2355" i="1"/>
  <c r="M2355" i="1" s="1"/>
  <c r="K2356" i="1"/>
  <c r="M2356" i="1" s="1"/>
  <c r="K2357" i="1"/>
  <c r="M2357" i="1" s="1"/>
  <c r="K2358" i="1"/>
  <c r="M2358" i="1" s="1"/>
  <c r="K2359" i="1"/>
  <c r="M2359" i="1" s="1"/>
  <c r="K2360" i="1"/>
  <c r="M2360" i="1" s="1"/>
  <c r="K2361" i="1"/>
  <c r="M2361" i="1" s="1"/>
  <c r="K2362" i="1"/>
  <c r="M2362" i="1" s="1"/>
  <c r="K2363" i="1"/>
  <c r="M2363" i="1" s="1"/>
  <c r="K2364" i="1"/>
  <c r="M2364" i="1" s="1"/>
  <c r="K2365" i="1"/>
  <c r="M2365" i="1" s="1"/>
  <c r="K2366" i="1"/>
  <c r="M2366" i="1" s="1"/>
  <c r="K2367" i="1"/>
  <c r="M2367" i="1" s="1"/>
  <c r="K2368" i="1"/>
  <c r="M2368" i="1" s="1"/>
  <c r="K2369" i="1"/>
  <c r="M2369" i="1" s="1"/>
  <c r="K2370" i="1"/>
  <c r="M2370" i="1" s="1"/>
  <c r="K2371" i="1"/>
  <c r="M2371" i="1" s="1"/>
  <c r="K2372" i="1"/>
  <c r="M2372" i="1" s="1"/>
  <c r="K2373" i="1"/>
  <c r="M2373" i="1" s="1"/>
  <c r="K2374" i="1"/>
  <c r="M2374" i="1" s="1"/>
  <c r="K2375" i="1"/>
  <c r="M2375" i="1" s="1"/>
  <c r="K2376" i="1"/>
  <c r="M2376" i="1" s="1"/>
  <c r="K2377" i="1"/>
  <c r="M2377" i="1" s="1"/>
  <c r="K2378" i="1"/>
  <c r="K2379" i="1"/>
  <c r="K2380" i="1"/>
  <c r="M2380" i="1" s="1"/>
  <c r="K2381" i="1"/>
  <c r="K2382" i="1"/>
  <c r="K2383" i="1"/>
  <c r="M2383" i="1" s="1"/>
  <c r="K2384" i="1"/>
  <c r="M2384" i="1" s="1"/>
  <c r="K2385" i="1"/>
  <c r="M2385" i="1" s="1"/>
  <c r="K2386" i="1"/>
  <c r="M2386" i="1" s="1"/>
  <c r="K2387" i="1"/>
  <c r="M2387" i="1" s="1"/>
  <c r="K2388" i="1"/>
  <c r="M2388" i="1" s="1"/>
  <c r="K2389" i="1"/>
  <c r="M2389" i="1" s="1"/>
  <c r="K2390" i="1"/>
  <c r="M2390" i="1" s="1"/>
  <c r="K2391" i="1"/>
  <c r="M2391" i="1" s="1"/>
  <c r="K2392" i="1"/>
  <c r="M2392" i="1" s="1"/>
  <c r="K2393" i="1"/>
  <c r="M2393" i="1" s="1"/>
  <c r="K2394" i="1"/>
  <c r="M2394" i="1" s="1"/>
  <c r="K2395" i="1"/>
  <c r="M2395" i="1" s="1"/>
  <c r="K2396" i="1"/>
  <c r="M2396" i="1" s="1"/>
  <c r="K2397" i="1"/>
  <c r="M2397" i="1" s="1"/>
  <c r="K2398" i="1"/>
  <c r="M2398" i="1" s="1"/>
  <c r="K2399" i="1"/>
  <c r="M2399" i="1" s="1"/>
  <c r="K2400" i="1"/>
  <c r="M2400" i="1" s="1"/>
  <c r="K2401" i="1"/>
  <c r="M2401" i="1" s="1"/>
  <c r="K2402" i="1"/>
  <c r="M2402" i="1" s="1"/>
  <c r="K2403" i="1"/>
  <c r="M2403" i="1" s="1"/>
  <c r="K2404" i="1"/>
  <c r="M2404" i="1" s="1"/>
  <c r="K2405" i="1"/>
  <c r="M2405" i="1" s="1"/>
  <c r="K2406" i="1"/>
  <c r="M2406" i="1" s="1"/>
  <c r="K2407" i="1"/>
  <c r="M2407" i="1" s="1"/>
  <c r="K2408" i="1"/>
  <c r="M2408" i="1" s="1"/>
  <c r="K2409" i="1"/>
  <c r="K2410" i="1"/>
  <c r="M2410" i="1" s="1"/>
  <c r="K2411" i="1"/>
  <c r="M2411" i="1" s="1"/>
  <c r="K2412" i="1"/>
  <c r="M2412" i="1" s="1"/>
  <c r="K2413" i="1"/>
  <c r="M2413" i="1" s="1"/>
  <c r="K2414" i="1"/>
  <c r="K2415" i="1"/>
  <c r="M2415" i="1" s="1"/>
  <c r="K2416" i="1"/>
  <c r="M2416" i="1" s="1"/>
  <c r="K2417" i="1"/>
  <c r="M2417" i="1" s="1"/>
  <c r="K2418" i="1"/>
  <c r="M2418" i="1" s="1"/>
  <c r="K2419" i="1"/>
  <c r="M2419" i="1" s="1"/>
  <c r="K2420" i="1"/>
  <c r="M2420" i="1" s="1"/>
  <c r="K2421" i="1"/>
  <c r="M2421" i="1" s="1"/>
  <c r="K2422" i="1"/>
  <c r="M2422" i="1" s="1"/>
  <c r="K2423" i="1"/>
  <c r="K2424" i="1"/>
  <c r="M2424" i="1" s="1"/>
  <c r="K2425" i="1"/>
  <c r="M2425" i="1" s="1"/>
  <c r="K2426" i="1"/>
  <c r="M2426" i="1" s="1"/>
  <c r="K2427" i="1"/>
  <c r="M2427" i="1" s="1"/>
  <c r="K2428" i="1"/>
  <c r="M2428" i="1" s="1"/>
  <c r="K2429" i="1"/>
  <c r="M2429" i="1" s="1"/>
  <c r="K2430" i="1"/>
  <c r="M2430" i="1" s="1"/>
  <c r="K2431" i="1"/>
  <c r="M2431" i="1" s="1"/>
  <c r="K2432" i="1"/>
  <c r="M2432" i="1" s="1"/>
  <c r="K2433" i="1"/>
  <c r="M2433" i="1" s="1"/>
  <c r="K2434" i="1"/>
  <c r="M2434" i="1" s="1"/>
  <c r="K2435" i="1"/>
  <c r="M2435" i="1" s="1"/>
  <c r="K2436" i="1"/>
  <c r="M2436" i="1" s="1"/>
  <c r="K2437" i="1"/>
  <c r="K2438" i="1"/>
  <c r="M2438" i="1" s="1"/>
  <c r="K2439" i="1"/>
  <c r="M2439" i="1" s="1"/>
  <c r="K2440" i="1"/>
  <c r="M2440" i="1" s="1"/>
  <c r="K2441" i="1"/>
  <c r="M2441" i="1" s="1"/>
  <c r="K2442" i="1"/>
  <c r="M2442" i="1" s="1"/>
  <c r="K2443" i="1"/>
  <c r="K2444" i="1"/>
  <c r="K2445" i="1"/>
  <c r="M2445" i="1" s="1"/>
  <c r="K2446" i="1"/>
  <c r="K2447" i="1"/>
  <c r="M2447" i="1" s="1"/>
  <c r="K2448" i="1"/>
  <c r="M2448" i="1" s="1"/>
  <c r="K2449" i="1"/>
  <c r="M2449" i="1" s="1"/>
  <c r="K2450" i="1"/>
  <c r="M2450" i="1" s="1"/>
  <c r="K2451" i="1"/>
  <c r="M2451" i="1" s="1"/>
  <c r="K2452" i="1"/>
  <c r="M2452" i="1" s="1"/>
  <c r="K2453" i="1"/>
  <c r="K2454" i="1"/>
  <c r="M2454" i="1" s="1"/>
  <c r="K2455" i="1"/>
  <c r="M2455" i="1" s="1"/>
  <c r="K2456" i="1"/>
  <c r="M2456" i="1" s="1"/>
  <c r="K2457" i="1"/>
  <c r="M2457" i="1" s="1"/>
  <c r="K2458" i="1"/>
  <c r="M2458" i="1" s="1"/>
  <c r="K2459" i="1"/>
  <c r="M2459" i="1" s="1"/>
  <c r="K2460" i="1"/>
  <c r="M2460" i="1" s="1"/>
  <c r="K2461" i="1"/>
  <c r="M2461" i="1" s="1"/>
  <c r="K2462" i="1"/>
  <c r="M2462" i="1" s="1"/>
  <c r="K2463" i="1"/>
  <c r="M2463" i="1" s="1"/>
  <c r="K2464" i="1"/>
  <c r="M2464" i="1" s="1"/>
  <c r="K2465" i="1"/>
  <c r="M2465" i="1" s="1"/>
  <c r="K2466" i="1"/>
  <c r="M2466" i="1" s="1"/>
  <c r="K2467" i="1"/>
  <c r="M2467" i="1" s="1"/>
  <c r="K2468" i="1"/>
  <c r="K2469" i="1"/>
  <c r="M2469" i="1" s="1"/>
  <c r="K2470" i="1"/>
  <c r="K2471" i="1"/>
  <c r="M2471" i="1" s="1"/>
  <c r="K2472" i="1"/>
  <c r="M2472" i="1" s="1"/>
  <c r="K2473" i="1"/>
  <c r="M2473" i="1" s="1"/>
  <c r="K2474" i="1"/>
  <c r="M2474" i="1" s="1"/>
  <c r="K2475" i="1"/>
  <c r="K2476" i="1"/>
  <c r="M2476" i="1" s="1"/>
  <c r="K2477" i="1"/>
  <c r="M2477" i="1" s="1"/>
  <c r="K2478" i="1"/>
  <c r="M2478" i="1" s="1"/>
  <c r="K2479" i="1"/>
  <c r="M2479" i="1" s="1"/>
  <c r="K2480" i="1"/>
  <c r="K2481" i="1"/>
  <c r="M2481" i="1" s="1"/>
  <c r="K2482" i="1"/>
  <c r="M2482" i="1" s="1"/>
  <c r="K2483" i="1"/>
  <c r="M2483" i="1" s="1"/>
  <c r="K2484" i="1"/>
  <c r="M2484" i="1" s="1"/>
  <c r="K2485" i="1"/>
  <c r="M2485" i="1" s="1"/>
  <c r="K2486" i="1"/>
  <c r="M2486" i="1" s="1"/>
  <c r="K2487" i="1"/>
  <c r="M2487" i="1" s="1"/>
  <c r="K2488" i="1"/>
  <c r="M2488" i="1" s="1"/>
  <c r="K2489" i="1"/>
  <c r="M2489" i="1" s="1"/>
  <c r="K2490" i="1"/>
  <c r="M2490" i="1" s="1"/>
  <c r="K2491" i="1"/>
  <c r="M2491" i="1" s="1"/>
  <c r="K2492" i="1"/>
  <c r="M2492" i="1" s="1"/>
  <c r="K2493" i="1"/>
  <c r="M2493" i="1" s="1"/>
  <c r="K2494" i="1"/>
  <c r="M2494" i="1" s="1"/>
  <c r="K2495" i="1"/>
  <c r="M2495" i="1" s="1"/>
  <c r="K2496" i="1"/>
  <c r="M2496" i="1" s="1"/>
  <c r="K2497" i="1"/>
  <c r="M2497" i="1" s="1"/>
  <c r="K2498" i="1"/>
  <c r="M2498" i="1" s="1"/>
  <c r="K2499" i="1"/>
  <c r="M2499" i="1" s="1"/>
  <c r="K2500" i="1"/>
  <c r="M2500" i="1" s="1"/>
  <c r="K2501" i="1"/>
  <c r="M2501" i="1" s="1"/>
  <c r="K2502" i="1"/>
  <c r="M2502" i="1" s="1"/>
  <c r="K2503" i="1"/>
  <c r="K2504" i="1"/>
  <c r="M2504" i="1" s="1"/>
  <c r="K2505" i="1"/>
  <c r="M2505" i="1" s="1"/>
  <c r="K2506" i="1"/>
  <c r="M2506" i="1" s="1"/>
  <c r="K2507" i="1"/>
  <c r="M2507" i="1" s="1"/>
  <c r="K2508" i="1"/>
  <c r="M2508" i="1" s="1"/>
  <c r="K2509" i="1"/>
  <c r="K2510" i="1"/>
  <c r="M2510" i="1" s="1"/>
  <c r="K2511" i="1"/>
  <c r="M2511" i="1" s="1"/>
  <c r="K2512" i="1"/>
  <c r="M2512" i="1" s="1"/>
  <c r="K2513" i="1"/>
  <c r="M2513" i="1" s="1"/>
  <c r="K2514" i="1"/>
  <c r="M2514" i="1" s="1"/>
  <c r="K2515" i="1"/>
  <c r="M2515" i="1" s="1"/>
  <c r="K2516" i="1"/>
  <c r="K2517" i="1"/>
  <c r="M2517" i="1" s="1"/>
  <c r="K2518" i="1"/>
  <c r="M2518" i="1" s="1"/>
  <c r="K2519" i="1"/>
  <c r="M2519" i="1" s="1"/>
  <c r="K2520" i="1"/>
  <c r="M2520" i="1" s="1"/>
  <c r="K2521" i="1"/>
  <c r="K2522" i="1"/>
  <c r="M2522" i="1" s="1"/>
  <c r="K2523" i="1"/>
  <c r="M2523" i="1" s="1"/>
  <c r="K2524" i="1"/>
  <c r="M2524" i="1" s="1"/>
  <c r="K2525" i="1"/>
  <c r="K2526" i="1"/>
  <c r="M2526" i="1" s="1"/>
  <c r="K2527" i="1"/>
  <c r="M2527" i="1" s="1"/>
  <c r="K2528" i="1"/>
  <c r="M2528" i="1" s="1"/>
  <c r="K2529" i="1"/>
  <c r="M2529" i="1" s="1"/>
  <c r="K2530" i="1"/>
  <c r="K2531" i="1"/>
  <c r="M2531" i="1" s="1"/>
  <c r="K2532" i="1"/>
  <c r="K2533" i="1"/>
  <c r="K2534" i="1"/>
  <c r="M2534" i="1" s="1"/>
  <c r="K2535" i="1"/>
  <c r="M2535" i="1" s="1"/>
  <c r="K2536" i="1"/>
  <c r="M2536" i="1" s="1"/>
  <c r="K2537" i="1"/>
  <c r="K2538" i="1"/>
  <c r="M2538" i="1" s="1"/>
  <c r="K2539" i="1"/>
  <c r="M2539" i="1" s="1"/>
  <c r="K2540" i="1"/>
  <c r="M2540" i="1" s="1"/>
  <c r="K2541" i="1"/>
  <c r="M2541" i="1" s="1"/>
  <c r="K2542" i="1"/>
  <c r="M2542" i="1" s="1"/>
  <c r="K2543" i="1"/>
  <c r="K2544" i="1"/>
  <c r="M2544" i="1" s="1"/>
  <c r="K2545" i="1"/>
  <c r="M2545" i="1" s="1"/>
  <c r="K2546" i="1"/>
  <c r="M2546" i="1" s="1"/>
  <c r="K2547" i="1"/>
  <c r="M2547" i="1" s="1"/>
  <c r="K2548" i="1"/>
  <c r="K2549" i="1"/>
  <c r="M2549" i="1" s="1"/>
  <c r="K2550" i="1"/>
  <c r="M2550" i="1" s="1"/>
  <c r="K2551" i="1"/>
  <c r="M2551" i="1" s="1"/>
  <c r="K2552" i="1"/>
  <c r="M2552" i="1" s="1"/>
  <c r="K2553" i="1"/>
  <c r="M2553" i="1" s="1"/>
  <c r="K2554" i="1"/>
  <c r="M2554" i="1" s="1"/>
  <c r="K2555" i="1"/>
  <c r="M2555" i="1" s="1"/>
  <c r="K2556" i="1"/>
  <c r="M2556" i="1" s="1"/>
  <c r="K2557" i="1"/>
  <c r="M2557" i="1" s="1"/>
  <c r="K2558" i="1"/>
  <c r="M2558" i="1" s="1"/>
  <c r="K2559" i="1"/>
  <c r="M2559" i="1" s="1"/>
  <c r="K2560" i="1"/>
  <c r="M2560" i="1" s="1"/>
  <c r="K2561" i="1"/>
  <c r="M2561" i="1" s="1"/>
  <c r="K2562" i="1"/>
  <c r="M2562" i="1" s="1"/>
  <c r="K2563" i="1"/>
  <c r="M2563" i="1" s="1"/>
  <c r="K2564" i="1"/>
  <c r="M2564" i="1" s="1"/>
  <c r="K2565" i="1"/>
  <c r="M2565" i="1" s="1"/>
  <c r="K2566" i="1"/>
  <c r="M2566" i="1" s="1"/>
  <c r="K2567" i="1"/>
  <c r="M2567" i="1" s="1"/>
  <c r="K2568" i="1"/>
  <c r="M2568" i="1" s="1"/>
  <c r="K2569" i="1"/>
  <c r="M2569" i="1" s="1"/>
  <c r="K2570" i="1"/>
  <c r="M2570" i="1" s="1"/>
  <c r="K2571" i="1"/>
  <c r="M2571" i="1" s="1"/>
  <c r="K2572" i="1"/>
  <c r="M2572" i="1" s="1"/>
  <c r="K2573" i="1"/>
  <c r="M2573" i="1" s="1"/>
  <c r="K2574" i="1"/>
  <c r="M2574" i="1" s="1"/>
  <c r="K2575" i="1"/>
  <c r="M2575" i="1" s="1"/>
  <c r="K2576" i="1"/>
  <c r="M2576" i="1" s="1"/>
  <c r="K2577" i="1"/>
  <c r="M2577" i="1" s="1"/>
  <c r="K2578" i="1"/>
  <c r="M2578" i="1" s="1"/>
  <c r="K2579" i="1"/>
  <c r="M2579" i="1" s="1"/>
  <c r="K2580" i="1"/>
  <c r="M2580" i="1" s="1"/>
  <c r="K2581" i="1"/>
  <c r="M2581" i="1" s="1"/>
  <c r="K2582" i="1"/>
  <c r="M2582" i="1" s="1"/>
  <c r="K2583" i="1"/>
  <c r="M2583" i="1" s="1"/>
  <c r="K2584" i="1"/>
  <c r="M2584" i="1" s="1"/>
  <c r="K2585" i="1"/>
  <c r="M2585" i="1" s="1"/>
  <c r="K2586" i="1"/>
  <c r="M2586" i="1" s="1"/>
  <c r="K2587" i="1"/>
  <c r="M2587" i="1" s="1"/>
  <c r="K2588" i="1"/>
  <c r="M2588" i="1" s="1"/>
  <c r="K2589" i="1"/>
  <c r="M2589" i="1" s="1"/>
  <c r="K2590" i="1"/>
  <c r="M2590" i="1" s="1"/>
  <c r="K2591" i="1"/>
  <c r="M2591" i="1" s="1"/>
  <c r="K2592" i="1"/>
  <c r="M2592" i="1" s="1"/>
  <c r="K2593" i="1"/>
  <c r="M2593" i="1" s="1"/>
  <c r="K2594" i="1"/>
  <c r="M2594" i="1" s="1"/>
  <c r="K2595" i="1"/>
  <c r="M2595" i="1" s="1"/>
  <c r="K2596" i="1"/>
  <c r="M2596" i="1" s="1"/>
  <c r="K2597" i="1"/>
  <c r="M2597" i="1" s="1"/>
  <c r="K2598" i="1"/>
  <c r="M2598" i="1" s="1"/>
  <c r="K2599" i="1"/>
  <c r="M2599" i="1" s="1"/>
  <c r="K2600" i="1"/>
  <c r="M2600" i="1" s="1"/>
  <c r="K2601" i="1"/>
  <c r="M2601" i="1" s="1"/>
  <c r="K2602" i="1"/>
  <c r="M2602" i="1" s="1"/>
  <c r="K2603" i="1"/>
  <c r="M2603" i="1" s="1"/>
  <c r="K2604" i="1"/>
  <c r="M2604" i="1" s="1"/>
  <c r="K2605" i="1"/>
  <c r="M2605" i="1" s="1"/>
  <c r="K2606" i="1"/>
  <c r="M2606" i="1" s="1"/>
  <c r="K2607" i="1"/>
  <c r="M2607" i="1" s="1"/>
  <c r="K2608" i="1"/>
  <c r="M2608" i="1" s="1"/>
  <c r="K2609" i="1"/>
  <c r="K2610" i="1"/>
  <c r="K2611" i="1"/>
  <c r="M2611" i="1" s="1"/>
  <c r="K2612" i="1"/>
  <c r="M2612" i="1" s="1"/>
  <c r="K2613" i="1"/>
  <c r="M2613" i="1" s="1"/>
  <c r="K2614" i="1"/>
  <c r="M2614" i="1" s="1"/>
  <c r="K2615" i="1"/>
  <c r="M2615" i="1" s="1"/>
  <c r="K2616" i="1"/>
  <c r="K2617" i="1"/>
  <c r="M2617" i="1" s="1"/>
  <c r="K2618" i="1"/>
  <c r="M2618" i="1" s="1"/>
  <c r="K2619" i="1"/>
  <c r="M2619" i="1" s="1"/>
  <c r="K2620" i="1"/>
  <c r="M2620" i="1" s="1"/>
  <c r="K2621" i="1"/>
  <c r="M2621" i="1" s="1"/>
  <c r="K2622" i="1"/>
  <c r="M2622" i="1" s="1"/>
  <c r="K2623" i="1"/>
  <c r="K2624" i="1"/>
  <c r="M2624" i="1" s="1"/>
  <c r="K2625" i="1"/>
  <c r="M2625" i="1" s="1"/>
  <c r="K2626" i="1"/>
  <c r="K2627" i="1"/>
  <c r="M2627" i="1" s="1"/>
  <c r="K2628" i="1"/>
  <c r="M2628" i="1" s="1"/>
  <c r="K2629" i="1"/>
  <c r="M2629" i="1" s="1"/>
  <c r="K2630" i="1"/>
  <c r="M2630" i="1" s="1"/>
  <c r="K2631" i="1"/>
  <c r="M2631" i="1" s="1"/>
  <c r="K2632" i="1"/>
  <c r="M2632" i="1" s="1"/>
  <c r="K2633" i="1"/>
  <c r="M2633" i="1" s="1"/>
  <c r="K2634" i="1"/>
  <c r="K2635" i="1"/>
  <c r="M2635" i="1" s="1"/>
  <c r="K2636" i="1"/>
  <c r="K2637" i="1"/>
  <c r="M2637" i="1" s="1"/>
  <c r="K2638" i="1"/>
  <c r="M2638" i="1" s="1"/>
  <c r="K2639" i="1"/>
  <c r="M2639" i="1" s="1"/>
  <c r="K2640" i="1"/>
  <c r="M2640" i="1" s="1"/>
  <c r="K2641" i="1"/>
  <c r="M2641" i="1" s="1"/>
  <c r="K2642" i="1"/>
  <c r="M2642" i="1" s="1"/>
  <c r="K2643" i="1"/>
  <c r="M2643" i="1" s="1"/>
  <c r="K2644" i="1"/>
  <c r="M2644" i="1" s="1"/>
  <c r="K2645" i="1"/>
  <c r="K2646" i="1"/>
  <c r="M2646" i="1" s="1"/>
  <c r="K2647" i="1"/>
  <c r="M2647" i="1" s="1"/>
  <c r="K2648" i="1"/>
  <c r="M2648" i="1" s="1"/>
  <c r="K2649" i="1"/>
  <c r="M2649" i="1" s="1"/>
  <c r="K2650" i="1"/>
  <c r="M2650" i="1" s="1"/>
  <c r="K2651" i="1"/>
  <c r="M2651" i="1" s="1"/>
  <c r="K2652" i="1"/>
  <c r="M2652" i="1" s="1"/>
  <c r="K2653" i="1"/>
  <c r="M2653" i="1" s="1"/>
  <c r="K2654" i="1"/>
  <c r="M2654" i="1" s="1"/>
  <c r="K2655" i="1"/>
  <c r="M2655" i="1" s="1"/>
  <c r="K2656" i="1"/>
  <c r="M2656" i="1" s="1"/>
  <c r="K2657" i="1"/>
  <c r="M2657" i="1" s="1"/>
  <c r="K2658" i="1"/>
  <c r="M2658" i="1" s="1"/>
  <c r="K2659" i="1"/>
  <c r="M2659" i="1" s="1"/>
  <c r="K2660" i="1"/>
  <c r="M2660" i="1" s="1"/>
  <c r="K2661" i="1"/>
  <c r="M2661" i="1" s="1"/>
  <c r="K2662" i="1"/>
  <c r="M2662" i="1" s="1"/>
  <c r="K2663" i="1"/>
  <c r="M2663" i="1" s="1"/>
  <c r="K2664" i="1"/>
  <c r="M2664" i="1" s="1"/>
  <c r="K2665" i="1"/>
  <c r="M2665" i="1" s="1"/>
  <c r="K2666" i="1"/>
  <c r="M2666" i="1" s="1"/>
  <c r="K2667" i="1"/>
  <c r="M2667" i="1" s="1"/>
  <c r="K2668" i="1"/>
  <c r="M2668" i="1" s="1"/>
  <c r="K2669" i="1"/>
  <c r="M2669" i="1" s="1"/>
  <c r="K2670" i="1"/>
  <c r="M2670" i="1" s="1"/>
  <c r="K2671" i="1"/>
  <c r="M2671" i="1" s="1"/>
  <c r="K2672" i="1"/>
  <c r="M2672" i="1" s="1"/>
  <c r="K2673" i="1"/>
  <c r="M2673" i="1" s="1"/>
  <c r="K2674" i="1"/>
  <c r="K2675" i="1"/>
  <c r="M2675" i="1" s="1"/>
  <c r="K2676" i="1"/>
  <c r="M2676" i="1" s="1"/>
  <c r="K2677" i="1"/>
  <c r="M2677" i="1" s="1"/>
  <c r="K2678" i="1"/>
  <c r="M2678" i="1" s="1"/>
  <c r="K2679" i="1"/>
  <c r="M2679" i="1" s="1"/>
  <c r="K2680" i="1"/>
  <c r="M2680" i="1" s="1"/>
  <c r="K2681" i="1"/>
  <c r="M2681" i="1" s="1"/>
  <c r="K2682" i="1"/>
  <c r="M2682" i="1" s="1"/>
  <c r="K2683" i="1"/>
  <c r="M2683" i="1" s="1"/>
  <c r="K2684" i="1"/>
  <c r="M2684" i="1" s="1"/>
  <c r="K2685" i="1"/>
  <c r="M2685" i="1" s="1"/>
  <c r="K2686" i="1"/>
  <c r="M2686" i="1" s="1"/>
  <c r="K2687" i="1"/>
  <c r="M2687" i="1" s="1"/>
  <c r="K2688" i="1"/>
  <c r="M2688" i="1" s="1"/>
  <c r="K2689" i="1"/>
  <c r="K2690" i="1"/>
  <c r="M2690" i="1" s="1"/>
  <c r="K2691" i="1"/>
  <c r="M2691" i="1" s="1"/>
  <c r="K2692" i="1"/>
  <c r="M2692" i="1" s="1"/>
  <c r="K2693" i="1"/>
  <c r="K2694" i="1"/>
  <c r="M2694" i="1" s="1"/>
  <c r="K2695" i="1"/>
  <c r="M2695" i="1" s="1"/>
  <c r="K2696" i="1"/>
  <c r="M2696" i="1" s="1"/>
  <c r="K2697" i="1"/>
  <c r="M2697" i="1" s="1"/>
  <c r="K2698" i="1"/>
  <c r="M2698" i="1" s="1"/>
  <c r="K2699" i="1"/>
  <c r="M2699" i="1" s="1"/>
  <c r="K2700" i="1"/>
  <c r="M2700" i="1" s="1"/>
  <c r="K2701" i="1"/>
  <c r="M2701" i="1" s="1"/>
  <c r="K2702" i="1"/>
  <c r="M2702" i="1" s="1"/>
  <c r="K2703" i="1"/>
  <c r="M2703" i="1" s="1"/>
  <c r="K2704" i="1"/>
  <c r="M2704" i="1" s="1"/>
  <c r="K2705" i="1"/>
  <c r="M2705" i="1" s="1"/>
  <c r="K2706" i="1"/>
  <c r="M2706" i="1" s="1"/>
  <c r="K2707" i="1"/>
  <c r="M2707" i="1" s="1"/>
  <c r="K2708" i="1"/>
  <c r="M2708" i="1" s="1"/>
  <c r="K2709" i="1"/>
  <c r="M2709" i="1" s="1"/>
  <c r="K2710" i="1"/>
  <c r="M2710" i="1" s="1"/>
  <c r="K2711" i="1"/>
  <c r="M2711" i="1" s="1"/>
  <c r="K2712" i="1"/>
  <c r="K2713" i="1"/>
  <c r="M2713" i="1" s="1"/>
  <c r="K2714" i="1"/>
  <c r="M2714" i="1" s="1"/>
  <c r="K2715" i="1"/>
  <c r="M2715" i="1" s="1"/>
  <c r="K2716" i="1"/>
  <c r="M2716" i="1" s="1"/>
  <c r="K2717" i="1"/>
  <c r="M2717" i="1" s="1"/>
  <c r="K2718" i="1"/>
  <c r="M2718" i="1" s="1"/>
  <c r="K2719" i="1"/>
  <c r="M2719" i="1" s="1"/>
  <c r="K2720" i="1"/>
  <c r="M2720" i="1" s="1"/>
  <c r="K2721" i="1"/>
  <c r="M2721" i="1" s="1"/>
  <c r="K2722" i="1"/>
  <c r="M2722" i="1" s="1"/>
  <c r="K2723" i="1"/>
  <c r="M2723" i="1" s="1"/>
  <c r="K2724" i="1"/>
  <c r="M2724" i="1" s="1"/>
  <c r="K2725" i="1"/>
  <c r="M2725" i="1" s="1"/>
  <c r="K2726" i="1"/>
  <c r="M2726" i="1" s="1"/>
  <c r="K2727" i="1"/>
  <c r="M2727" i="1" s="1"/>
  <c r="K2728" i="1"/>
  <c r="M2728" i="1" s="1"/>
  <c r="K2729" i="1"/>
  <c r="M2729" i="1" s="1"/>
  <c r="K2730" i="1"/>
  <c r="M2730" i="1" s="1"/>
  <c r="K2731" i="1"/>
  <c r="M2731" i="1" s="1"/>
  <c r="K2732" i="1"/>
  <c r="M2732" i="1" s="1"/>
  <c r="K2733" i="1"/>
  <c r="M2733" i="1" s="1"/>
  <c r="K2734" i="1"/>
  <c r="M2734" i="1" s="1"/>
  <c r="K2735" i="1"/>
  <c r="M2735" i="1" s="1"/>
  <c r="K2736" i="1"/>
  <c r="K2737" i="1"/>
  <c r="M2737" i="1" s="1"/>
  <c r="K2738" i="1"/>
  <c r="M2738" i="1" s="1"/>
  <c r="K2739" i="1"/>
  <c r="M2739" i="1" s="1"/>
  <c r="K2740" i="1"/>
  <c r="K2741" i="1"/>
  <c r="M2741" i="1" s="1"/>
  <c r="K2742" i="1"/>
  <c r="M2742" i="1" s="1"/>
  <c r="K2743" i="1"/>
  <c r="M2743" i="1" s="1"/>
  <c r="K2744" i="1"/>
  <c r="M2744" i="1" s="1"/>
  <c r="K2745" i="1"/>
  <c r="M2745" i="1" s="1"/>
  <c r="K2746" i="1"/>
  <c r="M2746" i="1" s="1"/>
  <c r="K2747" i="1"/>
  <c r="M2747" i="1" s="1"/>
  <c r="K2748" i="1"/>
  <c r="M2748" i="1" s="1"/>
  <c r="K2749" i="1"/>
  <c r="M2749" i="1" s="1"/>
  <c r="K2750" i="1"/>
  <c r="M2750" i="1" s="1"/>
  <c r="K2751" i="1"/>
  <c r="M2751" i="1" s="1"/>
  <c r="K2752" i="1"/>
  <c r="M2752" i="1" s="1"/>
  <c r="K2753" i="1"/>
  <c r="M2753" i="1" s="1"/>
  <c r="K2754" i="1"/>
  <c r="M2754" i="1" s="1"/>
  <c r="K2755" i="1"/>
  <c r="M2755" i="1" s="1"/>
  <c r="K2756" i="1"/>
  <c r="M2756" i="1" s="1"/>
  <c r="K2757" i="1"/>
  <c r="M2757" i="1" s="1"/>
  <c r="K2758" i="1"/>
  <c r="M2758" i="1" s="1"/>
  <c r="K2759" i="1"/>
  <c r="M2759" i="1" s="1"/>
  <c r="K2760" i="1"/>
  <c r="M2760" i="1" s="1"/>
  <c r="K2761" i="1"/>
  <c r="M2761" i="1" s="1"/>
  <c r="K2762" i="1"/>
  <c r="M2762" i="1" s="1"/>
  <c r="K2763" i="1"/>
  <c r="M2763" i="1" s="1"/>
  <c r="K2764" i="1"/>
  <c r="M2764" i="1" s="1"/>
  <c r="K2765" i="1"/>
  <c r="M2765" i="1" s="1"/>
  <c r="K2766" i="1"/>
  <c r="M2766" i="1" s="1"/>
  <c r="K2767" i="1"/>
  <c r="M2767" i="1" s="1"/>
  <c r="K2768" i="1"/>
  <c r="M2768" i="1" s="1"/>
  <c r="K2769" i="1"/>
  <c r="M2769" i="1" s="1"/>
  <c r="K2770" i="1"/>
  <c r="M2770" i="1" s="1"/>
  <c r="K2771" i="1"/>
  <c r="M2771" i="1" s="1"/>
  <c r="K2772" i="1"/>
  <c r="K2773" i="1"/>
  <c r="M2773" i="1" s="1"/>
  <c r="K2774" i="1"/>
  <c r="M2774" i="1" s="1"/>
  <c r="K2775" i="1"/>
  <c r="M2775" i="1" s="1"/>
  <c r="K2776" i="1"/>
  <c r="M2776" i="1" s="1"/>
  <c r="K2777" i="1"/>
  <c r="M2777" i="1" s="1"/>
  <c r="K2778" i="1"/>
  <c r="M2778" i="1" s="1"/>
  <c r="K2779" i="1"/>
  <c r="M2779" i="1" s="1"/>
  <c r="K2780" i="1"/>
  <c r="M2780" i="1" s="1"/>
  <c r="K2781" i="1"/>
  <c r="M2781" i="1" s="1"/>
  <c r="K2782" i="1"/>
  <c r="M2782" i="1" s="1"/>
  <c r="K2783" i="1"/>
  <c r="M2783" i="1" s="1"/>
  <c r="K2784" i="1"/>
  <c r="M2784" i="1" s="1"/>
  <c r="K2785" i="1"/>
  <c r="M2785" i="1" s="1"/>
  <c r="K2786" i="1"/>
  <c r="M2786" i="1" s="1"/>
  <c r="K2787" i="1"/>
  <c r="M2787" i="1" s="1"/>
  <c r="K2788" i="1"/>
  <c r="K2789" i="1"/>
  <c r="M2789" i="1" s="1"/>
  <c r="K2790" i="1"/>
  <c r="M2790" i="1" s="1"/>
  <c r="K2791" i="1"/>
  <c r="M2791" i="1" s="1"/>
  <c r="K2792" i="1"/>
  <c r="M2792" i="1" s="1"/>
  <c r="K2793" i="1"/>
  <c r="M2793" i="1" s="1"/>
  <c r="K2794" i="1"/>
  <c r="M2794" i="1" s="1"/>
  <c r="K2795" i="1"/>
  <c r="M2795" i="1" s="1"/>
  <c r="K2796" i="1"/>
  <c r="M2796" i="1" s="1"/>
  <c r="K2797" i="1"/>
  <c r="M2797" i="1" s="1"/>
  <c r="K2798" i="1"/>
  <c r="M2798" i="1" s="1"/>
  <c r="K2799" i="1"/>
  <c r="M2799" i="1" s="1"/>
  <c r="K2800" i="1"/>
  <c r="K2801" i="1"/>
  <c r="M2801" i="1" s="1"/>
  <c r="K2802" i="1"/>
  <c r="M2802" i="1" s="1"/>
  <c r="K2803" i="1"/>
  <c r="M2803" i="1" s="1"/>
  <c r="K2804" i="1"/>
  <c r="M2804" i="1" s="1"/>
  <c r="K2805" i="1"/>
  <c r="M2805" i="1" s="1"/>
  <c r="K2806" i="1"/>
  <c r="K2807" i="1"/>
  <c r="M2807" i="1" s="1"/>
  <c r="K2808" i="1"/>
  <c r="K2809" i="1"/>
  <c r="M2809" i="1" s="1"/>
  <c r="K2810" i="1"/>
  <c r="M2810" i="1" s="1"/>
  <c r="K2811" i="1"/>
  <c r="M2811" i="1" s="1"/>
  <c r="K2812" i="1"/>
  <c r="M2812" i="1" s="1"/>
  <c r="K2813" i="1"/>
  <c r="M2813" i="1" s="1"/>
  <c r="K2814" i="1"/>
  <c r="M2814" i="1" s="1"/>
  <c r="K2815" i="1"/>
  <c r="M2815" i="1" s="1"/>
  <c r="K2816" i="1"/>
  <c r="M2816" i="1" s="1"/>
  <c r="K2817" i="1"/>
  <c r="M2817" i="1" s="1"/>
  <c r="K2818" i="1"/>
  <c r="M2818" i="1" s="1"/>
  <c r="K2819" i="1"/>
  <c r="M2819" i="1" s="1"/>
  <c r="K2820" i="1"/>
  <c r="M2820" i="1" s="1"/>
  <c r="K2821" i="1"/>
  <c r="M2821" i="1" s="1"/>
  <c r="K2822" i="1"/>
  <c r="M2822" i="1" s="1"/>
  <c r="K2823" i="1"/>
  <c r="M2823" i="1" s="1"/>
  <c r="K2824" i="1"/>
  <c r="M2824" i="1" s="1"/>
  <c r="K2825" i="1"/>
  <c r="M2825" i="1" s="1"/>
  <c r="K2826" i="1"/>
  <c r="M2826" i="1" s="1"/>
  <c r="K2827" i="1"/>
  <c r="K2828" i="1"/>
  <c r="M2828" i="1" s="1"/>
  <c r="K2829" i="1"/>
  <c r="M2829" i="1" s="1"/>
  <c r="K2830" i="1"/>
  <c r="M2830" i="1" s="1"/>
  <c r="K2831" i="1"/>
  <c r="M2831" i="1" s="1"/>
  <c r="K2832" i="1"/>
  <c r="M2832" i="1" s="1"/>
  <c r="K2833" i="1"/>
  <c r="K2834" i="1"/>
  <c r="M2834" i="1" s="1"/>
  <c r="K2835" i="1"/>
  <c r="M2835" i="1" s="1"/>
  <c r="K2836" i="1"/>
  <c r="M2836" i="1" s="1"/>
  <c r="K2837" i="1"/>
  <c r="M2837" i="1" s="1"/>
  <c r="K2838" i="1"/>
  <c r="M2838" i="1" s="1"/>
  <c r="K2839" i="1"/>
  <c r="M2839" i="1" s="1"/>
  <c r="K2840" i="1"/>
  <c r="M2840" i="1" s="1"/>
  <c r="K2841" i="1"/>
  <c r="M2841" i="1" s="1"/>
  <c r="K2842" i="1"/>
  <c r="K2843" i="1"/>
  <c r="M2843" i="1" s="1"/>
  <c r="K2844" i="1"/>
  <c r="K2845" i="1"/>
  <c r="M2845" i="1" s="1"/>
  <c r="K2846" i="1"/>
  <c r="M2846" i="1" s="1"/>
  <c r="K2847" i="1"/>
  <c r="M2847" i="1" s="1"/>
  <c r="K2848" i="1"/>
  <c r="M2848" i="1" s="1"/>
  <c r="K2849" i="1"/>
  <c r="K2850" i="1"/>
  <c r="K2851" i="1"/>
  <c r="K2852" i="1"/>
  <c r="M2852" i="1" s="1"/>
  <c r="K2853" i="1"/>
  <c r="M2853" i="1" s="1"/>
  <c r="K2854" i="1"/>
  <c r="M2854" i="1" s="1"/>
  <c r="K2855" i="1"/>
  <c r="M2855" i="1" s="1"/>
  <c r="K2856" i="1"/>
  <c r="M2856" i="1" s="1"/>
  <c r="K2857" i="1"/>
  <c r="M2857" i="1" s="1"/>
  <c r="K2858" i="1"/>
  <c r="M2858" i="1" s="1"/>
  <c r="K2859" i="1"/>
  <c r="M2859" i="1" s="1"/>
  <c r="K2860" i="1"/>
  <c r="M2860" i="1" s="1"/>
  <c r="K2861" i="1"/>
  <c r="M2861" i="1" s="1"/>
  <c r="K2862" i="1"/>
  <c r="K2863" i="1"/>
  <c r="M2863" i="1" s="1"/>
  <c r="K2864" i="1"/>
  <c r="M2864" i="1" s="1"/>
  <c r="K2865" i="1"/>
  <c r="M2865" i="1" s="1"/>
  <c r="K2866" i="1"/>
  <c r="M2866" i="1" s="1"/>
  <c r="K2867" i="1"/>
  <c r="M2867" i="1" s="1"/>
  <c r="K2868" i="1"/>
  <c r="K2869" i="1"/>
  <c r="M2869" i="1" s="1"/>
  <c r="K2870" i="1"/>
  <c r="M2870" i="1" s="1"/>
  <c r="K2871" i="1"/>
  <c r="M2871" i="1" s="1"/>
  <c r="K2872" i="1"/>
  <c r="M2872" i="1" s="1"/>
  <c r="K2873" i="1"/>
  <c r="M2873" i="1" s="1"/>
  <c r="K2874" i="1"/>
  <c r="M2874" i="1" s="1"/>
  <c r="K2875" i="1"/>
  <c r="M2875" i="1" s="1"/>
  <c r="K2876" i="1"/>
  <c r="M2876" i="1" s="1"/>
  <c r="K2877" i="1"/>
  <c r="M2877" i="1" s="1"/>
  <c r="K2878" i="1"/>
  <c r="M2878" i="1" s="1"/>
  <c r="K2879" i="1"/>
  <c r="M2879" i="1" s="1"/>
  <c r="K2880" i="1"/>
  <c r="M2880" i="1" s="1"/>
  <c r="K2881" i="1"/>
  <c r="M2881" i="1" s="1"/>
  <c r="K2882" i="1"/>
  <c r="M2882" i="1" s="1"/>
  <c r="K2883" i="1"/>
  <c r="M2883" i="1" s="1"/>
  <c r="K2884" i="1"/>
  <c r="M2884" i="1" s="1"/>
  <c r="K2885" i="1"/>
  <c r="M2885" i="1" s="1"/>
  <c r="K2886" i="1"/>
  <c r="M2886" i="1" s="1"/>
  <c r="K2887" i="1"/>
  <c r="M2887" i="1" s="1"/>
  <c r="K2888" i="1"/>
  <c r="M2888" i="1" s="1"/>
  <c r="K2889" i="1"/>
  <c r="M2889" i="1" s="1"/>
  <c r="K2890" i="1"/>
  <c r="M2890" i="1" s="1"/>
  <c r="K2891" i="1"/>
  <c r="M2891" i="1" s="1"/>
  <c r="K2892" i="1"/>
  <c r="K2893" i="1"/>
  <c r="M2893" i="1" s="1"/>
  <c r="K2894" i="1"/>
  <c r="M2894" i="1" s="1"/>
  <c r="K2895" i="1"/>
  <c r="K2896" i="1"/>
  <c r="M2896" i="1" s="1"/>
  <c r="K2897" i="1"/>
  <c r="M2897" i="1" s="1"/>
  <c r="K2898" i="1"/>
  <c r="M2898" i="1" s="1"/>
  <c r="K2899" i="1"/>
  <c r="M2899" i="1" s="1"/>
  <c r="K2900" i="1"/>
  <c r="M2900" i="1" s="1"/>
  <c r="K2901" i="1"/>
  <c r="M2901" i="1" s="1"/>
  <c r="K2902" i="1"/>
  <c r="M2902" i="1" s="1"/>
  <c r="K2903" i="1"/>
  <c r="K2904" i="1"/>
  <c r="K2905" i="1"/>
  <c r="M2905" i="1" s="1"/>
  <c r="K2906" i="1"/>
  <c r="K2907" i="1"/>
  <c r="M2907" i="1" s="1"/>
  <c r="K2908" i="1"/>
  <c r="M2908" i="1" s="1"/>
  <c r="K2909" i="1"/>
  <c r="M2909" i="1" s="1"/>
  <c r="K2910" i="1"/>
  <c r="M2910" i="1" s="1"/>
  <c r="K2911" i="1"/>
  <c r="M2911" i="1" s="1"/>
  <c r="K2912" i="1"/>
  <c r="M2912" i="1" s="1"/>
  <c r="K2913" i="1"/>
  <c r="M2913" i="1" s="1"/>
  <c r="K2914" i="1"/>
  <c r="M2914" i="1" s="1"/>
  <c r="K2915" i="1"/>
  <c r="K2916" i="1"/>
  <c r="M2916" i="1" s="1"/>
  <c r="K2917" i="1"/>
  <c r="M2917" i="1" s="1"/>
  <c r="K2918" i="1"/>
  <c r="M2918" i="1" s="1"/>
  <c r="K2919" i="1"/>
  <c r="K2920" i="1"/>
  <c r="M2920" i="1" s="1"/>
  <c r="K2921" i="1"/>
  <c r="M2921" i="1" s="1"/>
  <c r="K2922" i="1"/>
  <c r="M2922" i="1" s="1"/>
  <c r="K2923" i="1"/>
  <c r="M2923" i="1" s="1"/>
  <c r="K2924" i="1"/>
  <c r="M2924" i="1" s="1"/>
  <c r="K2925" i="1"/>
  <c r="K2926" i="1"/>
  <c r="M2926" i="1" s="1"/>
  <c r="K2927" i="1"/>
  <c r="M2927" i="1" s="1"/>
  <c r="K2928" i="1"/>
  <c r="M2928" i="1" s="1"/>
  <c r="K2929" i="1"/>
  <c r="K2930" i="1"/>
  <c r="M2930" i="1" s="1"/>
  <c r="K2931" i="1"/>
  <c r="M2931" i="1" s="1"/>
  <c r="K2932" i="1"/>
  <c r="M2932" i="1" s="1"/>
  <c r="K2933" i="1"/>
  <c r="M2933" i="1" s="1"/>
  <c r="K2934" i="1"/>
  <c r="M2934" i="1" s="1"/>
  <c r="K2935" i="1"/>
  <c r="M2935" i="1" s="1"/>
  <c r="K2936" i="1"/>
  <c r="M2936" i="1" s="1"/>
  <c r="K2937" i="1"/>
  <c r="M2937" i="1" s="1"/>
  <c r="K2938" i="1"/>
  <c r="M2938" i="1" s="1"/>
  <c r="K2939" i="1"/>
  <c r="M2939" i="1" s="1"/>
  <c r="K2940" i="1"/>
  <c r="M2940" i="1" s="1"/>
  <c r="K2941" i="1"/>
  <c r="M2941" i="1" s="1"/>
  <c r="K2942" i="1"/>
  <c r="K2943" i="1"/>
  <c r="M2943" i="1" s="1"/>
  <c r="K2944" i="1"/>
  <c r="M2944" i="1" s="1"/>
  <c r="K2945" i="1"/>
  <c r="K2946" i="1"/>
  <c r="M2946" i="1" s="1"/>
  <c r="K2947" i="1"/>
  <c r="M2947" i="1" s="1"/>
  <c r="K2948" i="1"/>
  <c r="M2948" i="1" s="1"/>
  <c r="K2949" i="1"/>
  <c r="K2950" i="1"/>
  <c r="M2950" i="1" s="1"/>
  <c r="K2951" i="1"/>
  <c r="K2952" i="1"/>
  <c r="K2953" i="1"/>
  <c r="M2953" i="1" s="1"/>
  <c r="K2954" i="1"/>
  <c r="K2955" i="1"/>
  <c r="M2955" i="1" s="1"/>
  <c r="K2956" i="1"/>
  <c r="K2957" i="1"/>
  <c r="K2958" i="1"/>
  <c r="M2958" i="1" s="1"/>
  <c r="K2959" i="1"/>
  <c r="M2959" i="1" s="1"/>
  <c r="K2960" i="1"/>
  <c r="M2960" i="1" s="1"/>
  <c r="K2961" i="1"/>
  <c r="M2961" i="1" s="1"/>
  <c r="K2962" i="1"/>
  <c r="M2962" i="1" s="1"/>
  <c r="K2963" i="1"/>
  <c r="M2963" i="1" s="1"/>
  <c r="K2964" i="1"/>
  <c r="M2964" i="1" s="1"/>
  <c r="K2965" i="1"/>
  <c r="M2965" i="1" s="1"/>
  <c r="K2966" i="1"/>
  <c r="K2967" i="1"/>
  <c r="M2967" i="1" s="1"/>
  <c r="K2968" i="1"/>
  <c r="M2968" i="1" s="1"/>
  <c r="K2969" i="1"/>
  <c r="K2970" i="1"/>
  <c r="M2970" i="1" s="1"/>
  <c r="K2971" i="1"/>
  <c r="M2971" i="1" s="1"/>
  <c r="K2972" i="1"/>
  <c r="M2972" i="1" s="1"/>
  <c r="K2973" i="1"/>
  <c r="M2973" i="1" s="1"/>
  <c r="K2974" i="1"/>
  <c r="M2974" i="1" s="1"/>
  <c r="K2975" i="1"/>
  <c r="M2975" i="1" s="1"/>
  <c r="K2976" i="1"/>
  <c r="M2976" i="1" s="1"/>
  <c r="K2977" i="1"/>
  <c r="M2977" i="1" s="1"/>
  <c r="K2978" i="1"/>
  <c r="M2978" i="1" s="1"/>
  <c r="K2979" i="1"/>
  <c r="K2980" i="1"/>
  <c r="M2980" i="1" s="1"/>
  <c r="K2981" i="1"/>
  <c r="M2981" i="1" s="1"/>
  <c r="K2982" i="1"/>
  <c r="M2982" i="1" s="1"/>
  <c r="K2983" i="1"/>
  <c r="M2983" i="1" s="1"/>
  <c r="K2984" i="1"/>
  <c r="M2984" i="1" s="1"/>
  <c r="K2985" i="1"/>
  <c r="M2985" i="1" s="1"/>
  <c r="K2986" i="1"/>
  <c r="M2986" i="1" s="1"/>
  <c r="K2987" i="1"/>
  <c r="M2987" i="1" s="1"/>
  <c r="K2988" i="1"/>
  <c r="M2988" i="1" s="1"/>
  <c r="K2989" i="1"/>
  <c r="M2989" i="1" s="1"/>
  <c r="K2990" i="1"/>
  <c r="M2990" i="1" s="1"/>
  <c r="K2991" i="1"/>
  <c r="M2991" i="1" s="1"/>
  <c r="K2992" i="1"/>
  <c r="M2992" i="1" s="1"/>
  <c r="K2993" i="1"/>
  <c r="M2993" i="1" s="1"/>
  <c r="K2994" i="1"/>
  <c r="M2994" i="1" s="1"/>
  <c r="K2995" i="1"/>
  <c r="M2995" i="1" s="1"/>
  <c r="K2996" i="1"/>
  <c r="M2996" i="1" s="1"/>
  <c r="K2997" i="1"/>
  <c r="M2997" i="1" s="1"/>
  <c r="K2998" i="1"/>
  <c r="M2998" i="1" s="1"/>
  <c r="K2999" i="1"/>
  <c r="M2999" i="1" s="1"/>
  <c r="K3000" i="1"/>
  <c r="M3000" i="1" s="1"/>
  <c r="K3001" i="1"/>
  <c r="M3001" i="1" s="1"/>
  <c r="K3002" i="1"/>
  <c r="M3002" i="1" s="1"/>
  <c r="K3003" i="1"/>
  <c r="M3003" i="1" s="1"/>
  <c r="K3004" i="1"/>
  <c r="M3004" i="1" s="1"/>
  <c r="K3005" i="1"/>
  <c r="M3005" i="1" s="1"/>
  <c r="K3006" i="1"/>
  <c r="M3006" i="1" s="1"/>
  <c r="K3007" i="1"/>
  <c r="M3007" i="1" s="1"/>
  <c r="K3008" i="1"/>
  <c r="K3009" i="1"/>
  <c r="M3009" i="1" s="1"/>
  <c r="K3010" i="1"/>
  <c r="K3011" i="1"/>
  <c r="M3011" i="1" s="1"/>
  <c r="K3012" i="1"/>
  <c r="M3012" i="1" s="1"/>
  <c r="K3013" i="1"/>
  <c r="M3013" i="1" s="1"/>
  <c r="K3014" i="1"/>
  <c r="M3014" i="1" s="1"/>
  <c r="K3015" i="1"/>
  <c r="M3015" i="1" s="1"/>
  <c r="K3016" i="1"/>
  <c r="M3016" i="1" s="1"/>
  <c r="K3017" i="1"/>
  <c r="M3017" i="1" s="1"/>
  <c r="K3018" i="1"/>
  <c r="M3018" i="1" s="1"/>
  <c r="K3019" i="1"/>
  <c r="M3019" i="1" s="1"/>
  <c r="K3020" i="1"/>
  <c r="M3020" i="1" s="1"/>
  <c r="K3021" i="1"/>
  <c r="M3021" i="1" s="1"/>
  <c r="K3022" i="1"/>
  <c r="M3022" i="1" s="1"/>
  <c r="K3023" i="1"/>
  <c r="M3023" i="1" s="1"/>
  <c r="K3024" i="1"/>
  <c r="M3024" i="1" s="1"/>
  <c r="K3025" i="1"/>
  <c r="M3025" i="1" s="1"/>
  <c r="K3026" i="1"/>
  <c r="M3026" i="1" s="1"/>
  <c r="K3027" i="1"/>
  <c r="M3027" i="1" s="1"/>
  <c r="K3028" i="1"/>
  <c r="M3028" i="1" s="1"/>
  <c r="K3029" i="1"/>
  <c r="M3029" i="1" s="1"/>
  <c r="K3030" i="1"/>
  <c r="M3030" i="1" s="1"/>
  <c r="K3031" i="1"/>
  <c r="M3031" i="1" s="1"/>
  <c r="K3032" i="1"/>
  <c r="M3032" i="1" s="1"/>
  <c r="K3033" i="1"/>
  <c r="K3034" i="1"/>
  <c r="K3035" i="1"/>
  <c r="M3035" i="1" s="1"/>
  <c r="K3036" i="1"/>
  <c r="M3036" i="1" s="1"/>
  <c r="K3037" i="1"/>
  <c r="K3038" i="1"/>
  <c r="M3038" i="1" s="1"/>
  <c r="K3039" i="1"/>
  <c r="M3039" i="1" s="1"/>
  <c r="K3040" i="1"/>
  <c r="M3040" i="1" s="1"/>
  <c r="K3041" i="1"/>
  <c r="K3042" i="1"/>
  <c r="M3042" i="1" s="1"/>
  <c r="K3043" i="1"/>
  <c r="M3043" i="1" s="1"/>
  <c r="K3044" i="1"/>
  <c r="M3044" i="1" s="1"/>
  <c r="K3045" i="1"/>
  <c r="K3046" i="1"/>
  <c r="M3046" i="1" s="1"/>
  <c r="K3047" i="1"/>
  <c r="M3047" i="1" s="1"/>
  <c r="K3048" i="1"/>
  <c r="M3048" i="1" s="1"/>
  <c r="K3049" i="1"/>
  <c r="M3049" i="1" s="1"/>
  <c r="K3050" i="1"/>
  <c r="M3050" i="1" s="1"/>
  <c r="K3051" i="1"/>
  <c r="M3051" i="1" s="1"/>
  <c r="K3052" i="1"/>
  <c r="M3052" i="1" s="1"/>
  <c r="K3053" i="1"/>
  <c r="M3053" i="1" s="1"/>
  <c r="K3054" i="1"/>
  <c r="M3054" i="1" s="1"/>
  <c r="K3055" i="1"/>
  <c r="M3055" i="1" s="1"/>
  <c r="K3056" i="1"/>
  <c r="M3056" i="1" s="1"/>
  <c r="K3057" i="1"/>
  <c r="M3057" i="1" s="1"/>
  <c r="K3058" i="1"/>
  <c r="K3059" i="1"/>
  <c r="M3059" i="1" s="1"/>
  <c r="K3060" i="1"/>
  <c r="M3060" i="1" s="1"/>
  <c r="K3061" i="1"/>
  <c r="M3061" i="1" s="1"/>
  <c r="K3062" i="1"/>
  <c r="M3062" i="1" s="1"/>
  <c r="K3063" i="1"/>
  <c r="M3063" i="1" s="1"/>
  <c r="K3064" i="1"/>
  <c r="M3064" i="1" s="1"/>
  <c r="K3065" i="1"/>
  <c r="M3065" i="1" s="1"/>
  <c r="K3066" i="1"/>
  <c r="M3066" i="1" s="1"/>
  <c r="K3067" i="1"/>
  <c r="M3067" i="1" s="1"/>
  <c r="K3068" i="1"/>
  <c r="M3068" i="1" s="1"/>
  <c r="K3069" i="1"/>
  <c r="M3069" i="1" s="1"/>
  <c r="K3070" i="1"/>
  <c r="K3071" i="1"/>
  <c r="M3071" i="1" s="1"/>
  <c r="K3072" i="1"/>
  <c r="M3072" i="1" s="1"/>
  <c r="K3073" i="1"/>
  <c r="M3073" i="1" s="1"/>
  <c r="K3074" i="1"/>
  <c r="M3074" i="1" s="1"/>
  <c r="K3075" i="1"/>
  <c r="M3075" i="1" s="1"/>
  <c r="K3076" i="1"/>
  <c r="M3076" i="1" s="1"/>
  <c r="K3077" i="1"/>
  <c r="K3078" i="1"/>
  <c r="M3078" i="1" s="1"/>
  <c r="K3079" i="1"/>
  <c r="K3080" i="1"/>
  <c r="M3080" i="1" s="1"/>
  <c r="K3081" i="1"/>
  <c r="M3081" i="1" s="1"/>
  <c r="K3082" i="1"/>
  <c r="M3082" i="1" s="1"/>
  <c r="K3083" i="1"/>
  <c r="M3083" i="1" s="1"/>
  <c r="K3084" i="1"/>
  <c r="M3084" i="1" s="1"/>
  <c r="K3085" i="1"/>
  <c r="M3085" i="1" s="1"/>
  <c r="K3086" i="1"/>
  <c r="M3086" i="1" s="1"/>
  <c r="K3087" i="1"/>
  <c r="M3087" i="1" s="1"/>
  <c r="K3088" i="1"/>
  <c r="M3088" i="1" s="1"/>
  <c r="K3089" i="1"/>
  <c r="M3089" i="1" s="1"/>
  <c r="K3090" i="1"/>
  <c r="M3090" i="1" s="1"/>
  <c r="K3091" i="1"/>
  <c r="M3091" i="1" s="1"/>
  <c r="K3092" i="1"/>
  <c r="M3092" i="1" s="1"/>
  <c r="K3093" i="1"/>
  <c r="M3093" i="1" s="1"/>
  <c r="K3094" i="1"/>
  <c r="M3094" i="1" s="1"/>
  <c r="K3095" i="1"/>
  <c r="M3095" i="1" s="1"/>
  <c r="K3096" i="1"/>
  <c r="M3096" i="1" s="1"/>
  <c r="K3097" i="1"/>
  <c r="M3097" i="1" s="1"/>
  <c r="K3098" i="1"/>
  <c r="M3098" i="1" s="1"/>
  <c r="K3099" i="1"/>
  <c r="M3099" i="1" s="1"/>
  <c r="K3100" i="1"/>
  <c r="M3100" i="1" s="1"/>
  <c r="K3101" i="1"/>
  <c r="M3101" i="1" s="1"/>
  <c r="K3102" i="1"/>
  <c r="M3102" i="1" s="1"/>
  <c r="K3103" i="1"/>
  <c r="K3104" i="1"/>
  <c r="M3104" i="1" s="1"/>
  <c r="K3105" i="1"/>
  <c r="M3105" i="1" s="1"/>
  <c r="K3106" i="1"/>
  <c r="M3106" i="1" s="1"/>
  <c r="K3107" i="1"/>
  <c r="M3107" i="1" s="1"/>
  <c r="K3108" i="1"/>
  <c r="M3108" i="1" s="1"/>
  <c r="K3109" i="1"/>
  <c r="M3109" i="1" s="1"/>
  <c r="K3110" i="1"/>
  <c r="K3111" i="1"/>
  <c r="M3111" i="1" s="1"/>
  <c r="K3112" i="1"/>
  <c r="M3112" i="1" s="1"/>
  <c r="K3113" i="1"/>
  <c r="M3113" i="1" s="1"/>
  <c r="K3114" i="1"/>
  <c r="M3114" i="1" s="1"/>
  <c r="K3115" i="1"/>
  <c r="M3115" i="1" s="1"/>
  <c r="K3116" i="1"/>
  <c r="M3116" i="1" s="1"/>
  <c r="K3117" i="1"/>
  <c r="K3118" i="1"/>
  <c r="M3118" i="1" s="1"/>
  <c r="K3119" i="1"/>
  <c r="M3119" i="1" s="1"/>
  <c r="K3120" i="1"/>
  <c r="M3120" i="1" s="1"/>
  <c r="K3121" i="1"/>
  <c r="M3121" i="1" s="1"/>
  <c r="K3122" i="1"/>
  <c r="M3122" i="1" s="1"/>
  <c r="K3123" i="1"/>
  <c r="M3123" i="1" s="1"/>
  <c r="K3124" i="1"/>
  <c r="M3124" i="1" s="1"/>
  <c r="K3125" i="1"/>
  <c r="M3125" i="1" s="1"/>
  <c r="K3126" i="1"/>
  <c r="M3126" i="1" s="1"/>
  <c r="K3127" i="1"/>
  <c r="M3127" i="1" s="1"/>
  <c r="K3128" i="1"/>
  <c r="M3128" i="1" s="1"/>
  <c r="K3129" i="1"/>
  <c r="M3129" i="1" s="1"/>
  <c r="K3130" i="1"/>
  <c r="M3130" i="1" s="1"/>
  <c r="K3131" i="1"/>
  <c r="M3131" i="1" s="1"/>
  <c r="K3132" i="1"/>
  <c r="M3132" i="1" s="1"/>
  <c r="K3133" i="1"/>
  <c r="M3133" i="1" s="1"/>
  <c r="K3134" i="1"/>
  <c r="M3134" i="1" s="1"/>
  <c r="K3135" i="1"/>
  <c r="M3135" i="1" s="1"/>
  <c r="K3136" i="1"/>
  <c r="M3136" i="1" s="1"/>
  <c r="K3137" i="1"/>
  <c r="K3138" i="1"/>
  <c r="M3138" i="1" s="1"/>
  <c r="K3139" i="1"/>
  <c r="K3140" i="1"/>
  <c r="M3140" i="1" s="1"/>
  <c r="K3141" i="1"/>
  <c r="M3141" i="1" s="1"/>
  <c r="K3142" i="1"/>
  <c r="M3142" i="1" s="1"/>
  <c r="K3143" i="1"/>
  <c r="M3143" i="1" s="1"/>
  <c r="K3144" i="1"/>
  <c r="M3144" i="1" s="1"/>
  <c r="K3145" i="1"/>
  <c r="M3145" i="1" s="1"/>
  <c r="K3146" i="1"/>
  <c r="M3146" i="1" s="1"/>
  <c r="K3147" i="1"/>
  <c r="K3148" i="1"/>
  <c r="K3149" i="1"/>
  <c r="M3149" i="1" s="1"/>
  <c r="K3150" i="1"/>
  <c r="M3150" i="1" s="1"/>
  <c r="K3151" i="1"/>
  <c r="M3151" i="1" s="1"/>
  <c r="K3152" i="1"/>
  <c r="M3152" i="1" s="1"/>
  <c r="K3153" i="1"/>
  <c r="M3153" i="1" s="1"/>
  <c r="K3154" i="1"/>
  <c r="M3154" i="1" s="1"/>
  <c r="K3155" i="1"/>
  <c r="M3155" i="1" s="1"/>
  <c r="K3156" i="1"/>
  <c r="M3156" i="1" s="1"/>
  <c r="K3157" i="1"/>
  <c r="M3157" i="1" s="1"/>
  <c r="K3158" i="1"/>
  <c r="M3158" i="1" s="1"/>
  <c r="K3159" i="1"/>
  <c r="M3159" i="1" s="1"/>
  <c r="K3160" i="1"/>
  <c r="M3160" i="1" s="1"/>
  <c r="K3161" i="1"/>
  <c r="M3161" i="1" s="1"/>
  <c r="K3162" i="1"/>
  <c r="M3162" i="1" s="1"/>
  <c r="K3163" i="1"/>
  <c r="M3163" i="1" s="1"/>
  <c r="K3164" i="1"/>
  <c r="M3164" i="1" s="1"/>
  <c r="K3165" i="1"/>
  <c r="M3165" i="1" s="1"/>
  <c r="K3166" i="1"/>
  <c r="M3166" i="1" s="1"/>
  <c r="K3167" i="1"/>
  <c r="M3167" i="1" s="1"/>
  <c r="K3168" i="1"/>
  <c r="M3168" i="1" s="1"/>
  <c r="K3169" i="1"/>
  <c r="M3169" i="1" s="1"/>
  <c r="K3170" i="1"/>
  <c r="M3170" i="1" s="1"/>
  <c r="K3171" i="1"/>
  <c r="M3171" i="1" s="1"/>
  <c r="K3172" i="1"/>
  <c r="M3172" i="1" s="1"/>
  <c r="K3173" i="1"/>
  <c r="M3173" i="1" s="1"/>
  <c r="K3174" i="1"/>
  <c r="M3174" i="1" s="1"/>
  <c r="K3175" i="1"/>
  <c r="M3175" i="1" s="1"/>
  <c r="K3176" i="1"/>
  <c r="M3176" i="1" s="1"/>
  <c r="K3177" i="1"/>
  <c r="M3177" i="1" s="1"/>
  <c r="K3178" i="1"/>
  <c r="M3178" i="1" s="1"/>
  <c r="K3179" i="1"/>
  <c r="M3179" i="1" s="1"/>
  <c r="K3180" i="1"/>
  <c r="M3180" i="1" s="1"/>
  <c r="K3181" i="1"/>
  <c r="M3181" i="1" s="1"/>
  <c r="K3182" i="1"/>
  <c r="M3182" i="1" s="1"/>
  <c r="K3183" i="1"/>
  <c r="M3183" i="1" s="1"/>
  <c r="K3184" i="1"/>
  <c r="M3184" i="1" s="1"/>
  <c r="K3185" i="1"/>
  <c r="K3186" i="1"/>
  <c r="M3186" i="1" s="1"/>
  <c r="K3187" i="1"/>
  <c r="M3187" i="1" s="1"/>
  <c r="K3188" i="1"/>
  <c r="M3188" i="1" s="1"/>
  <c r="K3189" i="1"/>
  <c r="M3189" i="1" s="1"/>
  <c r="K3190" i="1"/>
  <c r="K3191" i="1"/>
  <c r="M3191" i="1" s="1"/>
  <c r="K3192" i="1"/>
  <c r="M3192" i="1" s="1"/>
  <c r="K3193" i="1"/>
  <c r="M3193" i="1" s="1"/>
  <c r="K3194" i="1"/>
  <c r="M3194" i="1" s="1"/>
  <c r="K3195" i="1"/>
  <c r="M3195" i="1" s="1"/>
  <c r="K3196" i="1"/>
  <c r="M3196" i="1" s="1"/>
  <c r="K3197" i="1"/>
  <c r="M3197" i="1" s="1"/>
  <c r="K3198" i="1"/>
  <c r="M3198" i="1" s="1"/>
  <c r="K3199" i="1"/>
  <c r="M3199" i="1" s="1"/>
  <c r="K3200" i="1"/>
  <c r="M3200" i="1" s="1"/>
  <c r="K3201" i="1"/>
  <c r="M3201" i="1" s="1"/>
  <c r="K3202" i="1"/>
  <c r="M3202" i="1" s="1"/>
  <c r="K3203" i="1"/>
  <c r="M3203" i="1" s="1"/>
  <c r="K3204" i="1"/>
  <c r="M3204" i="1" s="1"/>
  <c r="K3205" i="1"/>
  <c r="M3205" i="1" s="1"/>
  <c r="K3206" i="1"/>
  <c r="M3206" i="1" s="1"/>
  <c r="K3207" i="1"/>
  <c r="M3207" i="1" s="1"/>
  <c r="K3208" i="1"/>
  <c r="M3208" i="1" s="1"/>
  <c r="K3209" i="1"/>
  <c r="M3209" i="1" s="1"/>
  <c r="K3210" i="1"/>
  <c r="M3210" i="1" s="1"/>
  <c r="K3211" i="1"/>
  <c r="M3211" i="1" s="1"/>
  <c r="K3212" i="1"/>
  <c r="K3213" i="1"/>
  <c r="K3214" i="1"/>
  <c r="M3214" i="1" s="1"/>
  <c r="K3215" i="1"/>
  <c r="M3215" i="1" s="1"/>
  <c r="K3216" i="1"/>
  <c r="M3216" i="1" s="1"/>
  <c r="K3217" i="1"/>
  <c r="M3217" i="1" s="1"/>
  <c r="K3218" i="1"/>
  <c r="M3218" i="1" s="1"/>
  <c r="K3219" i="1"/>
  <c r="M3219" i="1" s="1"/>
  <c r="K3220" i="1"/>
  <c r="M3220" i="1" s="1"/>
  <c r="K3221" i="1"/>
  <c r="M3221" i="1" s="1"/>
  <c r="K3222" i="1"/>
  <c r="M3222" i="1" s="1"/>
  <c r="K3223" i="1"/>
  <c r="M3223" i="1" s="1"/>
  <c r="K3224" i="1"/>
  <c r="M3224" i="1" s="1"/>
  <c r="K3225" i="1"/>
  <c r="M3225" i="1" s="1"/>
  <c r="K3226" i="1"/>
  <c r="M3226" i="1" s="1"/>
  <c r="K3227" i="1"/>
  <c r="M3227" i="1" s="1"/>
  <c r="K3228" i="1"/>
  <c r="M3228" i="1" s="1"/>
  <c r="K3229" i="1"/>
  <c r="M3229" i="1" s="1"/>
  <c r="K3230" i="1"/>
  <c r="M3230" i="1" s="1"/>
  <c r="K3231" i="1"/>
  <c r="M3231" i="1" s="1"/>
  <c r="K3232" i="1"/>
  <c r="M3232" i="1" s="1"/>
  <c r="K3233" i="1"/>
  <c r="M3233" i="1" s="1"/>
  <c r="K3234" i="1"/>
  <c r="K3235" i="1"/>
  <c r="M3235" i="1" s="1"/>
  <c r="K3236" i="1"/>
  <c r="M3236" i="1" s="1"/>
  <c r="K3237" i="1"/>
  <c r="M3237" i="1" s="1"/>
  <c r="K3238" i="1"/>
  <c r="M3238" i="1" s="1"/>
  <c r="K3239" i="1"/>
  <c r="M3239" i="1" s="1"/>
  <c r="K3240" i="1"/>
  <c r="M3240" i="1" s="1"/>
  <c r="K3241" i="1"/>
  <c r="M3241" i="1" s="1"/>
  <c r="K3242" i="1"/>
  <c r="M3242" i="1" s="1"/>
  <c r="K3243" i="1"/>
  <c r="K3244" i="1"/>
  <c r="M3244" i="1" s="1"/>
  <c r="K3245" i="1"/>
  <c r="M3245" i="1" s="1"/>
  <c r="K3246" i="1"/>
  <c r="M3246" i="1" s="1"/>
  <c r="K3247" i="1"/>
  <c r="M3247" i="1" s="1"/>
  <c r="K3248" i="1"/>
  <c r="K3249" i="1"/>
  <c r="M3249" i="1" s="1"/>
  <c r="K3250" i="1"/>
  <c r="M3250" i="1" s="1"/>
  <c r="K3251" i="1"/>
  <c r="M3251" i="1" s="1"/>
  <c r="K3252" i="1"/>
  <c r="M3252" i="1" s="1"/>
  <c r="K3253" i="1"/>
  <c r="M3253" i="1" s="1"/>
  <c r="K3254" i="1"/>
  <c r="M3254" i="1" s="1"/>
  <c r="K3255" i="1"/>
  <c r="M3255" i="1" s="1"/>
  <c r="K3256" i="1"/>
  <c r="M3256" i="1" s="1"/>
  <c r="K3257" i="1"/>
  <c r="M3257" i="1" s="1"/>
  <c r="K3258" i="1"/>
  <c r="M3258" i="1" s="1"/>
  <c r="K3259" i="1"/>
  <c r="M3259" i="1" s="1"/>
  <c r="K3260" i="1"/>
  <c r="M3260" i="1" s="1"/>
  <c r="K3261" i="1"/>
  <c r="M3261" i="1" s="1"/>
  <c r="K3262" i="1"/>
  <c r="M3262" i="1" s="1"/>
  <c r="K3263" i="1"/>
  <c r="M3263" i="1" s="1"/>
  <c r="K3264" i="1"/>
  <c r="M3264" i="1" s="1"/>
  <c r="K3265" i="1"/>
  <c r="M3265" i="1" s="1"/>
  <c r="K3266" i="1"/>
  <c r="M3266" i="1" s="1"/>
  <c r="K3267" i="1"/>
  <c r="M3267" i="1" s="1"/>
  <c r="K3268" i="1"/>
  <c r="M3268" i="1" s="1"/>
  <c r="K3269" i="1"/>
  <c r="M3269" i="1" s="1"/>
  <c r="K3270" i="1"/>
  <c r="M3270" i="1" s="1"/>
  <c r="K3271" i="1"/>
  <c r="M3271" i="1" s="1"/>
  <c r="K3272" i="1"/>
  <c r="M3272" i="1" s="1"/>
  <c r="K3273" i="1"/>
  <c r="M3273" i="1" s="1"/>
  <c r="K3274" i="1"/>
  <c r="M3274" i="1" s="1"/>
  <c r="K3275" i="1"/>
  <c r="M3275" i="1" s="1"/>
  <c r="K3276" i="1"/>
  <c r="M3276" i="1" s="1"/>
  <c r="K3277" i="1"/>
  <c r="M3277" i="1" s="1"/>
  <c r="K3278" i="1"/>
  <c r="M3278" i="1" s="1"/>
  <c r="K3279" i="1"/>
  <c r="M3279" i="1" s="1"/>
  <c r="K3280" i="1"/>
  <c r="M3280" i="1" s="1"/>
  <c r="K3281" i="1"/>
  <c r="M3281" i="1" s="1"/>
  <c r="K3282" i="1"/>
  <c r="M3282" i="1" s="1"/>
  <c r="K3283" i="1"/>
  <c r="K3284" i="1"/>
  <c r="M3284" i="1" s="1"/>
  <c r="K3285" i="1"/>
  <c r="M3285" i="1" s="1"/>
  <c r="K3286" i="1"/>
  <c r="M3286" i="1" s="1"/>
  <c r="K3287" i="1"/>
  <c r="M3287" i="1" s="1"/>
  <c r="K3288" i="1"/>
  <c r="M3288" i="1" s="1"/>
  <c r="K3289" i="1"/>
  <c r="M3289" i="1" s="1"/>
  <c r="K3290" i="1"/>
  <c r="M3290" i="1" s="1"/>
  <c r="K3291" i="1"/>
  <c r="K3292" i="1"/>
  <c r="M3292" i="1" s="1"/>
  <c r="K3293" i="1"/>
  <c r="M3293" i="1" s="1"/>
  <c r="K3294" i="1"/>
  <c r="K3295" i="1"/>
  <c r="M3295" i="1" s="1"/>
  <c r="K3296" i="1"/>
  <c r="M3296" i="1" s="1"/>
  <c r="K3297" i="1"/>
  <c r="M3297" i="1" s="1"/>
  <c r="K3298" i="1"/>
  <c r="M3298" i="1" s="1"/>
  <c r="K3299" i="1"/>
  <c r="M3299" i="1" s="1"/>
  <c r="K3300" i="1"/>
  <c r="M3300" i="1" s="1"/>
  <c r="K3301" i="1"/>
  <c r="M3301" i="1" s="1"/>
  <c r="K3302" i="1"/>
  <c r="M3302" i="1" s="1"/>
  <c r="K3303" i="1"/>
  <c r="M3303" i="1" s="1"/>
  <c r="K3304" i="1"/>
  <c r="M3304" i="1" s="1"/>
  <c r="K3305" i="1"/>
  <c r="M3305" i="1" s="1"/>
  <c r="K3306" i="1"/>
  <c r="M3306" i="1" s="1"/>
  <c r="K3307" i="1"/>
  <c r="M3307" i="1" s="1"/>
  <c r="K3308" i="1"/>
  <c r="M3308" i="1" s="1"/>
  <c r="K3309" i="1"/>
  <c r="M3309" i="1" s="1"/>
  <c r="K3310" i="1"/>
  <c r="M3310" i="1" s="1"/>
  <c r="K3311" i="1"/>
  <c r="M3311" i="1" s="1"/>
  <c r="K3312" i="1"/>
  <c r="M3312" i="1" s="1"/>
  <c r="K3313" i="1"/>
  <c r="M3313" i="1" s="1"/>
  <c r="K3314" i="1"/>
  <c r="K3315" i="1"/>
  <c r="M3315" i="1" s="1"/>
  <c r="K3316" i="1"/>
  <c r="M3316" i="1" s="1"/>
  <c r="K3317" i="1"/>
  <c r="M3317" i="1" s="1"/>
  <c r="K3318" i="1"/>
  <c r="K3319" i="1"/>
  <c r="K3320" i="1"/>
  <c r="K3321" i="1"/>
  <c r="M3321" i="1" s="1"/>
  <c r="K3322" i="1"/>
  <c r="K3323" i="1"/>
  <c r="K3324" i="1"/>
  <c r="M3324" i="1" s="1"/>
  <c r="K3325" i="1"/>
  <c r="M3325" i="1" s="1"/>
  <c r="K3326" i="1"/>
  <c r="M3326" i="1" s="1"/>
  <c r="K3327" i="1"/>
  <c r="M3327" i="1" s="1"/>
  <c r="K3328" i="1"/>
  <c r="M3328" i="1" s="1"/>
  <c r="K3329" i="1"/>
  <c r="M3329" i="1" s="1"/>
  <c r="K3330" i="1"/>
  <c r="M3330" i="1" s="1"/>
  <c r="K3331" i="1"/>
  <c r="K3332" i="1"/>
  <c r="M3332" i="1" s="1"/>
  <c r="K3333" i="1"/>
  <c r="M3333" i="1" s="1"/>
  <c r="K3334" i="1"/>
  <c r="M3334" i="1" s="1"/>
  <c r="K3335" i="1"/>
  <c r="M3335" i="1" s="1"/>
  <c r="K3336" i="1"/>
  <c r="M3336" i="1" s="1"/>
  <c r="K3337" i="1"/>
  <c r="M3337" i="1" s="1"/>
  <c r="K3338" i="1"/>
  <c r="M3338" i="1" s="1"/>
  <c r="K3339" i="1"/>
  <c r="M3339" i="1" s="1"/>
  <c r="K3340" i="1"/>
  <c r="M3340" i="1" s="1"/>
  <c r="K3341" i="1"/>
  <c r="M3341" i="1" s="1"/>
  <c r="K3342" i="1"/>
  <c r="M3342" i="1" s="1"/>
  <c r="K3343" i="1"/>
  <c r="M3343" i="1" s="1"/>
  <c r="K3344" i="1"/>
  <c r="M3344" i="1" s="1"/>
  <c r="K3345" i="1"/>
  <c r="K3346" i="1"/>
  <c r="M3346" i="1" s="1"/>
  <c r="K3347" i="1"/>
  <c r="M3347" i="1" s="1"/>
  <c r="K3348" i="1"/>
  <c r="K3349" i="1"/>
  <c r="M3349" i="1" s="1"/>
  <c r="K3350" i="1"/>
  <c r="M3350" i="1" s="1"/>
  <c r="K3351" i="1"/>
  <c r="M3351" i="1" s="1"/>
  <c r="K3352" i="1"/>
  <c r="M3352" i="1" s="1"/>
  <c r="K3353" i="1"/>
  <c r="M3353" i="1" s="1"/>
  <c r="K3354" i="1"/>
  <c r="K3355" i="1"/>
  <c r="M3355" i="1" s="1"/>
  <c r="K3356" i="1"/>
  <c r="M3356" i="1" s="1"/>
  <c r="K3357" i="1"/>
  <c r="M3357" i="1" s="1"/>
  <c r="K3358" i="1"/>
  <c r="M3358" i="1" s="1"/>
  <c r="K3359" i="1"/>
  <c r="M3359" i="1" s="1"/>
  <c r="K3360" i="1"/>
  <c r="M3360" i="1" s="1"/>
  <c r="K3361" i="1"/>
  <c r="M3361" i="1" s="1"/>
  <c r="K3362" i="1"/>
  <c r="M3362" i="1" s="1"/>
  <c r="K3363" i="1"/>
  <c r="M3363" i="1" s="1"/>
  <c r="K3364" i="1"/>
  <c r="M3364" i="1" s="1"/>
  <c r="K3365" i="1"/>
  <c r="M3365" i="1" s="1"/>
  <c r="K3366" i="1"/>
  <c r="M3366" i="1" s="1"/>
  <c r="K3367" i="1"/>
  <c r="M3367" i="1" s="1"/>
  <c r="K3368" i="1"/>
  <c r="M3368" i="1" s="1"/>
  <c r="K3369" i="1"/>
  <c r="M3369" i="1" s="1"/>
  <c r="K3370" i="1"/>
  <c r="M3370" i="1" s="1"/>
  <c r="K3371" i="1"/>
  <c r="M3371" i="1" s="1"/>
  <c r="K3372" i="1"/>
  <c r="M3372" i="1" s="1"/>
  <c r="K3373" i="1"/>
  <c r="M3373" i="1" s="1"/>
  <c r="K3374" i="1"/>
  <c r="M3374" i="1" s="1"/>
  <c r="K3375" i="1"/>
  <c r="M3375" i="1" s="1"/>
  <c r="K3376" i="1"/>
  <c r="M3376" i="1" s="1"/>
  <c r="K3377" i="1"/>
  <c r="M3377" i="1" s="1"/>
  <c r="K3378" i="1"/>
  <c r="M3378" i="1" s="1"/>
  <c r="K3379" i="1"/>
  <c r="M3379" i="1" s="1"/>
  <c r="K3380" i="1"/>
  <c r="M3380" i="1" s="1"/>
  <c r="K3381" i="1"/>
  <c r="M3381" i="1" s="1"/>
  <c r="K3382" i="1"/>
  <c r="M3382" i="1" s="1"/>
  <c r="K3383" i="1"/>
  <c r="M3383" i="1" s="1"/>
  <c r="K3384" i="1"/>
  <c r="M3384" i="1" s="1"/>
  <c r="K3385" i="1"/>
  <c r="M3385" i="1" s="1"/>
  <c r="K3386" i="1"/>
  <c r="M3386" i="1" s="1"/>
  <c r="K3387" i="1"/>
  <c r="M3387" i="1" s="1"/>
  <c r="K3388" i="1"/>
  <c r="M3388" i="1" s="1"/>
  <c r="K3389" i="1"/>
  <c r="M3389" i="1" s="1"/>
  <c r="K3390" i="1"/>
  <c r="M3390" i="1" s="1"/>
  <c r="K3391" i="1"/>
  <c r="M3391" i="1" s="1"/>
  <c r="K3392" i="1"/>
  <c r="M3392" i="1" s="1"/>
  <c r="K3393" i="1"/>
  <c r="M3393" i="1" s="1"/>
  <c r="K3394" i="1"/>
  <c r="M3394" i="1" s="1"/>
  <c r="K3395" i="1"/>
  <c r="M3395" i="1" s="1"/>
  <c r="K3396" i="1"/>
  <c r="M3396" i="1" s="1"/>
  <c r="K3397" i="1"/>
  <c r="M3397" i="1" s="1"/>
  <c r="K3398" i="1"/>
  <c r="M3398" i="1" s="1"/>
  <c r="K3399" i="1"/>
  <c r="M3399" i="1" s="1"/>
  <c r="K3400" i="1"/>
  <c r="M3400" i="1" s="1"/>
  <c r="K3401" i="1"/>
  <c r="M3401" i="1" s="1"/>
  <c r="K3402" i="1"/>
  <c r="M3402" i="1" s="1"/>
  <c r="K3403" i="1"/>
  <c r="M3403" i="1" s="1"/>
  <c r="K3404" i="1"/>
  <c r="M3404" i="1" s="1"/>
  <c r="K3405" i="1"/>
  <c r="M3405" i="1" s="1"/>
  <c r="K3406" i="1"/>
  <c r="M3406" i="1" s="1"/>
  <c r="K3407" i="1"/>
  <c r="M3407" i="1" s="1"/>
  <c r="K3408" i="1"/>
  <c r="M3408" i="1" s="1"/>
  <c r="K3409" i="1"/>
  <c r="M3409" i="1" s="1"/>
  <c r="K3410" i="1"/>
  <c r="M3410" i="1" s="1"/>
  <c r="K3411" i="1"/>
  <c r="M3411" i="1" s="1"/>
  <c r="K3412" i="1"/>
  <c r="K3413" i="1"/>
  <c r="M3413" i="1" s="1"/>
  <c r="K3414" i="1"/>
  <c r="M3414" i="1" s="1"/>
  <c r="K3415" i="1"/>
  <c r="M3415" i="1" s="1"/>
  <c r="K3416" i="1"/>
  <c r="M3416" i="1" s="1"/>
  <c r="K3417" i="1"/>
  <c r="K3418" i="1"/>
  <c r="M3418" i="1" s="1"/>
  <c r="K3419" i="1"/>
  <c r="M3419" i="1" s="1"/>
  <c r="K3420" i="1"/>
  <c r="M3420" i="1" s="1"/>
  <c r="K3421" i="1"/>
  <c r="M3421" i="1" s="1"/>
  <c r="K3422" i="1"/>
  <c r="M3422" i="1" s="1"/>
  <c r="K3423" i="1"/>
  <c r="M3423" i="1" s="1"/>
  <c r="K3424" i="1"/>
  <c r="M3424" i="1" s="1"/>
  <c r="K3425" i="1"/>
  <c r="M3425" i="1" s="1"/>
  <c r="K3426" i="1"/>
  <c r="M3426" i="1" s="1"/>
  <c r="K3427" i="1"/>
  <c r="M3427" i="1" s="1"/>
  <c r="K3428" i="1"/>
  <c r="M3428" i="1" s="1"/>
  <c r="K3429" i="1"/>
  <c r="M3429" i="1" s="1"/>
  <c r="K3430" i="1"/>
  <c r="M3430" i="1" s="1"/>
  <c r="K3431" i="1"/>
  <c r="M3431" i="1" s="1"/>
  <c r="K3432" i="1"/>
  <c r="M3432" i="1" s="1"/>
  <c r="K3433" i="1"/>
  <c r="M3433" i="1" s="1"/>
  <c r="K3434" i="1"/>
  <c r="K3435" i="1"/>
  <c r="M3435" i="1" s="1"/>
  <c r="K3436" i="1"/>
  <c r="M3436" i="1" s="1"/>
  <c r="K3437" i="1"/>
  <c r="M3437" i="1" s="1"/>
  <c r="K3438" i="1"/>
  <c r="M3438" i="1" s="1"/>
  <c r="K3439" i="1"/>
  <c r="M3439" i="1" s="1"/>
  <c r="K3440" i="1"/>
  <c r="M3440" i="1" s="1"/>
  <c r="K3441" i="1"/>
  <c r="M3441" i="1" s="1"/>
  <c r="K3442" i="1"/>
  <c r="M3442" i="1" s="1"/>
  <c r="K3443" i="1"/>
  <c r="M3443" i="1" s="1"/>
  <c r="K3444" i="1"/>
  <c r="M3444" i="1" s="1"/>
  <c r="K3445" i="1"/>
  <c r="M3445" i="1" s="1"/>
  <c r="K3446" i="1"/>
  <c r="M3446" i="1" s="1"/>
  <c r="K3447" i="1"/>
  <c r="M3447" i="1" s="1"/>
  <c r="K3448" i="1"/>
  <c r="K3449" i="1"/>
  <c r="M3449" i="1" s="1"/>
  <c r="K3450" i="1"/>
  <c r="M3450" i="1" s="1"/>
  <c r="K3451" i="1"/>
  <c r="M3451" i="1" s="1"/>
  <c r="K3452" i="1"/>
  <c r="M3452" i="1" s="1"/>
  <c r="K3453" i="1"/>
  <c r="M3453" i="1" s="1"/>
  <c r="K3454" i="1"/>
  <c r="M3454" i="1" s="1"/>
  <c r="K3455" i="1"/>
  <c r="M3455" i="1" s="1"/>
  <c r="K3456" i="1"/>
  <c r="M3456" i="1" s="1"/>
  <c r="K3457" i="1"/>
  <c r="M3457" i="1" s="1"/>
  <c r="K3458" i="1"/>
  <c r="M3458" i="1" s="1"/>
  <c r="K3459" i="1"/>
  <c r="K3460" i="1"/>
  <c r="M3460" i="1" s="1"/>
  <c r="K3461" i="1"/>
  <c r="M3461" i="1" s="1"/>
  <c r="K3462" i="1"/>
  <c r="M3462" i="1" s="1"/>
  <c r="K3463" i="1"/>
  <c r="M3463" i="1" s="1"/>
  <c r="K3464" i="1"/>
  <c r="M3464" i="1" s="1"/>
  <c r="K3465" i="1"/>
  <c r="M3465" i="1" s="1"/>
  <c r="K3466" i="1"/>
  <c r="M3466" i="1" s="1"/>
  <c r="K3467" i="1"/>
  <c r="M3467" i="1" s="1"/>
  <c r="K3468" i="1"/>
  <c r="K3469" i="1"/>
  <c r="M3469" i="1" s="1"/>
  <c r="K3470" i="1"/>
  <c r="M3470" i="1" s="1"/>
  <c r="K3471" i="1"/>
  <c r="M3471" i="1" s="1"/>
  <c r="K3472" i="1"/>
  <c r="K3473" i="1"/>
  <c r="M3473" i="1" s="1"/>
  <c r="K3474" i="1"/>
  <c r="M3474" i="1" s="1"/>
  <c r="K3475" i="1"/>
  <c r="M3475" i="1" s="1"/>
  <c r="K3476" i="1"/>
  <c r="M3476" i="1" s="1"/>
  <c r="K3477" i="1"/>
  <c r="M3477" i="1" s="1"/>
  <c r="K3478" i="1"/>
  <c r="M3478" i="1" s="1"/>
  <c r="K3479" i="1"/>
  <c r="M3479" i="1" s="1"/>
  <c r="K3480" i="1"/>
  <c r="M3480" i="1" s="1"/>
  <c r="K3481" i="1"/>
  <c r="M3481" i="1" s="1"/>
  <c r="K3482" i="1"/>
  <c r="M3482" i="1" s="1"/>
  <c r="K3483" i="1"/>
  <c r="M3483" i="1" s="1"/>
  <c r="K3484" i="1"/>
  <c r="K3485" i="1"/>
  <c r="M3485" i="1" s="1"/>
  <c r="K3486" i="1"/>
  <c r="M3486" i="1" s="1"/>
  <c r="K3487" i="1"/>
  <c r="M3487" i="1" s="1"/>
  <c r="K3488" i="1"/>
  <c r="M3488" i="1" s="1"/>
  <c r="K3489" i="1"/>
  <c r="M3489" i="1" s="1"/>
  <c r="K3490" i="1"/>
  <c r="M3490" i="1" s="1"/>
  <c r="K3491" i="1"/>
  <c r="M3491" i="1" s="1"/>
  <c r="K3492" i="1"/>
  <c r="M3492" i="1" s="1"/>
  <c r="K3493" i="1"/>
  <c r="M3493" i="1" s="1"/>
  <c r="K3494" i="1"/>
  <c r="K3495" i="1"/>
  <c r="M3495" i="1" s="1"/>
  <c r="K3496" i="1"/>
  <c r="M3496" i="1" s="1"/>
  <c r="K3497" i="1"/>
  <c r="M3497" i="1" s="1"/>
  <c r="K3498" i="1"/>
  <c r="M3498" i="1" s="1"/>
  <c r="K3499" i="1"/>
  <c r="K3500" i="1"/>
  <c r="M3500" i="1" s="1"/>
  <c r="K3501" i="1"/>
  <c r="M3501" i="1" s="1"/>
  <c r="K3502" i="1"/>
  <c r="M3502" i="1" s="1"/>
  <c r="K3503" i="1"/>
  <c r="M3503" i="1" s="1"/>
  <c r="K3504" i="1"/>
  <c r="M3504" i="1" s="1"/>
  <c r="K3505" i="1"/>
  <c r="M3505" i="1" s="1"/>
  <c r="K3506" i="1"/>
  <c r="M3506" i="1" s="1"/>
  <c r="K3507" i="1"/>
  <c r="M3507" i="1" s="1"/>
  <c r="K3508" i="1"/>
  <c r="K3509" i="1"/>
  <c r="K3510" i="1"/>
  <c r="M3510" i="1" s="1"/>
  <c r="K3511" i="1"/>
  <c r="M3511" i="1" s="1"/>
  <c r="K3512" i="1"/>
  <c r="M3512" i="1" s="1"/>
  <c r="K3513" i="1"/>
  <c r="M3513" i="1" s="1"/>
  <c r="K3514" i="1"/>
  <c r="K3515" i="1"/>
  <c r="M3515" i="1" s="1"/>
  <c r="K3516" i="1"/>
  <c r="M3516" i="1" s="1"/>
  <c r="K3517" i="1"/>
  <c r="K3518" i="1"/>
  <c r="M3518" i="1" s="1"/>
  <c r="K3519" i="1"/>
  <c r="M3519" i="1" s="1"/>
  <c r="K3520" i="1"/>
  <c r="M3520" i="1" s="1"/>
  <c r="K3521" i="1"/>
  <c r="M3521" i="1" s="1"/>
  <c r="K3522" i="1"/>
  <c r="M3522" i="1" s="1"/>
  <c r="K3523" i="1"/>
  <c r="M3523" i="1" s="1"/>
  <c r="K3524" i="1"/>
  <c r="M3524" i="1" s="1"/>
  <c r="K3525" i="1"/>
  <c r="M3525" i="1" s="1"/>
  <c r="K3526" i="1"/>
  <c r="M3526" i="1" s="1"/>
  <c r="K3527" i="1"/>
  <c r="M3527" i="1" s="1"/>
  <c r="K3528" i="1"/>
  <c r="M3528" i="1" s="1"/>
  <c r="K3529" i="1"/>
  <c r="M3529" i="1" s="1"/>
  <c r="K3530" i="1"/>
  <c r="M3530" i="1" s="1"/>
  <c r="K3531" i="1"/>
  <c r="M3531" i="1" s="1"/>
  <c r="K3532" i="1"/>
  <c r="M3532" i="1" s="1"/>
  <c r="K3533" i="1"/>
  <c r="M3533" i="1" s="1"/>
  <c r="K3534" i="1"/>
  <c r="M3534" i="1" s="1"/>
  <c r="K3535" i="1"/>
  <c r="M3535" i="1" s="1"/>
  <c r="K3536" i="1"/>
  <c r="M3536" i="1" s="1"/>
  <c r="K3537" i="1"/>
  <c r="M3537" i="1" s="1"/>
  <c r="K3538" i="1"/>
  <c r="M3538" i="1" s="1"/>
  <c r="K3539" i="1"/>
  <c r="M3539" i="1" s="1"/>
  <c r="K3540" i="1"/>
  <c r="K3541" i="1"/>
  <c r="M3541" i="1" s="1"/>
  <c r="K3542" i="1"/>
  <c r="M3542" i="1" s="1"/>
  <c r="K3543" i="1"/>
  <c r="M3543" i="1" s="1"/>
  <c r="K3544" i="1"/>
  <c r="M3544" i="1" s="1"/>
  <c r="K3545" i="1"/>
  <c r="M3545" i="1" s="1"/>
  <c r="K3546" i="1"/>
  <c r="M3546" i="1" s="1"/>
  <c r="K3547" i="1"/>
  <c r="M3547" i="1" s="1"/>
  <c r="K3548" i="1"/>
  <c r="M3548" i="1" s="1"/>
  <c r="K3549" i="1"/>
  <c r="M3549" i="1" s="1"/>
  <c r="K3550" i="1"/>
  <c r="M3550" i="1" s="1"/>
  <c r="K3551" i="1"/>
  <c r="M3551" i="1" s="1"/>
  <c r="K3552" i="1"/>
  <c r="M3552" i="1" s="1"/>
  <c r="K3553" i="1"/>
  <c r="M3553" i="1" s="1"/>
  <c r="K3554" i="1"/>
  <c r="M3554" i="1" s="1"/>
  <c r="K3555" i="1"/>
  <c r="M3555" i="1" s="1"/>
  <c r="K3556" i="1"/>
  <c r="K3557" i="1"/>
  <c r="M3557" i="1" s="1"/>
  <c r="K3558" i="1"/>
  <c r="M3558" i="1" s="1"/>
  <c r="K3559" i="1"/>
  <c r="M3559" i="1" s="1"/>
  <c r="K3560" i="1"/>
  <c r="M3560" i="1" s="1"/>
  <c r="K3561" i="1"/>
  <c r="M3561" i="1" s="1"/>
  <c r="K3562" i="1"/>
  <c r="M3562" i="1" s="1"/>
  <c r="K3563" i="1"/>
  <c r="M3563" i="1" s="1"/>
  <c r="K3564" i="1"/>
  <c r="M3564" i="1" s="1"/>
  <c r="K3565" i="1"/>
  <c r="M3565" i="1" s="1"/>
  <c r="K3566" i="1"/>
  <c r="M3566" i="1" s="1"/>
  <c r="K3567" i="1"/>
  <c r="M3567" i="1" s="1"/>
  <c r="K3568" i="1"/>
  <c r="M3568" i="1" s="1"/>
  <c r="K3569" i="1"/>
  <c r="K3570" i="1"/>
  <c r="M3570" i="1" s="1"/>
  <c r="K3571" i="1"/>
  <c r="M3571" i="1" s="1"/>
  <c r="K3572" i="1"/>
  <c r="M3572" i="1" s="1"/>
  <c r="K3573" i="1"/>
  <c r="K3574" i="1"/>
  <c r="K3575" i="1"/>
  <c r="M3575" i="1" s="1"/>
  <c r="K3576" i="1"/>
  <c r="M3576" i="1" s="1"/>
  <c r="K3577" i="1"/>
  <c r="K3578" i="1"/>
  <c r="M3578" i="1" s="1"/>
  <c r="K3579" i="1"/>
  <c r="M3579" i="1" s="1"/>
  <c r="K3580" i="1"/>
  <c r="M3580" i="1" s="1"/>
  <c r="K3581" i="1"/>
  <c r="K3582" i="1"/>
  <c r="M3582" i="1" s="1"/>
  <c r="K3583" i="1"/>
  <c r="M3583" i="1" s="1"/>
  <c r="K3584" i="1"/>
  <c r="M3584" i="1" s="1"/>
  <c r="K3585" i="1"/>
  <c r="M3585" i="1" s="1"/>
  <c r="K3586" i="1"/>
  <c r="M3586" i="1" s="1"/>
  <c r="K3587" i="1"/>
  <c r="M3587" i="1" s="1"/>
  <c r="K3588" i="1"/>
  <c r="M3588" i="1" s="1"/>
  <c r="K3589" i="1"/>
  <c r="M3589" i="1" s="1"/>
  <c r="K3590" i="1"/>
  <c r="M3590" i="1" s="1"/>
  <c r="K3591" i="1"/>
  <c r="M3591" i="1" s="1"/>
  <c r="K3592" i="1"/>
  <c r="M3592" i="1" s="1"/>
  <c r="K3593" i="1"/>
  <c r="K3594" i="1"/>
  <c r="M3594" i="1" s="1"/>
  <c r="K3595" i="1"/>
  <c r="M3595" i="1" s="1"/>
  <c r="K3596" i="1"/>
  <c r="K3597" i="1"/>
  <c r="M3597" i="1" s="1"/>
  <c r="K3598" i="1"/>
  <c r="M3598" i="1" s="1"/>
  <c r="K3599" i="1"/>
  <c r="K3600" i="1"/>
  <c r="M3600" i="1" s="1"/>
  <c r="K3601" i="1"/>
  <c r="M3601" i="1" s="1"/>
  <c r="K3602" i="1"/>
  <c r="M3602" i="1" s="1"/>
  <c r="K3603" i="1"/>
  <c r="M3603" i="1" s="1"/>
  <c r="K3604" i="1"/>
  <c r="M3604" i="1" s="1"/>
  <c r="K3605" i="1"/>
  <c r="M3605" i="1" s="1"/>
  <c r="K3606" i="1"/>
  <c r="K3607" i="1"/>
  <c r="M3607" i="1" s="1"/>
  <c r="K3608" i="1"/>
  <c r="M3608" i="1" s="1"/>
  <c r="K3609" i="1"/>
  <c r="M3609" i="1" s="1"/>
  <c r="K3610" i="1"/>
  <c r="K3611" i="1"/>
  <c r="M3611" i="1" s="1"/>
  <c r="K3612" i="1"/>
  <c r="M3612" i="1" s="1"/>
  <c r="K3613" i="1"/>
  <c r="M3613" i="1" s="1"/>
  <c r="K3614" i="1"/>
  <c r="M3614" i="1" s="1"/>
  <c r="K3615" i="1"/>
  <c r="K3616" i="1"/>
  <c r="M3616" i="1" s="1"/>
  <c r="K3617" i="1"/>
  <c r="M3617" i="1" s="1"/>
  <c r="K3618" i="1"/>
  <c r="M3618" i="1" s="1"/>
  <c r="K3619" i="1"/>
  <c r="M3619" i="1" s="1"/>
  <c r="K3620" i="1"/>
  <c r="M3620" i="1" s="1"/>
  <c r="K3621" i="1"/>
  <c r="K3622" i="1"/>
  <c r="M3622" i="1" s="1"/>
  <c r="K3623" i="1"/>
  <c r="M3623" i="1" s="1"/>
  <c r="K3624" i="1"/>
  <c r="M3624" i="1" s="1"/>
  <c r="K3625" i="1"/>
  <c r="M3625" i="1" s="1"/>
  <c r="K3626" i="1"/>
  <c r="M3626" i="1" s="1"/>
  <c r="K3627" i="1"/>
  <c r="M3627" i="1" s="1"/>
  <c r="K3628" i="1"/>
  <c r="M3628" i="1" s="1"/>
  <c r="K3629" i="1"/>
  <c r="M3629" i="1" s="1"/>
  <c r="K3630" i="1"/>
  <c r="M3630" i="1" s="1"/>
  <c r="K3631" i="1"/>
  <c r="M3631" i="1" s="1"/>
  <c r="K3632" i="1"/>
  <c r="M3632" i="1" s="1"/>
  <c r="K3633" i="1"/>
  <c r="M3633" i="1" s="1"/>
  <c r="K3634" i="1"/>
  <c r="M3634" i="1" s="1"/>
  <c r="K3635" i="1"/>
  <c r="M3635" i="1" s="1"/>
  <c r="K3636" i="1"/>
  <c r="K3637" i="1"/>
  <c r="M3637" i="1" s="1"/>
  <c r="K3638" i="1"/>
  <c r="M3638" i="1" s="1"/>
  <c r="K3639" i="1"/>
  <c r="M3639" i="1" s="1"/>
  <c r="K3640" i="1"/>
  <c r="M3640" i="1" s="1"/>
  <c r="K3641" i="1"/>
  <c r="M3641" i="1" s="1"/>
  <c r="K3642" i="1"/>
  <c r="M3642" i="1" s="1"/>
  <c r="K3643" i="1"/>
  <c r="M3643" i="1" s="1"/>
  <c r="K3644" i="1"/>
  <c r="M3644" i="1" s="1"/>
  <c r="K3645" i="1"/>
  <c r="M3645" i="1" s="1"/>
  <c r="K3646" i="1"/>
  <c r="M3646" i="1" s="1"/>
  <c r="K3647" i="1"/>
  <c r="M3647" i="1" s="1"/>
  <c r="K3648" i="1"/>
  <c r="M3648" i="1" s="1"/>
  <c r="K3649" i="1"/>
  <c r="K3650" i="1"/>
  <c r="M3650" i="1" s="1"/>
  <c r="K3651" i="1"/>
  <c r="M3651" i="1" s="1"/>
  <c r="K3652" i="1"/>
  <c r="M3652" i="1" s="1"/>
  <c r="K3653" i="1"/>
  <c r="M3653" i="1" s="1"/>
  <c r="K3654" i="1"/>
  <c r="M3654" i="1" s="1"/>
  <c r="K3655" i="1"/>
  <c r="M3655" i="1" s="1"/>
  <c r="K3656" i="1"/>
  <c r="M3656" i="1" s="1"/>
  <c r="K3657" i="1"/>
  <c r="M3657" i="1" s="1"/>
  <c r="K3658" i="1"/>
  <c r="M3658" i="1" s="1"/>
  <c r="K3659" i="1"/>
  <c r="M3659" i="1" s="1"/>
  <c r="K3660" i="1"/>
  <c r="M3660" i="1" s="1"/>
  <c r="K3661" i="1"/>
  <c r="M3661" i="1" s="1"/>
  <c r="K3662" i="1"/>
  <c r="M3662" i="1" s="1"/>
  <c r="K3663" i="1"/>
  <c r="M3663" i="1" s="1"/>
  <c r="K3664" i="1"/>
  <c r="M3664" i="1" s="1"/>
  <c r="K3665" i="1"/>
  <c r="M3665" i="1" s="1"/>
  <c r="K3666" i="1"/>
  <c r="M3666" i="1" s="1"/>
  <c r="K3667" i="1"/>
  <c r="M3667" i="1" s="1"/>
  <c r="K3668" i="1"/>
  <c r="M3668" i="1" s="1"/>
  <c r="K3669" i="1"/>
  <c r="M3669" i="1" s="1"/>
  <c r="K3670" i="1"/>
  <c r="M3670" i="1" s="1"/>
  <c r="K3671" i="1"/>
  <c r="M3671" i="1" s="1"/>
  <c r="K3672" i="1"/>
  <c r="M3672" i="1" s="1"/>
  <c r="K3673" i="1"/>
  <c r="M3673" i="1" s="1"/>
  <c r="K3674" i="1"/>
  <c r="M3674" i="1" s="1"/>
  <c r="K3675" i="1"/>
  <c r="K3676" i="1"/>
  <c r="M3676" i="1" s="1"/>
  <c r="K3677" i="1"/>
  <c r="M3677" i="1" s="1"/>
  <c r="K3678" i="1"/>
  <c r="M3678" i="1" s="1"/>
  <c r="K3679" i="1"/>
  <c r="M3679" i="1" s="1"/>
  <c r="K3680" i="1"/>
  <c r="M3680" i="1" s="1"/>
  <c r="K3681" i="1"/>
  <c r="M3681" i="1" s="1"/>
  <c r="K3682" i="1"/>
  <c r="M3682" i="1" s="1"/>
  <c r="K3683" i="1"/>
  <c r="M3683" i="1" s="1"/>
  <c r="K3684" i="1"/>
  <c r="M3684" i="1" s="1"/>
  <c r="K3685" i="1"/>
  <c r="M3685" i="1" s="1"/>
  <c r="K3686" i="1"/>
  <c r="M3686" i="1" s="1"/>
  <c r="K3687" i="1"/>
  <c r="K3688" i="1"/>
  <c r="M3688" i="1" s="1"/>
  <c r="K3689" i="1"/>
  <c r="M3689" i="1" s="1"/>
  <c r="K3690" i="1"/>
  <c r="M3690" i="1" s="1"/>
  <c r="K3691" i="1"/>
  <c r="M3691" i="1" s="1"/>
  <c r="K3692" i="1"/>
  <c r="K3693" i="1"/>
  <c r="M3693" i="1" s="1"/>
  <c r="K3694" i="1"/>
  <c r="M3694" i="1" s="1"/>
  <c r="K3695" i="1"/>
  <c r="K3696" i="1"/>
  <c r="M3696" i="1" s="1"/>
  <c r="K3697" i="1"/>
  <c r="K3698" i="1"/>
  <c r="M3698" i="1" s="1"/>
  <c r="K3699" i="1"/>
  <c r="M3699" i="1" s="1"/>
  <c r="K3700" i="1"/>
  <c r="M3700" i="1" s="1"/>
  <c r="K3701" i="1"/>
  <c r="M3701" i="1" s="1"/>
  <c r="K3702" i="1"/>
  <c r="M3702" i="1" s="1"/>
  <c r="K3703" i="1"/>
  <c r="M3703" i="1" s="1"/>
  <c r="K3704" i="1"/>
  <c r="M3704" i="1" s="1"/>
  <c r="K3705" i="1"/>
  <c r="M3705" i="1" s="1"/>
  <c r="K3706" i="1"/>
  <c r="M3706" i="1" s="1"/>
  <c r="K3707" i="1"/>
  <c r="M3707" i="1" s="1"/>
  <c r="K3708" i="1"/>
  <c r="K3709" i="1"/>
  <c r="M3709" i="1" s="1"/>
  <c r="K3710" i="1"/>
  <c r="M3710" i="1" s="1"/>
  <c r="K3711" i="1"/>
  <c r="M3711" i="1" s="1"/>
  <c r="K3712" i="1"/>
  <c r="M3712" i="1" s="1"/>
  <c r="K3713" i="1"/>
  <c r="M3713" i="1" s="1"/>
  <c r="K3714" i="1"/>
  <c r="M3714" i="1" s="1"/>
  <c r="K3715" i="1"/>
  <c r="M3715" i="1" s="1"/>
  <c r="K3716" i="1"/>
  <c r="M3716" i="1" s="1"/>
  <c r="K3717" i="1"/>
  <c r="M3717" i="1" s="1"/>
  <c r="K3718" i="1"/>
  <c r="M3718" i="1" s="1"/>
  <c r="K3719" i="1"/>
  <c r="M3719" i="1" s="1"/>
  <c r="K3720" i="1"/>
  <c r="M3720" i="1" s="1"/>
  <c r="K3721" i="1"/>
  <c r="M3721" i="1" s="1"/>
  <c r="K3722" i="1"/>
  <c r="M3722" i="1" s="1"/>
  <c r="K3723" i="1"/>
  <c r="M3723" i="1" s="1"/>
  <c r="K3724" i="1"/>
  <c r="M3724" i="1" s="1"/>
  <c r="K3725" i="1"/>
  <c r="M3725" i="1" s="1"/>
  <c r="K3726" i="1"/>
  <c r="M3726" i="1" s="1"/>
  <c r="K3727" i="1"/>
  <c r="M3727" i="1" s="1"/>
  <c r="K3728" i="1"/>
  <c r="M3728" i="1" s="1"/>
  <c r="K3729" i="1"/>
  <c r="M3729" i="1" s="1"/>
  <c r="K3730" i="1"/>
  <c r="M3730" i="1" s="1"/>
  <c r="K3731" i="1"/>
  <c r="M3731" i="1" s="1"/>
  <c r="K3732" i="1"/>
  <c r="K3733" i="1"/>
  <c r="M3733" i="1" s="1"/>
  <c r="K3734" i="1"/>
  <c r="M3734" i="1" s="1"/>
  <c r="K3735" i="1"/>
  <c r="M3735" i="1" s="1"/>
  <c r="K3736" i="1"/>
  <c r="M3736" i="1" s="1"/>
  <c r="K3737" i="1"/>
  <c r="M3737" i="1" s="1"/>
  <c r="K3738" i="1"/>
  <c r="K3739" i="1"/>
  <c r="M3739" i="1" s="1"/>
  <c r="K3740" i="1"/>
  <c r="M3740" i="1" s="1"/>
  <c r="K3741" i="1"/>
  <c r="M3741" i="1" s="1"/>
  <c r="K3742" i="1"/>
  <c r="M3742" i="1" s="1"/>
  <c r="K3743" i="1"/>
  <c r="M3743" i="1" s="1"/>
  <c r="K3744" i="1"/>
  <c r="M3744" i="1" s="1"/>
  <c r="K3745" i="1"/>
  <c r="M3745" i="1" s="1"/>
  <c r="K3746" i="1"/>
  <c r="M3746" i="1" s="1"/>
  <c r="K3747" i="1"/>
  <c r="M3747" i="1" s="1"/>
  <c r="K3748" i="1"/>
  <c r="M3748" i="1" s="1"/>
  <c r="K3749" i="1"/>
  <c r="M3749" i="1" s="1"/>
  <c r="K3750" i="1"/>
  <c r="M3750" i="1" s="1"/>
  <c r="K3751" i="1"/>
  <c r="M3751" i="1" s="1"/>
  <c r="K3752" i="1"/>
  <c r="M3752" i="1" s="1"/>
  <c r="K3753" i="1"/>
  <c r="M3753" i="1" s="1"/>
  <c r="K3754" i="1"/>
  <c r="M3754" i="1" s="1"/>
  <c r="K3755" i="1"/>
  <c r="M3755" i="1" s="1"/>
  <c r="K3756" i="1"/>
  <c r="M3756" i="1" s="1"/>
  <c r="K3757" i="1"/>
  <c r="M3757" i="1" s="1"/>
  <c r="K3758" i="1"/>
  <c r="M3758" i="1" s="1"/>
  <c r="K3759" i="1"/>
  <c r="M3759" i="1" s="1"/>
  <c r="K3760" i="1"/>
  <c r="M3760" i="1" s="1"/>
  <c r="K3761" i="1"/>
  <c r="M3761" i="1" s="1"/>
  <c r="K3762" i="1"/>
  <c r="M3762" i="1" s="1"/>
  <c r="K3763" i="1"/>
  <c r="M3763" i="1" s="1"/>
  <c r="K3764" i="1"/>
  <c r="M3764" i="1" s="1"/>
  <c r="K3765" i="1"/>
  <c r="M3765" i="1" s="1"/>
  <c r="K3766" i="1"/>
  <c r="M3766" i="1" s="1"/>
  <c r="K3767" i="1"/>
  <c r="M3767" i="1" s="1"/>
  <c r="K3768" i="1"/>
  <c r="M3768" i="1" s="1"/>
  <c r="K3769" i="1"/>
  <c r="M3769" i="1" s="1"/>
  <c r="K3770" i="1"/>
  <c r="K3771" i="1"/>
  <c r="M3771" i="1" s="1"/>
  <c r="K3772" i="1"/>
  <c r="M3772" i="1" s="1"/>
  <c r="K3773" i="1"/>
  <c r="M3773" i="1" s="1"/>
  <c r="K3774" i="1"/>
  <c r="M3774" i="1" s="1"/>
  <c r="K3775" i="1"/>
  <c r="M3775" i="1" s="1"/>
  <c r="K3776" i="1"/>
  <c r="M3776" i="1" s="1"/>
  <c r="K3777" i="1"/>
  <c r="M3777" i="1" s="1"/>
  <c r="K3778" i="1"/>
  <c r="M3778" i="1" s="1"/>
  <c r="K3779" i="1"/>
  <c r="M3779" i="1" s="1"/>
  <c r="K3780" i="1"/>
  <c r="M3780" i="1" s="1"/>
  <c r="K3781" i="1"/>
  <c r="M3781" i="1" s="1"/>
  <c r="K3782" i="1"/>
  <c r="M3782" i="1" s="1"/>
  <c r="K3783" i="1"/>
  <c r="M3783" i="1" s="1"/>
  <c r="K3784" i="1"/>
  <c r="M3784" i="1" s="1"/>
  <c r="K3785" i="1"/>
  <c r="M3785" i="1" s="1"/>
  <c r="K3786" i="1"/>
  <c r="M3786" i="1" s="1"/>
  <c r="K3787" i="1"/>
  <c r="M3787" i="1" s="1"/>
  <c r="K3788" i="1"/>
  <c r="M3788" i="1" s="1"/>
  <c r="K3789" i="1"/>
  <c r="M3789" i="1" s="1"/>
  <c r="K3790" i="1"/>
  <c r="M3790" i="1" s="1"/>
  <c r="K3791" i="1"/>
  <c r="M3791" i="1" s="1"/>
  <c r="K3792" i="1"/>
  <c r="K3793" i="1"/>
  <c r="K3794" i="1"/>
  <c r="M3794" i="1" s="1"/>
  <c r="K3795" i="1"/>
  <c r="M3795" i="1" s="1"/>
  <c r="K3796" i="1"/>
  <c r="M3796" i="1" s="1"/>
  <c r="K3797" i="1"/>
  <c r="M3797" i="1" s="1"/>
  <c r="K3798" i="1"/>
  <c r="M3798" i="1" s="1"/>
  <c r="K3799" i="1"/>
  <c r="M3799" i="1" s="1"/>
  <c r="K3800" i="1"/>
  <c r="M3800" i="1" s="1"/>
  <c r="K3801" i="1"/>
  <c r="M3801" i="1" s="1"/>
  <c r="K3802" i="1"/>
  <c r="M3802" i="1" s="1"/>
  <c r="K3803" i="1"/>
  <c r="M3803" i="1" s="1"/>
  <c r="K3804" i="1"/>
  <c r="M3804" i="1" s="1"/>
  <c r="K3805" i="1"/>
  <c r="M3805" i="1" s="1"/>
  <c r="K3806" i="1"/>
  <c r="K3807" i="1"/>
  <c r="M3807" i="1" s="1"/>
  <c r="K3808" i="1"/>
  <c r="M3808" i="1" s="1"/>
  <c r="K3809" i="1"/>
  <c r="M3809" i="1" s="1"/>
  <c r="K3810" i="1"/>
  <c r="M3810" i="1" s="1"/>
  <c r="K3811" i="1"/>
  <c r="M3811" i="1" s="1"/>
  <c r="K3812" i="1"/>
  <c r="M3812" i="1" s="1"/>
  <c r="K3813" i="1"/>
  <c r="M3813" i="1" s="1"/>
  <c r="K3814" i="1"/>
  <c r="M3814" i="1" s="1"/>
  <c r="K3815" i="1"/>
  <c r="M3815" i="1" s="1"/>
  <c r="K3816" i="1"/>
  <c r="M3816" i="1" s="1"/>
  <c r="K3817" i="1"/>
  <c r="M3817" i="1" s="1"/>
  <c r="K3818" i="1"/>
  <c r="M3818" i="1" s="1"/>
  <c r="K3819" i="1"/>
  <c r="M3819" i="1" s="1"/>
  <c r="K3820" i="1"/>
  <c r="K3821" i="1"/>
  <c r="M3821" i="1" s="1"/>
  <c r="K3822" i="1"/>
  <c r="M3822" i="1" s="1"/>
  <c r="K3823" i="1"/>
  <c r="M3823" i="1" s="1"/>
  <c r="K3824" i="1"/>
  <c r="M3824" i="1" s="1"/>
  <c r="K3825" i="1"/>
  <c r="K3826" i="1"/>
  <c r="M3826" i="1" s="1"/>
  <c r="K3827" i="1"/>
  <c r="M3827" i="1" s="1"/>
  <c r="K3828" i="1"/>
  <c r="M3828" i="1" s="1"/>
  <c r="K3829" i="1"/>
  <c r="M3829" i="1" s="1"/>
  <c r="K3830" i="1"/>
  <c r="M3830" i="1" s="1"/>
  <c r="K3831" i="1"/>
  <c r="M3831" i="1" s="1"/>
  <c r="K3832" i="1"/>
  <c r="M3832" i="1" s="1"/>
  <c r="K3833" i="1"/>
  <c r="M3833" i="1" s="1"/>
  <c r="K3834" i="1"/>
  <c r="M3834" i="1" s="1"/>
  <c r="K3835" i="1"/>
  <c r="M3835" i="1" s="1"/>
  <c r="K3836" i="1"/>
  <c r="M3836" i="1" s="1"/>
  <c r="K3837" i="1"/>
  <c r="M3837" i="1" s="1"/>
  <c r="K3838" i="1"/>
  <c r="M3838" i="1" s="1"/>
  <c r="K3839" i="1"/>
  <c r="M3839" i="1" s="1"/>
  <c r="K3840" i="1"/>
  <c r="M3840" i="1" s="1"/>
  <c r="K3841" i="1"/>
  <c r="M3841" i="1" s="1"/>
  <c r="K3842" i="1"/>
  <c r="M3842" i="1" s="1"/>
  <c r="K3843" i="1"/>
  <c r="M3843" i="1" s="1"/>
  <c r="K3844" i="1"/>
  <c r="M3844" i="1" s="1"/>
  <c r="K3845" i="1"/>
  <c r="K3846" i="1"/>
  <c r="M3846" i="1" s="1"/>
  <c r="K3847" i="1"/>
  <c r="M3847" i="1" s="1"/>
  <c r="K3848" i="1"/>
  <c r="M3848" i="1" s="1"/>
  <c r="K3849" i="1"/>
  <c r="M3849" i="1" s="1"/>
  <c r="K3850" i="1"/>
  <c r="M3850" i="1" s="1"/>
  <c r="K3851" i="1"/>
  <c r="M3851" i="1" s="1"/>
  <c r="K3852" i="1"/>
  <c r="M3852" i="1" s="1"/>
  <c r="K3853" i="1"/>
  <c r="M3853" i="1" s="1"/>
  <c r="K3854" i="1"/>
  <c r="M3854" i="1" s="1"/>
  <c r="K3855" i="1"/>
  <c r="K3856" i="1"/>
  <c r="M3856" i="1" s="1"/>
  <c r="K3857" i="1"/>
  <c r="K3858" i="1"/>
  <c r="M3858" i="1" s="1"/>
  <c r="K3859" i="1"/>
  <c r="M3859" i="1" s="1"/>
  <c r="K3860" i="1"/>
  <c r="M3860" i="1" s="1"/>
  <c r="K3861" i="1"/>
  <c r="M3861" i="1" s="1"/>
  <c r="K3862" i="1"/>
  <c r="M3862" i="1" s="1"/>
  <c r="K3863" i="1"/>
  <c r="M3863" i="1" s="1"/>
  <c r="K3864" i="1"/>
  <c r="K3865" i="1"/>
  <c r="M3865" i="1" s="1"/>
  <c r="K3866" i="1"/>
  <c r="M3866" i="1" s="1"/>
  <c r="K3867" i="1"/>
  <c r="M3867" i="1" s="1"/>
  <c r="K3868" i="1"/>
  <c r="M3868" i="1" s="1"/>
  <c r="K3869" i="1"/>
  <c r="M3869" i="1" s="1"/>
  <c r="K3870" i="1"/>
  <c r="M3870" i="1" s="1"/>
  <c r="K3871" i="1"/>
  <c r="M3871" i="1" s="1"/>
  <c r="K3872" i="1"/>
  <c r="M3872" i="1" s="1"/>
  <c r="K3873" i="1"/>
  <c r="M3873" i="1" s="1"/>
  <c r="K3874" i="1"/>
  <c r="M3874" i="1" s="1"/>
  <c r="K3875" i="1"/>
  <c r="M3875" i="1" s="1"/>
  <c r="K3876" i="1"/>
  <c r="M3876" i="1" s="1"/>
  <c r="K3877" i="1"/>
  <c r="M3877" i="1" s="1"/>
  <c r="K3878" i="1"/>
  <c r="K3879" i="1"/>
  <c r="M3879" i="1" s="1"/>
  <c r="K3880" i="1"/>
  <c r="M3880" i="1" s="1"/>
  <c r="K3881" i="1"/>
  <c r="M3881" i="1" s="1"/>
  <c r="K3882" i="1"/>
  <c r="M3882" i="1" s="1"/>
  <c r="K3883" i="1"/>
  <c r="M3883" i="1" s="1"/>
  <c r="K3884" i="1"/>
  <c r="M3884" i="1" s="1"/>
  <c r="K3885" i="1"/>
  <c r="K3886" i="1"/>
  <c r="M3886" i="1" s="1"/>
  <c r="K3887" i="1"/>
  <c r="M3887" i="1" s="1"/>
  <c r="K3888" i="1"/>
  <c r="M3888" i="1" s="1"/>
  <c r="K3889" i="1"/>
  <c r="M3889" i="1" s="1"/>
  <c r="K3890" i="1"/>
  <c r="M3890" i="1" s="1"/>
  <c r="K3891" i="1"/>
  <c r="K3892" i="1"/>
  <c r="M3892" i="1" s="1"/>
  <c r="K3893" i="1"/>
  <c r="M3893" i="1" s="1"/>
  <c r="K3894" i="1"/>
  <c r="M3894" i="1" s="1"/>
  <c r="K3895" i="1"/>
  <c r="M3895" i="1" s="1"/>
  <c r="K3896" i="1"/>
  <c r="M3896" i="1" s="1"/>
  <c r="K3897" i="1"/>
  <c r="K3898" i="1"/>
  <c r="M3898" i="1" s="1"/>
  <c r="K3899" i="1"/>
  <c r="M3899" i="1" s="1"/>
  <c r="K3900" i="1"/>
  <c r="M3900" i="1" s="1"/>
  <c r="K3901" i="1"/>
  <c r="M3901" i="1" s="1"/>
  <c r="K3902" i="1"/>
  <c r="M3902" i="1" s="1"/>
  <c r="K3903" i="1"/>
  <c r="M3903" i="1" s="1"/>
  <c r="K3904" i="1"/>
  <c r="M3904" i="1" s="1"/>
  <c r="K3905" i="1"/>
  <c r="M3905" i="1" s="1"/>
  <c r="K3906" i="1"/>
  <c r="M3906" i="1" s="1"/>
  <c r="K3907" i="1"/>
  <c r="M3907" i="1" s="1"/>
  <c r="K3908" i="1"/>
  <c r="M3908" i="1" s="1"/>
  <c r="K3909" i="1"/>
  <c r="M3909" i="1" s="1"/>
  <c r="K3910" i="1"/>
  <c r="M3910" i="1" s="1"/>
  <c r="K3911" i="1"/>
  <c r="M3911" i="1" s="1"/>
  <c r="K3912" i="1"/>
  <c r="M3912" i="1" s="1"/>
  <c r="K3913" i="1"/>
  <c r="M3913" i="1" s="1"/>
  <c r="K3914" i="1"/>
  <c r="M3914" i="1" s="1"/>
  <c r="K3915" i="1"/>
  <c r="M3915" i="1" s="1"/>
  <c r="K3916" i="1"/>
  <c r="M3916" i="1" s="1"/>
  <c r="K3917" i="1"/>
  <c r="M3917" i="1" s="1"/>
  <c r="K3918" i="1"/>
  <c r="M3918" i="1" s="1"/>
  <c r="K3919" i="1"/>
  <c r="M3919" i="1" s="1"/>
  <c r="K3920" i="1"/>
  <c r="M3920" i="1" s="1"/>
  <c r="K3921" i="1"/>
  <c r="M3921" i="1" s="1"/>
  <c r="K3922" i="1"/>
  <c r="M3922" i="1" s="1"/>
  <c r="K3923" i="1"/>
  <c r="M3923" i="1" s="1"/>
  <c r="K3924" i="1"/>
  <c r="K3925" i="1"/>
  <c r="M3925" i="1" s="1"/>
  <c r="K3926" i="1"/>
  <c r="M3926" i="1" s="1"/>
  <c r="K3927" i="1"/>
  <c r="M3927" i="1" s="1"/>
  <c r="K3928" i="1"/>
  <c r="M3928" i="1" s="1"/>
  <c r="K3929" i="1"/>
  <c r="M3929" i="1" s="1"/>
  <c r="K3930" i="1"/>
  <c r="M3930" i="1" s="1"/>
  <c r="K3931" i="1"/>
  <c r="M3931" i="1" s="1"/>
  <c r="K3932" i="1"/>
  <c r="K3933" i="1"/>
  <c r="M3933" i="1" s="1"/>
  <c r="K3934" i="1"/>
  <c r="M3934" i="1" s="1"/>
  <c r="K3935" i="1"/>
  <c r="M3935" i="1" s="1"/>
  <c r="K3936" i="1"/>
  <c r="M3936" i="1" s="1"/>
  <c r="K3937" i="1"/>
  <c r="M3937" i="1" s="1"/>
  <c r="K3938" i="1"/>
  <c r="M3938" i="1" s="1"/>
  <c r="K3939" i="1"/>
  <c r="M3939" i="1" s="1"/>
  <c r="K3940" i="1"/>
  <c r="K3941" i="1"/>
  <c r="M3941" i="1" s="1"/>
  <c r="K3942" i="1"/>
  <c r="K3943" i="1"/>
  <c r="M3943" i="1" s="1"/>
  <c r="K3944" i="1"/>
  <c r="M3944" i="1" s="1"/>
  <c r="K3945" i="1"/>
  <c r="M3945" i="1" s="1"/>
  <c r="K3946" i="1"/>
  <c r="M3946" i="1" s="1"/>
  <c r="K3947" i="1"/>
  <c r="M3947" i="1" s="1"/>
  <c r="K3948" i="1"/>
  <c r="M3948" i="1" s="1"/>
  <c r="K3949" i="1"/>
  <c r="M3949" i="1" s="1"/>
  <c r="K3950" i="1"/>
  <c r="M3950" i="1" s="1"/>
  <c r="K3951" i="1"/>
  <c r="M3951" i="1" s="1"/>
  <c r="K3952" i="1"/>
  <c r="M3952" i="1" s="1"/>
  <c r="K3953" i="1"/>
  <c r="M3953" i="1" s="1"/>
  <c r="K3954" i="1"/>
  <c r="M3954" i="1" s="1"/>
  <c r="K3955" i="1"/>
  <c r="M3955" i="1" s="1"/>
  <c r="K3956" i="1"/>
  <c r="M3956" i="1" s="1"/>
  <c r="K3957" i="1"/>
  <c r="M3957" i="1" s="1"/>
  <c r="K3958" i="1"/>
  <c r="M3958" i="1" s="1"/>
  <c r="K3959" i="1"/>
  <c r="M3959" i="1" s="1"/>
  <c r="K3960" i="1"/>
  <c r="M3960" i="1" s="1"/>
  <c r="K3961" i="1"/>
  <c r="M3961" i="1" s="1"/>
  <c r="K3962" i="1"/>
  <c r="M3962" i="1" s="1"/>
  <c r="K3963" i="1"/>
  <c r="M3963" i="1" s="1"/>
  <c r="K3964" i="1"/>
  <c r="K3965" i="1"/>
  <c r="M3965" i="1" s="1"/>
  <c r="K3966" i="1"/>
  <c r="M3966" i="1" s="1"/>
  <c r="K3967" i="1"/>
  <c r="M3967" i="1" s="1"/>
  <c r="K3968" i="1"/>
  <c r="M3968" i="1" s="1"/>
  <c r="K3969" i="1"/>
  <c r="M3969" i="1" s="1"/>
  <c r="K3970" i="1"/>
  <c r="M3970" i="1" s="1"/>
  <c r="K3971" i="1"/>
  <c r="M3971" i="1" s="1"/>
  <c r="K3972" i="1"/>
  <c r="K3973" i="1"/>
  <c r="M3973" i="1" s="1"/>
  <c r="K3974" i="1"/>
  <c r="M3974" i="1" s="1"/>
  <c r="K3975" i="1"/>
  <c r="M3975" i="1" s="1"/>
  <c r="K3976" i="1"/>
  <c r="M3976" i="1" s="1"/>
  <c r="K3977" i="1"/>
  <c r="K3978" i="1"/>
  <c r="M3978" i="1" s="1"/>
  <c r="K3979" i="1"/>
  <c r="M3979" i="1" s="1"/>
  <c r="K3980" i="1"/>
  <c r="M3980" i="1" s="1"/>
  <c r="K3981" i="1"/>
  <c r="M3981" i="1" s="1"/>
  <c r="K3982" i="1"/>
  <c r="M3982" i="1" s="1"/>
  <c r="K3983" i="1"/>
  <c r="M3983" i="1" s="1"/>
  <c r="K3984" i="1"/>
  <c r="M3984" i="1" s="1"/>
  <c r="K3985" i="1"/>
  <c r="M3985" i="1" s="1"/>
  <c r="K3986" i="1"/>
  <c r="M3986" i="1" s="1"/>
  <c r="K3987" i="1"/>
  <c r="M3987" i="1" s="1"/>
  <c r="K3988" i="1"/>
  <c r="K3989" i="1"/>
  <c r="M3989" i="1" s="1"/>
  <c r="K3990" i="1"/>
  <c r="M3990" i="1" s="1"/>
  <c r="K3991" i="1"/>
  <c r="M3991" i="1" s="1"/>
  <c r="K3992" i="1"/>
  <c r="M3992" i="1" s="1"/>
  <c r="K3993" i="1"/>
  <c r="K3994" i="1"/>
  <c r="M3994" i="1" s="1"/>
  <c r="K3995" i="1"/>
  <c r="M3995" i="1" s="1"/>
  <c r="K3996" i="1"/>
  <c r="M3996" i="1" s="1"/>
  <c r="K3997" i="1"/>
  <c r="M3997" i="1" s="1"/>
  <c r="K3998" i="1"/>
  <c r="K3999" i="1"/>
  <c r="M3999" i="1" s="1"/>
  <c r="K4000" i="1"/>
  <c r="M4000" i="1" s="1"/>
  <c r="K4001" i="1"/>
  <c r="M4001" i="1" s="1"/>
  <c r="K4002" i="1"/>
  <c r="M4002" i="1" s="1"/>
  <c r="K4003" i="1"/>
  <c r="M4003" i="1" s="1"/>
  <c r="K4004" i="1"/>
  <c r="M4004" i="1" s="1"/>
  <c r="K4005" i="1"/>
  <c r="M4005" i="1" s="1"/>
  <c r="K4006" i="1"/>
  <c r="M4006" i="1" s="1"/>
  <c r="K4007" i="1"/>
  <c r="K4008" i="1"/>
  <c r="M4008" i="1" s="1"/>
  <c r="K4009" i="1"/>
  <c r="M4009" i="1" s="1"/>
  <c r="K4010" i="1"/>
  <c r="M4010" i="1" s="1"/>
  <c r="K4011" i="1"/>
  <c r="M4011" i="1" s="1"/>
  <c r="K4012" i="1"/>
  <c r="K4013" i="1"/>
  <c r="M4013" i="1" s="1"/>
  <c r="K4014" i="1"/>
  <c r="M4014" i="1" s="1"/>
  <c r="K4015" i="1"/>
  <c r="M4015" i="1" s="1"/>
  <c r="K4016" i="1"/>
  <c r="M4016" i="1" s="1"/>
  <c r="K4017" i="1"/>
  <c r="M4017" i="1" s="1"/>
  <c r="K4018" i="1"/>
  <c r="M4018" i="1" s="1"/>
  <c r="K4019" i="1"/>
  <c r="M4019" i="1" s="1"/>
  <c r="K4020" i="1"/>
  <c r="M4020" i="1" s="1"/>
  <c r="K4021" i="1"/>
  <c r="M4021" i="1" s="1"/>
  <c r="K4022" i="1"/>
  <c r="M4022" i="1" s="1"/>
  <c r="K4023" i="1"/>
  <c r="M4023" i="1" s="1"/>
  <c r="K4024" i="1"/>
  <c r="M4024" i="1" s="1"/>
  <c r="K4025" i="1"/>
  <c r="M4025" i="1" s="1"/>
  <c r="K4026" i="1"/>
  <c r="M4026" i="1" s="1"/>
  <c r="K4027" i="1"/>
  <c r="M4027" i="1" s="1"/>
  <c r="K4028" i="1"/>
  <c r="M4028" i="1" s="1"/>
  <c r="K4029" i="1"/>
  <c r="M4029" i="1" s="1"/>
  <c r="K4030" i="1"/>
  <c r="M4030" i="1" s="1"/>
  <c r="K4031" i="1"/>
  <c r="M4031" i="1" s="1"/>
  <c r="K4032" i="1"/>
  <c r="M4032" i="1" s="1"/>
  <c r="K4033" i="1"/>
  <c r="M4033" i="1" s="1"/>
  <c r="K4034" i="1"/>
  <c r="M4034" i="1" s="1"/>
  <c r="K4035" i="1"/>
  <c r="K4036" i="1"/>
  <c r="M4036" i="1" s="1"/>
  <c r="K4037" i="1"/>
  <c r="K4038" i="1"/>
  <c r="M4038" i="1" s="1"/>
  <c r="K4039" i="1"/>
  <c r="M4039" i="1" s="1"/>
  <c r="K4040" i="1"/>
  <c r="M4040" i="1" s="1"/>
  <c r="K4041" i="1"/>
  <c r="K4042" i="1"/>
  <c r="M4042" i="1" s="1"/>
  <c r="K4043" i="1"/>
  <c r="K4044" i="1"/>
  <c r="M4044" i="1" s="1"/>
  <c r="K4045" i="1"/>
  <c r="K4046" i="1"/>
  <c r="M4046" i="1" s="1"/>
  <c r="K4047" i="1"/>
  <c r="M4047" i="1" s="1"/>
  <c r="K4048" i="1"/>
  <c r="M4048" i="1" s="1"/>
  <c r="K4049" i="1"/>
  <c r="M4049" i="1" s="1"/>
  <c r="K4050" i="1"/>
  <c r="M4050" i="1" s="1"/>
  <c r="K4051" i="1"/>
  <c r="M4051" i="1" s="1"/>
  <c r="K4052" i="1"/>
  <c r="M4052" i="1" s="1"/>
  <c r="K4053" i="1"/>
  <c r="M4053" i="1" s="1"/>
  <c r="K4054" i="1"/>
  <c r="M4054" i="1" s="1"/>
  <c r="K4055" i="1"/>
  <c r="M4055" i="1" s="1"/>
  <c r="K4056" i="1"/>
  <c r="M4056" i="1" s="1"/>
  <c r="K4057" i="1"/>
  <c r="M4057" i="1" s="1"/>
  <c r="K4058" i="1"/>
  <c r="M4058" i="1" s="1"/>
  <c r="K4059" i="1"/>
  <c r="M4059" i="1" s="1"/>
  <c r="K4060" i="1"/>
  <c r="K4061" i="1"/>
  <c r="M4061" i="1" s="1"/>
  <c r="K4062" i="1"/>
  <c r="M4062" i="1" s="1"/>
  <c r="K4063" i="1"/>
  <c r="M4063" i="1" s="1"/>
  <c r="K4064" i="1"/>
  <c r="K4065" i="1"/>
  <c r="M4065" i="1" s="1"/>
  <c r="K4066" i="1"/>
  <c r="M4066" i="1" s="1"/>
  <c r="K4067" i="1"/>
  <c r="M4067" i="1" s="1"/>
  <c r="K4068" i="1"/>
  <c r="M4068" i="1" s="1"/>
  <c r="K4069" i="1"/>
  <c r="M4069" i="1" s="1"/>
  <c r="K4070" i="1"/>
  <c r="M4070" i="1" s="1"/>
  <c r="K4071" i="1"/>
  <c r="M4071" i="1" s="1"/>
  <c r="K4072" i="1"/>
  <c r="M4072" i="1" s="1"/>
  <c r="K4073" i="1"/>
  <c r="M4073" i="1" s="1"/>
  <c r="K4074" i="1"/>
  <c r="M4074" i="1" s="1"/>
  <c r="K4075" i="1"/>
  <c r="M4075" i="1" s="1"/>
  <c r="K4076" i="1"/>
  <c r="K4077" i="1"/>
  <c r="M4077" i="1" s="1"/>
  <c r="K4078" i="1"/>
  <c r="K4079" i="1"/>
  <c r="M4079" i="1" s="1"/>
  <c r="K4080" i="1"/>
  <c r="M4080" i="1" s="1"/>
  <c r="K4081" i="1"/>
  <c r="M4081" i="1" s="1"/>
  <c r="K4082" i="1"/>
  <c r="M4082" i="1" s="1"/>
  <c r="K4083" i="1"/>
  <c r="M4083" i="1" s="1"/>
  <c r="K4084" i="1"/>
  <c r="M4084" i="1" s="1"/>
  <c r="K4085" i="1"/>
  <c r="M4085" i="1" s="1"/>
  <c r="K4086" i="1"/>
  <c r="M4086" i="1" s="1"/>
  <c r="K4087" i="1"/>
  <c r="M4087" i="1" s="1"/>
  <c r="K4088" i="1"/>
  <c r="M4088" i="1" s="1"/>
  <c r="K4089" i="1"/>
  <c r="M4089" i="1" s="1"/>
  <c r="K4090" i="1"/>
  <c r="M4090" i="1" s="1"/>
  <c r="K4091" i="1"/>
  <c r="M4091" i="1" s="1"/>
  <c r="K4092" i="1"/>
  <c r="M4092" i="1" s="1"/>
  <c r="K4093" i="1"/>
  <c r="M4093" i="1" s="1"/>
  <c r="K4094" i="1"/>
  <c r="M4094" i="1" s="1"/>
  <c r="K4095" i="1"/>
  <c r="M4095" i="1" s="1"/>
  <c r="K4096" i="1"/>
  <c r="M4096" i="1" s="1"/>
  <c r="K4097" i="1"/>
  <c r="M4097" i="1" s="1"/>
  <c r="K4098" i="1"/>
  <c r="M4098" i="1" s="1"/>
  <c r="K4099" i="1"/>
  <c r="M4099" i="1" s="1"/>
  <c r="K4100" i="1"/>
  <c r="M4100" i="1" s="1"/>
  <c r="K4101" i="1"/>
  <c r="K4102" i="1"/>
  <c r="K4103" i="1"/>
  <c r="M4103" i="1" s="1"/>
  <c r="K4104" i="1"/>
  <c r="M4104" i="1" s="1"/>
  <c r="K4105" i="1"/>
  <c r="M4105" i="1" s="1"/>
  <c r="K4106" i="1"/>
  <c r="K4107" i="1"/>
  <c r="M4107" i="1" s="1"/>
  <c r="K4108" i="1"/>
  <c r="M4108" i="1" s="1"/>
  <c r="K4109" i="1"/>
  <c r="M4109" i="1" s="1"/>
  <c r="K4110" i="1"/>
  <c r="M4110" i="1" s="1"/>
  <c r="K4111" i="1"/>
  <c r="M4111" i="1" s="1"/>
  <c r="K4112" i="1"/>
  <c r="M4112" i="1" s="1"/>
  <c r="K4113" i="1"/>
  <c r="M4113" i="1" s="1"/>
  <c r="K4114" i="1"/>
  <c r="M4114" i="1" s="1"/>
  <c r="K4115" i="1"/>
  <c r="K4116" i="1"/>
  <c r="M4116" i="1" s="1"/>
  <c r="K4117" i="1"/>
  <c r="M4117" i="1" s="1"/>
  <c r="K4118" i="1"/>
  <c r="M4118" i="1" s="1"/>
  <c r="K4119" i="1"/>
  <c r="M4119" i="1" s="1"/>
  <c r="K4120" i="1"/>
  <c r="M4120" i="1" s="1"/>
  <c r="K4121" i="1"/>
  <c r="M4121" i="1" s="1"/>
  <c r="K4122" i="1"/>
  <c r="M4122" i="1" s="1"/>
  <c r="K4123" i="1"/>
  <c r="M4123" i="1" s="1"/>
  <c r="K4124" i="1"/>
  <c r="M4124" i="1" s="1"/>
  <c r="K4125" i="1"/>
  <c r="K4126" i="1"/>
  <c r="M4126" i="1" s="1"/>
  <c r="K4127" i="1"/>
  <c r="M4127" i="1" s="1"/>
  <c r="K4128" i="1"/>
  <c r="M4128" i="1" s="1"/>
  <c r="K4129" i="1"/>
  <c r="M4129" i="1" s="1"/>
  <c r="K4130" i="1"/>
  <c r="M4130" i="1" s="1"/>
  <c r="K4131" i="1"/>
  <c r="M4131" i="1" s="1"/>
  <c r="K4132" i="1"/>
  <c r="M4132" i="1" s="1"/>
  <c r="K4133" i="1"/>
  <c r="M4133" i="1" s="1"/>
  <c r="K4134" i="1"/>
  <c r="K4135" i="1"/>
  <c r="M4135" i="1" s="1"/>
  <c r="K4136" i="1"/>
  <c r="K4137" i="1"/>
  <c r="M4137" i="1" s="1"/>
  <c r="K4138" i="1"/>
  <c r="M4138" i="1" s="1"/>
  <c r="K4139" i="1"/>
  <c r="M4139" i="1" s="1"/>
  <c r="K4140" i="1"/>
  <c r="M4140" i="1" s="1"/>
  <c r="K4141" i="1"/>
  <c r="M4141" i="1" s="1"/>
  <c r="K4142" i="1"/>
  <c r="M4142" i="1" s="1"/>
  <c r="K4143" i="1"/>
  <c r="M4143" i="1" s="1"/>
  <c r="K4144" i="1"/>
  <c r="M4144" i="1" s="1"/>
  <c r="K4145" i="1"/>
  <c r="M4145" i="1" s="1"/>
  <c r="K4146" i="1"/>
  <c r="K4147" i="1"/>
  <c r="M4147" i="1" s="1"/>
  <c r="K4148" i="1"/>
  <c r="M4148" i="1" s="1"/>
  <c r="K4149" i="1"/>
  <c r="K4150" i="1"/>
  <c r="K4151" i="1"/>
  <c r="K4152" i="1"/>
  <c r="M4152" i="1" s="1"/>
  <c r="K4153" i="1"/>
  <c r="M4153" i="1" s="1"/>
  <c r="K4154" i="1"/>
  <c r="M4154" i="1" s="1"/>
  <c r="K4155" i="1"/>
  <c r="M4155" i="1" s="1"/>
  <c r="K4156" i="1"/>
  <c r="M4156" i="1" s="1"/>
  <c r="K4157" i="1"/>
  <c r="M4157" i="1" s="1"/>
  <c r="K4158" i="1"/>
  <c r="M4158" i="1" s="1"/>
  <c r="K4159" i="1"/>
  <c r="M4159" i="1" s="1"/>
  <c r="K4160" i="1"/>
  <c r="M4160" i="1" s="1"/>
  <c r="K4161" i="1"/>
  <c r="M4161" i="1" s="1"/>
  <c r="K4162" i="1"/>
  <c r="M4162" i="1" s="1"/>
  <c r="K4163" i="1"/>
  <c r="K4164" i="1"/>
  <c r="M4164" i="1" s="1"/>
  <c r="K4165" i="1"/>
  <c r="M4165" i="1" s="1"/>
  <c r="K4166" i="1"/>
  <c r="K4167" i="1"/>
  <c r="M4167" i="1" s="1"/>
  <c r="K4168" i="1"/>
  <c r="M4168" i="1" s="1"/>
  <c r="K4169" i="1"/>
  <c r="M4169" i="1" s="1"/>
  <c r="K4170" i="1"/>
  <c r="M4170" i="1" s="1"/>
  <c r="K4171" i="1"/>
  <c r="M4171" i="1" s="1"/>
  <c r="K4172" i="1"/>
  <c r="M4172" i="1" s="1"/>
  <c r="K4173" i="1"/>
  <c r="K4174" i="1"/>
  <c r="M4174" i="1" s="1"/>
  <c r="K4175" i="1"/>
  <c r="M4175" i="1" s="1"/>
  <c r="K4176" i="1"/>
  <c r="M4176" i="1" s="1"/>
  <c r="K4177" i="1"/>
  <c r="M4177" i="1" s="1"/>
  <c r="K4178" i="1"/>
  <c r="M4178" i="1" s="1"/>
  <c r="K4179" i="1"/>
  <c r="M4179" i="1" s="1"/>
  <c r="K4180" i="1"/>
  <c r="M4180" i="1" s="1"/>
  <c r="K4181" i="1"/>
  <c r="M4181" i="1" s="1"/>
  <c r="K4182" i="1"/>
  <c r="M4182" i="1" s="1"/>
  <c r="K4183" i="1"/>
  <c r="M4183" i="1" s="1"/>
  <c r="K4184" i="1"/>
  <c r="M4184" i="1" s="1"/>
  <c r="K4185" i="1"/>
  <c r="M4185" i="1" s="1"/>
  <c r="K4186" i="1"/>
  <c r="M4186" i="1" s="1"/>
  <c r="K4187" i="1"/>
  <c r="M4187" i="1" s="1"/>
  <c r="K4188" i="1"/>
  <c r="M4188" i="1" s="1"/>
  <c r="K4189" i="1"/>
  <c r="M4189" i="1" s="1"/>
  <c r="K4190" i="1"/>
  <c r="M4190" i="1" s="1"/>
  <c r="K4191" i="1"/>
  <c r="M4191" i="1" s="1"/>
  <c r="K4192" i="1"/>
  <c r="K4193" i="1"/>
  <c r="M4193" i="1" s="1"/>
  <c r="K4194" i="1"/>
  <c r="M4194" i="1" s="1"/>
  <c r="K4195" i="1"/>
  <c r="M4195" i="1" s="1"/>
  <c r="K4196" i="1"/>
  <c r="M4196" i="1" s="1"/>
  <c r="K4197" i="1"/>
  <c r="M4197" i="1" s="1"/>
  <c r="K4198" i="1"/>
  <c r="M4198" i="1" s="1"/>
  <c r="K4199" i="1"/>
  <c r="M4199" i="1" s="1"/>
  <c r="K4200" i="1"/>
  <c r="M4200" i="1" s="1"/>
  <c r="K4201" i="1"/>
  <c r="M4201" i="1" s="1"/>
  <c r="K4202" i="1"/>
  <c r="M4202" i="1" s="1"/>
  <c r="K4203" i="1"/>
  <c r="M4203" i="1" s="1"/>
  <c r="K4204" i="1"/>
  <c r="M4204" i="1" s="1"/>
  <c r="K4205" i="1"/>
  <c r="M4205" i="1" s="1"/>
  <c r="K4206" i="1"/>
  <c r="M4206" i="1" s="1"/>
  <c r="K4207" i="1"/>
  <c r="M4207" i="1" s="1"/>
  <c r="K4208" i="1"/>
  <c r="M4208" i="1" s="1"/>
  <c r="K4209" i="1"/>
  <c r="M4209" i="1" s="1"/>
  <c r="K4210" i="1"/>
  <c r="M4210" i="1" s="1"/>
  <c r="K4211" i="1"/>
  <c r="M4211" i="1" s="1"/>
  <c r="K4212" i="1"/>
  <c r="M4212" i="1" s="1"/>
  <c r="K4213" i="1"/>
  <c r="M4213" i="1" s="1"/>
  <c r="K4214" i="1"/>
  <c r="M4214" i="1" s="1"/>
  <c r="K4215" i="1"/>
  <c r="M4215" i="1" s="1"/>
  <c r="K4216" i="1"/>
  <c r="K4217" i="1"/>
  <c r="M4217" i="1" s="1"/>
  <c r="K4218" i="1"/>
  <c r="K4219" i="1"/>
  <c r="M4219" i="1" s="1"/>
  <c r="K4220" i="1"/>
  <c r="M4220" i="1" s="1"/>
  <c r="K4221" i="1"/>
  <c r="M4221" i="1" s="1"/>
  <c r="K4222" i="1"/>
  <c r="M4222" i="1" s="1"/>
  <c r="K4223" i="1"/>
  <c r="M4223" i="1" s="1"/>
  <c r="K4224" i="1"/>
  <c r="M4224" i="1" s="1"/>
  <c r="K4225" i="1"/>
  <c r="M4225" i="1" s="1"/>
  <c r="K4226" i="1"/>
  <c r="M4226" i="1" s="1"/>
  <c r="K4227" i="1"/>
  <c r="M4227" i="1" s="1"/>
  <c r="K4228" i="1"/>
  <c r="M4228" i="1" s="1"/>
  <c r="K4229" i="1"/>
  <c r="M4229" i="1" s="1"/>
  <c r="K4230" i="1"/>
  <c r="M4230" i="1" s="1"/>
  <c r="K4231" i="1"/>
  <c r="M4231" i="1" s="1"/>
  <c r="K4232" i="1"/>
  <c r="M4232" i="1" s="1"/>
  <c r="K4233" i="1"/>
  <c r="M4233" i="1" s="1"/>
  <c r="K4234" i="1"/>
  <c r="M4234" i="1" s="1"/>
  <c r="K4235" i="1"/>
  <c r="M4235" i="1" s="1"/>
  <c r="K4236" i="1"/>
  <c r="M4236" i="1" s="1"/>
  <c r="K4237" i="1"/>
  <c r="M4237" i="1" s="1"/>
  <c r="K4238" i="1"/>
  <c r="M4238" i="1" s="1"/>
  <c r="K4239" i="1"/>
  <c r="M4239" i="1" s="1"/>
  <c r="K4240" i="1"/>
  <c r="M4240" i="1" s="1"/>
  <c r="K4241" i="1"/>
  <c r="M4241" i="1" s="1"/>
  <c r="K4242" i="1"/>
  <c r="M4242" i="1" s="1"/>
  <c r="K4243" i="1"/>
  <c r="M4243" i="1" s="1"/>
  <c r="K4244" i="1"/>
  <c r="M4244" i="1" s="1"/>
  <c r="K4245" i="1"/>
  <c r="M4245" i="1" s="1"/>
  <c r="K4246" i="1"/>
  <c r="M4246" i="1" s="1"/>
  <c r="K4247" i="1"/>
  <c r="M4247" i="1" s="1"/>
  <c r="K4248" i="1"/>
  <c r="M4248" i="1" s="1"/>
  <c r="K4249" i="1"/>
  <c r="M4249" i="1" s="1"/>
  <c r="K4250" i="1"/>
  <c r="M4250" i="1" s="1"/>
  <c r="K4251" i="1"/>
  <c r="M4251" i="1" s="1"/>
  <c r="K4252" i="1"/>
  <c r="M4252" i="1" s="1"/>
  <c r="K4253" i="1"/>
  <c r="M4253" i="1" s="1"/>
  <c r="K4254" i="1"/>
  <c r="K4255" i="1"/>
  <c r="M4255" i="1" s="1"/>
  <c r="K4256" i="1"/>
  <c r="M4256" i="1" s="1"/>
  <c r="K4257" i="1"/>
  <c r="K4258" i="1"/>
  <c r="K4259" i="1"/>
  <c r="K4260" i="1"/>
  <c r="M4260" i="1" s="1"/>
  <c r="K4261" i="1"/>
  <c r="M4261" i="1" s="1"/>
  <c r="K4262" i="1"/>
  <c r="M4262" i="1" s="1"/>
  <c r="K4263" i="1"/>
  <c r="M4263" i="1" s="1"/>
  <c r="K4264" i="1"/>
  <c r="M4264" i="1" s="1"/>
  <c r="K4265" i="1"/>
  <c r="M4265" i="1" s="1"/>
  <c r="K4266" i="1"/>
  <c r="M4266" i="1" s="1"/>
  <c r="K4267" i="1"/>
  <c r="M4267" i="1" s="1"/>
  <c r="K4268" i="1"/>
  <c r="M4268" i="1" s="1"/>
  <c r="K4269" i="1"/>
  <c r="M4269" i="1" s="1"/>
  <c r="K4270" i="1"/>
  <c r="K4271" i="1"/>
  <c r="M4271" i="1" s="1"/>
  <c r="K4272" i="1"/>
  <c r="M4272" i="1" s="1"/>
  <c r="K4273" i="1"/>
  <c r="M4273" i="1" s="1"/>
  <c r="K4274" i="1"/>
  <c r="M4274" i="1" s="1"/>
  <c r="K4275" i="1"/>
  <c r="M4275" i="1" s="1"/>
  <c r="K4276" i="1"/>
  <c r="M4276" i="1" s="1"/>
  <c r="K4277" i="1"/>
  <c r="M4277" i="1" s="1"/>
  <c r="K4278" i="1"/>
  <c r="M4278" i="1" s="1"/>
  <c r="K4279" i="1"/>
  <c r="M4279" i="1" s="1"/>
  <c r="K4280" i="1"/>
  <c r="K4281" i="1"/>
  <c r="K4282" i="1"/>
  <c r="K4283" i="1"/>
  <c r="M4283" i="1" s="1"/>
  <c r="K4284" i="1"/>
  <c r="M4284" i="1" s="1"/>
  <c r="K4285" i="1"/>
  <c r="M4285" i="1" s="1"/>
  <c r="K4286" i="1"/>
  <c r="M4286" i="1" s="1"/>
  <c r="K4287" i="1"/>
  <c r="M4287" i="1" s="1"/>
  <c r="K4288" i="1"/>
  <c r="M4288" i="1" s="1"/>
  <c r="K4289" i="1"/>
  <c r="M4289" i="1" s="1"/>
  <c r="K4290" i="1"/>
  <c r="M4290" i="1" s="1"/>
  <c r="K4291" i="1"/>
  <c r="M4291" i="1" s="1"/>
  <c r="K4292" i="1"/>
  <c r="M4292" i="1" s="1"/>
  <c r="K4293" i="1"/>
  <c r="M4293" i="1" s="1"/>
  <c r="K4294" i="1"/>
  <c r="M4294" i="1" s="1"/>
  <c r="K4295" i="1"/>
  <c r="M4295" i="1" s="1"/>
  <c r="K4296" i="1"/>
  <c r="K4297" i="1"/>
  <c r="M4297" i="1" s="1"/>
  <c r="K4298" i="1"/>
  <c r="M4298" i="1" s="1"/>
  <c r="K4299" i="1"/>
  <c r="M4299" i="1" s="1"/>
  <c r="K4300" i="1"/>
  <c r="M4300" i="1" s="1"/>
  <c r="K4301" i="1"/>
  <c r="M4301" i="1" s="1"/>
  <c r="K4302" i="1"/>
  <c r="M4302" i="1" s="1"/>
  <c r="K4303" i="1"/>
  <c r="M4303" i="1" s="1"/>
  <c r="K4304" i="1"/>
  <c r="M4304" i="1" s="1"/>
  <c r="K4305" i="1"/>
  <c r="K4306" i="1"/>
  <c r="M4306" i="1" s="1"/>
  <c r="K4307" i="1"/>
  <c r="M4307" i="1" s="1"/>
  <c r="K4308" i="1"/>
  <c r="M4308" i="1" s="1"/>
  <c r="K4309" i="1"/>
  <c r="M4309" i="1" s="1"/>
  <c r="K4310" i="1"/>
  <c r="M4310" i="1" s="1"/>
  <c r="K4311" i="1"/>
  <c r="K4312" i="1"/>
  <c r="M4312" i="1" s="1"/>
  <c r="K4313" i="1"/>
  <c r="M4313" i="1" s="1"/>
  <c r="K4314" i="1"/>
  <c r="M4314" i="1" s="1"/>
  <c r="K4315" i="1"/>
  <c r="M4315" i="1" s="1"/>
  <c r="K4316" i="1"/>
  <c r="M4316" i="1" s="1"/>
  <c r="K4317" i="1"/>
  <c r="M4317" i="1" s="1"/>
  <c r="K4318" i="1"/>
  <c r="M4318" i="1" s="1"/>
  <c r="K4319" i="1"/>
  <c r="M4319" i="1" s="1"/>
  <c r="K4320" i="1"/>
  <c r="M4320" i="1" s="1"/>
  <c r="K4321" i="1"/>
  <c r="M4321" i="1" s="1"/>
  <c r="K4322" i="1"/>
  <c r="M4322" i="1" s="1"/>
  <c r="K4323" i="1"/>
  <c r="M4323" i="1" s="1"/>
  <c r="K4324" i="1"/>
  <c r="M4324" i="1" s="1"/>
  <c r="K4325" i="1"/>
  <c r="M4325" i="1" s="1"/>
  <c r="K4326" i="1"/>
  <c r="K4327" i="1"/>
  <c r="M4327" i="1" s="1"/>
  <c r="K4328" i="1"/>
  <c r="M4328" i="1" s="1"/>
  <c r="K4329" i="1"/>
  <c r="M4329" i="1" s="1"/>
  <c r="K4330" i="1"/>
  <c r="K4331" i="1"/>
  <c r="K4332" i="1"/>
  <c r="M4332" i="1" s="1"/>
  <c r="K4333" i="1"/>
  <c r="M4333" i="1" s="1"/>
  <c r="K4334" i="1"/>
  <c r="M4334" i="1" s="1"/>
  <c r="K4335" i="1"/>
  <c r="M4335" i="1" s="1"/>
  <c r="K4336" i="1"/>
  <c r="M4336" i="1" s="1"/>
  <c r="K4337" i="1"/>
  <c r="M4337" i="1" s="1"/>
  <c r="K4338" i="1"/>
  <c r="M4338" i="1" s="1"/>
  <c r="K4339" i="1"/>
  <c r="M4339" i="1" s="1"/>
  <c r="K4340" i="1"/>
  <c r="M4340" i="1" s="1"/>
  <c r="K4341" i="1"/>
  <c r="M4341" i="1" s="1"/>
  <c r="K4342" i="1"/>
  <c r="M4342" i="1" s="1"/>
  <c r="K4343" i="1"/>
  <c r="K4344" i="1"/>
  <c r="M4344" i="1" s="1"/>
  <c r="K4345" i="1"/>
  <c r="M4345" i="1" s="1"/>
  <c r="K4346" i="1"/>
  <c r="M4346" i="1" s="1"/>
  <c r="K4347" i="1"/>
  <c r="M4347" i="1" s="1"/>
  <c r="K4348" i="1"/>
  <c r="M4348" i="1" s="1"/>
  <c r="K4349" i="1"/>
  <c r="M4349" i="1" s="1"/>
  <c r="K4350" i="1"/>
  <c r="M4350" i="1" s="1"/>
  <c r="K4351" i="1"/>
  <c r="M4351" i="1" s="1"/>
  <c r="K4352" i="1"/>
  <c r="M4352" i="1" s="1"/>
  <c r="K4353" i="1"/>
  <c r="M4353" i="1" s="1"/>
  <c r="K4354" i="1"/>
  <c r="M4354" i="1" s="1"/>
  <c r="K4355" i="1"/>
  <c r="M4355" i="1" s="1"/>
  <c r="K4356" i="1"/>
  <c r="M4356" i="1" s="1"/>
  <c r="K4357" i="1"/>
  <c r="M4357" i="1" s="1"/>
  <c r="K4358" i="1"/>
  <c r="M4358" i="1" s="1"/>
  <c r="K4359" i="1"/>
  <c r="M4359" i="1" s="1"/>
  <c r="K4360" i="1"/>
  <c r="M4360" i="1" s="1"/>
  <c r="K4361" i="1"/>
  <c r="K4362" i="1"/>
  <c r="K4363" i="1"/>
  <c r="M4363" i="1" s="1"/>
  <c r="K4364" i="1"/>
  <c r="M4364" i="1" s="1"/>
  <c r="K4365" i="1"/>
  <c r="M4365" i="1" s="1"/>
  <c r="K4366" i="1"/>
  <c r="M4366" i="1" s="1"/>
  <c r="K4367" i="1"/>
  <c r="M4367" i="1" s="1"/>
  <c r="K4368" i="1"/>
  <c r="M4368" i="1" s="1"/>
  <c r="K4369" i="1"/>
  <c r="M4369" i="1" s="1"/>
  <c r="K4370" i="1"/>
  <c r="M4370" i="1" s="1"/>
  <c r="K4371" i="1"/>
  <c r="K4372" i="1"/>
  <c r="K4373" i="1"/>
  <c r="K4374" i="1"/>
  <c r="K4375" i="1"/>
  <c r="M4375" i="1" s="1"/>
  <c r="K4376" i="1"/>
  <c r="M4376" i="1" s="1"/>
  <c r="K4377" i="1"/>
  <c r="K4378" i="1"/>
  <c r="M4378" i="1" s="1"/>
  <c r="K4379" i="1"/>
  <c r="M4379" i="1" s="1"/>
  <c r="K4380" i="1"/>
  <c r="M4380" i="1" s="1"/>
  <c r="K4381" i="1"/>
  <c r="M4381" i="1" s="1"/>
  <c r="K4382" i="1"/>
  <c r="M4382" i="1" s="1"/>
  <c r="K4383" i="1"/>
  <c r="M4383" i="1" s="1"/>
  <c r="K4384" i="1"/>
  <c r="M4384" i="1" s="1"/>
  <c r="K4385" i="1"/>
  <c r="M4385" i="1" s="1"/>
  <c r="K4386" i="1"/>
  <c r="K4387" i="1"/>
  <c r="M4387" i="1" s="1"/>
  <c r="K4388" i="1"/>
  <c r="K4389" i="1"/>
  <c r="M4389" i="1" s="1"/>
  <c r="K4390" i="1"/>
  <c r="M4390" i="1" s="1"/>
  <c r="K4391" i="1"/>
  <c r="M4391" i="1" s="1"/>
  <c r="K4392" i="1"/>
  <c r="M4392" i="1" s="1"/>
  <c r="K4393" i="1"/>
  <c r="M4393" i="1" s="1"/>
  <c r="K4394" i="1"/>
  <c r="K4395" i="1"/>
  <c r="M4395" i="1" s="1"/>
  <c r="K4396" i="1"/>
  <c r="M4396" i="1" s="1"/>
  <c r="K4397" i="1"/>
  <c r="M4397" i="1" s="1"/>
  <c r="K4398" i="1"/>
  <c r="M4398" i="1" s="1"/>
  <c r="K4399" i="1"/>
  <c r="M4399" i="1" s="1"/>
  <c r="K4400" i="1"/>
  <c r="M4400" i="1" s="1"/>
  <c r="K4401" i="1"/>
  <c r="M4401" i="1" s="1"/>
  <c r="K4402" i="1"/>
  <c r="M4402" i="1" s="1"/>
  <c r="K4403" i="1"/>
  <c r="M4403" i="1" s="1"/>
  <c r="K4404" i="1"/>
  <c r="M4404" i="1" s="1"/>
  <c r="K4405" i="1"/>
  <c r="M4405" i="1" s="1"/>
  <c r="K4406" i="1"/>
  <c r="M4406" i="1" s="1"/>
  <c r="K4407" i="1"/>
  <c r="M4407" i="1" s="1"/>
  <c r="K4408" i="1"/>
  <c r="M4408" i="1" s="1"/>
  <c r="K4409" i="1"/>
  <c r="M4409" i="1" s="1"/>
  <c r="K4410" i="1"/>
  <c r="K4411" i="1"/>
  <c r="K4412" i="1"/>
  <c r="M4412" i="1" s="1"/>
  <c r="K4413" i="1"/>
  <c r="M4413" i="1" s="1"/>
  <c r="K4414" i="1"/>
  <c r="M4414" i="1" s="1"/>
  <c r="K4415" i="1"/>
  <c r="M4415" i="1" s="1"/>
  <c r="K4416" i="1"/>
  <c r="K4417" i="1"/>
  <c r="M4417" i="1" s="1"/>
  <c r="K4418" i="1"/>
  <c r="M4418" i="1" s="1"/>
  <c r="K4419" i="1"/>
  <c r="M4419" i="1" s="1"/>
  <c r="K4420" i="1"/>
  <c r="M4420" i="1" s="1"/>
  <c r="K4421" i="1"/>
  <c r="M4421" i="1" s="1"/>
  <c r="K4422" i="1"/>
  <c r="M4422" i="1" s="1"/>
  <c r="K4423" i="1"/>
  <c r="M4423" i="1" s="1"/>
  <c r="K4424" i="1"/>
  <c r="M4424" i="1" s="1"/>
  <c r="K4425" i="1"/>
  <c r="M4425" i="1" s="1"/>
  <c r="K4426" i="1"/>
  <c r="M4426" i="1" s="1"/>
  <c r="K4427" i="1"/>
  <c r="M4427" i="1" s="1"/>
  <c r="K4428" i="1"/>
  <c r="M4428" i="1" s="1"/>
  <c r="K4429" i="1"/>
  <c r="M4429" i="1" s="1"/>
  <c r="K4430" i="1"/>
  <c r="M4430" i="1" s="1"/>
  <c r="K4431" i="1"/>
  <c r="M4431" i="1" s="1"/>
  <c r="K4432" i="1"/>
  <c r="M4432" i="1" s="1"/>
  <c r="K4433" i="1"/>
  <c r="M4433" i="1" s="1"/>
  <c r="K4434" i="1"/>
  <c r="M4434" i="1" s="1"/>
  <c r="K4435" i="1"/>
  <c r="M4435" i="1" s="1"/>
  <c r="K4436" i="1"/>
  <c r="M4436" i="1" s="1"/>
  <c r="K4437" i="1"/>
  <c r="M4437" i="1" s="1"/>
  <c r="K4438" i="1"/>
  <c r="K4439" i="1"/>
  <c r="M4439" i="1" s="1"/>
  <c r="K4440" i="1"/>
  <c r="K4441" i="1"/>
  <c r="M4441" i="1" s="1"/>
  <c r="K4442" i="1"/>
  <c r="M4442" i="1" s="1"/>
  <c r="K4443" i="1"/>
  <c r="M4443" i="1" s="1"/>
  <c r="K4444" i="1"/>
  <c r="M4444" i="1" s="1"/>
  <c r="K4445" i="1"/>
  <c r="M4445" i="1" s="1"/>
  <c r="K4446" i="1"/>
  <c r="M4446" i="1" s="1"/>
  <c r="K4447" i="1"/>
  <c r="M4447" i="1" s="1"/>
  <c r="K4448" i="1"/>
  <c r="M4448" i="1" s="1"/>
  <c r="K4449" i="1"/>
  <c r="M4449" i="1" s="1"/>
  <c r="K4450" i="1"/>
  <c r="M4450" i="1" s="1"/>
  <c r="K4451" i="1"/>
  <c r="M4451" i="1" s="1"/>
  <c r="K4452" i="1"/>
  <c r="M4452" i="1" s="1"/>
  <c r="K4453" i="1"/>
  <c r="M4453" i="1" s="1"/>
  <c r="K4454" i="1"/>
  <c r="M4454" i="1" s="1"/>
  <c r="K4455" i="1"/>
  <c r="K4456" i="1"/>
  <c r="M4456" i="1" s="1"/>
  <c r="K4457" i="1"/>
  <c r="M4457" i="1" s="1"/>
  <c r="K4458" i="1"/>
  <c r="M4458" i="1" s="1"/>
  <c r="K4459" i="1"/>
  <c r="M4459" i="1" s="1"/>
  <c r="K4460" i="1"/>
  <c r="M4460" i="1" s="1"/>
  <c r="K4461" i="1"/>
  <c r="K4462" i="1"/>
  <c r="M4462" i="1" s="1"/>
  <c r="K4463" i="1"/>
  <c r="M4463" i="1" s="1"/>
  <c r="K4464" i="1"/>
  <c r="M4464" i="1" s="1"/>
  <c r="K4465" i="1"/>
  <c r="M4465" i="1" s="1"/>
  <c r="K4466" i="1"/>
  <c r="M4466" i="1" s="1"/>
  <c r="K4467" i="1"/>
  <c r="M4467" i="1" s="1"/>
  <c r="K4468" i="1"/>
  <c r="M4468" i="1" s="1"/>
  <c r="K4469" i="1"/>
  <c r="M4469" i="1" s="1"/>
  <c r="K4470" i="1"/>
  <c r="M4470" i="1" s="1"/>
  <c r="K4471" i="1"/>
  <c r="M4471" i="1" s="1"/>
  <c r="K4472" i="1"/>
  <c r="M4472" i="1" s="1"/>
  <c r="K4473" i="1"/>
  <c r="M4473" i="1" s="1"/>
  <c r="K4474" i="1"/>
  <c r="M4474" i="1" s="1"/>
  <c r="K4475" i="1"/>
  <c r="M4475" i="1" s="1"/>
  <c r="K4476" i="1"/>
  <c r="M4476" i="1" s="1"/>
  <c r="K4477" i="1"/>
  <c r="M4477" i="1" s="1"/>
  <c r="K4478" i="1"/>
  <c r="M4478" i="1" s="1"/>
  <c r="K4479" i="1"/>
  <c r="M4479" i="1" s="1"/>
  <c r="K4480" i="1"/>
  <c r="M4480" i="1" s="1"/>
  <c r="K4481" i="1"/>
  <c r="M4481" i="1" s="1"/>
  <c r="K4482" i="1"/>
  <c r="M4482" i="1" s="1"/>
  <c r="K4483" i="1"/>
  <c r="M4483" i="1" s="1"/>
  <c r="K4484" i="1"/>
  <c r="M4484" i="1" s="1"/>
  <c r="K4485" i="1"/>
  <c r="M4485" i="1" s="1"/>
  <c r="K4486" i="1"/>
  <c r="M4486" i="1" s="1"/>
  <c r="K4487" i="1"/>
  <c r="M4487" i="1" s="1"/>
  <c r="K4488" i="1"/>
  <c r="M4488" i="1" s="1"/>
  <c r="K4489" i="1"/>
  <c r="M4489" i="1" s="1"/>
  <c r="K4490" i="1"/>
  <c r="M4490" i="1" s="1"/>
  <c r="K4491" i="1"/>
  <c r="M4491" i="1" s="1"/>
  <c r="K4492" i="1"/>
  <c r="M4492" i="1" s="1"/>
  <c r="K4493" i="1"/>
  <c r="M4493" i="1" s="1"/>
  <c r="K4494" i="1"/>
  <c r="M4494" i="1" s="1"/>
  <c r="K4495" i="1"/>
  <c r="K4496" i="1"/>
  <c r="M4496" i="1" s="1"/>
  <c r="K4497" i="1"/>
  <c r="M4497" i="1" s="1"/>
  <c r="K4498" i="1"/>
  <c r="M4498" i="1" s="1"/>
  <c r="K4499" i="1"/>
  <c r="M4499" i="1" s="1"/>
  <c r="K4500" i="1"/>
  <c r="M4500" i="1" s="1"/>
  <c r="K4501" i="1"/>
  <c r="M4501" i="1" s="1"/>
  <c r="K4502" i="1"/>
  <c r="M4502" i="1" s="1"/>
  <c r="K4503" i="1"/>
  <c r="K4504" i="1"/>
  <c r="K4505" i="1"/>
  <c r="M4505" i="1" s="1"/>
  <c r="K4506" i="1"/>
  <c r="K4507" i="1"/>
  <c r="M4507" i="1" s="1"/>
  <c r="K4508" i="1"/>
  <c r="M4508" i="1" s="1"/>
  <c r="K4509" i="1"/>
  <c r="M4509" i="1" s="1"/>
  <c r="K4510" i="1"/>
  <c r="M4510" i="1" s="1"/>
  <c r="K4511" i="1"/>
  <c r="M4511" i="1" s="1"/>
  <c r="K4512" i="1"/>
  <c r="M4512" i="1" s="1"/>
  <c r="K4513" i="1"/>
  <c r="M4513" i="1" s="1"/>
  <c r="K4514" i="1"/>
  <c r="M4514" i="1" s="1"/>
  <c r="K4515" i="1"/>
  <c r="M4515" i="1" s="1"/>
  <c r="K4516" i="1"/>
  <c r="M4516" i="1" s="1"/>
  <c r="K4517" i="1"/>
  <c r="M4517" i="1" s="1"/>
  <c r="K4518" i="1"/>
  <c r="M4518" i="1" s="1"/>
  <c r="K4519" i="1"/>
  <c r="M4519" i="1" s="1"/>
  <c r="K4520" i="1"/>
  <c r="M4520" i="1" s="1"/>
  <c r="K4521" i="1"/>
  <c r="M4521" i="1" s="1"/>
  <c r="K4522" i="1"/>
  <c r="M4522" i="1" s="1"/>
  <c r="K4523" i="1"/>
  <c r="M4523" i="1" s="1"/>
  <c r="K4524" i="1"/>
  <c r="M4524" i="1" s="1"/>
  <c r="K4525" i="1"/>
  <c r="K4526" i="1"/>
  <c r="K4527" i="1"/>
  <c r="M4527" i="1" s="1"/>
  <c r="K4528" i="1"/>
  <c r="M4528" i="1" s="1"/>
  <c r="K4529" i="1"/>
  <c r="M4529" i="1" s="1"/>
  <c r="K4530" i="1"/>
  <c r="M4530" i="1" s="1"/>
  <c r="K4531" i="1"/>
  <c r="M4531" i="1" s="1"/>
  <c r="K4532" i="1"/>
  <c r="M4532" i="1" s="1"/>
  <c r="K4533" i="1"/>
  <c r="M4533" i="1" s="1"/>
  <c r="K4534" i="1"/>
  <c r="K4535" i="1"/>
  <c r="M4535" i="1" s="1"/>
  <c r="K4536" i="1"/>
  <c r="M4536" i="1" s="1"/>
  <c r="K4537" i="1"/>
  <c r="M4537" i="1" s="1"/>
  <c r="K4538" i="1"/>
  <c r="M4538" i="1" s="1"/>
  <c r="K4539" i="1"/>
  <c r="M4539" i="1" s="1"/>
  <c r="K4540" i="1"/>
  <c r="M4540" i="1" s="1"/>
  <c r="K4541" i="1"/>
  <c r="M4541" i="1" s="1"/>
  <c r="K4542" i="1"/>
  <c r="M4542" i="1" s="1"/>
  <c r="K4543" i="1"/>
  <c r="M4543" i="1" s="1"/>
  <c r="K4544" i="1"/>
  <c r="M4544" i="1" s="1"/>
  <c r="K4545" i="1"/>
  <c r="M4545" i="1" s="1"/>
  <c r="K4546" i="1"/>
  <c r="M4546" i="1" s="1"/>
  <c r="K4547" i="1"/>
  <c r="K4548" i="1"/>
  <c r="M4548" i="1" s="1"/>
  <c r="K4549" i="1"/>
  <c r="M4549" i="1" s="1"/>
  <c r="K4550" i="1"/>
  <c r="M4550" i="1" s="1"/>
  <c r="K4551" i="1"/>
  <c r="M4551" i="1" s="1"/>
  <c r="K4552" i="1"/>
  <c r="M4552" i="1" s="1"/>
  <c r="K4553" i="1"/>
  <c r="M4553" i="1" s="1"/>
  <c r="K4554" i="1"/>
  <c r="M4554" i="1" s="1"/>
  <c r="K4555" i="1"/>
  <c r="M4555" i="1" s="1"/>
  <c r="K4556" i="1"/>
  <c r="M4556" i="1" s="1"/>
  <c r="K4557" i="1"/>
  <c r="M4557" i="1" s="1"/>
  <c r="K4558" i="1"/>
  <c r="M4558" i="1" s="1"/>
  <c r="K4559" i="1"/>
  <c r="M4559" i="1" s="1"/>
  <c r="K4560" i="1"/>
  <c r="M4560" i="1" s="1"/>
  <c r="K4561" i="1"/>
  <c r="K4562" i="1"/>
  <c r="M4562" i="1" s="1"/>
  <c r="K4563" i="1"/>
  <c r="M4563" i="1" s="1"/>
  <c r="K4564" i="1"/>
  <c r="K4565" i="1"/>
  <c r="M4565" i="1" s="1"/>
  <c r="K4566" i="1"/>
  <c r="M4566" i="1" s="1"/>
  <c r="K4567" i="1"/>
  <c r="K4568" i="1"/>
  <c r="M4568" i="1" s="1"/>
  <c r="K4569" i="1"/>
  <c r="K4570" i="1"/>
  <c r="M4570" i="1" s="1"/>
  <c r="K4571" i="1"/>
  <c r="M4571" i="1" s="1"/>
  <c r="K4572" i="1"/>
  <c r="M4572" i="1" s="1"/>
  <c r="K4573" i="1"/>
  <c r="M4573" i="1" s="1"/>
  <c r="K4574" i="1"/>
  <c r="M4574" i="1" s="1"/>
  <c r="K4575" i="1"/>
  <c r="M4575" i="1" s="1"/>
  <c r="K4576" i="1"/>
  <c r="M4576" i="1" s="1"/>
  <c r="K4577" i="1"/>
  <c r="K4578" i="1"/>
  <c r="M4578" i="1" s="1"/>
  <c r="K4579" i="1"/>
  <c r="K4580" i="1"/>
  <c r="M4580" i="1" s="1"/>
  <c r="K4581" i="1"/>
  <c r="M4581" i="1" s="1"/>
  <c r="K4582" i="1"/>
  <c r="M4582" i="1" s="1"/>
  <c r="K4583" i="1"/>
  <c r="M4583" i="1" s="1"/>
  <c r="K4584" i="1"/>
  <c r="M4584" i="1" s="1"/>
  <c r="K4585" i="1"/>
  <c r="M4585" i="1" s="1"/>
  <c r="K4586" i="1"/>
  <c r="M4586" i="1" s="1"/>
  <c r="K4587" i="1"/>
  <c r="M4587" i="1" s="1"/>
  <c r="K4588" i="1"/>
  <c r="M4588" i="1" s="1"/>
  <c r="K4589" i="1"/>
  <c r="M4589" i="1" s="1"/>
  <c r="K4590" i="1"/>
  <c r="M4590" i="1" s="1"/>
  <c r="K4591" i="1"/>
  <c r="M4591" i="1" s="1"/>
  <c r="K4592" i="1"/>
  <c r="M4592" i="1" s="1"/>
  <c r="K4593" i="1"/>
  <c r="K4594" i="1"/>
  <c r="M4594" i="1" s="1"/>
  <c r="K4595" i="1"/>
  <c r="M4595" i="1" s="1"/>
  <c r="K4596" i="1"/>
  <c r="M4596" i="1" s="1"/>
  <c r="K4597" i="1"/>
  <c r="M4597" i="1" s="1"/>
  <c r="K4598" i="1"/>
  <c r="K4599" i="1"/>
  <c r="M4599" i="1" s="1"/>
  <c r="K4600" i="1"/>
  <c r="K4601" i="1"/>
  <c r="M4601" i="1" s="1"/>
  <c r="K4602" i="1"/>
  <c r="M4602" i="1" s="1"/>
  <c r="K4603" i="1"/>
  <c r="M4603" i="1" s="1"/>
  <c r="K4604" i="1"/>
  <c r="M4604" i="1" s="1"/>
  <c r="K4605" i="1"/>
  <c r="M4605" i="1" s="1"/>
  <c r="K4606" i="1"/>
  <c r="M4606" i="1" s="1"/>
  <c r="K4607" i="1"/>
  <c r="M4607" i="1" s="1"/>
  <c r="K4608" i="1"/>
  <c r="M4608" i="1" s="1"/>
  <c r="K4609" i="1"/>
  <c r="M4609" i="1" s="1"/>
  <c r="K4610" i="1"/>
  <c r="M4610" i="1" s="1"/>
  <c r="K4611" i="1"/>
  <c r="M4611" i="1" s="1"/>
  <c r="K4612" i="1"/>
  <c r="M4612" i="1" s="1"/>
  <c r="K4613" i="1"/>
  <c r="M4613" i="1" s="1"/>
  <c r="K4614" i="1"/>
  <c r="M4614" i="1" s="1"/>
  <c r="K4615" i="1"/>
  <c r="M4615" i="1" s="1"/>
  <c r="K4616" i="1"/>
  <c r="M4616" i="1" s="1"/>
  <c r="K4617" i="1"/>
  <c r="M4617" i="1" s="1"/>
  <c r="K4618" i="1"/>
  <c r="M4618" i="1" s="1"/>
  <c r="K4619" i="1"/>
  <c r="M4619" i="1" s="1"/>
  <c r="K4620" i="1"/>
  <c r="M4620" i="1" s="1"/>
  <c r="K4621" i="1"/>
  <c r="M4621" i="1" s="1"/>
  <c r="K4622" i="1"/>
  <c r="M4622" i="1" s="1"/>
  <c r="K4623" i="1"/>
  <c r="M4623" i="1" s="1"/>
  <c r="K4624" i="1"/>
  <c r="M4624" i="1" s="1"/>
  <c r="K4625" i="1"/>
  <c r="M4625" i="1" s="1"/>
  <c r="K4626" i="1"/>
  <c r="M4626" i="1" s="1"/>
  <c r="K4627" i="1"/>
  <c r="M4627" i="1" s="1"/>
  <c r="K4628" i="1"/>
  <c r="M4628" i="1" s="1"/>
  <c r="K4629" i="1"/>
  <c r="M4629" i="1" s="1"/>
  <c r="K4630" i="1"/>
  <c r="M4630" i="1" s="1"/>
  <c r="K4631" i="1"/>
  <c r="M4631" i="1" s="1"/>
  <c r="K4632" i="1"/>
  <c r="M4632" i="1" s="1"/>
  <c r="K4633" i="1"/>
  <c r="M4633" i="1" s="1"/>
  <c r="K4634" i="1"/>
  <c r="M4634" i="1" s="1"/>
  <c r="K4635" i="1"/>
  <c r="M4635" i="1" s="1"/>
  <c r="K4636" i="1"/>
  <c r="M4636" i="1" s="1"/>
  <c r="K4637" i="1"/>
  <c r="M4637" i="1" s="1"/>
  <c r="K4638" i="1"/>
  <c r="K4639" i="1"/>
  <c r="M4639" i="1" s="1"/>
  <c r="K4640" i="1"/>
  <c r="M4640" i="1" s="1"/>
  <c r="K4641" i="1"/>
  <c r="K4642" i="1"/>
  <c r="M4642" i="1" s="1"/>
  <c r="K4643" i="1"/>
  <c r="M4643" i="1" s="1"/>
  <c r="K4644" i="1"/>
  <c r="M4644" i="1" s="1"/>
  <c r="K4645" i="1"/>
  <c r="K4646" i="1"/>
  <c r="M4646" i="1" s="1"/>
  <c r="K4647" i="1"/>
  <c r="M4647" i="1" s="1"/>
  <c r="K4648" i="1"/>
  <c r="M4648" i="1" s="1"/>
  <c r="K4649" i="1"/>
  <c r="M4649" i="1" s="1"/>
  <c r="K4650" i="1"/>
  <c r="M4650" i="1" s="1"/>
  <c r="K4651" i="1"/>
  <c r="M4651" i="1" s="1"/>
  <c r="K4652" i="1"/>
  <c r="M4652" i="1" s="1"/>
  <c r="K4653" i="1"/>
  <c r="M4653" i="1" s="1"/>
  <c r="K4654" i="1"/>
  <c r="M4654" i="1" s="1"/>
  <c r="K4655" i="1"/>
  <c r="M4655" i="1" s="1"/>
  <c r="K4656" i="1"/>
  <c r="M4656" i="1" s="1"/>
  <c r="K4657" i="1"/>
  <c r="M4657" i="1" s="1"/>
  <c r="K4658" i="1"/>
  <c r="M4658" i="1" s="1"/>
  <c r="K4659" i="1"/>
  <c r="M4659" i="1" s="1"/>
  <c r="K4660" i="1"/>
  <c r="M4660" i="1" s="1"/>
  <c r="K4661" i="1"/>
  <c r="M4661" i="1" s="1"/>
  <c r="K4662" i="1"/>
  <c r="K4663" i="1"/>
  <c r="M4663" i="1" s="1"/>
  <c r="K4664" i="1"/>
  <c r="M4664" i="1" s="1"/>
  <c r="K4665" i="1"/>
  <c r="M4665" i="1" s="1"/>
  <c r="K4666" i="1"/>
  <c r="M4666" i="1" s="1"/>
  <c r="K4667" i="1"/>
  <c r="M4667" i="1" s="1"/>
  <c r="K4668" i="1"/>
  <c r="M4668" i="1" s="1"/>
  <c r="K4669" i="1"/>
  <c r="M4669" i="1" s="1"/>
  <c r="K4670" i="1"/>
  <c r="M4670" i="1" s="1"/>
  <c r="K4671" i="1"/>
  <c r="M4671" i="1" s="1"/>
  <c r="K4672" i="1"/>
  <c r="K4673" i="1"/>
  <c r="K4674" i="1"/>
  <c r="M4674" i="1" s="1"/>
  <c r="K4675" i="1"/>
  <c r="M4675" i="1" s="1"/>
  <c r="K4676" i="1"/>
  <c r="M4676" i="1" s="1"/>
  <c r="K4677" i="1"/>
  <c r="M4677" i="1" s="1"/>
  <c r="K4678" i="1"/>
  <c r="M4678" i="1" s="1"/>
  <c r="K4679" i="1"/>
  <c r="M4679" i="1" s="1"/>
  <c r="K4680" i="1"/>
  <c r="M4680" i="1" s="1"/>
  <c r="K4681" i="1"/>
  <c r="M4681" i="1" s="1"/>
  <c r="K4682" i="1"/>
  <c r="K4683" i="1"/>
  <c r="M4683" i="1" s="1"/>
  <c r="K4684" i="1"/>
  <c r="M4684" i="1" s="1"/>
  <c r="K4685" i="1"/>
  <c r="M4685" i="1" s="1"/>
  <c r="K4686" i="1"/>
  <c r="M4686" i="1" s="1"/>
  <c r="K4687" i="1"/>
  <c r="M4687" i="1" s="1"/>
  <c r="K4688" i="1"/>
  <c r="M4688" i="1" s="1"/>
  <c r="K4689" i="1"/>
  <c r="M4689" i="1" s="1"/>
  <c r="K4690" i="1"/>
  <c r="M4690" i="1" s="1"/>
  <c r="K4691" i="1"/>
  <c r="M4691" i="1" s="1"/>
  <c r="K4692" i="1"/>
  <c r="M4692" i="1" s="1"/>
  <c r="K4693" i="1"/>
  <c r="M4693" i="1" s="1"/>
  <c r="K4694" i="1"/>
  <c r="M4694" i="1" s="1"/>
  <c r="K4695" i="1"/>
  <c r="M4695" i="1" s="1"/>
  <c r="K4696" i="1"/>
  <c r="K4697" i="1"/>
  <c r="M4697" i="1" s="1"/>
  <c r="K4698" i="1"/>
  <c r="M4698" i="1" s="1"/>
  <c r="K4699" i="1"/>
  <c r="M4699" i="1" s="1"/>
  <c r="K4700" i="1"/>
  <c r="M4700" i="1" s="1"/>
  <c r="K4701" i="1"/>
  <c r="M4701" i="1" s="1"/>
  <c r="K4702" i="1"/>
  <c r="K4703" i="1"/>
  <c r="M4703" i="1" s="1"/>
  <c r="K4704" i="1"/>
  <c r="M4704" i="1" s="1"/>
  <c r="K4705" i="1"/>
  <c r="M4705" i="1" s="1"/>
  <c r="K4706" i="1"/>
  <c r="M4706" i="1" s="1"/>
  <c r="K4707" i="1"/>
  <c r="M4707" i="1" s="1"/>
  <c r="K4708" i="1"/>
  <c r="K4709" i="1"/>
  <c r="M4709" i="1" s="1"/>
  <c r="K4710" i="1"/>
  <c r="M4710" i="1" s="1"/>
  <c r="K4711" i="1"/>
  <c r="M4711" i="1" s="1"/>
  <c r="K4712" i="1"/>
  <c r="M4712" i="1" s="1"/>
  <c r="K4713" i="1"/>
  <c r="M4713" i="1" s="1"/>
  <c r="K4714" i="1"/>
  <c r="M4714" i="1" s="1"/>
  <c r="K4715" i="1"/>
  <c r="M4715" i="1" s="1"/>
  <c r="K4716" i="1"/>
  <c r="M4716" i="1" s="1"/>
  <c r="K4717" i="1"/>
  <c r="M4717" i="1" s="1"/>
  <c r="K4718" i="1"/>
  <c r="M4718" i="1" s="1"/>
  <c r="K4719" i="1"/>
  <c r="K4720" i="1"/>
  <c r="M4720" i="1" s="1"/>
  <c r="K4721" i="1"/>
  <c r="M4721" i="1" s="1"/>
  <c r="K4722" i="1"/>
  <c r="K4723" i="1"/>
  <c r="K4724" i="1"/>
  <c r="M4724" i="1" s="1"/>
  <c r="K4725" i="1"/>
  <c r="M4725" i="1" s="1"/>
  <c r="K4726" i="1"/>
  <c r="M4726" i="1" s="1"/>
  <c r="K4727" i="1"/>
  <c r="M4727" i="1" s="1"/>
  <c r="K4728" i="1"/>
  <c r="K4729" i="1"/>
  <c r="M4729" i="1" s="1"/>
  <c r="K4730" i="1"/>
  <c r="M4730" i="1" s="1"/>
  <c r="K4731" i="1"/>
  <c r="M4731" i="1" s="1"/>
  <c r="K4732" i="1"/>
  <c r="M4732" i="1" s="1"/>
  <c r="K4733" i="1"/>
  <c r="M4733" i="1" s="1"/>
  <c r="K4734" i="1"/>
  <c r="K4735" i="1"/>
  <c r="M4735" i="1" s="1"/>
  <c r="K4736" i="1"/>
  <c r="M4736" i="1" s="1"/>
  <c r="K4737" i="1"/>
  <c r="K4738" i="1"/>
  <c r="M4738" i="1" s="1"/>
  <c r="K4739" i="1"/>
  <c r="M4739" i="1" s="1"/>
  <c r="K4740" i="1"/>
  <c r="M4740" i="1" s="1"/>
  <c r="K4741" i="1"/>
  <c r="M4741" i="1" s="1"/>
  <c r="K4742" i="1"/>
  <c r="M4742" i="1" s="1"/>
  <c r="K4743" i="1"/>
  <c r="M4743" i="1" s="1"/>
  <c r="K4744" i="1"/>
  <c r="M4744" i="1" s="1"/>
  <c r="K4745" i="1"/>
  <c r="M4745" i="1" s="1"/>
  <c r="K4746" i="1"/>
  <c r="M4746" i="1" s="1"/>
  <c r="K4747" i="1"/>
  <c r="M4747" i="1" s="1"/>
  <c r="K4748" i="1"/>
  <c r="M4748" i="1" s="1"/>
  <c r="K4749" i="1"/>
  <c r="M4749" i="1" s="1"/>
  <c r="K4750" i="1"/>
  <c r="M4750" i="1" s="1"/>
  <c r="K4751" i="1"/>
  <c r="M4751" i="1" s="1"/>
  <c r="K4752" i="1"/>
  <c r="M4752" i="1" s="1"/>
  <c r="K4753" i="1"/>
  <c r="M4753" i="1" s="1"/>
  <c r="K4754" i="1"/>
  <c r="M4754" i="1" s="1"/>
  <c r="K4755" i="1"/>
  <c r="M4755" i="1" s="1"/>
  <c r="K4756" i="1"/>
  <c r="M4756" i="1" s="1"/>
  <c r="K4757" i="1"/>
  <c r="M4757" i="1" s="1"/>
  <c r="K4758" i="1"/>
  <c r="M4758" i="1" s="1"/>
  <c r="K4759" i="1"/>
  <c r="M4759" i="1" s="1"/>
  <c r="K4760" i="1"/>
  <c r="M4760" i="1" s="1"/>
  <c r="K4761" i="1"/>
  <c r="M4761" i="1" s="1"/>
  <c r="K4762" i="1"/>
  <c r="K4763" i="1"/>
  <c r="M4763" i="1" s="1"/>
  <c r="K4764" i="1"/>
  <c r="M4764" i="1" s="1"/>
  <c r="K4765" i="1"/>
  <c r="K4766" i="1"/>
  <c r="M4766" i="1" s="1"/>
  <c r="K4767" i="1"/>
  <c r="M4767" i="1" s="1"/>
  <c r="K4768" i="1"/>
  <c r="M4768" i="1" s="1"/>
  <c r="K4769" i="1"/>
  <c r="M4769" i="1" s="1"/>
  <c r="K4770" i="1"/>
  <c r="K4771" i="1"/>
  <c r="M4771" i="1" s="1"/>
  <c r="K4772" i="1"/>
  <c r="M4772" i="1" s="1"/>
  <c r="K4773" i="1"/>
  <c r="M4773" i="1" s="1"/>
  <c r="K4774" i="1"/>
  <c r="M4774" i="1" s="1"/>
  <c r="K4775" i="1"/>
  <c r="M4775" i="1" s="1"/>
  <c r="K4776" i="1"/>
  <c r="M4776" i="1" s="1"/>
  <c r="K4777" i="1"/>
  <c r="M4777" i="1" s="1"/>
  <c r="K4778" i="1"/>
  <c r="K4779" i="1"/>
  <c r="M4779" i="1" s="1"/>
  <c r="K4780" i="1"/>
  <c r="M4780" i="1" s="1"/>
  <c r="K4781" i="1"/>
  <c r="M4781" i="1" s="1"/>
  <c r="K4782" i="1"/>
  <c r="M4782" i="1" s="1"/>
  <c r="K4783" i="1"/>
  <c r="M4783" i="1" s="1"/>
  <c r="K4784" i="1"/>
  <c r="M4784" i="1" s="1"/>
  <c r="K4785" i="1"/>
  <c r="K4786" i="1"/>
  <c r="M4786" i="1" s="1"/>
  <c r="K4787" i="1"/>
  <c r="M4787" i="1" s="1"/>
  <c r="K4788" i="1"/>
  <c r="M4788" i="1" s="1"/>
  <c r="K4789" i="1"/>
  <c r="M4789" i="1" s="1"/>
  <c r="K4790" i="1"/>
  <c r="M4790" i="1" s="1"/>
  <c r="K4791" i="1"/>
  <c r="M4791" i="1" s="1"/>
  <c r="K4792" i="1"/>
  <c r="M4792" i="1" s="1"/>
  <c r="K4793" i="1"/>
  <c r="M4793" i="1" s="1"/>
  <c r="K4794" i="1"/>
  <c r="M4794" i="1" s="1"/>
  <c r="K4795" i="1"/>
  <c r="M4795" i="1" s="1"/>
  <c r="K4796" i="1"/>
  <c r="M4796" i="1" s="1"/>
  <c r="K4797" i="1"/>
  <c r="M4797" i="1" s="1"/>
  <c r="K4798" i="1"/>
  <c r="M4798" i="1" s="1"/>
  <c r="K4799" i="1"/>
  <c r="K4800" i="1"/>
  <c r="K4801" i="1"/>
  <c r="K4802" i="1"/>
  <c r="M4802" i="1" s="1"/>
  <c r="K4803" i="1"/>
  <c r="M4803" i="1" s="1"/>
  <c r="K4804" i="1"/>
  <c r="M4804" i="1" s="1"/>
  <c r="K4805" i="1"/>
  <c r="M4805" i="1" s="1"/>
  <c r="K4806" i="1"/>
  <c r="M4806" i="1" s="1"/>
  <c r="K4807" i="1"/>
  <c r="M4807" i="1" s="1"/>
  <c r="K4808" i="1"/>
  <c r="M4808" i="1" s="1"/>
  <c r="K4809" i="1"/>
  <c r="M4809" i="1" s="1"/>
  <c r="K4810" i="1"/>
  <c r="M4810" i="1" s="1"/>
  <c r="K4811" i="1"/>
  <c r="M4811" i="1" s="1"/>
  <c r="K4812" i="1"/>
  <c r="M4812" i="1" s="1"/>
  <c r="K4813" i="1"/>
  <c r="K4814" i="1"/>
  <c r="M4814" i="1" s="1"/>
  <c r="K4815" i="1"/>
  <c r="M4815" i="1" s="1"/>
  <c r="K4816" i="1"/>
  <c r="M4816" i="1" s="1"/>
  <c r="K4817" i="1"/>
  <c r="M4817" i="1" s="1"/>
  <c r="K4818" i="1"/>
  <c r="M4818" i="1" s="1"/>
  <c r="K4819" i="1"/>
  <c r="M4819" i="1" s="1"/>
  <c r="K4820" i="1"/>
  <c r="M4820" i="1" s="1"/>
  <c r="K4821" i="1"/>
  <c r="M4821" i="1" s="1"/>
  <c r="K4822" i="1"/>
  <c r="M4822" i="1" s="1"/>
  <c r="K4823" i="1"/>
  <c r="M4823" i="1" s="1"/>
  <c r="K4824" i="1"/>
  <c r="M4824" i="1" s="1"/>
  <c r="K4825" i="1"/>
  <c r="M4825" i="1" s="1"/>
  <c r="K4826" i="1"/>
  <c r="M4826" i="1" s="1"/>
  <c r="K4827" i="1"/>
  <c r="M4827" i="1" s="1"/>
  <c r="K4828" i="1"/>
  <c r="M4828" i="1" s="1"/>
  <c r="K4829" i="1"/>
  <c r="M4829" i="1" s="1"/>
  <c r="K4830" i="1"/>
  <c r="M4830" i="1" s="1"/>
  <c r="K4831" i="1"/>
  <c r="M4831" i="1" s="1"/>
  <c r="K4832" i="1"/>
  <c r="M4832" i="1" s="1"/>
  <c r="K4833" i="1"/>
  <c r="M4833" i="1" s="1"/>
  <c r="K4834" i="1"/>
  <c r="M4834" i="1" s="1"/>
  <c r="K4835" i="1"/>
  <c r="M4835" i="1" s="1"/>
  <c r="K4836" i="1"/>
  <c r="M4836" i="1" s="1"/>
  <c r="K4837" i="1"/>
  <c r="M4837" i="1" s="1"/>
  <c r="K4838" i="1"/>
  <c r="M4838" i="1" s="1"/>
  <c r="K4839" i="1"/>
  <c r="M4839" i="1" s="1"/>
  <c r="K4840" i="1"/>
  <c r="M4840" i="1" s="1"/>
  <c r="K4841" i="1"/>
  <c r="M4841" i="1" s="1"/>
  <c r="K4842" i="1"/>
  <c r="M4842" i="1" s="1"/>
  <c r="K4843" i="1"/>
  <c r="M4843" i="1" s="1"/>
  <c r="K4844" i="1"/>
  <c r="M4844" i="1" s="1"/>
  <c r="K4845" i="1"/>
  <c r="M4845" i="1" s="1"/>
  <c r="K4846" i="1"/>
  <c r="M4846" i="1" s="1"/>
  <c r="K4847" i="1"/>
  <c r="M4847" i="1" s="1"/>
  <c r="K4848" i="1"/>
  <c r="M4848" i="1" s="1"/>
  <c r="K4849" i="1"/>
  <c r="M4849" i="1" s="1"/>
  <c r="K4850" i="1"/>
  <c r="M4850" i="1" s="1"/>
  <c r="K4851" i="1"/>
  <c r="M4851" i="1" s="1"/>
  <c r="K4852" i="1"/>
  <c r="M4852" i="1" s="1"/>
  <c r="K4853" i="1"/>
  <c r="M4853" i="1" s="1"/>
  <c r="K4854" i="1"/>
  <c r="M4854" i="1" s="1"/>
  <c r="K4855" i="1"/>
  <c r="K4856" i="1"/>
  <c r="M4856" i="1" s="1"/>
  <c r="K4857" i="1"/>
  <c r="M4857" i="1" s="1"/>
  <c r="K4858" i="1"/>
  <c r="M4858" i="1" s="1"/>
  <c r="K4859" i="1"/>
  <c r="M4859" i="1" s="1"/>
  <c r="K4860" i="1"/>
  <c r="M4860" i="1" s="1"/>
  <c r="K4861" i="1"/>
  <c r="M4861" i="1" s="1"/>
  <c r="K4862" i="1"/>
  <c r="M4862" i="1" s="1"/>
  <c r="K4863" i="1"/>
  <c r="M4863" i="1" s="1"/>
  <c r="K4864" i="1"/>
  <c r="M4864" i="1" s="1"/>
  <c r="K4865" i="1"/>
  <c r="M4865" i="1" s="1"/>
  <c r="K4866" i="1"/>
  <c r="K4867" i="1"/>
  <c r="M4867" i="1" s="1"/>
  <c r="K4868" i="1"/>
  <c r="M4868" i="1" s="1"/>
  <c r="K4869" i="1"/>
  <c r="K4870" i="1"/>
  <c r="M4870" i="1" s="1"/>
  <c r="K4871" i="1"/>
  <c r="M4871" i="1" s="1"/>
  <c r="K4872" i="1"/>
  <c r="K4873" i="1"/>
  <c r="M4873" i="1" s="1"/>
  <c r="K4874" i="1"/>
  <c r="M4874" i="1" s="1"/>
  <c r="K4875" i="1"/>
  <c r="K4876" i="1"/>
  <c r="M4876" i="1" s="1"/>
  <c r="K4877" i="1"/>
  <c r="M4877" i="1" s="1"/>
  <c r="K4878" i="1"/>
  <c r="M4878" i="1" s="1"/>
  <c r="K4879" i="1"/>
  <c r="M4879" i="1" s="1"/>
  <c r="K4880" i="1"/>
  <c r="M4880" i="1" s="1"/>
  <c r="K4881" i="1"/>
  <c r="M4881" i="1" s="1"/>
  <c r="K4882" i="1"/>
  <c r="M4882" i="1" s="1"/>
  <c r="K4883" i="1"/>
  <c r="M4883" i="1" s="1"/>
  <c r="K4884" i="1"/>
  <c r="M4884" i="1" s="1"/>
  <c r="K4885" i="1"/>
  <c r="M4885" i="1" s="1"/>
  <c r="K4886" i="1"/>
  <c r="M4886" i="1" s="1"/>
  <c r="K4887" i="1"/>
  <c r="M4887" i="1" s="1"/>
  <c r="K4888" i="1"/>
  <c r="M4888" i="1" s="1"/>
  <c r="K4889" i="1"/>
  <c r="M4889" i="1" s="1"/>
  <c r="K4890" i="1"/>
  <c r="M4890" i="1" s="1"/>
  <c r="K4891" i="1"/>
  <c r="M4891" i="1" s="1"/>
  <c r="K4892" i="1"/>
  <c r="M4892" i="1" s="1"/>
  <c r="K4893" i="1"/>
  <c r="M4893" i="1" s="1"/>
  <c r="K4894" i="1"/>
  <c r="M4894" i="1" s="1"/>
  <c r="K4895" i="1"/>
  <c r="K4896" i="1"/>
  <c r="M4896" i="1" s="1"/>
  <c r="K4897" i="1"/>
  <c r="M4897" i="1" s="1"/>
  <c r="K4898" i="1"/>
  <c r="M4898" i="1" s="1"/>
  <c r="K4899" i="1"/>
  <c r="M4899" i="1" s="1"/>
  <c r="K4900" i="1"/>
  <c r="M4900" i="1" s="1"/>
  <c r="K4901" i="1"/>
  <c r="M4901" i="1" s="1"/>
  <c r="K4902" i="1"/>
  <c r="M4902" i="1" s="1"/>
  <c r="K4903" i="1"/>
  <c r="M4903" i="1" s="1"/>
  <c r="K4904" i="1"/>
  <c r="M4904" i="1" s="1"/>
  <c r="K4905" i="1"/>
  <c r="K4906" i="1"/>
  <c r="M4906" i="1" s="1"/>
  <c r="K4907" i="1"/>
  <c r="M4907" i="1" s="1"/>
  <c r="K4908" i="1"/>
  <c r="M4908" i="1" s="1"/>
  <c r="K4909" i="1"/>
  <c r="M4909" i="1" s="1"/>
  <c r="K4910" i="1"/>
  <c r="M4910" i="1" s="1"/>
  <c r="K4911" i="1"/>
  <c r="M4911" i="1" s="1"/>
  <c r="K4912" i="1"/>
  <c r="M4912" i="1" s="1"/>
  <c r="K4913" i="1"/>
  <c r="K4914" i="1"/>
  <c r="M4914" i="1" s="1"/>
  <c r="K4915" i="1"/>
  <c r="K4916" i="1"/>
  <c r="M4916" i="1" s="1"/>
  <c r="K4917" i="1"/>
  <c r="M4917" i="1" s="1"/>
  <c r="K4918" i="1"/>
  <c r="M4918" i="1" s="1"/>
  <c r="K4919" i="1"/>
  <c r="M4919" i="1" s="1"/>
  <c r="K4920" i="1"/>
  <c r="M4920" i="1" s="1"/>
  <c r="K4921" i="1"/>
  <c r="M4921" i="1" s="1"/>
  <c r="K4922" i="1"/>
  <c r="M4922" i="1" s="1"/>
  <c r="K4923" i="1"/>
  <c r="K4924" i="1"/>
  <c r="M4924" i="1" s="1"/>
  <c r="K4925" i="1"/>
  <c r="M4925" i="1" s="1"/>
  <c r="K4926" i="1"/>
  <c r="M4926" i="1" s="1"/>
  <c r="K4927" i="1"/>
  <c r="M4927" i="1" s="1"/>
  <c r="K4928" i="1"/>
  <c r="M4928" i="1" s="1"/>
  <c r="K4929" i="1"/>
  <c r="M4929" i="1" s="1"/>
  <c r="K4930" i="1"/>
  <c r="M4930" i="1" s="1"/>
  <c r="K4931" i="1"/>
  <c r="M4931" i="1" s="1"/>
  <c r="K4932" i="1"/>
  <c r="M4932" i="1" s="1"/>
  <c r="K4933" i="1"/>
  <c r="M4933" i="1" s="1"/>
  <c r="K4934" i="1"/>
  <c r="M4934" i="1" s="1"/>
  <c r="K4935" i="1"/>
  <c r="M4935" i="1" s="1"/>
  <c r="K4936" i="1"/>
  <c r="M4936" i="1" s="1"/>
  <c r="K4937" i="1"/>
  <c r="M4937" i="1" s="1"/>
  <c r="K4938" i="1"/>
  <c r="M4938" i="1" s="1"/>
  <c r="K4939" i="1"/>
  <c r="M4939" i="1" s="1"/>
  <c r="K4940" i="1"/>
  <c r="M4940" i="1" s="1"/>
  <c r="K4941" i="1"/>
  <c r="M4941" i="1" s="1"/>
  <c r="K4942" i="1"/>
  <c r="M4942" i="1" s="1"/>
  <c r="K4943" i="1"/>
  <c r="M4943" i="1" s="1"/>
  <c r="K4944" i="1"/>
  <c r="M4944" i="1" s="1"/>
  <c r="K4945" i="1"/>
  <c r="M4945" i="1" s="1"/>
  <c r="K4946" i="1"/>
  <c r="K4947" i="1"/>
  <c r="M4947" i="1" s="1"/>
  <c r="K4948" i="1"/>
  <c r="M4948" i="1" s="1"/>
  <c r="K4949" i="1"/>
  <c r="M4949" i="1" s="1"/>
  <c r="K4950" i="1"/>
  <c r="M4950" i="1" s="1"/>
  <c r="K4951" i="1"/>
  <c r="M4951" i="1" s="1"/>
  <c r="K4952" i="1"/>
  <c r="M4952" i="1" s="1"/>
  <c r="K4953" i="1"/>
  <c r="M4953" i="1" s="1"/>
  <c r="K4954" i="1"/>
  <c r="M4954" i="1" s="1"/>
  <c r="K4955" i="1"/>
  <c r="M4955" i="1" s="1"/>
  <c r="K4956" i="1"/>
  <c r="K4957" i="1"/>
  <c r="M4957" i="1" s="1"/>
  <c r="K4958" i="1"/>
  <c r="M4958" i="1" s="1"/>
  <c r="K4959" i="1"/>
  <c r="M4959" i="1" s="1"/>
  <c r="K4960" i="1"/>
  <c r="M4960" i="1" s="1"/>
  <c r="K4961" i="1"/>
  <c r="M4961" i="1" s="1"/>
  <c r="K4962" i="1"/>
  <c r="M4962" i="1" s="1"/>
  <c r="K4963" i="1"/>
  <c r="M4963" i="1" s="1"/>
  <c r="K4964" i="1"/>
  <c r="M4964" i="1" s="1"/>
  <c r="K4965" i="1"/>
  <c r="M4965" i="1" s="1"/>
  <c r="K4966" i="1"/>
  <c r="M4966" i="1" s="1"/>
  <c r="K4967" i="1"/>
  <c r="K4968" i="1"/>
  <c r="M4968" i="1" s="1"/>
  <c r="K4969" i="1"/>
  <c r="M4969" i="1" s="1"/>
  <c r="K4970" i="1"/>
  <c r="M4970" i="1" s="1"/>
  <c r="K4971" i="1"/>
  <c r="M4971" i="1" s="1"/>
  <c r="K4972" i="1"/>
  <c r="M4972" i="1" s="1"/>
  <c r="K4973" i="1"/>
  <c r="M4973" i="1" s="1"/>
  <c r="K4974" i="1"/>
  <c r="K4975" i="1"/>
  <c r="M4975" i="1" s="1"/>
  <c r="K4976" i="1"/>
  <c r="M4976" i="1" s="1"/>
  <c r="K4977" i="1"/>
  <c r="M4977" i="1" s="1"/>
  <c r="K4978" i="1"/>
  <c r="M4978" i="1" s="1"/>
  <c r="K4979" i="1"/>
  <c r="M4979" i="1" s="1"/>
  <c r="K4980" i="1"/>
  <c r="M4980" i="1" s="1"/>
  <c r="K4981" i="1"/>
  <c r="M4981" i="1" s="1"/>
  <c r="K4982" i="1"/>
  <c r="K4983" i="1"/>
  <c r="M4983" i="1" s="1"/>
  <c r="K4984" i="1"/>
  <c r="M4984" i="1" s="1"/>
  <c r="K4985" i="1"/>
  <c r="M4985" i="1" s="1"/>
  <c r="K4986" i="1"/>
  <c r="M4986" i="1" s="1"/>
  <c r="K4987" i="1"/>
  <c r="M4987" i="1" s="1"/>
  <c r="K4988" i="1"/>
  <c r="M4988" i="1" s="1"/>
  <c r="K4989" i="1"/>
  <c r="M4989" i="1" s="1"/>
  <c r="K4990" i="1"/>
  <c r="M4990" i="1" s="1"/>
  <c r="K4991" i="1"/>
  <c r="M4991" i="1" s="1"/>
  <c r="K4992" i="1"/>
  <c r="M4992" i="1" s="1"/>
  <c r="K4993" i="1"/>
  <c r="M4993" i="1" s="1"/>
  <c r="K4994" i="1"/>
  <c r="M4994" i="1" s="1"/>
  <c r="K4995" i="1"/>
  <c r="K4996" i="1"/>
  <c r="M4996" i="1" s="1"/>
  <c r="K4997" i="1"/>
  <c r="M4997" i="1" s="1"/>
  <c r="K4998" i="1"/>
  <c r="M4998" i="1" s="1"/>
  <c r="K4999" i="1"/>
  <c r="M4999" i="1" s="1"/>
  <c r="K5000" i="1"/>
  <c r="M5000" i="1" s="1"/>
  <c r="K5001" i="1"/>
  <c r="K3" i="1"/>
  <c r="M3" i="1" s="1"/>
  <c r="K4" i="1"/>
  <c r="K5" i="1"/>
  <c r="M5" i="1" s="1"/>
  <c r="K6" i="1"/>
  <c r="M6" i="1" s="1"/>
  <c r="K7" i="1"/>
  <c r="M7" i="1" s="1"/>
  <c r="K8" i="1"/>
  <c r="M8" i="1" s="1"/>
  <c r="K9" i="1"/>
  <c r="M9" i="1" s="1"/>
  <c r="K10" i="1"/>
  <c r="M10" i="1" s="1"/>
  <c r="K11" i="1"/>
  <c r="K12" i="1"/>
  <c r="M12" i="1" s="1"/>
  <c r="K13" i="1"/>
  <c r="M13" i="1" s="1"/>
  <c r="K14" i="1"/>
  <c r="M14" i="1" s="1"/>
  <c r="K15" i="1"/>
  <c r="K16" i="1"/>
  <c r="M16" i="1" s="1"/>
  <c r="K17" i="1"/>
  <c r="M17" i="1" s="1"/>
  <c r="K18" i="1"/>
  <c r="M18" i="1" s="1"/>
  <c r="K19" i="1"/>
  <c r="M19" i="1" s="1"/>
  <c r="K20" i="1"/>
  <c r="M20" i="1" s="1"/>
  <c r="K21" i="1"/>
  <c r="M21" i="1" s="1"/>
  <c r="K22" i="1"/>
  <c r="M22" i="1" s="1"/>
  <c r="K23" i="1"/>
  <c r="M23" i="1" s="1"/>
  <c r="K24" i="1"/>
  <c r="M24" i="1" s="1"/>
  <c r="K25" i="1"/>
  <c r="M25" i="1" s="1"/>
  <c r="K26" i="1"/>
  <c r="M26" i="1" s="1"/>
  <c r="K27" i="1"/>
  <c r="K28" i="1"/>
  <c r="M28" i="1" s="1"/>
  <c r="K29" i="1"/>
  <c r="M29" i="1" s="1"/>
  <c r="K30" i="1"/>
  <c r="M30" i="1" s="1"/>
  <c r="K31" i="1"/>
  <c r="M31" i="1" s="1"/>
  <c r="K32" i="1"/>
  <c r="M32" i="1" s="1"/>
  <c r="K33" i="1"/>
  <c r="M33" i="1" s="1"/>
  <c r="K34" i="1"/>
  <c r="M34" i="1" s="1"/>
  <c r="K35" i="1"/>
  <c r="M35" i="1" s="1"/>
  <c r="K36" i="1"/>
  <c r="M36" i="1" s="1"/>
  <c r="K37" i="1"/>
  <c r="M37" i="1" s="1"/>
  <c r="K38" i="1"/>
  <c r="K39" i="1"/>
  <c r="M39" i="1" s="1"/>
  <c r="K40" i="1"/>
  <c r="M40" i="1" s="1"/>
  <c r="K41" i="1"/>
  <c r="K42" i="1"/>
  <c r="M42" i="1" s="1"/>
  <c r="K43" i="1"/>
  <c r="M43" i="1" s="1"/>
  <c r="K44" i="1"/>
  <c r="M44" i="1" s="1"/>
  <c r="K45" i="1"/>
  <c r="M45" i="1" s="1"/>
  <c r="K46" i="1"/>
  <c r="M46" i="1" s="1"/>
  <c r="K47" i="1"/>
  <c r="M47" i="1" s="1"/>
  <c r="K48" i="1"/>
  <c r="M48" i="1" s="1"/>
  <c r="K49" i="1"/>
  <c r="K50" i="1"/>
  <c r="M50" i="1" s="1"/>
  <c r="K51" i="1"/>
  <c r="M51" i="1" s="1"/>
  <c r="K52" i="1"/>
  <c r="M52" i="1" s="1"/>
  <c r="K53" i="1"/>
  <c r="M53" i="1" s="1"/>
  <c r="K54" i="1"/>
  <c r="M54" i="1" s="1"/>
  <c r="K55" i="1"/>
  <c r="M55" i="1" s="1"/>
  <c r="K56" i="1"/>
  <c r="M56" i="1" s="1"/>
  <c r="K57" i="1"/>
  <c r="M57" i="1" s="1"/>
  <c r="K58" i="1"/>
  <c r="M58" i="1" s="1"/>
  <c r="K59" i="1"/>
  <c r="M59" i="1" s="1"/>
  <c r="K60" i="1"/>
  <c r="M60" i="1" s="1"/>
  <c r="K61" i="1"/>
  <c r="M61" i="1" s="1"/>
  <c r="K62" i="1"/>
  <c r="M62" i="1" s="1"/>
  <c r="K63" i="1"/>
  <c r="M63" i="1" s="1"/>
  <c r="K64" i="1"/>
  <c r="K65" i="1"/>
  <c r="M65" i="1" s="1"/>
  <c r="K66" i="1"/>
  <c r="M66" i="1" s="1"/>
  <c r="K67" i="1"/>
  <c r="K68" i="1"/>
  <c r="M68" i="1" s="1"/>
  <c r="K69" i="1"/>
  <c r="M69" i="1" s="1"/>
  <c r="K70" i="1"/>
  <c r="M70" i="1" s="1"/>
  <c r="K71" i="1"/>
  <c r="M71" i="1" s="1"/>
  <c r="K72" i="1"/>
  <c r="M72" i="1" s="1"/>
  <c r="K73" i="1"/>
  <c r="M73" i="1" s="1"/>
  <c r="K74" i="1"/>
  <c r="M74" i="1" s="1"/>
  <c r="K75" i="1"/>
  <c r="M75" i="1" s="1"/>
  <c r="K76" i="1"/>
  <c r="M76" i="1" s="1"/>
  <c r="K77" i="1"/>
  <c r="M77" i="1" s="1"/>
  <c r="K78" i="1"/>
  <c r="M78" i="1" s="1"/>
  <c r="K79" i="1"/>
  <c r="M79" i="1" s="1"/>
  <c r="K80" i="1"/>
  <c r="M80" i="1" s="1"/>
  <c r="K81" i="1"/>
  <c r="M81" i="1" s="1"/>
  <c r="K82" i="1"/>
  <c r="M82" i="1" s="1"/>
  <c r="K83" i="1"/>
  <c r="M83" i="1" s="1"/>
  <c r="K84" i="1"/>
  <c r="M84" i="1" s="1"/>
  <c r="K85" i="1"/>
  <c r="M85" i="1" s="1"/>
  <c r="K86" i="1"/>
  <c r="K87" i="1"/>
  <c r="M87" i="1" s="1"/>
  <c r="K88" i="1"/>
  <c r="M88" i="1" s="1"/>
  <c r="K89" i="1"/>
  <c r="M89" i="1" s="1"/>
  <c r="K90" i="1"/>
  <c r="M90" i="1" s="1"/>
  <c r="K91" i="1"/>
  <c r="M91" i="1" s="1"/>
  <c r="K92" i="1"/>
  <c r="M92" i="1" s="1"/>
  <c r="K93" i="1"/>
  <c r="M93" i="1" s="1"/>
  <c r="K94" i="1"/>
  <c r="M94" i="1" s="1"/>
  <c r="K95" i="1"/>
  <c r="M95" i="1" s="1"/>
  <c r="K96" i="1"/>
  <c r="M96" i="1" s="1"/>
  <c r="K97" i="1"/>
  <c r="M97" i="1" s="1"/>
  <c r="K98" i="1"/>
  <c r="M98" i="1" s="1"/>
  <c r="K99" i="1"/>
  <c r="K100" i="1"/>
  <c r="M100" i="1" s="1"/>
  <c r="K101" i="1"/>
  <c r="M101" i="1" s="1"/>
  <c r="K102" i="1"/>
  <c r="M102" i="1" s="1"/>
  <c r="K103" i="1"/>
  <c r="M103" i="1" s="1"/>
  <c r="K104" i="1"/>
  <c r="M104" i="1" s="1"/>
  <c r="K105" i="1"/>
  <c r="M105" i="1" s="1"/>
  <c r="K106" i="1"/>
  <c r="M106" i="1" s="1"/>
  <c r="K107" i="1"/>
  <c r="K108" i="1"/>
  <c r="M108" i="1" s="1"/>
  <c r="K109" i="1"/>
  <c r="K110" i="1"/>
  <c r="M110" i="1" s="1"/>
  <c r="K111" i="1"/>
  <c r="M111" i="1" s="1"/>
  <c r="K112" i="1"/>
  <c r="M112" i="1" s="1"/>
  <c r="K113" i="1"/>
  <c r="M113" i="1" s="1"/>
  <c r="K114" i="1"/>
  <c r="M114" i="1" s="1"/>
  <c r="K115" i="1"/>
  <c r="M115" i="1" s="1"/>
  <c r="K116" i="1"/>
  <c r="M116" i="1" s="1"/>
  <c r="K117" i="1"/>
  <c r="M117" i="1" s="1"/>
  <c r="K118" i="1"/>
  <c r="M118" i="1" s="1"/>
  <c r="K119" i="1"/>
  <c r="K120" i="1"/>
  <c r="M120" i="1" s="1"/>
  <c r="K121" i="1"/>
  <c r="M121" i="1" s="1"/>
  <c r="K122" i="1"/>
  <c r="M122" i="1" s="1"/>
  <c r="K123" i="1"/>
  <c r="K124" i="1"/>
  <c r="M124" i="1" s="1"/>
  <c r="K125" i="1"/>
  <c r="M125" i="1" s="1"/>
  <c r="K126" i="1"/>
  <c r="M126" i="1" s="1"/>
  <c r="K127" i="1"/>
  <c r="M127" i="1" s="1"/>
  <c r="K128" i="1"/>
  <c r="M128" i="1" s="1"/>
  <c r="K129" i="1"/>
  <c r="M129" i="1" s="1"/>
  <c r="K130" i="1"/>
  <c r="M130" i="1" s="1"/>
  <c r="K131" i="1"/>
  <c r="M131" i="1" s="1"/>
  <c r="K132" i="1"/>
  <c r="M132" i="1" s="1"/>
  <c r="K133" i="1"/>
  <c r="M133" i="1" s="1"/>
  <c r="K134" i="1"/>
  <c r="M134" i="1" s="1"/>
  <c r="K135" i="1"/>
  <c r="M135" i="1" s="1"/>
  <c r="K136" i="1"/>
  <c r="K137" i="1"/>
  <c r="M137" i="1" s="1"/>
  <c r="K138" i="1"/>
  <c r="M138" i="1" s="1"/>
  <c r="K139" i="1"/>
  <c r="M139" i="1" s="1"/>
  <c r="K140" i="1"/>
  <c r="M140" i="1" s="1"/>
  <c r="K141" i="1"/>
  <c r="M141" i="1" s="1"/>
  <c r="K142" i="1"/>
  <c r="M142" i="1" s="1"/>
  <c r="K143" i="1"/>
  <c r="K144" i="1"/>
  <c r="M144" i="1" s="1"/>
  <c r="K145" i="1"/>
  <c r="M145" i="1" s="1"/>
  <c r="K146" i="1"/>
  <c r="K147" i="1"/>
  <c r="M147" i="1" s="1"/>
  <c r="K148" i="1"/>
  <c r="M148" i="1" s="1"/>
  <c r="K149" i="1"/>
  <c r="M149" i="1" s="1"/>
  <c r="K150" i="1"/>
  <c r="M150" i="1" s="1"/>
  <c r="K151" i="1"/>
  <c r="M151" i="1" s="1"/>
  <c r="K152" i="1"/>
  <c r="M152" i="1" s="1"/>
  <c r="K153" i="1"/>
  <c r="M153" i="1" s="1"/>
  <c r="K154" i="1"/>
  <c r="M154" i="1" s="1"/>
  <c r="K155" i="1"/>
  <c r="M155" i="1" s="1"/>
  <c r="K156" i="1"/>
  <c r="M156" i="1" s="1"/>
  <c r="K157" i="1"/>
  <c r="M157" i="1" s="1"/>
  <c r="K158" i="1"/>
  <c r="M158" i="1" s="1"/>
  <c r="K159" i="1"/>
  <c r="M159" i="1" s="1"/>
  <c r="K160" i="1"/>
  <c r="M160" i="1" s="1"/>
  <c r="K161" i="1"/>
  <c r="M161" i="1" s="1"/>
  <c r="K162" i="1"/>
  <c r="M162" i="1" s="1"/>
  <c r="K163" i="1"/>
  <c r="M163" i="1" s="1"/>
  <c r="K164" i="1"/>
  <c r="M164" i="1" s="1"/>
  <c r="K165" i="1"/>
  <c r="K166" i="1"/>
  <c r="M166" i="1" s="1"/>
  <c r="K167" i="1"/>
  <c r="M167" i="1" s="1"/>
  <c r="K168" i="1"/>
  <c r="M168" i="1" s="1"/>
  <c r="K169" i="1"/>
  <c r="M169" i="1" s="1"/>
  <c r="K170" i="1"/>
  <c r="M170" i="1" s="1"/>
  <c r="K171" i="1"/>
  <c r="M171" i="1" s="1"/>
  <c r="K172" i="1"/>
  <c r="M172" i="1" s="1"/>
  <c r="K173" i="1"/>
  <c r="M173" i="1" s="1"/>
  <c r="K174" i="1"/>
  <c r="M174" i="1" s="1"/>
  <c r="K175" i="1"/>
  <c r="M175" i="1" s="1"/>
  <c r="K176" i="1"/>
  <c r="M176" i="1" s="1"/>
  <c r="K177" i="1"/>
  <c r="M177" i="1" s="1"/>
  <c r="K178" i="1"/>
  <c r="M178" i="1" s="1"/>
  <c r="K179" i="1"/>
  <c r="M179" i="1" s="1"/>
  <c r="K180" i="1"/>
  <c r="M180" i="1" s="1"/>
  <c r="K181" i="1"/>
  <c r="M181" i="1" s="1"/>
  <c r="K182" i="1"/>
  <c r="M182" i="1" s="1"/>
  <c r="K183" i="1"/>
  <c r="M183" i="1" s="1"/>
  <c r="K184" i="1"/>
  <c r="M184" i="1" s="1"/>
  <c r="K185" i="1"/>
  <c r="M185" i="1" s="1"/>
  <c r="K186" i="1"/>
  <c r="M186" i="1" s="1"/>
  <c r="K187" i="1"/>
  <c r="M187" i="1" s="1"/>
  <c r="K188" i="1"/>
  <c r="M188" i="1" s="1"/>
  <c r="K189" i="1"/>
  <c r="M189" i="1" s="1"/>
  <c r="K190" i="1"/>
  <c r="M190" i="1" s="1"/>
  <c r="K191" i="1"/>
  <c r="M191" i="1" s="1"/>
  <c r="K192" i="1"/>
  <c r="M192" i="1" s="1"/>
  <c r="K193" i="1"/>
  <c r="M193" i="1" s="1"/>
  <c r="K194" i="1"/>
  <c r="K195" i="1"/>
  <c r="M195" i="1" s="1"/>
  <c r="K196" i="1"/>
  <c r="M196" i="1" s="1"/>
  <c r="K197" i="1"/>
  <c r="M197" i="1" s="1"/>
  <c r="K198" i="1"/>
  <c r="M198" i="1" s="1"/>
  <c r="K199" i="1"/>
  <c r="M199" i="1" s="1"/>
  <c r="K200" i="1"/>
  <c r="M200" i="1" s="1"/>
  <c r="K201" i="1"/>
  <c r="M201" i="1" s="1"/>
  <c r="K202" i="1"/>
  <c r="M202" i="1" s="1"/>
  <c r="K203" i="1"/>
  <c r="M203" i="1" s="1"/>
  <c r="K204" i="1"/>
  <c r="M204" i="1" s="1"/>
  <c r="K205" i="1"/>
  <c r="M205" i="1" s="1"/>
  <c r="K206" i="1"/>
  <c r="M206" i="1" s="1"/>
  <c r="K207" i="1"/>
  <c r="M207" i="1" s="1"/>
  <c r="K208" i="1"/>
  <c r="M208" i="1" s="1"/>
  <c r="K209" i="1"/>
  <c r="M209" i="1" s="1"/>
  <c r="K210" i="1"/>
  <c r="M210" i="1" s="1"/>
  <c r="K211" i="1"/>
  <c r="M211" i="1" s="1"/>
  <c r="K212" i="1"/>
  <c r="M212" i="1" s="1"/>
  <c r="K213" i="1"/>
  <c r="M213" i="1" s="1"/>
  <c r="K214" i="1"/>
  <c r="M214" i="1" s="1"/>
  <c r="K215" i="1"/>
  <c r="M215" i="1" s="1"/>
  <c r="K216" i="1"/>
  <c r="M216" i="1" s="1"/>
  <c r="K217" i="1"/>
  <c r="M217" i="1" s="1"/>
  <c r="K218" i="1"/>
  <c r="M218" i="1" s="1"/>
  <c r="K219" i="1"/>
  <c r="M219" i="1" s="1"/>
  <c r="K220" i="1"/>
  <c r="M220" i="1" s="1"/>
  <c r="K221" i="1"/>
  <c r="M221" i="1" s="1"/>
  <c r="K222" i="1"/>
  <c r="M222" i="1" s="1"/>
  <c r="K223" i="1"/>
  <c r="M223" i="1" s="1"/>
  <c r="K224" i="1"/>
  <c r="M224" i="1" s="1"/>
  <c r="K225" i="1"/>
  <c r="M225" i="1" s="1"/>
  <c r="K226" i="1"/>
  <c r="M226" i="1" s="1"/>
  <c r="K227" i="1"/>
  <c r="M227" i="1" s="1"/>
  <c r="K228" i="1"/>
  <c r="M228" i="1" s="1"/>
  <c r="K229" i="1"/>
  <c r="M229" i="1" s="1"/>
  <c r="K230" i="1"/>
  <c r="K231" i="1"/>
  <c r="M231" i="1" s="1"/>
  <c r="K232" i="1"/>
  <c r="M232" i="1" s="1"/>
  <c r="K233" i="1"/>
  <c r="M233" i="1" s="1"/>
  <c r="K234" i="1"/>
  <c r="M234" i="1" s="1"/>
  <c r="K235" i="1"/>
  <c r="M235" i="1" s="1"/>
  <c r="K236" i="1"/>
  <c r="M236" i="1" s="1"/>
  <c r="K237" i="1"/>
  <c r="M237" i="1" s="1"/>
  <c r="K238" i="1"/>
  <c r="M238" i="1" s="1"/>
  <c r="K239" i="1"/>
  <c r="K240" i="1"/>
  <c r="M240" i="1" s="1"/>
  <c r="K241" i="1"/>
  <c r="M241" i="1" s="1"/>
  <c r="K242" i="1"/>
  <c r="K243" i="1"/>
  <c r="M243" i="1" s="1"/>
  <c r="K244" i="1"/>
  <c r="M244" i="1" s="1"/>
  <c r="K245" i="1"/>
  <c r="M245" i="1" s="1"/>
  <c r="K246" i="1"/>
  <c r="M246" i="1" s="1"/>
  <c r="K247" i="1"/>
  <c r="M247" i="1" s="1"/>
  <c r="K248" i="1"/>
  <c r="K249" i="1"/>
  <c r="M249" i="1" s="1"/>
  <c r="K250" i="1"/>
  <c r="M250" i="1" s="1"/>
  <c r="K251" i="1"/>
  <c r="M251" i="1" s="1"/>
  <c r="K252" i="1"/>
  <c r="M252" i="1" s="1"/>
  <c r="K253" i="1"/>
  <c r="M253" i="1" s="1"/>
  <c r="K254" i="1"/>
  <c r="M254" i="1" s="1"/>
  <c r="K255" i="1"/>
  <c r="M255" i="1" s="1"/>
  <c r="K256" i="1"/>
  <c r="M256" i="1" s="1"/>
  <c r="K257" i="1"/>
  <c r="M257" i="1" s="1"/>
  <c r="K258" i="1"/>
  <c r="M258" i="1" s="1"/>
  <c r="K259" i="1"/>
  <c r="M259" i="1" s="1"/>
  <c r="K260" i="1"/>
  <c r="M260" i="1" s="1"/>
  <c r="K261" i="1"/>
  <c r="M261" i="1" s="1"/>
  <c r="K262" i="1"/>
  <c r="M262" i="1" s="1"/>
  <c r="K263" i="1"/>
  <c r="M263" i="1" s="1"/>
  <c r="K264" i="1"/>
  <c r="M264" i="1" s="1"/>
  <c r="K265" i="1"/>
  <c r="M265" i="1" s="1"/>
  <c r="K266" i="1"/>
  <c r="K267" i="1"/>
  <c r="M267" i="1" s="1"/>
  <c r="K268" i="1"/>
  <c r="M268" i="1" s="1"/>
  <c r="K269" i="1"/>
  <c r="M269" i="1" s="1"/>
  <c r="K270" i="1"/>
  <c r="M270" i="1" s="1"/>
  <c r="K271" i="1"/>
  <c r="M271" i="1" s="1"/>
  <c r="K272" i="1"/>
  <c r="M272" i="1" s="1"/>
  <c r="K273" i="1"/>
  <c r="M273" i="1" s="1"/>
  <c r="K274" i="1"/>
  <c r="M274" i="1" s="1"/>
  <c r="K275" i="1"/>
  <c r="M275" i="1" s="1"/>
  <c r="K276" i="1"/>
  <c r="M276" i="1" s="1"/>
  <c r="K277" i="1"/>
  <c r="M277" i="1" s="1"/>
  <c r="K278" i="1"/>
  <c r="M278" i="1" s="1"/>
  <c r="K279" i="1"/>
  <c r="M279" i="1" s="1"/>
  <c r="K280" i="1"/>
  <c r="M280" i="1" s="1"/>
  <c r="K281" i="1"/>
  <c r="M281" i="1" s="1"/>
  <c r="K282" i="1"/>
  <c r="M282" i="1" s="1"/>
  <c r="K283" i="1"/>
  <c r="M283" i="1" s="1"/>
  <c r="K284" i="1"/>
  <c r="M284" i="1" s="1"/>
  <c r="K285" i="1"/>
  <c r="M285" i="1" s="1"/>
  <c r="K286" i="1"/>
  <c r="M286" i="1" s="1"/>
  <c r="K287" i="1"/>
  <c r="M287" i="1" s="1"/>
  <c r="K288" i="1"/>
  <c r="M288" i="1" s="1"/>
  <c r="K289" i="1"/>
  <c r="M289" i="1" s="1"/>
  <c r="K290" i="1"/>
  <c r="M290" i="1" s="1"/>
  <c r="K291" i="1"/>
  <c r="M291" i="1" s="1"/>
  <c r="K292" i="1"/>
  <c r="M292" i="1" s="1"/>
  <c r="K293" i="1"/>
  <c r="M293" i="1" s="1"/>
  <c r="K294" i="1"/>
  <c r="M294" i="1" s="1"/>
  <c r="K295" i="1"/>
  <c r="M295" i="1" s="1"/>
  <c r="K296" i="1"/>
  <c r="M296" i="1" s="1"/>
  <c r="K297" i="1"/>
  <c r="M297" i="1" s="1"/>
  <c r="K298" i="1"/>
  <c r="M298" i="1" s="1"/>
  <c r="K299" i="1"/>
  <c r="M299" i="1" s="1"/>
  <c r="K300" i="1"/>
  <c r="M300" i="1" s="1"/>
  <c r="K301" i="1"/>
  <c r="M301" i="1" s="1"/>
  <c r="K302" i="1"/>
  <c r="M302" i="1" s="1"/>
  <c r="K303" i="1"/>
  <c r="M303" i="1" s="1"/>
  <c r="K304" i="1"/>
  <c r="K305" i="1"/>
  <c r="M305" i="1" s="1"/>
  <c r="K306" i="1"/>
  <c r="M306" i="1" s="1"/>
  <c r="K307" i="1"/>
  <c r="M307" i="1" s="1"/>
  <c r="K308" i="1"/>
  <c r="M308" i="1" s="1"/>
  <c r="K309" i="1"/>
  <c r="M309" i="1" s="1"/>
  <c r="K310" i="1"/>
  <c r="M310" i="1" s="1"/>
  <c r="K311" i="1"/>
  <c r="M311" i="1" s="1"/>
  <c r="K312" i="1"/>
  <c r="M312" i="1" s="1"/>
  <c r="K313" i="1"/>
  <c r="M313" i="1" s="1"/>
  <c r="K314" i="1"/>
  <c r="M314" i="1" s="1"/>
  <c r="K315" i="1"/>
  <c r="M315" i="1" s="1"/>
  <c r="K316" i="1"/>
  <c r="M316" i="1" s="1"/>
  <c r="K317" i="1"/>
  <c r="M317" i="1" s="1"/>
  <c r="K318" i="1"/>
  <c r="M318" i="1" s="1"/>
  <c r="K319" i="1"/>
  <c r="M319" i="1" s="1"/>
  <c r="K320" i="1"/>
  <c r="K321" i="1"/>
  <c r="M321" i="1" s="1"/>
  <c r="K322" i="1"/>
  <c r="M322" i="1" s="1"/>
  <c r="K323" i="1"/>
  <c r="M323" i="1" s="1"/>
  <c r="K324" i="1"/>
  <c r="M324" i="1" s="1"/>
  <c r="K325" i="1"/>
  <c r="M325" i="1" s="1"/>
  <c r="K326" i="1"/>
  <c r="M326" i="1" s="1"/>
  <c r="K327" i="1"/>
  <c r="M327" i="1" s="1"/>
  <c r="K328" i="1"/>
  <c r="M328" i="1" s="1"/>
  <c r="K329" i="1"/>
  <c r="M329" i="1" s="1"/>
  <c r="K330" i="1"/>
  <c r="M330" i="1" s="1"/>
  <c r="K331" i="1"/>
  <c r="M331" i="1" s="1"/>
  <c r="K332" i="1"/>
  <c r="M332" i="1" s="1"/>
  <c r="K333" i="1"/>
  <c r="M333" i="1" s="1"/>
  <c r="K334" i="1"/>
  <c r="M334" i="1" s="1"/>
  <c r="K335" i="1"/>
  <c r="M335" i="1" s="1"/>
  <c r="K336" i="1"/>
  <c r="M336" i="1" s="1"/>
  <c r="K337" i="1"/>
  <c r="M337" i="1" s="1"/>
  <c r="K338" i="1"/>
  <c r="M338" i="1" s="1"/>
  <c r="K339" i="1"/>
  <c r="M339" i="1" s="1"/>
  <c r="K340" i="1"/>
  <c r="M340" i="1" s="1"/>
  <c r="K341" i="1"/>
  <c r="M341" i="1" s="1"/>
  <c r="K342" i="1"/>
  <c r="M342" i="1" s="1"/>
  <c r="K343" i="1"/>
  <c r="M343" i="1" s="1"/>
  <c r="K344" i="1"/>
  <c r="M344" i="1" s="1"/>
  <c r="K345" i="1"/>
  <c r="M345" i="1" s="1"/>
  <c r="K346" i="1"/>
  <c r="M346" i="1" s="1"/>
  <c r="K347" i="1"/>
  <c r="M347" i="1" s="1"/>
  <c r="K348" i="1"/>
  <c r="M348" i="1" s="1"/>
  <c r="K349" i="1"/>
  <c r="M349" i="1" s="1"/>
  <c r="K350" i="1"/>
  <c r="M350" i="1" s="1"/>
  <c r="K351" i="1"/>
  <c r="M351" i="1" s="1"/>
  <c r="K352" i="1"/>
  <c r="M352" i="1" s="1"/>
  <c r="K353" i="1"/>
  <c r="M353" i="1" s="1"/>
  <c r="K354" i="1"/>
  <c r="M354" i="1" s="1"/>
  <c r="K355" i="1"/>
  <c r="M355" i="1" s="1"/>
  <c r="K356" i="1"/>
  <c r="K357" i="1"/>
  <c r="M357" i="1" s="1"/>
  <c r="K358" i="1"/>
  <c r="M358" i="1" s="1"/>
  <c r="K359" i="1"/>
  <c r="M359" i="1" s="1"/>
  <c r="K360" i="1"/>
  <c r="M360" i="1" s="1"/>
  <c r="K361" i="1"/>
  <c r="M361" i="1" s="1"/>
  <c r="K362" i="1"/>
  <c r="K363" i="1"/>
  <c r="M363" i="1" s="1"/>
  <c r="K364" i="1"/>
  <c r="M364" i="1" s="1"/>
  <c r="K365" i="1"/>
  <c r="M365" i="1" s="1"/>
  <c r="K366" i="1"/>
  <c r="M366" i="1" s="1"/>
  <c r="K367" i="1"/>
  <c r="M367" i="1" s="1"/>
  <c r="K368" i="1"/>
  <c r="M368" i="1" s="1"/>
  <c r="K369" i="1"/>
  <c r="M369" i="1" s="1"/>
  <c r="K370" i="1"/>
  <c r="M370" i="1" s="1"/>
  <c r="K371" i="1"/>
  <c r="M371" i="1" s="1"/>
  <c r="K372" i="1"/>
  <c r="M372" i="1" s="1"/>
  <c r="K373" i="1"/>
  <c r="K374" i="1"/>
  <c r="M374" i="1" s="1"/>
  <c r="K375" i="1"/>
  <c r="M375" i="1" s="1"/>
  <c r="K376" i="1"/>
  <c r="M376" i="1" s="1"/>
  <c r="K377" i="1"/>
  <c r="M377" i="1" s="1"/>
  <c r="K378" i="1"/>
  <c r="M378" i="1" s="1"/>
  <c r="K379" i="1"/>
  <c r="M379" i="1" s="1"/>
  <c r="K380" i="1"/>
  <c r="M380" i="1" s="1"/>
  <c r="K381" i="1"/>
  <c r="M381" i="1" s="1"/>
  <c r="K382" i="1"/>
  <c r="M382" i="1" s="1"/>
  <c r="K383" i="1"/>
  <c r="M383" i="1" s="1"/>
  <c r="K384" i="1"/>
  <c r="M384" i="1" s="1"/>
  <c r="K385" i="1"/>
  <c r="M385" i="1" s="1"/>
  <c r="K386" i="1"/>
  <c r="M386" i="1" s="1"/>
  <c r="K387" i="1"/>
  <c r="M387" i="1" s="1"/>
  <c r="K388" i="1"/>
  <c r="M388" i="1" s="1"/>
  <c r="K389" i="1"/>
  <c r="M389" i="1" s="1"/>
  <c r="K390" i="1"/>
  <c r="M390" i="1" s="1"/>
  <c r="K391" i="1"/>
  <c r="M391" i="1" s="1"/>
  <c r="K392" i="1"/>
  <c r="M392" i="1" s="1"/>
  <c r="K393" i="1"/>
  <c r="M393" i="1" s="1"/>
  <c r="K394" i="1"/>
  <c r="M394" i="1" s="1"/>
  <c r="K395" i="1"/>
  <c r="M395" i="1" s="1"/>
  <c r="K396" i="1"/>
  <c r="K397" i="1"/>
  <c r="K398" i="1"/>
  <c r="M398" i="1" s="1"/>
  <c r="K399" i="1"/>
  <c r="M399" i="1" s="1"/>
  <c r="K400" i="1"/>
  <c r="M400" i="1" s="1"/>
  <c r="K401" i="1"/>
  <c r="M401" i="1" s="1"/>
  <c r="K402" i="1"/>
  <c r="M402" i="1" s="1"/>
  <c r="K403" i="1"/>
  <c r="K404" i="1"/>
  <c r="M404" i="1" s="1"/>
  <c r="K405" i="1"/>
  <c r="M405" i="1" s="1"/>
  <c r="K406" i="1"/>
  <c r="M406" i="1" s="1"/>
  <c r="K407" i="1"/>
  <c r="M407" i="1" s="1"/>
  <c r="K408" i="1"/>
  <c r="M408" i="1" s="1"/>
  <c r="K409" i="1"/>
  <c r="M409" i="1" s="1"/>
  <c r="K410" i="1"/>
  <c r="M410" i="1" s="1"/>
  <c r="K411" i="1"/>
  <c r="K412" i="1"/>
  <c r="M412" i="1" s="1"/>
  <c r="K413" i="1"/>
  <c r="M413" i="1" s="1"/>
  <c r="K414" i="1"/>
  <c r="M414" i="1" s="1"/>
  <c r="K415" i="1"/>
  <c r="K416" i="1"/>
  <c r="M416" i="1" s="1"/>
  <c r="K417" i="1"/>
  <c r="M417" i="1" s="1"/>
  <c r="K418" i="1"/>
  <c r="M418" i="1" s="1"/>
  <c r="K419" i="1"/>
  <c r="M419" i="1" s="1"/>
  <c r="K420" i="1"/>
  <c r="M420" i="1" s="1"/>
  <c r="K421" i="1"/>
  <c r="K422" i="1"/>
  <c r="M422" i="1" s="1"/>
  <c r="K423" i="1"/>
  <c r="M423" i="1" s="1"/>
  <c r="K424" i="1"/>
  <c r="M424" i="1" s="1"/>
  <c r="K425" i="1"/>
  <c r="M425" i="1" s="1"/>
  <c r="K426" i="1"/>
  <c r="M426" i="1" s="1"/>
  <c r="K427" i="1"/>
  <c r="M427" i="1" s="1"/>
  <c r="K428" i="1"/>
  <c r="M428" i="1" s="1"/>
  <c r="K429" i="1"/>
  <c r="M429" i="1" s="1"/>
  <c r="K430" i="1"/>
  <c r="M430" i="1" s="1"/>
  <c r="K431" i="1"/>
  <c r="K432" i="1"/>
  <c r="M432" i="1" s="1"/>
  <c r="K433" i="1"/>
  <c r="M433" i="1" s="1"/>
  <c r="K434" i="1"/>
  <c r="M434" i="1" s="1"/>
  <c r="K435" i="1"/>
  <c r="M435" i="1" s="1"/>
  <c r="K436" i="1"/>
  <c r="M436" i="1" s="1"/>
  <c r="K437" i="1"/>
  <c r="M437" i="1" s="1"/>
  <c r="K438" i="1"/>
  <c r="M438" i="1" s="1"/>
  <c r="K439" i="1"/>
  <c r="M439" i="1" s="1"/>
  <c r="K440" i="1"/>
  <c r="M440" i="1" s="1"/>
  <c r="K441" i="1"/>
  <c r="M441" i="1" s="1"/>
  <c r="K442" i="1"/>
  <c r="K443" i="1"/>
  <c r="M443" i="1" s="1"/>
  <c r="K444" i="1"/>
  <c r="M444" i="1" s="1"/>
  <c r="K445" i="1"/>
  <c r="M445" i="1" s="1"/>
  <c r="K446" i="1"/>
  <c r="K447" i="1"/>
  <c r="M447" i="1" s="1"/>
  <c r="K448" i="1"/>
  <c r="M448" i="1" s="1"/>
  <c r="K449" i="1"/>
  <c r="M449" i="1" s="1"/>
  <c r="K450" i="1"/>
  <c r="M450" i="1" s="1"/>
  <c r="K451" i="1"/>
  <c r="M451" i="1" s="1"/>
  <c r="K452" i="1"/>
  <c r="M452" i="1" s="1"/>
  <c r="K453" i="1"/>
  <c r="M453" i="1" s="1"/>
  <c r="K454" i="1"/>
  <c r="M454" i="1" s="1"/>
  <c r="K455" i="1"/>
  <c r="M455" i="1" s="1"/>
  <c r="K456" i="1"/>
  <c r="K457" i="1"/>
  <c r="M457" i="1" s="1"/>
  <c r="K458" i="1"/>
  <c r="M458" i="1" s="1"/>
  <c r="K459" i="1"/>
  <c r="M459" i="1" s="1"/>
  <c r="K460" i="1"/>
  <c r="M460" i="1" s="1"/>
  <c r="K461" i="1"/>
  <c r="M461" i="1" s="1"/>
  <c r="K462" i="1"/>
  <c r="M462" i="1" s="1"/>
  <c r="K463" i="1"/>
  <c r="M463" i="1" s="1"/>
  <c r="K464" i="1"/>
  <c r="M464" i="1" s="1"/>
  <c r="K465" i="1"/>
  <c r="M465" i="1" s="1"/>
  <c r="K466" i="1"/>
  <c r="M466" i="1" s="1"/>
  <c r="K467" i="1"/>
  <c r="M467" i="1" s="1"/>
  <c r="K468" i="1"/>
  <c r="M468" i="1" s="1"/>
  <c r="K469" i="1"/>
  <c r="M469" i="1" s="1"/>
  <c r="K470" i="1"/>
  <c r="M470" i="1" s="1"/>
  <c r="K471" i="1"/>
  <c r="M471" i="1" s="1"/>
  <c r="K472" i="1"/>
  <c r="M472" i="1" s="1"/>
  <c r="K473" i="1"/>
  <c r="M473" i="1" s="1"/>
  <c r="K474" i="1"/>
  <c r="M474" i="1" s="1"/>
  <c r="K475" i="1"/>
  <c r="M475" i="1" s="1"/>
  <c r="K476" i="1"/>
  <c r="M476" i="1" s="1"/>
  <c r="K477" i="1"/>
  <c r="M477" i="1" s="1"/>
  <c r="K478" i="1"/>
  <c r="M478" i="1" s="1"/>
  <c r="K479" i="1"/>
  <c r="M479" i="1" s="1"/>
  <c r="K480" i="1"/>
  <c r="M480" i="1" s="1"/>
  <c r="K481" i="1"/>
  <c r="M481" i="1" s="1"/>
  <c r="K482" i="1"/>
  <c r="M482" i="1" s="1"/>
  <c r="K483" i="1"/>
  <c r="M483" i="1" s="1"/>
  <c r="K484" i="1"/>
  <c r="M484" i="1" s="1"/>
  <c r="K485" i="1"/>
  <c r="M485" i="1" s="1"/>
  <c r="K486" i="1"/>
  <c r="M486" i="1" s="1"/>
  <c r="K487" i="1"/>
  <c r="M487" i="1" s="1"/>
  <c r="K488" i="1"/>
  <c r="M488" i="1" s="1"/>
  <c r="K489" i="1"/>
  <c r="M489" i="1" s="1"/>
  <c r="K490" i="1"/>
  <c r="M490" i="1" s="1"/>
  <c r="K491" i="1"/>
  <c r="M491" i="1" s="1"/>
  <c r="K492" i="1"/>
  <c r="M492" i="1" s="1"/>
  <c r="K493" i="1"/>
  <c r="M493" i="1" s="1"/>
  <c r="K494" i="1"/>
  <c r="K495" i="1"/>
  <c r="K496" i="1"/>
  <c r="M496" i="1" s="1"/>
  <c r="K497" i="1"/>
  <c r="K498" i="1"/>
  <c r="M498" i="1" s="1"/>
  <c r="K499" i="1"/>
  <c r="M499" i="1" s="1"/>
  <c r="K500" i="1"/>
  <c r="M500" i="1" s="1"/>
  <c r="K501" i="1"/>
  <c r="M501" i="1" s="1"/>
  <c r="K502" i="1"/>
  <c r="M502" i="1" s="1"/>
  <c r="K503" i="1"/>
  <c r="M503" i="1" s="1"/>
  <c r="K504" i="1"/>
  <c r="M504" i="1" s="1"/>
  <c r="K505" i="1"/>
  <c r="M505" i="1" s="1"/>
  <c r="K506" i="1"/>
  <c r="M506" i="1" s="1"/>
  <c r="K507" i="1"/>
  <c r="M507" i="1" s="1"/>
  <c r="K508" i="1"/>
  <c r="M508" i="1" s="1"/>
  <c r="K509" i="1"/>
  <c r="K510" i="1"/>
  <c r="M510" i="1" s="1"/>
  <c r="K511" i="1"/>
  <c r="M511" i="1" s="1"/>
  <c r="K512" i="1"/>
  <c r="M512" i="1" s="1"/>
  <c r="K513" i="1"/>
  <c r="K514" i="1"/>
  <c r="M514" i="1" s="1"/>
  <c r="K515" i="1"/>
  <c r="M515" i="1" s="1"/>
  <c r="K516" i="1"/>
  <c r="M516" i="1" s="1"/>
  <c r="K517" i="1"/>
  <c r="M517" i="1" s="1"/>
  <c r="K518" i="1"/>
  <c r="M518" i="1" s="1"/>
  <c r="K519" i="1"/>
  <c r="M519" i="1" s="1"/>
  <c r="K520" i="1"/>
  <c r="M520" i="1" s="1"/>
  <c r="K521" i="1"/>
  <c r="M521" i="1" s="1"/>
  <c r="K522" i="1"/>
  <c r="M522" i="1" s="1"/>
  <c r="K523" i="1"/>
  <c r="M523" i="1" s="1"/>
  <c r="K524" i="1"/>
  <c r="K525" i="1"/>
  <c r="M525" i="1" s="1"/>
  <c r="K526" i="1"/>
  <c r="M526" i="1" s="1"/>
  <c r="K527" i="1"/>
  <c r="M527" i="1" s="1"/>
  <c r="K528" i="1"/>
  <c r="M528" i="1" s="1"/>
  <c r="K529" i="1"/>
  <c r="M529" i="1" s="1"/>
  <c r="K530" i="1"/>
  <c r="M530" i="1" s="1"/>
  <c r="K531" i="1"/>
  <c r="M531" i="1" s="1"/>
  <c r="K532" i="1"/>
  <c r="M532" i="1" s="1"/>
  <c r="K533" i="1"/>
  <c r="M533" i="1" s="1"/>
  <c r="K534" i="1"/>
  <c r="M534" i="1" s="1"/>
  <c r="K535" i="1"/>
  <c r="M535" i="1" s="1"/>
  <c r="K536" i="1"/>
  <c r="M536" i="1" s="1"/>
  <c r="K537" i="1"/>
  <c r="M537" i="1" s="1"/>
  <c r="K538" i="1"/>
  <c r="M538" i="1" s="1"/>
  <c r="K539" i="1"/>
  <c r="M539" i="1" s="1"/>
  <c r="K540" i="1"/>
  <c r="M540" i="1" s="1"/>
  <c r="K541" i="1"/>
  <c r="M541" i="1" s="1"/>
  <c r="K542" i="1"/>
  <c r="M542" i="1" s="1"/>
  <c r="K543" i="1"/>
  <c r="M543" i="1" s="1"/>
  <c r="K544" i="1"/>
  <c r="M544" i="1" s="1"/>
  <c r="K545" i="1"/>
  <c r="K546" i="1"/>
  <c r="M546" i="1" s="1"/>
  <c r="K547" i="1"/>
  <c r="M547" i="1" s="1"/>
  <c r="K548" i="1"/>
  <c r="M548" i="1" s="1"/>
  <c r="K549" i="1"/>
  <c r="M549" i="1" s="1"/>
  <c r="K550" i="1"/>
  <c r="M550" i="1" s="1"/>
  <c r="K551" i="1"/>
  <c r="M551" i="1" s="1"/>
  <c r="K552" i="1"/>
  <c r="M552" i="1" s="1"/>
  <c r="K553" i="1"/>
  <c r="M553" i="1" s="1"/>
  <c r="K554" i="1"/>
  <c r="M554" i="1" s="1"/>
  <c r="K555" i="1"/>
  <c r="M555" i="1" s="1"/>
  <c r="K556" i="1"/>
  <c r="M556" i="1" s="1"/>
  <c r="K557" i="1"/>
  <c r="M557" i="1" s="1"/>
  <c r="K558" i="1"/>
  <c r="K559" i="1"/>
  <c r="M559" i="1" s="1"/>
  <c r="K560" i="1"/>
  <c r="M560" i="1" s="1"/>
  <c r="K561" i="1"/>
  <c r="M561" i="1" s="1"/>
  <c r="K562" i="1"/>
  <c r="M562" i="1" s="1"/>
  <c r="K563" i="1"/>
  <c r="M563" i="1" s="1"/>
  <c r="K564" i="1"/>
  <c r="M564" i="1" s="1"/>
  <c r="K565" i="1"/>
  <c r="M565" i="1" s="1"/>
  <c r="K566" i="1"/>
  <c r="M566" i="1" s="1"/>
  <c r="K567" i="1"/>
  <c r="M567" i="1" s="1"/>
  <c r="K568" i="1"/>
  <c r="M568" i="1" s="1"/>
  <c r="K569" i="1"/>
  <c r="M569" i="1" s="1"/>
  <c r="K570" i="1"/>
  <c r="M570" i="1" s="1"/>
  <c r="K571" i="1"/>
  <c r="M571" i="1" s="1"/>
  <c r="K572" i="1"/>
  <c r="M572" i="1" s="1"/>
  <c r="K573" i="1"/>
  <c r="M573" i="1" s="1"/>
  <c r="K574" i="1"/>
  <c r="M574" i="1" s="1"/>
  <c r="K575" i="1"/>
  <c r="M575" i="1" s="1"/>
  <c r="K576" i="1"/>
  <c r="M576" i="1" s="1"/>
  <c r="K577" i="1"/>
  <c r="M577" i="1" s="1"/>
  <c r="K578" i="1"/>
  <c r="M578" i="1" s="1"/>
  <c r="K579" i="1"/>
  <c r="M579" i="1" s="1"/>
  <c r="K580" i="1"/>
  <c r="M580" i="1" s="1"/>
  <c r="K581" i="1"/>
  <c r="M581" i="1" s="1"/>
  <c r="K582" i="1"/>
  <c r="M582" i="1" s="1"/>
  <c r="K583" i="1"/>
  <c r="M583" i="1" s="1"/>
  <c r="K584" i="1"/>
  <c r="M584" i="1" s="1"/>
  <c r="K585" i="1"/>
  <c r="K586" i="1"/>
  <c r="M586" i="1" s="1"/>
  <c r="K587" i="1"/>
  <c r="M587" i="1" s="1"/>
  <c r="K588" i="1"/>
  <c r="M588" i="1" s="1"/>
  <c r="K589" i="1"/>
  <c r="M589" i="1" s="1"/>
  <c r="K590" i="1"/>
  <c r="M590" i="1" s="1"/>
  <c r="K591" i="1"/>
  <c r="M591" i="1" s="1"/>
  <c r="K592" i="1"/>
  <c r="K593" i="1"/>
  <c r="M593" i="1" s="1"/>
  <c r="K594" i="1"/>
  <c r="M594" i="1" s="1"/>
  <c r="K595" i="1"/>
  <c r="M595" i="1" s="1"/>
  <c r="K596" i="1"/>
  <c r="M596" i="1" s="1"/>
  <c r="K597" i="1"/>
  <c r="M597" i="1" s="1"/>
  <c r="K598" i="1"/>
  <c r="M598" i="1" s="1"/>
  <c r="K599" i="1"/>
  <c r="K600" i="1"/>
  <c r="K601" i="1"/>
  <c r="M601" i="1" s="1"/>
  <c r="K602" i="1"/>
  <c r="M602" i="1" s="1"/>
  <c r="K603" i="1"/>
  <c r="M603" i="1" s="1"/>
  <c r="K604" i="1"/>
  <c r="M604" i="1" s="1"/>
  <c r="K605" i="1"/>
  <c r="M605" i="1" s="1"/>
  <c r="K606" i="1"/>
  <c r="M606" i="1" s="1"/>
  <c r="K607" i="1"/>
  <c r="M607" i="1" s="1"/>
  <c r="K608" i="1"/>
  <c r="M608" i="1" s="1"/>
  <c r="K609" i="1"/>
  <c r="M609" i="1" s="1"/>
  <c r="K610" i="1"/>
  <c r="M610" i="1" s="1"/>
  <c r="K611" i="1"/>
  <c r="M611" i="1" s="1"/>
  <c r="K612" i="1"/>
  <c r="M612" i="1" s="1"/>
  <c r="K613" i="1"/>
  <c r="M613" i="1" s="1"/>
  <c r="K614" i="1"/>
  <c r="M614" i="1" s="1"/>
  <c r="K615" i="1"/>
  <c r="M615" i="1" s="1"/>
  <c r="K616" i="1"/>
  <c r="M616" i="1" s="1"/>
  <c r="K617" i="1"/>
  <c r="M617" i="1" s="1"/>
  <c r="K618" i="1"/>
  <c r="M618" i="1" s="1"/>
  <c r="K619" i="1"/>
  <c r="M619" i="1" s="1"/>
  <c r="K620" i="1"/>
  <c r="K621" i="1"/>
  <c r="M621" i="1" s="1"/>
  <c r="K622" i="1"/>
  <c r="M622" i="1" s="1"/>
  <c r="K623" i="1"/>
  <c r="M623" i="1" s="1"/>
  <c r="K624" i="1"/>
  <c r="M624" i="1" s="1"/>
  <c r="K625" i="1"/>
  <c r="M625" i="1" s="1"/>
  <c r="K626" i="1"/>
  <c r="K627" i="1"/>
  <c r="M627" i="1" s="1"/>
  <c r="K628" i="1"/>
  <c r="M628" i="1" s="1"/>
  <c r="K629" i="1"/>
  <c r="M629" i="1" s="1"/>
  <c r="K630" i="1"/>
  <c r="M630" i="1" s="1"/>
  <c r="K631" i="1"/>
  <c r="M631" i="1" s="1"/>
  <c r="K632" i="1"/>
  <c r="M632" i="1" s="1"/>
  <c r="K633" i="1"/>
  <c r="M633" i="1" s="1"/>
  <c r="K634" i="1"/>
  <c r="M634" i="1" s="1"/>
  <c r="K635" i="1"/>
  <c r="M635" i="1" s="1"/>
  <c r="K636" i="1"/>
  <c r="M636" i="1" s="1"/>
  <c r="K637" i="1"/>
  <c r="M637" i="1" s="1"/>
  <c r="K638" i="1"/>
  <c r="K639" i="1"/>
  <c r="M639" i="1" s="1"/>
  <c r="K640" i="1"/>
  <c r="K641" i="1"/>
  <c r="M641" i="1" s="1"/>
  <c r="K642" i="1"/>
  <c r="M642" i="1" s="1"/>
  <c r="K643" i="1"/>
  <c r="M643" i="1" s="1"/>
  <c r="K644" i="1"/>
  <c r="M644" i="1" s="1"/>
  <c r="K645" i="1"/>
  <c r="M645" i="1" s="1"/>
  <c r="K646" i="1"/>
  <c r="M646" i="1" s="1"/>
  <c r="K647" i="1"/>
  <c r="M647" i="1" s="1"/>
  <c r="K648" i="1"/>
  <c r="M648" i="1" s="1"/>
  <c r="K649" i="1"/>
  <c r="M649" i="1" s="1"/>
  <c r="K650" i="1"/>
  <c r="M650" i="1" s="1"/>
  <c r="K651" i="1"/>
  <c r="M651" i="1" s="1"/>
  <c r="K652" i="1"/>
  <c r="M652" i="1" s="1"/>
  <c r="K653" i="1"/>
  <c r="M653" i="1" s="1"/>
  <c r="K654" i="1"/>
  <c r="K655" i="1"/>
  <c r="M655" i="1" s="1"/>
  <c r="K656" i="1"/>
  <c r="M656" i="1" s="1"/>
  <c r="K657" i="1"/>
  <c r="M657" i="1" s="1"/>
  <c r="K658" i="1"/>
  <c r="M658" i="1" s="1"/>
  <c r="K659" i="1"/>
  <c r="M659" i="1" s="1"/>
  <c r="K660" i="1"/>
  <c r="K661" i="1"/>
  <c r="M661" i="1" s="1"/>
  <c r="K662" i="1"/>
  <c r="M662" i="1" s="1"/>
  <c r="K663" i="1"/>
  <c r="M663" i="1" s="1"/>
  <c r="K664" i="1"/>
  <c r="M664" i="1" s="1"/>
  <c r="K665" i="1"/>
  <c r="M665" i="1" s="1"/>
  <c r="K666" i="1"/>
  <c r="M666" i="1" s="1"/>
  <c r="K667" i="1"/>
  <c r="K668" i="1"/>
  <c r="M668" i="1" s="1"/>
  <c r="K669" i="1"/>
  <c r="K670" i="1"/>
  <c r="M670" i="1" s="1"/>
  <c r="K671" i="1"/>
  <c r="M671" i="1" s="1"/>
  <c r="K672" i="1"/>
  <c r="M672" i="1" s="1"/>
  <c r="K673" i="1"/>
  <c r="M673" i="1" s="1"/>
  <c r="K674" i="1"/>
  <c r="M674" i="1" s="1"/>
  <c r="K675" i="1"/>
  <c r="M675" i="1" s="1"/>
  <c r="K676" i="1"/>
  <c r="M676" i="1" s="1"/>
  <c r="K677" i="1"/>
  <c r="M677" i="1" s="1"/>
  <c r="K678" i="1"/>
  <c r="M678" i="1" s="1"/>
  <c r="K679" i="1"/>
  <c r="M679" i="1" s="1"/>
  <c r="K680" i="1"/>
  <c r="M680" i="1" s="1"/>
  <c r="K681" i="1"/>
  <c r="M681" i="1" s="1"/>
  <c r="K682" i="1"/>
  <c r="K683" i="1"/>
  <c r="K684" i="1"/>
  <c r="K685" i="1"/>
  <c r="M685" i="1" s="1"/>
  <c r="K686" i="1"/>
  <c r="M686" i="1" s="1"/>
  <c r="K687" i="1"/>
  <c r="M687" i="1" s="1"/>
  <c r="K688" i="1"/>
  <c r="M688" i="1" s="1"/>
  <c r="K689" i="1"/>
  <c r="M689" i="1" s="1"/>
  <c r="K690" i="1"/>
  <c r="M690" i="1" s="1"/>
  <c r="K691" i="1"/>
  <c r="M691" i="1" s="1"/>
  <c r="K692" i="1"/>
  <c r="M692" i="1" s="1"/>
  <c r="K693" i="1"/>
  <c r="M693" i="1" s="1"/>
  <c r="K694" i="1"/>
  <c r="M694" i="1" s="1"/>
  <c r="K695" i="1"/>
  <c r="K696" i="1"/>
  <c r="M696" i="1" s="1"/>
  <c r="K697" i="1"/>
  <c r="M697" i="1" s="1"/>
  <c r="K698" i="1"/>
  <c r="M698" i="1" s="1"/>
  <c r="K699" i="1"/>
  <c r="M699" i="1" s="1"/>
  <c r="K700" i="1"/>
  <c r="M700" i="1" s="1"/>
  <c r="K701" i="1"/>
  <c r="M701" i="1" s="1"/>
  <c r="K702" i="1"/>
  <c r="M702" i="1" s="1"/>
  <c r="K703" i="1"/>
  <c r="M703" i="1" s="1"/>
  <c r="K704" i="1"/>
  <c r="M704" i="1" s="1"/>
  <c r="K705" i="1"/>
  <c r="M705" i="1" s="1"/>
  <c r="K706" i="1"/>
  <c r="M706" i="1" s="1"/>
  <c r="K707" i="1"/>
  <c r="M707" i="1" s="1"/>
  <c r="K708" i="1"/>
  <c r="K709" i="1"/>
  <c r="M709" i="1" s="1"/>
  <c r="K710" i="1"/>
  <c r="M710" i="1" s="1"/>
  <c r="K711" i="1"/>
  <c r="M711" i="1" s="1"/>
  <c r="K712" i="1"/>
  <c r="M712" i="1" s="1"/>
  <c r="K713" i="1"/>
  <c r="M713" i="1" s="1"/>
  <c r="K714" i="1"/>
  <c r="M714" i="1" s="1"/>
  <c r="K715" i="1"/>
  <c r="M715" i="1" s="1"/>
  <c r="K716" i="1"/>
  <c r="M716" i="1" s="1"/>
  <c r="K717" i="1"/>
  <c r="M717" i="1" s="1"/>
  <c r="K718" i="1"/>
  <c r="M718" i="1" s="1"/>
  <c r="K719" i="1"/>
  <c r="K720" i="1"/>
  <c r="M720" i="1" s="1"/>
  <c r="K721" i="1"/>
  <c r="K722" i="1"/>
  <c r="M722" i="1" s="1"/>
  <c r="K723" i="1"/>
  <c r="K724" i="1"/>
  <c r="M724" i="1" s="1"/>
  <c r="K725" i="1"/>
  <c r="K726" i="1"/>
  <c r="M726" i="1" s="1"/>
  <c r="K727" i="1"/>
  <c r="M727" i="1" s="1"/>
  <c r="K728" i="1"/>
  <c r="M728" i="1" s="1"/>
  <c r="K729" i="1"/>
  <c r="M729" i="1" s="1"/>
  <c r="K730" i="1"/>
  <c r="M730" i="1" s="1"/>
  <c r="K731" i="1"/>
  <c r="K732" i="1"/>
  <c r="M732" i="1" s="1"/>
  <c r="K733" i="1"/>
  <c r="M733" i="1" s="1"/>
  <c r="K734" i="1"/>
  <c r="M734" i="1" s="1"/>
  <c r="K735" i="1"/>
  <c r="M735" i="1" s="1"/>
  <c r="K736" i="1"/>
  <c r="M736" i="1" s="1"/>
  <c r="K737" i="1"/>
  <c r="K738" i="1"/>
  <c r="K739" i="1"/>
  <c r="K740" i="1"/>
  <c r="M740" i="1" s="1"/>
  <c r="K741" i="1"/>
  <c r="M741" i="1" s="1"/>
  <c r="K742" i="1"/>
  <c r="M742" i="1" s="1"/>
  <c r="K743" i="1"/>
  <c r="M743" i="1" s="1"/>
  <c r="K744" i="1"/>
  <c r="M744" i="1" s="1"/>
  <c r="K745" i="1"/>
  <c r="M745" i="1" s="1"/>
  <c r="K746" i="1"/>
  <c r="M746" i="1" s="1"/>
  <c r="K747" i="1"/>
  <c r="M747" i="1" s="1"/>
  <c r="K748" i="1"/>
  <c r="K749" i="1"/>
  <c r="M749" i="1" s="1"/>
  <c r="K750" i="1"/>
  <c r="M750" i="1" s="1"/>
  <c r="K751" i="1"/>
  <c r="M751" i="1" s="1"/>
  <c r="K752" i="1"/>
  <c r="M752" i="1" s="1"/>
  <c r="K753" i="1"/>
  <c r="M753" i="1" s="1"/>
  <c r="K754" i="1"/>
  <c r="M754" i="1" s="1"/>
  <c r="K755" i="1"/>
  <c r="M755" i="1" s="1"/>
  <c r="K756" i="1"/>
  <c r="M756" i="1" s="1"/>
  <c r="K757" i="1"/>
  <c r="M757" i="1" s="1"/>
  <c r="K758" i="1"/>
  <c r="M758" i="1" s="1"/>
  <c r="K759" i="1"/>
  <c r="M759" i="1" s="1"/>
  <c r="K760" i="1"/>
  <c r="M760" i="1" s="1"/>
  <c r="K761" i="1"/>
  <c r="M761" i="1" s="1"/>
  <c r="K762" i="1"/>
  <c r="M762" i="1" s="1"/>
  <c r="K763" i="1"/>
  <c r="M763" i="1" s="1"/>
  <c r="K764" i="1"/>
  <c r="M764" i="1" s="1"/>
  <c r="K765" i="1"/>
  <c r="M765" i="1" s="1"/>
  <c r="K766" i="1"/>
  <c r="M766" i="1" s="1"/>
  <c r="K767" i="1"/>
  <c r="M767" i="1" s="1"/>
  <c r="K768" i="1"/>
  <c r="M768" i="1" s="1"/>
  <c r="K769" i="1"/>
  <c r="M769" i="1" s="1"/>
  <c r="K770" i="1"/>
  <c r="M770" i="1" s="1"/>
  <c r="K771" i="1"/>
  <c r="M771" i="1" s="1"/>
  <c r="K772" i="1"/>
  <c r="M772" i="1" s="1"/>
  <c r="K773" i="1"/>
  <c r="K774" i="1"/>
  <c r="K775" i="1"/>
  <c r="M775" i="1" s="1"/>
  <c r="K776" i="1"/>
  <c r="M776" i="1" s="1"/>
  <c r="K777" i="1"/>
  <c r="M777" i="1" s="1"/>
  <c r="K778" i="1"/>
  <c r="M778" i="1" s="1"/>
  <c r="K779" i="1"/>
  <c r="K780" i="1"/>
  <c r="M780" i="1" s="1"/>
  <c r="K781" i="1"/>
  <c r="M781" i="1" s="1"/>
  <c r="K782" i="1"/>
  <c r="M782" i="1" s="1"/>
  <c r="K783" i="1"/>
  <c r="M783" i="1" s="1"/>
  <c r="K784" i="1"/>
  <c r="M784" i="1" s="1"/>
  <c r="K785" i="1"/>
  <c r="M785" i="1" s="1"/>
  <c r="K786" i="1"/>
  <c r="M786" i="1" s="1"/>
  <c r="K787" i="1"/>
  <c r="M787" i="1" s="1"/>
  <c r="K788" i="1"/>
  <c r="M788" i="1" s="1"/>
  <c r="K789" i="1"/>
  <c r="K790" i="1"/>
  <c r="M790" i="1" s="1"/>
  <c r="K791" i="1"/>
  <c r="M791" i="1" s="1"/>
  <c r="K792" i="1"/>
  <c r="M792" i="1" s="1"/>
  <c r="K793" i="1"/>
  <c r="M793" i="1" s="1"/>
  <c r="K794" i="1"/>
  <c r="M794" i="1" s="1"/>
  <c r="K795" i="1"/>
  <c r="M795" i="1" s="1"/>
  <c r="K796" i="1"/>
  <c r="M796" i="1" s="1"/>
  <c r="K797" i="1"/>
  <c r="M797" i="1" s="1"/>
  <c r="K798" i="1"/>
  <c r="M798" i="1" s="1"/>
  <c r="K799" i="1"/>
  <c r="M799" i="1" s="1"/>
  <c r="K800" i="1"/>
  <c r="M800" i="1" s="1"/>
  <c r="K801" i="1"/>
  <c r="M801" i="1" s="1"/>
  <c r="K802" i="1"/>
  <c r="M802" i="1" s="1"/>
  <c r="K803" i="1"/>
  <c r="M803" i="1" s="1"/>
  <c r="K804" i="1"/>
  <c r="M804" i="1" s="1"/>
  <c r="K805" i="1"/>
  <c r="M805" i="1" s="1"/>
  <c r="K806" i="1"/>
  <c r="M806" i="1" s="1"/>
  <c r="K807" i="1"/>
  <c r="M807" i="1" s="1"/>
  <c r="K808" i="1"/>
  <c r="M808" i="1" s="1"/>
  <c r="K809" i="1"/>
  <c r="M809" i="1" s="1"/>
  <c r="K810" i="1"/>
  <c r="M810" i="1" s="1"/>
  <c r="K811" i="1"/>
  <c r="M811" i="1" s="1"/>
  <c r="K812" i="1"/>
  <c r="M812" i="1" s="1"/>
  <c r="K813" i="1"/>
  <c r="M813" i="1" s="1"/>
  <c r="K814" i="1"/>
  <c r="M814" i="1" s="1"/>
  <c r="K815" i="1"/>
  <c r="M815" i="1" s="1"/>
  <c r="K816" i="1"/>
  <c r="M816" i="1" s="1"/>
  <c r="K817" i="1"/>
  <c r="K818" i="1"/>
  <c r="M818" i="1" s="1"/>
  <c r="K819" i="1"/>
  <c r="M819" i="1" s="1"/>
  <c r="K820" i="1"/>
  <c r="M820" i="1" s="1"/>
  <c r="K821" i="1"/>
  <c r="K822" i="1"/>
  <c r="M822" i="1" s="1"/>
  <c r="K823" i="1"/>
  <c r="M823" i="1" s="1"/>
  <c r="K824" i="1"/>
  <c r="M824" i="1" s="1"/>
  <c r="K825" i="1"/>
  <c r="K826" i="1"/>
  <c r="M826" i="1" s="1"/>
  <c r="K827" i="1"/>
  <c r="M827" i="1" s="1"/>
  <c r="K828" i="1"/>
  <c r="M828" i="1" s="1"/>
  <c r="K829" i="1"/>
  <c r="M829" i="1" s="1"/>
  <c r="K830" i="1"/>
  <c r="M830" i="1" s="1"/>
  <c r="K831" i="1"/>
  <c r="M831" i="1" s="1"/>
  <c r="K832" i="1"/>
  <c r="M832" i="1" s="1"/>
  <c r="K833" i="1"/>
  <c r="M833" i="1" s="1"/>
  <c r="K834" i="1"/>
  <c r="M834" i="1" s="1"/>
  <c r="K835" i="1"/>
  <c r="M835" i="1" s="1"/>
  <c r="K836" i="1"/>
  <c r="M836" i="1" s="1"/>
  <c r="K837" i="1"/>
  <c r="M837" i="1" s="1"/>
  <c r="K838" i="1"/>
  <c r="M838" i="1" s="1"/>
  <c r="K839" i="1"/>
  <c r="M839" i="1" s="1"/>
  <c r="K840" i="1"/>
  <c r="K841" i="1"/>
  <c r="K842" i="1"/>
  <c r="M842" i="1" s="1"/>
  <c r="K843" i="1"/>
  <c r="M843" i="1" s="1"/>
  <c r="K844" i="1"/>
  <c r="M844" i="1" s="1"/>
  <c r="K845" i="1"/>
  <c r="M845" i="1" s="1"/>
  <c r="K846" i="1"/>
  <c r="M846" i="1" s="1"/>
  <c r="K847" i="1"/>
  <c r="M847" i="1" s="1"/>
  <c r="K848" i="1"/>
  <c r="M848" i="1" s="1"/>
  <c r="K849" i="1"/>
  <c r="M849" i="1" s="1"/>
  <c r="K850" i="1"/>
  <c r="M850" i="1" s="1"/>
  <c r="K851" i="1"/>
  <c r="M851" i="1" s="1"/>
  <c r="K852" i="1"/>
  <c r="M852" i="1" s="1"/>
  <c r="K853" i="1"/>
  <c r="M853" i="1" s="1"/>
  <c r="K854" i="1"/>
  <c r="M854" i="1" s="1"/>
  <c r="K855" i="1"/>
  <c r="M855" i="1" s="1"/>
  <c r="K856" i="1"/>
  <c r="M856" i="1" s="1"/>
  <c r="K857" i="1"/>
  <c r="M857" i="1" s="1"/>
  <c r="K858" i="1"/>
  <c r="M858" i="1" s="1"/>
  <c r="K859" i="1"/>
  <c r="M859" i="1" s="1"/>
  <c r="K860" i="1"/>
  <c r="M860" i="1" s="1"/>
  <c r="K861" i="1"/>
  <c r="M861" i="1" s="1"/>
  <c r="K862" i="1"/>
  <c r="M862" i="1" s="1"/>
  <c r="K863" i="1"/>
  <c r="M863" i="1" s="1"/>
  <c r="K864" i="1"/>
  <c r="M864" i="1" s="1"/>
  <c r="K865" i="1"/>
  <c r="M865" i="1" s="1"/>
  <c r="K866" i="1"/>
  <c r="K867" i="1"/>
  <c r="M867" i="1" s="1"/>
  <c r="K868" i="1"/>
  <c r="M868" i="1" s="1"/>
  <c r="K869" i="1"/>
  <c r="M869" i="1" s="1"/>
  <c r="K870" i="1"/>
  <c r="M870" i="1" s="1"/>
  <c r="K871" i="1"/>
  <c r="K872" i="1"/>
  <c r="M872" i="1" s="1"/>
  <c r="K873" i="1"/>
  <c r="M873" i="1" s="1"/>
  <c r="K874" i="1"/>
  <c r="M874" i="1" s="1"/>
  <c r="K875" i="1"/>
  <c r="M875" i="1" s="1"/>
  <c r="K876" i="1"/>
  <c r="M876" i="1" s="1"/>
  <c r="K877" i="1"/>
  <c r="M877" i="1" s="1"/>
  <c r="K878" i="1"/>
  <c r="M878" i="1" s="1"/>
  <c r="K879" i="1"/>
  <c r="M879" i="1" s="1"/>
  <c r="K880" i="1"/>
  <c r="M880" i="1" s="1"/>
  <c r="K881" i="1"/>
  <c r="M881" i="1" s="1"/>
  <c r="K882" i="1"/>
  <c r="M882" i="1" s="1"/>
  <c r="K883" i="1"/>
  <c r="M883" i="1" s="1"/>
  <c r="K884" i="1"/>
  <c r="M884" i="1" s="1"/>
  <c r="K885" i="1"/>
  <c r="M885" i="1" s="1"/>
  <c r="K886" i="1"/>
  <c r="M886" i="1" s="1"/>
  <c r="K887" i="1"/>
  <c r="M887" i="1" s="1"/>
  <c r="K888" i="1"/>
  <c r="M888" i="1" s="1"/>
  <c r="K889" i="1"/>
  <c r="M889" i="1" s="1"/>
  <c r="K890" i="1"/>
  <c r="M890" i="1" s="1"/>
  <c r="K891" i="1"/>
  <c r="M891" i="1" s="1"/>
  <c r="K892" i="1"/>
  <c r="M892" i="1" s="1"/>
  <c r="K893" i="1"/>
  <c r="M893" i="1" s="1"/>
  <c r="K894" i="1"/>
  <c r="M894" i="1" s="1"/>
  <c r="K895" i="1"/>
  <c r="M895" i="1" s="1"/>
  <c r="K896" i="1"/>
  <c r="M896" i="1" s="1"/>
  <c r="K897" i="1"/>
  <c r="M897" i="1" s="1"/>
  <c r="K898" i="1"/>
  <c r="M898" i="1" s="1"/>
  <c r="K899" i="1"/>
  <c r="M899" i="1" s="1"/>
  <c r="K900" i="1"/>
  <c r="M900" i="1" s="1"/>
  <c r="K901" i="1"/>
  <c r="M901" i="1" s="1"/>
  <c r="K902" i="1"/>
  <c r="M902" i="1" s="1"/>
  <c r="K903" i="1"/>
  <c r="M903" i="1" s="1"/>
  <c r="K904" i="1"/>
  <c r="M904" i="1" s="1"/>
  <c r="K905" i="1"/>
  <c r="K906" i="1"/>
  <c r="M906" i="1" s="1"/>
  <c r="K907" i="1"/>
  <c r="M907" i="1" s="1"/>
  <c r="K908" i="1"/>
  <c r="M908" i="1" s="1"/>
  <c r="K909" i="1"/>
  <c r="K910" i="1"/>
  <c r="M910" i="1" s="1"/>
  <c r="K911" i="1"/>
  <c r="M911" i="1" s="1"/>
  <c r="K912" i="1"/>
  <c r="M912" i="1" s="1"/>
  <c r="K913" i="1"/>
  <c r="M913" i="1" s="1"/>
  <c r="K914" i="1"/>
  <c r="M914" i="1" s="1"/>
  <c r="K915" i="1"/>
  <c r="M915" i="1" s="1"/>
  <c r="K916" i="1"/>
  <c r="M916" i="1" s="1"/>
  <c r="K917" i="1"/>
  <c r="M917" i="1" s="1"/>
  <c r="K918" i="1"/>
  <c r="M918" i="1" s="1"/>
  <c r="K919" i="1"/>
  <c r="M919" i="1" s="1"/>
  <c r="K920" i="1"/>
  <c r="M920" i="1" s="1"/>
  <c r="K921" i="1"/>
  <c r="M921" i="1" s="1"/>
  <c r="K922" i="1"/>
  <c r="M922" i="1" s="1"/>
  <c r="K923" i="1"/>
  <c r="M923" i="1" s="1"/>
  <c r="K924" i="1"/>
  <c r="M924" i="1" s="1"/>
  <c r="K925" i="1"/>
  <c r="M925" i="1" s="1"/>
  <c r="K926" i="1"/>
  <c r="M926" i="1" s="1"/>
  <c r="K927" i="1"/>
  <c r="M927" i="1" s="1"/>
  <c r="K928" i="1"/>
  <c r="K929" i="1"/>
  <c r="M929" i="1" s="1"/>
  <c r="K930" i="1"/>
  <c r="M930" i="1" s="1"/>
  <c r="K931" i="1"/>
  <c r="M931" i="1" s="1"/>
  <c r="K932" i="1"/>
  <c r="K933" i="1"/>
  <c r="M933" i="1" s="1"/>
  <c r="K934" i="1"/>
  <c r="M934" i="1" s="1"/>
  <c r="K935" i="1"/>
  <c r="M935" i="1" s="1"/>
  <c r="K936" i="1"/>
  <c r="M936" i="1" s="1"/>
  <c r="K937" i="1"/>
  <c r="M937" i="1" s="1"/>
  <c r="K938" i="1"/>
  <c r="M938" i="1" s="1"/>
  <c r="K939" i="1"/>
  <c r="M939" i="1" s="1"/>
  <c r="K940" i="1"/>
  <c r="M940" i="1" s="1"/>
  <c r="K941" i="1"/>
  <c r="M941" i="1" s="1"/>
  <c r="K942" i="1"/>
  <c r="M942" i="1" s="1"/>
  <c r="K943" i="1"/>
  <c r="M943" i="1" s="1"/>
  <c r="K944" i="1"/>
  <c r="M944" i="1" s="1"/>
  <c r="K945" i="1"/>
  <c r="M945" i="1" s="1"/>
  <c r="K946" i="1"/>
  <c r="M946" i="1" s="1"/>
  <c r="K947" i="1"/>
  <c r="M947" i="1" s="1"/>
  <c r="K948" i="1"/>
  <c r="M948" i="1" s="1"/>
  <c r="K949" i="1"/>
  <c r="M949" i="1" s="1"/>
  <c r="K950" i="1"/>
  <c r="M950" i="1" s="1"/>
  <c r="K951" i="1"/>
  <c r="M951" i="1" s="1"/>
  <c r="K952" i="1"/>
  <c r="M952" i="1" s="1"/>
  <c r="K953" i="1"/>
  <c r="K954" i="1"/>
  <c r="M954" i="1" s="1"/>
  <c r="K955" i="1"/>
  <c r="M955" i="1" s="1"/>
  <c r="K956" i="1"/>
  <c r="M956" i="1" s="1"/>
  <c r="K957" i="1"/>
  <c r="M957" i="1" s="1"/>
  <c r="K958" i="1"/>
  <c r="M958" i="1" s="1"/>
  <c r="K959" i="1"/>
  <c r="M959" i="1" s="1"/>
  <c r="K960" i="1"/>
  <c r="M960" i="1" s="1"/>
  <c r="K961" i="1"/>
  <c r="M961" i="1" s="1"/>
  <c r="K962" i="1"/>
  <c r="M962" i="1" s="1"/>
  <c r="K963" i="1"/>
  <c r="M963" i="1" s="1"/>
  <c r="K964" i="1"/>
  <c r="M964" i="1" s="1"/>
  <c r="K965" i="1"/>
  <c r="M965" i="1" s="1"/>
  <c r="K966" i="1"/>
  <c r="M966" i="1" s="1"/>
  <c r="K967" i="1"/>
  <c r="M967" i="1" s="1"/>
  <c r="K968" i="1"/>
  <c r="M968" i="1" s="1"/>
  <c r="K969" i="1"/>
  <c r="M969" i="1" s="1"/>
  <c r="K970" i="1"/>
  <c r="K971" i="1"/>
  <c r="M971" i="1" s="1"/>
  <c r="K972" i="1"/>
  <c r="M972" i="1" s="1"/>
  <c r="K973" i="1"/>
  <c r="M973" i="1" s="1"/>
  <c r="K974" i="1"/>
  <c r="M974" i="1" s="1"/>
  <c r="K975" i="1"/>
  <c r="K976" i="1"/>
  <c r="K977" i="1"/>
  <c r="M977" i="1" s="1"/>
  <c r="K978" i="1"/>
  <c r="M978" i="1" s="1"/>
  <c r="K979" i="1"/>
  <c r="M979" i="1" s="1"/>
  <c r="K980" i="1"/>
  <c r="M980" i="1" s="1"/>
  <c r="K981" i="1"/>
  <c r="M981" i="1" s="1"/>
  <c r="K982" i="1"/>
  <c r="M982" i="1" s="1"/>
  <c r="K983" i="1"/>
  <c r="M983" i="1" s="1"/>
  <c r="K984" i="1"/>
  <c r="M984" i="1" s="1"/>
  <c r="K985" i="1"/>
  <c r="M985" i="1" s="1"/>
  <c r="K986" i="1"/>
  <c r="K987" i="1"/>
  <c r="M987" i="1" s="1"/>
  <c r="K988" i="1"/>
  <c r="M988" i="1" s="1"/>
  <c r="K989" i="1"/>
  <c r="M989" i="1" s="1"/>
  <c r="K990" i="1"/>
  <c r="K991" i="1"/>
  <c r="K992" i="1"/>
  <c r="M992" i="1" s="1"/>
  <c r="K993" i="1"/>
  <c r="M993" i="1" s="1"/>
  <c r="K994" i="1"/>
  <c r="M994" i="1" s="1"/>
  <c r="K995" i="1"/>
  <c r="M995" i="1" s="1"/>
  <c r="K996" i="1"/>
  <c r="M996" i="1" s="1"/>
  <c r="K997" i="1"/>
  <c r="M997" i="1" s="1"/>
  <c r="K998" i="1"/>
  <c r="M998" i="1" s="1"/>
  <c r="K999" i="1"/>
  <c r="M999" i="1" s="1"/>
  <c r="K1000" i="1"/>
  <c r="M1000" i="1" s="1"/>
  <c r="K1001" i="1"/>
  <c r="M1001" i="1" s="1"/>
  <c r="K1002" i="1"/>
  <c r="M1002" i="1" s="1"/>
  <c r="K1003" i="1"/>
  <c r="M1003" i="1" s="1"/>
  <c r="K1004" i="1"/>
  <c r="M1004" i="1" s="1"/>
  <c r="K1005" i="1"/>
  <c r="M1005" i="1" s="1"/>
  <c r="K1006" i="1"/>
  <c r="M1006" i="1" s="1"/>
  <c r="K1007" i="1"/>
  <c r="M1007" i="1" s="1"/>
  <c r="K1008" i="1"/>
  <c r="M1008" i="1" s="1"/>
  <c r="K1009" i="1"/>
  <c r="M1009" i="1" s="1"/>
  <c r="K1010" i="1"/>
  <c r="M1010" i="1" s="1"/>
  <c r="K1011" i="1"/>
  <c r="M1011" i="1" s="1"/>
  <c r="K1012" i="1"/>
  <c r="K1013" i="1"/>
  <c r="M1013" i="1" s="1"/>
  <c r="K1014" i="1"/>
  <c r="M1014" i="1" s="1"/>
  <c r="K1015" i="1"/>
  <c r="K1016" i="1"/>
  <c r="M1016" i="1" s="1"/>
  <c r="K1017" i="1"/>
  <c r="M1017" i="1" s="1"/>
  <c r="K1018" i="1"/>
  <c r="M1018" i="1" s="1"/>
  <c r="K1019" i="1"/>
  <c r="K1020" i="1"/>
  <c r="M1020" i="1" s="1"/>
  <c r="K1021" i="1"/>
  <c r="M1021" i="1" s="1"/>
  <c r="K1022" i="1"/>
  <c r="M1022" i="1" s="1"/>
  <c r="K1023" i="1"/>
  <c r="M1023" i="1" s="1"/>
  <c r="K1024" i="1"/>
  <c r="M1024" i="1" s="1"/>
  <c r="K1025" i="1"/>
  <c r="M1025" i="1" s="1"/>
  <c r="K1026" i="1"/>
  <c r="M1026" i="1" s="1"/>
  <c r="K1027" i="1"/>
  <c r="K1028" i="1"/>
  <c r="M1028" i="1" s="1"/>
  <c r="K1029" i="1"/>
  <c r="M1029" i="1" s="1"/>
  <c r="K1030" i="1"/>
  <c r="M1030" i="1" s="1"/>
  <c r="K1031" i="1"/>
  <c r="M1031" i="1" s="1"/>
  <c r="K1032" i="1"/>
  <c r="M1032" i="1" s="1"/>
  <c r="K1033" i="1"/>
  <c r="M1033" i="1" s="1"/>
  <c r="K1034" i="1"/>
  <c r="M1034" i="1" s="1"/>
  <c r="K1035" i="1"/>
  <c r="M1035" i="1" s="1"/>
  <c r="K1036" i="1"/>
  <c r="M1036" i="1" s="1"/>
  <c r="K1037" i="1"/>
  <c r="M1037" i="1" s="1"/>
  <c r="K1038" i="1"/>
  <c r="M1038" i="1" s="1"/>
  <c r="K1039" i="1"/>
  <c r="M1039" i="1" s="1"/>
  <c r="K1040" i="1"/>
  <c r="M1040" i="1" s="1"/>
  <c r="K1041" i="1"/>
  <c r="M1041" i="1" s="1"/>
  <c r="K1042" i="1"/>
  <c r="M1042" i="1" s="1"/>
  <c r="K1043" i="1"/>
  <c r="M1043" i="1" s="1"/>
  <c r="K1044" i="1"/>
  <c r="M1044" i="1" s="1"/>
  <c r="K1045" i="1"/>
  <c r="M1045" i="1" s="1"/>
  <c r="K1046" i="1"/>
  <c r="M1046" i="1" s="1"/>
  <c r="K1047" i="1"/>
  <c r="M1047" i="1" s="1"/>
  <c r="K1048" i="1"/>
  <c r="K1049" i="1"/>
  <c r="M1049" i="1" s="1"/>
  <c r="K1050" i="1"/>
  <c r="M1050" i="1" s="1"/>
  <c r="K1051" i="1"/>
  <c r="M1051" i="1" s="1"/>
  <c r="K1052" i="1"/>
  <c r="M1052" i="1" s="1"/>
  <c r="K1053" i="1"/>
  <c r="M1053" i="1" s="1"/>
  <c r="K1054" i="1"/>
  <c r="M1054" i="1" s="1"/>
  <c r="K1055" i="1"/>
  <c r="M1055" i="1" s="1"/>
  <c r="K1056" i="1"/>
  <c r="M1056" i="1" s="1"/>
  <c r="K1057" i="1"/>
  <c r="M1057" i="1" s="1"/>
  <c r="K1058" i="1"/>
  <c r="M1058" i="1" s="1"/>
  <c r="K1059" i="1"/>
  <c r="K1060" i="1"/>
  <c r="M1060" i="1" s="1"/>
  <c r="K1061" i="1"/>
  <c r="K1062" i="1"/>
  <c r="M1062" i="1" s="1"/>
  <c r="K1063" i="1"/>
  <c r="M1063" i="1" s="1"/>
  <c r="K1064" i="1"/>
  <c r="M1064" i="1" s="1"/>
  <c r="K1065" i="1"/>
  <c r="M1065" i="1" s="1"/>
  <c r="K1066" i="1"/>
  <c r="M1066" i="1" s="1"/>
  <c r="K1067" i="1"/>
  <c r="M1067" i="1" s="1"/>
  <c r="K1068" i="1"/>
  <c r="M1068" i="1" s="1"/>
  <c r="K1069" i="1"/>
  <c r="M1069" i="1" s="1"/>
  <c r="K1070" i="1"/>
  <c r="M1070" i="1" s="1"/>
  <c r="K1071" i="1"/>
  <c r="M1071" i="1" s="1"/>
  <c r="K1072" i="1"/>
  <c r="M1072" i="1" s="1"/>
  <c r="K1073" i="1"/>
  <c r="M1073" i="1" s="1"/>
  <c r="K1074" i="1"/>
  <c r="M1074" i="1" s="1"/>
  <c r="K1075" i="1"/>
  <c r="M1075" i="1" s="1"/>
  <c r="K1076" i="1"/>
  <c r="M1076" i="1" s="1"/>
  <c r="K1077" i="1"/>
  <c r="M1077" i="1" s="1"/>
  <c r="K1078" i="1"/>
  <c r="M1078" i="1" s="1"/>
  <c r="K1079" i="1"/>
  <c r="M1079" i="1" s="1"/>
  <c r="K1080" i="1"/>
  <c r="M1080" i="1" s="1"/>
  <c r="K1081" i="1"/>
  <c r="K1082" i="1"/>
  <c r="M1082" i="1" s="1"/>
  <c r="K1083" i="1"/>
  <c r="M1083" i="1" s="1"/>
  <c r="K1084" i="1"/>
  <c r="M1084" i="1" s="1"/>
  <c r="K1085" i="1"/>
  <c r="M1085" i="1" s="1"/>
  <c r="K1086" i="1"/>
  <c r="M1086" i="1" s="1"/>
  <c r="K1087" i="1"/>
  <c r="M1087" i="1" s="1"/>
  <c r="K1088" i="1"/>
  <c r="M1088" i="1" s="1"/>
  <c r="K1089" i="1"/>
  <c r="M1089" i="1" s="1"/>
  <c r="K1090" i="1"/>
  <c r="M1090" i="1" s="1"/>
  <c r="K1091" i="1"/>
  <c r="M1091" i="1" s="1"/>
  <c r="K1092" i="1"/>
  <c r="K1093" i="1"/>
  <c r="M1093" i="1" s="1"/>
  <c r="K1094" i="1"/>
  <c r="M1094" i="1" s="1"/>
  <c r="K1095" i="1"/>
  <c r="M1095" i="1" s="1"/>
  <c r="K1096" i="1"/>
  <c r="M1096" i="1" s="1"/>
  <c r="K1097" i="1"/>
  <c r="M1097" i="1" s="1"/>
  <c r="K1098" i="1"/>
  <c r="M1098" i="1" s="1"/>
  <c r="K1099" i="1"/>
  <c r="M1099" i="1" s="1"/>
  <c r="K1100" i="1"/>
  <c r="M1100" i="1" s="1"/>
  <c r="K1101" i="1"/>
  <c r="M1101" i="1" s="1"/>
  <c r="K1102" i="1"/>
  <c r="M1102" i="1" s="1"/>
  <c r="K1103" i="1"/>
  <c r="M1103" i="1" s="1"/>
  <c r="K1104" i="1"/>
  <c r="M1104" i="1" s="1"/>
  <c r="K1105" i="1"/>
  <c r="M1105" i="1" s="1"/>
  <c r="K1106" i="1"/>
  <c r="K1107" i="1"/>
  <c r="M1107" i="1" s="1"/>
  <c r="K1108" i="1"/>
  <c r="M1108" i="1" s="1"/>
  <c r="K1109" i="1"/>
  <c r="M1109" i="1" s="1"/>
  <c r="K1110" i="1"/>
  <c r="M1110" i="1" s="1"/>
  <c r="K1111" i="1"/>
  <c r="M1111" i="1" s="1"/>
  <c r="K1112" i="1"/>
  <c r="M1112" i="1" s="1"/>
  <c r="K1113" i="1"/>
  <c r="M1113" i="1" s="1"/>
  <c r="K1114" i="1"/>
  <c r="M1114" i="1" s="1"/>
  <c r="K1115" i="1"/>
  <c r="M1115" i="1" s="1"/>
  <c r="K1116" i="1"/>
  <c r="M1116" i="1" s="1"/>
  <c r="K1117" i="1"/>
  <c r="M1117" i="1" s="1"/>
  <c r="K1118" i="1"/>
  <c r="M1118" i="1" s="1"/>
  <c r="K1119" i="1"/>
  <c r="M1119" i="1" s="1"/>
  <c r="K1120" i="1"/>
  <c r="M1120" i="1" s="1"/>
  <c r="K1121" i="1"/>
  <c r="M1121" i="1" s="1"/>
  <c r="K1122" i="1"/>
  <c r="M1122" i="1" s="1"/>
  <c r="K1123" i="1"/>
  <c r="M1123" i="1" s="1"/>
  <c r="K1124" i="1"/>
  <c r="M1124" i="1" s="1"/>
  <c r="K1125" i="1"/>
  <c r="M1125" i="1" s="1"/>
  <c r="K1126" i="1"/>
  <c r="M1126" i="1" s="1"/>
  <c r="K1127" i="1"/>
  <c r="K1128" i="1"/>
  <c r="M1128" i="1" s="1"/>
  <c r="K1129" i="1"/>
  <c r="K1130" i="1"/>
  <c r="K1131" i="1"/>
  <c r="K1132" i="1"/>
  <c r="M1132" i="1" s="1"/>
  <c r="K1133" i="1"/>
  <c r="M1133" i="1" s="1"/>
  <c r="K1134" i="1"/>
  <c r="M1134" i="1" s="1"/>
  <c r="K1135" i="1"/>
  <c r="M1135" i="1" s="1"/>
  <c r="K1136" i="1"/>
  <c r="M1136" i="1" s="1"/>
  <c r="K1137" i="1"/>
  <c r="M1137" i="1" s="1"/>
  <c r="K1138" i="1"/>
  <c r="M1138" i="1" s="1"/>
  <c r="K1139" i="1"/>
  <c r="M1139" i="1" s="1"/>
  <c r="K1140" i="1"/>
  <c r="K1141" i="1"/>
  <c r="M1141" i="1" s="1"/>
  <c r="K1142" i="1"/>
  <c r="M1142" i="1" s="1"/>
  <c r="K1143" i="1"/>
  <c r="M1143" i="1" s="1"/>
  <c r="K1144" i="1"/>
  <c r="M1144" i="1" s="1"/>
  <c r="K1145" i="1"/>
  <c r="M1145" i="1" s="1"/>
  <c r="K1146" i="1"/>
  <c r="M1146" i="1" s="1"/>
  <c r="K1147" i="1"/>
  <c r="M1147" i="1" s="1"/>
  <c r="K1148" i="1"/>
  <c r="M1148" i="1" s="1"/>
  <c r="K1149" i="1"/>
  <c r="M1149" i="1" s="1"/>
  <c r="K1150" i="1"/>
  <c r="K1151" i="1"/>
  <c r="M1151" i="1" s="1"/>
  <c r="K1152" i="1"/>
  <c r="M1152" i="1" s="1"/>
  <c r="K1153" i="1"/>
  <c r="M1153" i="1" s="1"/>
  <c r="K1154" i="1"/>
  <c r="M1154" i="1" s="1"/>
  <c r="K1155" i="1"/>
  <c r="M1155" i="1" s="1"/>
  <c r="K1156" i="1"/>
  <c r="M1156" i="1" s="1"/>
  <c r="K1157" i="1"/>
  <c r="M1157" i="1" s="1"/>
  <c r="K1158" i="1"/>
  <c r="M1158" i="1" s="1"/>
  <c r="K1159" i="1"/>
  <c r="M1159" i="1" s="1"/>
  <c r="K1160" i="1"/>
  <c r="M1160" i="1" s="1"/>
  <c r="K1161" i="1"/>
  <c r="M1161" i="1" s="1"/>
  <c r="K1162" i="1"/>
  <c r="K1163" i="1"/>
  <c r="M1163" i="1" s="1"/>
  <c r="K1164" i="1"/>
  <c r="M1164" i="1" s="1"/>
  <c r="K1165" i="1"/>
  <c r="M1165" i="1" s="1"/>
  <c r="K1166" i="1"/>
  <c r="M1166" i="1" s="1"/>
  <c r="K1167" i="1"/>
  <c r="M1167" i="1" s="1"/>
  <c r="K1168" i="1"/>
  <c r="M1168" i="1" s="1"/>
  <c r="K1169" i="1"/>
  <c r="K1170" i="1"/>
  <c r="M1170" i="1" s="1"/>
  <c r="K1171" i="1"/>
  <c r="M1171" i="1" s="1"/>
  <c r="K1172" i="1"/>
  <c r="M1172" i="1" s="1"/>
  <c r="K1173" i="1"/>
  <c r="M1173" i="1" s="1"/>
  <c r="K1174" i="1"/>
  <c r="M1174" i="1" s="1"/>
  <c r="K1175" i="1"/>
  <c r="M1175" i="1" s="1"/>
  <c r="K1176" i="1"/>
  <c r="M1176" i="1" s="1"/>
  <c r="K1177" i="1"/>
  <c r="M1177" i="1" s="1"/>
  <c r="K1178" i="1"/>
  <c r="M1178" i="1" s="1"/>
  <c r="K1179" i="1"/>
  <c r="M1179" i="1" s="1"/>
  <c r="K1180" i="1"/>
  <c r="M1180" i="1" s="1"/>
  <c r="K1181" i="1"/>
  <c r="M1181" i="1" s="1"/>
  <c r="K1182" i="1"/>
  <c r="M1182" i="1" s="1"/>
  <c r="K1183" i="1"/>
  <c r="M1183" i="1" s="1"/>
  <c r="K1184" i="1"/>
  <c r="M1184" i="1" s="1"/>
  <c r="K1185" i="1"/>
  <c r="M1185" i="1" s="1"/>
  <c r="K1186" i="1"/>
  <c r="M1186" i="1" s="1"/>
  <c r="K1187" i="1"/>
  <c r="M1187" i="1" s="1"/>
  <c r="K1188" i="1"/>
  <c r="M1188" i="1" s="1"/>
  <c r="K1189" i="1"/>
  <c r="M1189" i="1" s="1"/>
  <c r="K1190" i="1"/>
  <c r="M1190" i="1" s="1"/>
  <c r="K1191" i="1"/>
  <c r="M1191" i="1" s="1"/>
  <c r="K1192" i="1"/>
  <c r="M1192" i="1" s="1"/>
  <c r="K1193" i="1"/>
  <c r="M1193" i="1" s="1"/>
  <c r="K1194" i="1"/>
  <c r="M1194" i="1" s="1"/>
  <c r="K1195" i="1"/>
  <c r="M1195" i="1" s="1"/>
  <c r="K1196" i="1"/>
  <c r="M1196" i="1" s="1"/>
  <c r="K1197" i="1"/>
  <c r="M1197" i="1" s="1"/>
  <c r="K1198" i="1"/>
  <c r="M1198" i="1" s="1"/>
  <c r="K1199" i="1"/>
  <c r="M1199" i="1" s="1"/>
  <c r="K1200" i="1"/>
  <c r="M1200" i="1" s="1"/>
  <c r="K1201" i="1"/>
  <c r="M1201" i="1" s="1"/>
  <c r="K1202" i="1"/>
  <c r="K1203" i="1"/>
  <c r="M1203" i="1" s="1"/>
  <c r="K1204" i="1"/>
  <c r="M1204" i="1" s="1"/>
  <c r="K1205" i="1"/>
  <c r="M1205" i="1" s="1"/>
  <c r="K1206" i="1"/>
  <c r="K1207" i="1"/>
  <c r="M1207" i="1" s="1"/>
  <c r="K1208" i="1"/>
  <c r="M1208" i="1" s="1"/>
  <c r="K1209" i="1"/>
  <c r="M1209" i="1" s="1"/>
  <c r="K1210" i="1"/>
  <c r="M1210" i="1" s="1"/>
  <c r="K1211" i="1"/>
  <c r="K1212" i="1"/>
  <c r="M1212" i="1" s="1"/>
  <c r="K1213" i="1"/>
  <c r="M1213" i="1" s="1"/>
  <c r="K1214" i="1"/>
  <c r="M1214" i="1" s="1"/>
  <c r="K1215" i="1"/>
  <c r="M1215" i="1" s="1"/>
  <c r="K1216" i="1"/>
  <c r="M1216" i="1" s="1"/>
  <c r="K1217" i="1"/>
  <c r="M1217" i="1" s="1"/>
  <c r="K1218" i="1"/>
  <c r="M1218" i="1" s="1"/>
  <c r="K1219" i="1"/>
  <c r="M1219" i="1" s="1"/>
  <c r="K1220" i="1"/>
  <c r="M1220" i="1" s="1"/>
  <c r="K1221" i="1"/>
  <c r="M1221" i="1" s="1"/>
  <c r="K1222" i="1"/>
  <c r="M1222" i="1" s="1"/>
  <c r="K1223" i="1"/>
  <c r="M1223" i="1" s="1"/>
  <c r="K1224" i="1"/>
  <c r="K1225" i="1"/>
  <c r="M1225" i="1" s="1"/>
  <c r="K1226" i="1"/>
  <c r="M1226" i="1" s="1"/>
  <c r="K1227" i="1"/>
  <c r="M1227" i="1" s="1"/>
  <c r="K1228" i="1"/>
  <c r="M1228" i="1" s="1"/>
  <c r="K1229" i="1"/>
  <c r="M1229" i="1" s="1"/>
  <c r="K1230" i="1"/>
  <c r="K1231" i="1"/>
  <c r="M1231" i="1" s="1"/>
  <c r="K1232" i="1"/>
  <c r="M1232" i="1" s="1"/>
  <c r="K1233" i="1"/>
  <c r="M1233" i="1" s="1"/>
  <c r="K1234" i="1"/>
  <c r="M1234" i="1" s="1"/>
  <c r="K1235" i="1"/>
  <c r="M1235" i="1" s="1"/>
  <c r="K1236" i="1"/>
  <c r="M1236" i="1" s="1"/>
  <c r="K1237" i="1"/>
  <c r="M1237" i="1" s="1"/>
  <c r="K1238" i="1"/>
  <c r="M1238" i="1" s="1"/>
  <c r="K1239" i="1"/>
  <c r="M1239" i="1" s="1"/>
  <c r="K1240" i="1"/>
  <c r="M1240" i="1" s="1"/>
  <c r="K1241" i="1"/>
  <c r="M1241" i="1" s="1"/>
  <c r="K1242" i="1"/>
  <c r="M1242" i="1" s="1"/>
  <c r="K1243" i="1"/>
  <c r="M1243" i="1" s="1"/>
  <c r="K1244" i="1"/>
  <c r="M1244" i="1" s="1"/>
  <c r="K1245" i="1"/>
  <c r="M1245" i="1" s="1"/>
  <c r="K1246" i="1"/>
  <c r="M1246" i="1" s="1"/>
  <c r="K1247" i="1"/>
  <c r="M1247" i="1" s="1"/>
  <c r="K1248" i="1"/>
  <c r="M1248" i="1" s="1"/>
  <c r="K1249" i="1"/>
  <c r="M1249" i="1" s="1"/>
  <c r="K1250" i="1"/>
  <c r="M1250" i="1" s="1"/>
  <c r="K1251" i="1"/>
  <c r="K1252" i="1"/>
  <c r="M1252" i="1" s="1"/>
  <c r="K1253" i="1"/>
  <c r="M1253" i="1" s="1"/>
  <c r="K1254" i="1"/>
  <c r="M1254" i="1" s="1"/>
  <c r="K1255" i="1"/>
  <c r="M1255" i="1" s="1"/>
  <c r="K1256" i="1"/>
  <c r="K1257" i="1"/>
  <c r="M1257" i="1" s="1"/>
  <c r="K1258" i="1"/>
  <c r="M1258" i="1" s="1"/>
  <c r="K1259" i="1"/>
  <c r="M1259" i="1" s="1"/>
  <c r="K1260" i="1"/>
  <c r="M1260" i="1" s="1"/>
  <c r="K1261" i="1"/>
  <c r="M1261" i="1" s="1"/>
  <c r="K1262" i="1"/>
  <c r="M1262" i="1" s="1"/>
  <c r="K1263" i="1"/>
  <c r="M1263" i="1" s="1"/>
  <c r="K1264" i="1"/>
  <c r="M1264" i="1" s="1"/>
  <c r="K1265" i="1"/>
  <c r="M1265" i="1" s="1"/>
  <c r="K1266" i="1"/>
  <c r="K1267" i="1"/>
  <c r="M1267" i="1" s="1"/>
  <c r="K1268" i="1"/>
  <c r="M1268" i="1" s="1"/>
  <c r="K1269" i="1"/>
  <c r="M1269" i="1" s="1"/>
  <c r="K1270" i="1"/>
  <c r="M1270" i="1" s="1"/>
  <c r="K1271" i="1"/>
  <c r="K1272" i="1"/>
  <c r="M1272" i="1" s="1"/>
  <c r="K1273" i="1"/>
  <c r="M1273" i="1" s="1"/>
  <c r="K1274" i="1"/>
  <c r="M1274" i="1" s="1"/>
  <c r="K1275" i="1"/>
  <c r="M1275" i="1" s="1"/>
  <c r="K1276" i="1"/>
  <c r="M1276" i="1" s="1"/>
  <c r="K1277" i="1"/>
  <c r="M1277" i="1" s="1"/>
  <c r="K1278" i="1"/>
  <c r="M1278" i="1" s="1"/>
  <c r="K1279" i="1"/>
  <c r="M1279" i="1" s="1"/>
  <c r="K1280" i="1"/>
  <c r="M1280" i="1" s="1"/>
  <c r="K1281" i="1"/>
  <c r="M1281" i="1" s="1"/>
  <c r="K1282" i="1"/>
  <c r="M1282" i="1" s="1"/>
  <c r="K1283" i="1"/>
  <c r="K1284" i="1"/>
  <c r="M1284" i="1" s="1"/>
  <c r="K1285" i="1"/>
  <c r="M1285" i="1" s="1"/>
  <c r="K1286" i="1"/>
  <c r="M1286" i="1" s="1"/>
  <c r="K1287" i="1"/>
  <c r="M1287" i="1" s="1"/>
  <c r="K1288" i="1"/>
  <c r="M1288" i="1" s="1"/>
  <c r="K1289" i="1"/>
  <c r="M1289" i="1" s="1"/>
  <c r="K1290" i="1"/>
  <c r="M1290" i="1" s="1"/>
  <c r="K1291" i="1"/>
  <c r="M1291" i="1" s="1"/>
  <c r="K1292" i="1"/>
  <c r="M1292" i="1" s="1"/>
  <c r="K1293" i="1"/>
  <c r="M1293" i="1" s="1"/>
  <c r="K1294" i="1"/>
  <c r="M1294" i="1" s="1"/>
  <c r="K1295" i="1"/>
  <c r="M1295" i="1" s="1"/>
  <c r="K1296" i="1"/>
  <c r="M1296" i="1" s="1"/>
  <c r="K1297" i="1"/>
  <c r="M1297" i="1" s="1"/>
  <c r="K1298" i="1"/>
  <c r="M1298" i="1" s="1"/>
  <c r="K1299" i="1"/>
  <c r="K1300" i="1"/>
  <c r="M1300" i="1" s="1"/>
  <c r="K1301" i="1"/>
  <c r="M1301" i="1" s="1"/>
  <c r="K1302" i="1"/>
  <c r="K1303" i="1"/>
  <c r="K1304" i="1"/>
  <c r="M1304" i="1" s="1"/>
  <c r="K1305" i="1"/>
  <c r="M1305" i="1" s="1"/>
  <c r="K1306" i="1"/>
  <c r="M1306" i="1" s="1"/>
  <c r="K1307" i="1"/>
  <c r="M1307" i="1" s="1"/>
  <c r="K1308" i="1"/>
  <c r="M1308" i="1" s="1"/>
  <c r="K1309" i="1"/>
  <c r="M1309" i="1" s="1"/>
  <c r="K1310" i="1"/>
  <c r="M1310" i="1" s="1"/>
  <c r="K1311" i="1"/>
  <c r="M1311" i="1" s="1"/>
  <c r="K1312" i="1"/>
  <c r="M1312" i="1" s="1"/>
  <c r="K1313" i="1"/>
  <c r="M1313" i="1" s="1"/>
  <c r="K1314" i="1"/>
  <c r="M1314" i="1" s="1"/>
  <c r="K1315" i="1"/>
  <c r="M1315" i="1" s="1"/>
  <c r="K1316" i="1"/>
  <c r="M1316" i="1" s="1"/>
  <c r="K1317" i="1"/>
  <c r="M1317" i="1" s="1"/>
  <c r="K1318" i="1"/>
  <c r="M1318" i="1" s="1"/>
  <c r="K1319" i="1"/>
  <c r="M1319" i="1" s="1"/>
  <c r="K1320" i="1"/>
  <c r="M1320" i="1" s="1"/>
  <c r="K1321" i="1"/>
  <c r="M1321" i="1" s="1"/>
  <c r="K1322" i="1"/>
  <c r="M1322" i="1" s="1"/>
  <c r="K1323" i="1"/>
  <c r="M1323" i="1" s="1"/>
  <c r="K1324" i="1"/>
  <c r="M1324" i="1" s="1"/>
  <c r="K1325" i="1"/>
  <c r="M1325" i="1" s="1"/>
  <c r="K1326" i="1"/>
  <c r="M1326" i="1" s="1"/>
  <c r="K1327" i="1"/>
  <c r="K1328" i="1"/>
  <c r="M1328" i="1" s="1"/>
  <c r="K1329" i="1"/>
  <c r="M1329" i="1" s="1"/>
  <c r="K1330" i="1"/>
  <c r="M1330" i="1" s="1"/>
  <c r="K1331" i="1"/>
  <c r="M1331" i="1" s="1"/>
  <c r="K1332" i="1"/>
  <c r="M1332" i="1" s="1"/>
  <c r="K1333" i="1"/>
  <c r="M1333" i="1" s="1"/>
  <c r="K1334" i="1"/>
  <c r="M1334" i="1" s="1"/>
  <c r="K1335" i="1"/>
  <c r="M1335" i="1" s="1"/>
  <c r="K1336" i="1"/>
  <c r="M1336" i="1" s="1"/>
  <c r="K1337" i="1"/>
  <c r="M1337" i="1" s="1"/>
  <c r="K1338" i="1"/>
  <c r="M1338" i="1" s="1"/>
  <c r="K1339" i="1"/>
  <c r="M1339" i="1" s="1"/>
  <c r="K1340" i="1"/>
  <c r="M1340" i="1" s="1"/>
  <c r="K1341" i="1"/>
  <c r="M1341" i="1" s="1"/>
  <c r="K1342" i="1"/>
  <c r="K1343" i="1"/>
  <c r="M1343" i="1" s="1"/>
  <c r="K1344" i="1"/>
  <c r="M1344" i="1" s="1"/>
  <c r="K1345" i="1"/>
  <c r="K1346" i="1"/>
  <c r="M1346" i="1" s="1"/>
  <c r="K1347" i="1"/>
  <c r="M1347" i="1" s="1"/>
  <c r="K1348" i="1"/>
  <c r="M1348" i="1" s="1"/>
  <c r="K1349" i="1"/>
  <c r="M1349" i="1" s="1"/>
  <c r="K1350" i="1"/>
  <c r="K1351" i="1"/>
  <c r="M1351" i="1" s="1"/>
  <c r="K1352" i="1"/>
  <c r="M1352" i="1" s="1"/>
  <c r="K1353" i="1"/>
  <c r="M1353" i="1" s="1"/>
  <c r="K1354" i="1"/>
  <c r="M1354" i="1" s="1"/>
  <c r="K1355" i="1"/>
  <c r="M1355" i="1" s="1"/>
  <c r="K1356" i="1"/>
  <c r="M1356" i="1" s="1"/>
  <c r="K1357" i="1"/>
  <c r="M1357" i="1" s="1"/>
  <c r="K1358" i="1"/>
  <c r="M1358" i="1" s="1"/>
  <c r="K1359" i="1"/>
  <c r="M1359" i="1" s="1"/>
  <c r="K1360" i="1"/>
  <c r="M1360" i="1" s="1"/>
  <c r="K1361" i="1"/>
  <c r="M1361" i="1" s="1"/>
  <c r="K1362" i="1"/>
  <c r="M1362" i="1" s="1"/>
  <c r="K1363" i="1"/>
  <c r="M1363" i="1" s="1"/>
  <c r="K1364" i="1"/>
  <c r="M1364" i="1" s="1"/>
  <c r="K1365" i="1"/>
  <c r="M1365" i="1" s="1"/>
  <c r="K1366" i="1"/>
  <c r="K1367" i="1"/>
  <c r="M1367" i="1" s="1"/>
  <c r="K1368" i="1"/>
  <c r="M1368" i="1" s="1"/>
  <c r="K1369" i="1"/>
  <c r="M1369" i="1" s="1"/>
  <c r="K1370" i="1"/>
  <c r="M1370" i="1" s="1"/>
  <c r="K1371" i="1"/>
  <c r="M1371" i="1" s="1"/>
  <c r="K1372" i="1"/>
  <c r="M1372" i="1" s="1"/>
  <c r="K1373" i="1"/>
  <c r="M1373" i="1" s="1"/>
  <c r="K1374" i="1"/>
  <c r="M1374" i="1" s="1"/>
  <c r="K1375" i="1"/>
  <c r="M1375" i="1" s="1"/>
  <c r="K1376" i="1"/>
  <c r="M1376" i="1" s="1"/>
  <c r="K1377" i="1"/>
  <c r="M1377" i="1" s="1"/>
  <c r="K1378" i="1"/>
  <c r="M1378" i="1" s="1"/>
  <c r="K1379" i="1"/>
  <c r="M1379" i="1" s="1"/>
  <c r="K1380" i="1"/>
  <c r="M1380" i="1" s="1"/>
  <c r="K1381" i="1"/>
  <c r="M1381" i="1" s="1"/>
  <c r="K1382" i="1"/>
  <c r="M1382" i="1" s="1"/>
  <c r="K1383" i="1"/>
  <c r="M1383" i="1" s="1"/>
  <c r="K1384" i="1"/>
  <c r="M1384" i="1" s="1"/>
  <c r="K1385" i="1"/>
  <c r="K1386" i="1"/>
  <c r="K1387" i="1"/>
  <c r="M1387" i="1" s="1"/>
  <c r="K1388" i="1"/>
  <c r="M1388" i="1" s="1"/>
  <c r="K1389" i="1"/>
  <c r="M1389" i="1" s="1"/>
  <c r="K1390" i="1"/>
  <c r="M1390" i="1" s="1"/>
  <c r="K1391" i="1"/>
  <c r="M1391" i="1" s="1"/>
  <c r="K1392" i="1"/>
  <c r="M1392" i="1" s="1"/>
  <c r="K1393" i="1"/>
  <c r="M1393" i="1" s="1"/>
  <c r="K1394" i="1"/>
  <c r="M1394" i="1" s="1"/>
  <c r="K1395" i="1"/>
  <c r="M1395" i="1" s="1"/>
  <c r="K1396" i="1"/>
  <c r="M1396" i="1" s="1"/>
  <c r="K1397" i="1"/>
  <c r="M1397" i="1" s="1"/>
  <c r="K1398" i="1"/>
  <c r="M1398" i="1" s="1"/>
  <c r="K1399" i="1"/>
  <c r="M1399" i="1" s="1"/>
  <c r="K1400" i="1"/>
  <c r="M1400" i="1" s="1"/>
  <c r="K1401" i="1"/>
  <c r="M1401" i="1" s="1"/>
  <c r="K1402" i="1"/>
  <c r="M1402" i="1" s="1"/>
  <c r="K1403" i="1"/>
  <c r="M1403" i="1" s="1"/>
  <c r="K1404" i="1"/>
  <c r="M1404" i="1" s="1"/>
  <c r="K1405" i="1"/>
  <c r="M1405" i="1" s="1"/>
  <c r="K1406" i="1"/>
  <c r="M1406" i="1" s="1"/>
  <c r="K1407" i="1"/>
  <c r="M1407" i="1" s="1"/>
  <c r="K1408" i="1"/>
  <c r="M1408" i="1" s="1"/>
  <c r="K1409" i="1"/>
  <c r="M1409" i="1" s="1"/>
  <c r="K1410" i="1"/>
  <c r="M1410" i="1" s="1"/>
  <c r="K1411" i="1"/>
  <c r="M1411" i="1" s="1"/>
  <c r="K1412" i="1"/>
  <c r="K1413" i="1"/>
  <c r="M1413" i="1" s="1"/>
  <c r="K1414" i="1"/>
  <c r="M1414" i="1" s="1"/>
  <c r="K1415" i="1"/>
  <c r="M1415" i="1" s="1"/>
  <c r="K1416" i="1"/>
  <c r="M1416" i="1" s="1"/>
  <c r="K1417" i="1"/>
  <c r="M1417" i="1" s="1"/>
  <c r="K1418" i="1"/>
  <c r="K1419" i="1"/>
  <c r="K1420" i="1"/>
  <c r="M1420" i="1" s="1"/>
  <c r="K1421" i="1"/>
  <c r="K1422" i="1"/>
  <c r="M1422" i="1" s="1"/>
  <c r="K1423" i="1"/>
  <c r="M1423" i="1" s="1"/>
  <c r="K1424" i="1"/>
  <c r="M1424" i="1" s="1"/>
  <c r="K1425" i="1"/>
  <c r="M1425" i="1" s="1"/>
  <c r="K1426" i="1"/>
  <c r="M1426" i="1" s="1"/>
  <c r="K1427" i="1"/>
  <c r="M1427" i="1" s="1"/>
  <c r="K1428" i="1"/>
  <c r="K1429" i="1"/>
  <c r="M1429" i="1" s="1"/>
  <c r="K1430" i="1"/>
  <c r="M1430" i="1" s="1"/>
  <c r="K1431" i="1"/>
  <c r="M1431" i="1" s="1"/>
  <c r="K1432" i="1"/>
  <c r="K1433" i="1"/>
  <c r="M1433" i="1" s="1"/>
  <c r="K1434" i="1"/>
  <c r="M1434" i="1" s="1"/>
  <c r="K1435" i="1"/>
  <c r="M1435" i="1" s="1"/>
  <c r="K1436" i="1"/>
  <c r="M1436" i="1" s="1"/>
  <c r="K1437" i="1"/>
  <c r="M1437" i="1" s="1"/>
  <c r="K1438" i="1"/>
  <c r="M1438" i="1" s="1"/>
  <c r="K1439" i="1"/>
  <c r="M1439" i="1" s="1"/>
  <c r="K1440" i="1"/>
  <c r="M1440" i="1" s="1"/>
  <c r="K1441" i="1"/>
  <c r="M1441" i="1" s="1"/>
  <c r="K1442" i="1"/>
  <c r="M1442" i="1" s="1"/>
  <c r="K1443" i="1"/>
  <c r="M1443" i="1" s="1"/>
  <c r="K1444" i="1"/>
  <c r="M1444" i="1" s="1"/>
  <c r="K1445" i="1"/>
  <c r="M1445" i="1" s="1"/>
  <c r="K1446" i="1"/>
  <c r="K1447" i="1"/>
  <c r="M1447" i="1" s="1"/>
  <c r="K1448" i="1"/>
  <c r="M1448" i="1" s="1"/>
  <c r="K1449" i="1"/>
  <c r="M1449" i="1" s="1"/>
  <c r="K1450" i="1"/>
  <c r="M1450" i="1" s="1"/>
  <c r="K1451" i="1"/>
  <c r="M1451" i="1" s="1"/>
  <c r="K1452" i="1"/>
  <c r="M1452" i="1" s="1"/>
  <c r="K1453" i="1"/>
  <c r="M1453" i="1" s="1"/>
  <c r="K1454" i="1"/>
  <c r="M1454" i="1" s="1"/>
  <c r="K1455" i="1"/>
  <c r="M1455" i="1" s="1"/>
  <c r="K1456" i="1"/>
  <c r="M1456" i="1" s="1"/>
  <c r="K1457" i="1"/>
  <c r="M1457" i="1" s="1"/>
  <c r="K1458" i="1"/>
  <c r="M1458" i="1" s="1"/>
  <c r="K1459" i="1"/>
  <c r="M1459" i="1" s="1"/>
  <c r="K1460" i="1"/>
  <c r="M1460" i="1" s="1"/>
  <c r="K1461" i="1"/>
  <c r="M1461" i="1" s="1"/>
  <c r="K1462" i="1"/>
  <c r="K1463" i="1"/>
  <c r="M1463" i="1" s="1"/>
  <c r="K1464" i="1"/>
  <c r="M1464" i="1" s="1"/>
  <c r="K1465" i="1"/>
  <c r="M1465" i="1" s="1"/>
  <c r="K1466" i="1"/>
  <c r="M1466" i="1" s="1"/>
  <c r="K1467" i="1"/>
  <c r="M1467" i="1" s="1"/>
  <c r="K1468" i="1"/>
  <c r="M1468" i="1" s="1"/>
  <c r="K1469" i="1"/>
  <c r="M1469" i="1" s="1"/>
  <c r="K1470" i="1"/>
  <c r="K1471" i="1"/>
  <c r="M1471" i="1" s="1"/>
  <c r="K1472" i="1"/>
  <c r="M1472" i="1" s="1"/>
  <c r="K1473" i="1"/>
  <c r="M1473" i="1" s="1"/>
  <c r="K1474" i="1"/>
  <c r="M1474" i="1" s="1"/>
  <c r="K1475" i="1"/>
  <c r="M1475" i="1" s="1"/>
  <c r="K1476" i="1"/>
  <c r="M1476" i="1" s="1"/>
  <c r="K1477" i="1"/>
  <c r="M1477" i="1" s="1"/>
  <c r="K1478" i="1"/>
  <c r="M1478" i="1" s="1"/>
  <c r="K1479" i="1"/>
  <c r="M1479" i="1" s="1"/>
  <c r="K1480" i="1"/>
  <c r="M1480" i="1" s="1"/>
  <c r="K1481" i="1"/>
  <c r="M1481" i="1" s="1"/>
  <c r="K1482" i="1"/>
  <c r="K1483" i="1"/>
  <c r="M1483" i="1" s="1"/>
  <c r="K1484" i="1"/>
  <c r="M1484" i="1" s="1"/>
  <c r="K1485" i="1"/>
  <c r="K1486" i="1"/>
  <c r="M1486" i="1" s="1"/>
  <c r="K1487" i="1"/>
  <c r="K1488" i="1"/>
  <c r="M1488" i="1" s="1"/>
  <c r="K1489" i="1"/>
  <c r="M1489" i="1" s="1"/>
  <c r="K1490" i="1"/>
  <c r="M1490" i="1" s="1"/>
  <c r="K1491" i="1"/>
  <c r="M1491" i="1" s="1"/>
  <c r="K1492" i="1"/>
  <c r="K1493" i="1"/>
  <c r="M1493" i="1" s="1"/>
  <c r="K1494" i="1"/>
  <c r="M1494" i="1" s="1"/>
  <c r="K1495" i="1"/>
  <c r="M1495" i="1" s="1"/>
  <c r="K1496" i="1"/>
  <c r="M1496" i="1" s="1"/>
  <c r="K1497" i="1"/>
  <c r="K1498" i="1"/>
  <c r="M1498" i="1" s="1"/>
  <c r="K1499" i="1"/>
  <c r="M1499" i="1" s="1"/>
  <c r="K1500" i="1"/>
  <c r="M1500" i="1" s="1"/>
  <c r="K1501" i="1"/>
  <c r="M1501" i="1" s="1"/>
  <c r="K1502" i="1"/>
  <c r="K1503" i="1"/>
  <c r="M1503" i="1" s="1"/>
  <c r="K1504" i="1"/>
  <c r="M1504" i="1" s="1"/>
  <c r="K1505" i="1"/>
  <c r="K1506" i="1"/>
  <c r="K1507" i="1"/>
  <c r="M1507" i="1" s="1"/>
  <c r="K1508" i="1"/>
  <c r="M1508" i="1" s="1"/>
  <c r="K1509" i="1"/>
  <c r="M1509" i="1" s="1"/>
  <c r="K1510" i="1"/>
  <c r="M1510" i="1" s="1"/>
  <c r="K1511" i="1"/>
  <c r="M1511" i="1" s="1"/>
  <c r="K1512" i="1"/>
  <c r="M1512" i="1" s="1"/>
  <c r="K1513" i="1"/>
  <c r="K1514" i="1"/>
  <c r="M1514" i="1" s="1"/>
  <c r="K1515" i="1"/>
  <c r="M1515" i="1" s="1"/>
  <c r="K1516" i="1"/>
  <c r="M1516" i="1" s="1"/>
  <c r="K1517" i="1"/>
  <c r="M1517" i="1" s="1"/>
  <c r="K1518" i="1"/>
  <c r="M1518" i="1" s="1"/>
  <c r="K1519" i="1"/>
  <c r="M1519" i="1" s="1"/>
  <c r="K1520" i="1"/>
  <c r="M1520" i="1" s="1"/>
  <c r="K1521" i="1"/>
  <c r="M1521" i="1" s="1"/>
  <c r="K1522" i="1"/>
  <c r="M1522" i="1" s="1"/>
  <c r="K1523" i="1"/>
  <c r="M1523" i="1" s="1"/>
  <c r="K1524" i="1"/>
  <c r="M1524" i="1" s="1"/>
  <c r="K1525" i="1"/>
  <c r="M1525" i="1" s="1"/>
  <c r="K1526" i="1"/>
  <c r="M1526" i="1" s="1"/>
  <c r="K1527" i="1"/>
  <c r="M1527" i="1" s="1"/>
  <c r="K1528" i="1"/>
  <c r="M1528" i="1" s="1"/>
  <c r="K1529" i="1"/>
  <c r="M1529" i="1" s="1"/>
  <c r="K1530" i="1"/>
  <c r="M1530" i="1" s="1"/>
  <c r="K1531" i="1"/>
  <c r="M1531" i="1" s="1"/>
  <c r="K1532" i="1"/>
  <c r="M1532" i="1" s="1"/>
  <c r="K1533" i="1"/>
  <c r="M1533" i="1" s="1"/>
  <c r="K1534" i="1"/>
  <c r="M1534" i="1" s="1"/>
  <c r="K1535" i="1"/>
  <c r="M1535" i="1" s="1"/>
  <c r="K1536" i="1"/>
  <c r="M1536" i="1" s="1"/>
  <c r="K1537" i="1"/>
  <c r="M1537" i="1" s="1"/>
  <c r="K1538" i="1"/>
  <c r="M1538" i="1" s="1"/>
  <c r="K1539" i="1"/>
  <c r="M1539" i="1" s="1"/>
  <c r="K1540" i="1"/>
  <c r="M1540" i="1" s="1"/>
  <c r="K1541" i="1"/>
  <c r="M1541" i="1" s="1"/>
  <c r="K1542" i="1"/>
  <c r="M1542" i="1" s="1"/>
  <c r="K1543" i="1"/>
  <c r="M1543" i="1" s="1"/>
  <c r="K1544" i="1"/>
  <c r="M1544" i="1" s="1"/>
  <c r="K1545" i="1"/>
  <c r="M1545" i="1" s="1"/>
  <c r="K1546" i="1"/>
  <c r="M1546" i="1" s="1"/>
  <c r="K1547" i="1"/>
  <c r="M1547" i="1" s="1"/>
  <c r="K1548" i="1"/>
  <c r="M1548" i="1" s="1"/>
  <c r="K1549" i="1"/>
  <c r="M1549" i="1" s="1"/>
  <c r="K1550" i="1"/>
  <c r="M1550" i="1" s="1"/>
  <c r="K1551" i="1"/>
  <c r="M1551" i="1" s="1"/>
  <c r="K1552" i="1"/>
  <c r="K1553" i="1"/>
  <c r="M1553" i="1" s="1"/>
  <c r="K1554" i="1"/>
  <c r="M1554" i="1" s="1"/>
  <c r="K1555" i="1"/>
  <c r="M1555" i="1" s="1"/>
  <c r="K1556" i="1"/>
  <c r="K1557" i="1"/>
  <c r="M1557" i="1" s="1"/>
  <c r="K1558" i="1"/>
  <c r="M1558" i="1" s="1"/>
  <c r="K1559" i="1"/>
  <c r="M1559" i="1" s="1"/>
  <c r="K1560" i="1"/>
  <c r="M1560" i="1" s="1"/>
  <c r="K1561" i="1"/>
  <c r="K1562" i="1"/>
  <c r="M1562" i="1" s="1"/>
  <c r="K1563" i="1"/>
  <c r="K1564" i="1"/>
  <c r="M1564" i="1" s="1"/>
  <c r="K1565" i="1"/>
  <c r="M1565" i="1" s="1"/>
  <c r="K1566" i="1"/>
  <c r="M1566" i="1" s="1"/>
  <c r="K1567" i="1"/>
  <c r="M1567" i="1" s="1"/>
  <c r="K1568" i="1"/>
  <c r="M1568" i="1" s="1"/>
  <c r="K1569" i="1"/>
  <c r="M1569" i="1" s="1"/>
  <c r="K1570" i="1"/>
  <c r="M1570" i="1" s="1"/>
  <c r="K1571" i="1"/>
  <c r="M1571" i="1" s="1"/>
  <c r="K1572" i="1"/>
  <c r="K1573" i="1"/>
  <c r="K1574" i="1"/>
  <c r="K1575" i="1"/>
  <c r="M1575" i="1" s="1"/>
  <c r="K1576" i="1"/>
  <c r="M1576" i="1" s="1"/>
  <c r="K1577" i="1"/>
  <c r="M1577" i="1" s="1"/>
  <c r="K1578" i="1"/>
  <c r="K1579" i="1"/>
  <c r="M1579" i="1" s="1"/>
  <c r="K1580" i="1"/>
  <c r="M1580" i="1" s="1"/>
  <c r="K1581" i="1"/>
  <c r="M1581" i="1" s="1"/>
  <c r="K1582" i="1"/>
  <c r="M1582" i="1" s="1"/>
  <c r="K1583" i="1"/>
  <c r="M1583" i="1" s="1"/>
  <c r="K1584" i="1"/>
  <c r="M1584" i="1" s="1"/>
  <c r="K1585" i="1"/>
  <c r="M1585" i="1" s="1"/>
  <c r="K1586" i="1"/>
  <c r="M1586" i="1" s="1"/>
  <c r="K1587" i="1"/>
  <c r="M1587" i="1" s="1"/>
  <c r="K1588" i="1"/>
  <c r="M1588" i="1" s="1"/>
  <c r="K1589" i="1"/>
  <c r="M1589" i="1" s="1"/>
  <c r="K1590" i="1"/>
  <c r="M1590" i="1" s="1"/>
  <c r="K1591" i="1"/>
  <c r="K1592" i="1"/>
  <c r="M1592" i="1" s="1"/>
  <c r="K1593" i="1"/>
  <c r="M1593" i="1" s="1"/>
  <c r="K1594" i="1"/>
  <c r="M1594" i="1" s="1"/>
  <c r="K1595" i="1"/>
  <c r="M1595" i="1" s="1"/>
  <c r="K1596" i="1"/>
  <c r="M1596" i="1" s="1"/>
  <c r="K1597" i="1"/>
  <c r="M1597" i="1" s="1"/>
  <c r="K1598" i="1"/>
  <c r="M1598" i="1" s="1"/>
  <c r="K1599" i="1"/>
  <c r="M1599" i="1" s="1"/>
  <c r="K1600" i="1"/>
  <c r="M1600" i="1" s="1"/>
  <c r="K1601" i="1"/>
  <c r="M1601" i="1" s="1"/>
  <c r="K1602" i="1"/>
  <c r="M1602" i="1" s="1"/>
  <c r="K1603" i="1"/>
  <c r="M1603" i="1" s="1"/>
  <c r="K1604" i="1"/>
  <c r="M1604" i="1" s="1"/>
  <c r="K1605" i="1"/>
  <c r="K1606" i="1"/>
  <c r="M1606" i="1" s="1"/>
  <c r="K1607" i="1"/>
  <c r="M1607" i="1" s="1"/>
  <c r="K1608" i="1"/>
  <c r="M1608" i="1" s="1"/>
  <c r="K1609" i="1"/>
  <c r="M1609" i="1" s="1"/>
  <c r="K1610" i="1"/>
  <c r="M1610" i="1" s="1"/>
  <c r="K1611" i="1"/>
  <c r="K1612" i="1"/>
  <c r="M1612" i="1" s="1"/>
  <c r="K1613" i="1"/>
  <c r="M1613" i="1" s="1"/>
  <c r="K1614" i="1"/>
  <c r="K1615" i="1"/>
  <c r="M1615" i="1" s="1"/>
  <c r="K1616" i="1"/>
  <c r="M1616" i="1" s="1"/>
  <c r="K1617" i="1"/>
  <c r="M1617" i="1" s="1"/>
  <c r="K1618" i="1"/>
  <c r="M1618" i="1" s="1"/>
  <c r="K1619" i="1"/>
  <c r="K1620" i="1"/>
  <c r="M1620" i="1" s="1"/>
  <c r="K1621" i="1"/>
  <c r="M1621" i="1" s="1"/>
  <c r="K1622" i="1"/>
  <c r="M1622" i="1" s="1"/>
  <c r="K1623" i="1"/>
  <c r="M1623" i="1" s="1"/>
  <c r="K1624" i="1"/>
  <c r="M1624" i="1" s="1"/>
  <c r="K1625" i="1"/>
  <c r="M1625" i="1" s="1"/>
  <c r="K1626" i="1"/>
  <c r="M1626" i="1" s="1"/>
  <c r="K1627" i="1"/>
  <c r="M1627" i="1" s="1"/>
  <c r="K1628" i="1"/>
  <c r="M1628" i="1" s="1"/>
  <c r="K1629" i="1"/>
  <c r="M1629" i="1" s="1"/>
  <c r="K1630" i="1"/>
  <c r="M1630" i="1" s="1"/>
  <c r="K1631" i="1"/>
  <c r="M1631" i="1" s="1"/>
  <c r="K1632" i="1"/>
  <c r="M1632" i="1" s="1"/>
  <c r="K1633" i="1"/>
  <c r="M1633" i="1" s="1"/>
  <c r="K1634" i="1"/>
  <c r="M1634" i="1" s="1"/>
  <c r="K1635" i="1"/>
  <c r="M1635" i="1" s="1"/>
  <c r="K1636" i="1"/>
  <c r="M1636" i="1" s="1"/>
  <c r="K1637" i="1"/>
  <c r="M1637" i="1" s="1"/>
  <c r="K1638" i="1"/>
  <c r="M1638" i="1" s="1"/>
  <c r="K1639" i="1"/>
  <c r="M1639" i="1" s="1"/>
  <c r="K1640" i="1"/>
  <c r="M1640" i="1" s="1"/>
  <c r="K1641" i="1"/>
  <c r="M1641" i="1" s="1"/>
  <c r="K1642" i="1"/>
  <c r="M1642" i="1" s="1"/>
  <c r="K1643" i="1"/>
  <c r="M1643" i="1" s="1"/>
  <c r="K1644" i="1"/>
  <c r="M1644" i="1" s="1"/>
  <c r="K1645" i="1"/>
  <c r="M1645" i="1" s="1"/>
  <c r="K1646" i="1"/>
  <c r="M1646" i="1" s="1"/>
  <c r="K1647" i="1"/>
  <c r="M1647" i="1" s="1"/>
  <c r="K1648" i="1"/>
  <c r="M1648" i="1" s="1"/>
  <c r="K1649" i="1"/>
  <c r="M1649" i="1" s="1"/>
  <c r="K1650" i="1"/>
  <c r="M1650" i="1" s="1"/>
  <c r="K1651" i="1"/>
  <c r="M1651" i="1" s="1"/>
  <c r="K1652" i="1"/>
  <c r="M1652" i="1" s="1"/>
  <c r="K1653" i="1"/>
  <c r="M1653" i="1" s="1"/>
  <c r="K1654" i="1"/>
  <c r="M1654" i="1" s="1"/>
  <c r="K1655" i="1"/>
  <c r="M1655" i="1" s="1"/>
  <c r="K1656" i="1"/>
  <c r="M1656" i="1" s="1"/>
  <c r="K1657" i="1"/>
  <c r="M1657" i="1" s="1"/>
  <c r="K1658" i="1"/>
  <c r="M1658" i="1" s="1"/>
  <c r="K1659" i="1"/>
  <c r="M1659" i="1" s="1"/>
  <c r="K1660" i="1"/>
  <c r="M1660" i="1" s="1"/>
  <c r="K1661" i="1"/>
  <c r="K1662" i="1"/>
  <c r="M1662" i="1" s="1"/>
  <c r="K1663" i="1"/>
  <c r="M1663" i="1" s="1"/>
  <c r="K1664" i="1"/>
  <c r="M1664" i="1" s="1"/>
  <c r="K1665" i="1"/>
  <c r="M1665" i="1" s="1"/>
  <c r="K1666" i="1"/>
  <c r="M1666" i="1" s="1"/>
  <c r="K1667" i="1"/>
  <c r="M1667" i="1" s="1"/>
  <c r="K1668" i="1"/>
  <c r="M1668" i="1" s="1"/>
  <c r="K1669" i="1"/>
  <c r="M1669" i="1" s="1"/>
  <c r="K1670" i="1"/>
  <c r="M1670" i="1" s="1"/>
  <c r="K1671" i="1"/>
  <c r="M1671" i="1" s="1"/>
  <c r="K1672" i="1"/>
  <c r="M1672" i="1" s="1"/>
  <c r="K1673" i="1"/>
  <c r="M1673" i="1" s="1"/>
  <c r="K1674" i="1"/>
  <c r="M1674" i="1" s="1"/>
  <c r="K1675" i="1"/>
  <c r="M1675" i="1" s="1"/>
  <c r="K1676" i="1"/>
  <c r="M1676" i="1" s="1"/>
  <c r="K1677" i="1"/>
  <c r="M1677" i="1" s="1"/>
  <c r="K1678" i="1"/>
  <c r="M1678" i="1" s="1"/>
  <c r="K1679" i="1"/>
  <c r="M1679" i="1" s="1"/>
  <c r="K1680" i="1"/>
  <c r="M1680" i="1" s="1"/>
  <c r="K1681" i="1"/>
  <c r="M1681" i="1" s="1"/>
  <c r="K1682" i="1"/>
  <c r="M1682" i="1" s="1"/>
  <c r="K1683" i="1"/>
  <c r="M1683" i="1" s="1"/>
  <c r="K1684" i="1"/>
  <c r="K1685" i="1"/>
  <c r="K1686" i="1"/>
  <c r="M1686" i="1" s="1"/>
  <c r="K1687" i="1"/>
  <c r="M1687" i="1" s="1"/>
  <c r="K1688" i="1"/>
  <c r="M1688" i="1" s="1"/>
  <c r="K1689" i="1"/>
  <c r="M1689" i="1" s="1"/>
  <c r="K1690" i="1"/>
  <c r="K1691" i="1"/>
  <c r="M1691" i="1" s="1"/>
  <c r="K1692" i="1"/>
  <c r="M1692" i="1" s="1"/>
  <c r="K1693" i="1"/>
  <c r="M1693" i="1" s="1"/>
  <c r="K1694" i="1"/>
  <c r="M1694" i="1" s="1"/>
  <c r="K1695" i="1"/>
  <c r="M1695" i="1" s="1"/>
  <c r="K1696" i="1"/>
  <c r="M1696" i="1" s="1"/>
  <c r="K1697" i="1"/>
  <c r="M1697" i="1" s="1"/>
  <c r="K1698" i="1"/>
  <c r="M1698" i="1" s="1"/>
  <c r="K1699" i="1"/>
  <c r="M1699" i="1" s="1"/>
  <c r="K1700" i="1"/>
  <c r="M1700" i="1" s="1"/>
  <c r="K1701" i="1"/>
  <c r="M1701" i="1" s="1"/>
  <c r="K1702" i="1"/>
  <c r="M1702" i="1" s="1"/>
  <c r="K1703" i="1"/>
  <c r="M1703" i="1" s="1"/>
  <c r="K1704" i="1"/>
  <c r="M1704" i="1" s="1"/>
  <c r="K1705" i="1"/>
  <c r="M1705" i="1" s="1"/>
  <c r="K1706" i="1"/>
  <c r="M1706" i="1" s="1"/>
  <c r="K1707" i="1"/>
  <c r="M1707" i="1" s="1"/>
  <c r="K1708" i="1"/>
  <c r="M1708" i="1" s="1"/>
  <c r="K1709" i="1"/>
  <c r="M1709" i="1" s="1"/>
  <c r="K1710" i="1"/>
  <c r="M1710" i="1" s="1"/>
  <c r="K1711" i="1"/>
  <c r="M1711" i="1" s="1"/>
  <c r="K1712" i="1"/>
  <c r="M1712" i="1" s="1"/>
  <c r="K1713" i="1"/>
  <c r="M1713" i="1" s="1"/>
  <c r="K1714" i="1"/>
  <c r="M1714" i="1" s="1"/>
  <c r="K1715" i="1"/>
  <c r="M1715" i="1" s="1"/>
  <c r="K1716" i="1"/>
  <c r="M1716" i="1" s="1"/>
  <c r="K1717" i="1"/>
  <c r="M1717" i="1" s="1"/>
  <c r="K1718" i="1"/>
  <c r="M1718" i="1" s="1"/>
  <c r="K1719" i="1"/>
  <c r="M1719" i="1" s="1"/>
  <c r="K1720" i="1"/>
  <c r="M1720" i="1" s="1"/>
  <c r="K1721" i="1"/>
  <c r="M1721" i="1" s="1"/>
  <c r="K1722" i="1"/>
  <c r="M1722" i="1" s="1"/>
  <c r="K1723" i="1"/>
  <c r="M1723" i="1" s="1"/>
  <c r="K1724" i="1"/>
  <c r="K1725" i="1"/>
  <c r="M1725" i="1" s="1"/>
  <c r="K1726" i="1"/>
  <c r="M1726" i="1" s="1"/>
  <c r="K1727" i="1"/>
  <c r="M1727" i="1" s="1"/>
  <c r="K1728" i="1"/>
  <c r="M1728" i="1" s="1"/>
  <c r="K1729" i="1"/>
  <c r="K1730" i="1"/>
  <c r="M1730" i="1" s="1"/>
  <c r="K1731" i="1"/>
  <c r="M1731" i="1" s="1"/>
  <c r="K1732" i="1"/>
  <c r="M1732" i="1" s="1"/>
  <c r="K1733" i="1"/>
  <c r="M1733" i="1" s="1"/>
  <c r="K1734" i="1"/>
  <c r="M1734" i="1" s="1"/>
  <c r="K1735" i="1"/>
  <c r="M1735" i="1" s="1"/>
  <c r="K1736" i="1"/>
  <c r="M1736" i="1" s="1"/>
  <c r="K1737" i="1"/>
  <c r="M1737" i="1" s="1"/>
  <c r="K1738" i="1"/>
  <c r="M1738" i="1" s="1"/>
  <c r="K1739" i="1"/>
  <c r="M1739" i="1" s="1"/>
  <c r="K1740" i="1"/>
  <c r="M1740" i="1" s="1"/>
  <c r="K1741" i="1"/>
  <c r="M1741" i="1" s="1"/>
  <c r="K1742" i="1"/>
  <c r="M1742" i="1" s="1"/>
  <c r="K1743" i="1"/>
  <c r="M1743" i="1" s="1"/>
  <c r="K1744" i="1"/>
  <c r="M1744" i="1" s="1"/>
  <c r="K1745" i="1"/>
  <c r="M1745" i="1" s="1"/>
  <c r="K1746" i="1"/>
  <c r="M1746" i="1" s="1"/>
  <c r="K1747" i="1"/>
  <c r="M1747" i="1" s="1"/>
  <c r="K1748" i="1"/>
  <c r="M1748" i="1" s="1"/>
  <c r="K1749" i="1"/>
  <c r="K1750" i="1"/>
  <c r="M1750" i="1" s="1"/>
  <c r="K1751" i="1"/>
  <c r="M1751" i="1" s="1"/>
  <c r="K1752" i="1"/>
  <c r="M1752" i="1" s="1"/>
  <c r="K1753" i="1"/>
  <c r="M1753" i="1" s="1"/>
  <c r="K1754" i="1"/>
  <c r="M1754" i="1" s="1"/>
  <c r="K1755" i="1"/>
  <c r="M1755" i="1" s="1"/>
  <c r="K1756" i="1"/>
  <c r="M1756" i="1" s="1"/>
  <c r="K1757" i="1"/>
  <c r="M1757" i="1" s="1"/>
  <c r="K1758" i="1"/>
  <c r="M1758" i="1" s="1"/>
  <c r="K1759" i="1"/>
  <c r="M1759" i="1" s="1"/>
  <c r="K1760" i="1"/>
  <c r="M1760" i="1" s="1"/>
  <c r="K1761" i="1"/>
  <c r="M1761" i="1" s="1"/>
  <c r="K1762" i="1"/>
  <c r="M1762" i="1" s="1"/>
  <c r="K1763" i="1"/>
  <c r="M1763" i="1" s="1"/>
  <c r="K1764" i="1"/>
  <c r="M1764" i="1" s="1"/>
  <c r="K1765" i="1"/>
  <c r="M1765" i="1" s="1"/>
  <c r="K1766" i="1"/>
  <c r="K1767" i="1"/>
  <c r="M1767" i="1" s="1"/>
  <c r="K1768" i="1"/>
  <c r="M1768" i="1" s="1"/>
  <c r="K1769" i="1"/>
  <c r="M1769" i="1" s="1"/>
  <c r="K1770" i="1"/>
  <c r="K1771" i="1"/>
  <c r="M1771" i="1" s="1"/>
  <c r="K1772" i="1"/>
  <c r="M1772" i="1" s="1"/>
  <c r="K1773" i="1"/>
  <c r="M1773" i="1" s="1"/>
  <c r="K1774" i="1"/>
  <c r="M1774" i="1" s="1"/>
  <c r="K1775" i="1"/>
  <c r="M1775" i="1" s="1"/>
  <c r="K1776" i="1"/>
  <c r="M1776" i="1" s="1"/>
  <c r="K1777" i="1"/>
  <c r="M1777" i="1" s="1"/>
  <c r="K1778" i="1"/>
  <c r="M1778" i="1" s="1"/>
  <c r="K1779" i="1"/>
  <c r="M1779" i="1" s="1"/>
  <c r="K1780" i="1"/>
  <c r="M1780" i="1" s="1"/>
  <c r="K1781" i="1"/>
  <c r="M1781" i="1" s="1"/>
  <c r="K1782" i="1"/>
  <c r="M1782" i="1" s="1"/>
  <c r="K1783" i="1"/>
  <c r="M1783" i="1" s="1"/>
  <c r="K1784" i="1"/>
  <c r="M1784" i="1" s="1"/>
  <c r="K1785" i="1"/>
  <c r="M1785" i="1" s="1"/>
  <c r="K1786" i="1"/>
  <c r="M1786" i="1" s="1"/>
  <c r="K1787" i="1"/>
  <c r="M1787" i="1" s="1"/>
  <c r="K1788" i="1"/>
  <c r="M1788" i="1" s="1"/>
  <c r="K1789" i="1"/>
  <c r="M1789" i="1" s="1"/>
  <c r="K1790" i="1"/>
  <c r="M1790" i="1" s="1"/>
  <c r="K1791" i="1"/>
  <c r="M1791" i="1" s="1"/>
  <c r="K1792" i="1"/>
  <c r="K1793" i="1"/>
  <c r="M1793" i="1" s="1"/>
  <c r="K1794" i="1"/>
  <c r="M1794" i="1" s="1"/>
  <c r="K1795" i="1"/>
  <c r="M1795" i="1" s="1"/>
  <c r="K1796" i="1"/>
  <c r="M1796" i="1" s="1"/>
  <c r="K1797" i="1"/>
  <c r="K1798" i="1"/>
  <c r="M1798" i="1" s="1"/>
  <c r="K1799" i="1"/>
  <c r="M1799" i="1" s="1"/>
  <c r="K1800" i="1"/>
  <c r="M1800" i="1" s="1"/>
  <c r="K1801" i="1"/>
  <c r="M1801" i="1" s="1"/>
  <c r="K1802" i="1"/>
  <c r="K1803" i="1"/>
  <c r="M1803" i="1" s="1"/>
  <c r="K1804" i="1"/>
  <c r="M1804" i="1" s="1"/>
  <c r="K1805" i="1"/>
  <c r="K1806" i="1"/>
  <c r="M1806" i="1" s="1"/>
  <c r="K1807" i="1"/>
  <c r="M1807" i="1" s="1"/>
  <c r="K2" i="1"/>
  <c r="M2" i="1" s="1"/>
  <c r="B9" i="4" l="1"/>
</calcChain>
</file>

<file path=xl/sharedStrings.xml><?xml version="1.0" encoding="utf-8"?>
<sst xmlns="http://schemas.openxmlformats.org/spreadsheetml/2006/main" count="20043" uniqueCount="10053">
  <si>
    <t>Security ID</t>
  </si>
  <si>
    <t>Security Name</t>
  </si>
  <si>
    <t>Asset Class</t>
  </si>
  <si>
    <t>Currency</t>
  </si>
  <si>
    <t>Prior Price ($)</t>
  </si>
  <si>
    <t>Current Price ($)</t>
  </si>
  <si>
    <t>Vendor Price ($)</t>
  </si>
  <si>
    <t>Price Age (Days)</t>
  </si>
  <si>
    <t>Volume</t>
  </si>
  <si>
    <t>Market Value ($mm)</t>
  </si>
  <si>
    <t>SEC00001</t>
  </si>
  <si>
    <t>Harbor Holdings 1</t>
  </si>
  <si>
    <t>Government Bond</t>
  </si>
  <si>
    <t>USD</t>
  </si>
  <si>
    <t>SEC00002</t>
  </si>
  <si>
    <t>Atlas Capital 2</t>
  </si>
  <si>
    <t>Corporate Bond</t>
  </si>
  <si>
    <t>SEC00003</t>
  </si>
  <si>
    <t>Liberty Capital 3</t>
  </si>
  <si>
    <t>Equity</t>
  </si>
  <si>
    <t>SEC00004</t>
  </si>
  <si>
    <t>Liberty Capital 4</t>
  </si>
  <si>
    <t>SEC00005</t>
  </si>
  <si>
    <t>Alpha Energy 5</t>
  </si>
  <si>
    <t>SEC00006</t>
  </si>
  <si>
    <t>Vertex Markets 6</t>
  </si>
  <si>
    <t>SEC00007</t>
  </si>
  <si>
    <t>Cedar Partners 7</t>
  </si>
  <si>
    <t>SEC00008</t>
  </si>
  <si>
    <t>Nova Fund 8</t>
  </si>
  <si>
    <t>SEC00009</t>
  </si>
  <si>
    <t>Nova Markets 9</t>
  </si>
  <si>
    <t>EUR</t>
  </si>
  <si>
    <t>SEC00010</t>
  </si>
  <si>
    <t>Orion Capital 10</t>
  </si>
  <si>
    <t>Derivative</t>
  </si>
  <si>
    <t>JPY</t>
  </si>
  <si>
    <t>SEC00011</t>
  </si>
  <si>
    <t>Liberty Group 11</t>
  </si>
  <si>
    <t>ETF</t>
  </si>
  <si>
    <t>SEC00012</t>
  </si>
  <si>
    <t>Orion Holdings 12</t>
  </si>
  <si>
    <t>SEC00013</t>
  </si>
  <si>
    <t>Pioneer Technology 13</t>
  </si>
  <si>
    <t>SEC00014</t>
  </si>
  <si>
    <t>Orion Group 14</t>
  </si>
  <si>
    <t>SEC00015</t>
  </si>
  <si>
    <t>Orion Group 15</t>
  </si>
  <si>
    <t>SEC00016</t>
  </si>
  <si>
    <t>Liberty Markets 16</t>
  </si>
  <si>
    <t>SEC00017</t>
  </si>
  <si>
    <t>Vertex Capital 17</t>
  </si>
  <si>
    <t>SEC00018</t>
  </si>
  <si>
    <t>Atlas Financial 18</t>
  </si>
  <si>
    <t>SEC00019</t>
  </si>
  <si>
    <t>Orion Markets 19</t>
  </si>
  <si>
    <t>SEC00020</t>
  </si>
  <si>
    <t>Vertex Financial 20</t>
  </si>
  <si>
    <t>SEC00021</t>
  </si>
  <si>
    <t>Summit Holdings 21</t>
  </si>
  <si>
    <t>SEC00022</t>
  </si>
  <si>
    <t>Liberty Industries 22</t>
  </si>
  <si>
    <t>SEC00023</t>
  </si>
  <si>
    <t>Sterling Capital 23</t>
  </si>
  <si>
    <t>GBP</t>
  </si>
  <si>
    <t>SEC00024</t>
  </si>
  <si>
    <t>Liberty Energy 24</t>
  </si>
  <si>
    <t>SEC00025</t>
  </si>
  <si>
    <t>Pioneer Energy 25</t>
  </si>
  <si>
    <t>SEC00026</t>
  </si>
  <si>
    <t>Vertex Energy 26</t>
  </si>
  <si>
    <t>SEC00027</t>
  </si>
  <si>
    <t>Harbor Group 27</t>
  </si>
  <si>
    <t>SEC00028</t>
  </si>
  <si>
    <t>Sterling Capital 28</t>
  </si>
  <si>
    <t>SEC00029</t>
  </si>
  <si>
    <t>Summit Technology 29</t>
  </si>
  <si>
    <t>SEC00030</t>
  </si>
  <si>
    <t>Summit Markets 30</t>
  </si>
  <si>
    <t>SEC00031</t>
  </si>
  <si>
    <t>Sterling Partners 31</t>
  </si>
  <si>
    <t>SEC00032</t>
  </si>
  <si>
    <t>Orion Fund 32</t>
  </si>
  <si>
    <t>SEC00033</t>
  </si>
  <si>
    <t>Nova Fund 33</t>
  </si>
  <si>
    <t>SEC00034</t>
  </si>
  <si>
    <t>Vertex Capital 34</t>
  </si>
  <si>
    <t>SEC00035</t>
  </si>
  <si>
    <t>Alpha Partners 35</t>
  </si>
  <si>
    <t>SEC00036</t>
  </si>
  <si>
    <t>Summit Technology 36</t>
  </si>
  <si>
    <t>SEC00037</t>
  </si>
  <si>
    <t>Alpha Capital 37</t>
  </si>
  <si>
    <t>SEC00038</t>
  </si>
  <si>
    <t>Orion Fund 38</t>
  </si>
  <si>
    <t>SEC00039</t>
  </si>
  <si>
    <t>Delta Industries 39</t>
  </si>
  <si>
    <t>SEC00040</t>
  </si>
  <si>
    <t>Orion Partners 40</t>
  </si>
  <si>
    <t>SEC00041</t>
  </si>
  <si>
    <t>Harbor Capital 41</t>
  </si>
  <si>
    <t>SEC00042</t>
  </si>
  <si>
    <t>Sterling Fund 42</t>
  </si>
  <si>
    <t>SEC00043</t>
  </si>
  <si>
    <t>Delta Capital 43</t>
  </si>
  <si>
    <t>SEC00044</t>
  </si>
  <si>
    <t>Harbor Financial 44</t>
  </si>
  <si>
    <t>SEC00045</t>
  </si>
  <si>
    <t>Delta Technology 45</t>
  </si>
  <si>
    <t>SEC00046</t>
  </si>
  <si>
    <t>Liberty Group 46</t>
  </si>
  <si>
    <t>SEC00047</t>
  </si>
  <si>
    <t>Summit Group 47</t>
  </si>
  <si>
    <t>SEC00048</t>
  </si>
  <si>
    <t>Harbor Financial 48</t>
  </si>
  <si>
    <t>SEC00049</t>
  </si>
  <si>
    <t>Harbor Financial 49</t>
  </si>
  <si>
    <t>SEC00050</t>
  </si>
  <si>
    <t>Summit Partners 50</t>
  </si>
  <si>
    <t>SEC00051</t>
  </si>
  <si>
    <t>Liberty Partners 51</t>
  </si>
  <si>
    <t>SEC00052</t>
  </si>
  <si>
    <t>Vertex Group 52</t>
  </si>
  <si>
    <t>SEC00053</t>
  </si>
  <si>
    <t>Summit Markets 53</t>
  </si>
  <si>
    <t>SEC00054</t>
  </si>
  <si>
    <t>Sterling Financial 54</t>
  </si>
  <si>
    <t>SEC00055</t>
  </si>
  <si>
    <t>Atlas Energy 55</t>
  </si>
  <si>
    <t>SEC00056</t>
  </si>
  <si>
    <t>Cedar Markets 56</t>
  </si>
  <si>
    <t>SEC00057</t>
  </si>
  <si>
    <t>Summit Fund 57</t>
  </si>
  <si>
    <t>SEC00058</t>
  </si>
  <si>
    <t>Orion Industries 58</t>
  </si>
  <si>
    <t>SEC00059</t>
  </si>
  <si>
    <t>Nova Capital 59</t>
  </si>
  <si>
    <t>SEC00060</t>
  </si>
  <si>
    <t>Pioneer Markets 60</t>
  </si>
  <si>
    <t>SEC00061</t>
  </si>
  <si>
    <t>Liberty Fund 61</t>
  </si>
  <si>
    <t>SEC00062</t>
  </si>
  <si>
    <t>Pioneer Capital 62</t>
  </si>
  <si>
    <t>SEC00063</t>
  </si>
  <si>
    <t>Sterling Markets 63</t>
  </si>
  <si>
    <t>SEC00064</t>
  </si>
  <si>
    <t>Orion Capital 64</t>
  </si>
  <si>
    <t>SEC00065</t>
  </si>
  <si>
    <t>Orion Partners 65</t>
  </si>
  <si>
    <t>SEC00066</t>
  </si>
  <si>
    <t>Nova Capital 66</t>
  </si>
  <si>
    <t>SEC00067</t>
  </si>
  <si>
    <t>Atlas Partners 67</t>
  </si>
  <si>
    <t>SEC00068</t>
  </si>
  <si>
    <t>Atlas Group 68</t>
  </si>
  <si>
    <t>SEC00069</t>
  </si>
  <si>
    <t>Atlas Industries 69</t>
  </si>
  <si>
    <t>SEC00070</t>
  </si>
  <si>
    <t>Pioneer Financial 70</t>
  </si>
  <si>
    <t>SEC00071</t>
  </si>
  <si>
    <t>Cedar Holdings 71</t>
  </si>
  <si>
    <t>SEC00072</t>
  </si>
  <si>
    <t>Harbor Group 72</t>
  </si>
  <si>
    <t>SEC00073</t>
  </si>
  <si>
    <t>Nova Technology 73</t>
  </si>
  <si>
    <t>SEC00074</t>
  </si>
  <si>
    <t>Summit Holdings 74</t>
  </si>
  <si>
    <t>SEC00075</t>
  </si>
  <si>
    <t>Orion Fund 75</t>
  </si>
  <si>
    <t>SEC00076</t>
  </si>
  <si>
    <t>Delta Group 76</t>
  </si>
  <si>
    <t>SEC00077</t>
  </si>
  <si>
    <t>Atlas Group 77</t>
  </si>
  <si>
    <t>SEC00078</t>
  </si>
  <si>
    <t>Harbor Holdings 78</t>
  </si>
  <si>
    <t>SEC00079</t>
  </si>
  <si>
    <t>Nova Capital 79</t>
  </si>
  <si>
    <t>SEC00080</t>
  </si>
  <si>
    <t>Sterling Markets 80</t>
  </si>
  <si>
    <t>SEC00081</t>
  </si>
  <si>
    <t>Sterling Fund 81</t>
  </si>
  <si>
    <t>SEC00082</t>
  </si>
  <si>
    <t>Sterling Technology 82</t>
  </si>
  <si>
    <t>SEC00083</t>
  </si>
  <si>
    <t>Summit Partners 83</t>
  </si>
  <si>
    <t>SEC00084</t>
  </si>
  <si>
    <t>Liberty Financial 84</t>
  </si>
  <si>
    <t>SEC00085</t>
  </si>
  <si>
    <t>Atlas Industries 85</t>
  </si>
  <si>
    <t>SEC00086</t>
  </si>
  <si>
    <t>Pioneer Technology 86</t>
  </si>
  <si>
    <t>SEC00087</t>
  </si>
  <si>
    <t>Summit Group 87</t>
  </si>
  <si>
    <t>SEC00088</t>
  </si>
  <si>
    <t>Liberty Holdings 88</t>
  </si>
  <si>
    <t>SEC00089</t>
  </si>
  <si>
    <t>Harbor Fund 89</t>
  </si>
  <si>
    <t>SEC00090</t>
  </si>
  <si>
    <t>Orion Markets 90</t>
  </si>
  <si>
    <t>SEC00091</t>
  </si>
  <si>
    <t>Sterling Capital 91</t>
  </si>
  <si>
    <t>SEC00092</t>
  </si>
  <si>
    <t>Orion Fund 92</t>
  </si>
  <si>
    <t>SEC00093</t>
  </si>
  <si>
    <t>Vertex Technology 93</t>
  </si>
  <si>
    <t>SEC00094</t>
  </si>
  <si>
    <t>Atlas Capital 94</t>
  </si>
  <si>
    <t>SEC00095</t>
  </si>
  <si>
    <t>Alpha Energy 95</t>
  </si>
  <si>
    <t>SEC00096</t>
  </si>
  <si>
    <t>Summit Technology 96</t>
  </si>
  <si>
    <t>SEC00097</t>
  </si>
  <si>
    <t>Sterling Technology 97</t>
  </si>
  <si>
    <t>SEC00098</t>
  </si>
  <si>
    <t>Vertex Markets 98</t>
  </si>
  <si>
    <t>SEC00099</t>
  </si>
  <si>
    <t>Atlas Group 99</t>
  </si>
  <si>
    <t>SEC00100</t>
  </si>
  <si>
    <t>Pioneer Financial 100</t>
  </si>
  <si>
    <t>SEC00101</t>
  </si>
  <si>
    <t>Vertex Capital 101</t>
  </si>
  <si>
    <t>SEC00102</t>
  </si>
  <si>
    <t>Cedar Markets 102</t>
  </si>
  <si>
    <t>SEC00103</t>
  </si>
  <si>
    <t>Nova Fund 103</t>
  </si>
  <si>
    <t>SEC00104</t>
  </si>
  <si>
    <t>Delta Technology 104</t>
  </si>
  <si>
    <t>SEC00105</t>
  </si>
  <si>
    <t>Delta Partners 105</t>
  </si>
  <si>
    <t>SEC00106</t>
  </si>
  <si>
    <t>Cedar Energy 106</t>
  </si>
  <si>
    <t>SEC00107</t>
  </si>
  <si>
    <t>Sterling Industries 107</t>
  </si>
  <si>
    <t>SEC00108</t>
  </si>
  <si>
    <t>Atlas Financial 108</t>
  </si>
  <si>
    <t>SEC00109</t>
  </si>
  <si>
    <t>Cedar Technology 109</t>
  </si>
  <si>
    <t>CAD</t>
  </si>
  <si>
    <t>SEC00110</t>
  </si>
  <si>
    <t>Nova Markets 110</t>
  </si>
  <si>
    <t>SEC00111</t>
  </si>
  <si>
    <t>Cedar Financial 111</t>
  </si>
  <si>
    <t>SEC00112</t>
  </si>
  <si>
    <t>Orion Group 112</t>
  </si>
  <si>
    <t>SEC00113</t>
  </si>
  <si>
    <t>Atlas Financial 113</t>
  </si>
  <si>
    <t>SEC00114</t>
  </si>
  <si>
    <t>Pioneer Group 114</t>
  </si>
  <si>
    <t>SEC00115</t>
  </si>
  <si>
    <t>Summit Financial 115</t>
  </si>
  <si>
    <t>SEC00116</t>
  </si>
  <si>
    <t>Harbor Energy 116</t>
  </si>
  <si>
    <t>SEC00117</t>
  </si>
  <si>
    <t>Atlas Capital 117</t>
  </si>
  <si>
    <t>SEC00118</t>
  </si>
  <si>
    <t>Vertex Industries 118</t>
  </si>
  <si>
    <t>SEC00119</t>
  </si>
  <si>
    <t>Summit Partners 119</t>
  </si>
  <si>
    <t>SEC00120</t>
  </si>
  <si>
    <t>Sterling Partners 120</t>
  </si>
  <si>
    <t>SEC00121</t>
  </si>
  <si>
    <t>Orion Holdings 121</t>
  </si>
  <si>
    <t>SEC00122</t>
  </si>
  <si>
    <t>Orion Energy 122</t>
  </si>
  <si>
    <t>SEC00123</t>
  </si>
  <si>
    <t>Liberty Energy 123</t>
  </si>
  <si>
    <t>SEC00124</t>
  </si>
  <si>
    <t>Alpha Financial 124</t>
  </si>
  <si>
    <t>SEC00125</t>
  </si>
  <si>
    <t>Alpha Partners 125</t>
  </si>
  <si>
    <t>SEC00126</t>
  </si>
  <si>
    <t>Atlas Markets 126</t>
  </si>
  <si>
    <t>SEC00127</t>
  </si>
  <si>
    <t>Harbor Energy 127</t>
  </si>
  <si>
    <t>SEC00128</t>
  </si>
  <si>
    <t>Orion Technology 128</t>
  </si>
  <si>
    <t>SEC00129</t>
  </si>
  <si>
    <t>Nova Markets 129</t>
  </si>
  <si>
    <t>SEC00130</t>
  </si>
  <si>
    <t>Pioneer Holdings 130</t>
  </si>
  <si>
    <t>SEC00131</t>
  </si>
  <si>
    <t>Delta Group 131</t>
  </si>
  <si>
    <t>SEC00132</t>
  </si>
  <si>
    <t>Harbor Markets 132</t>
  </si>
  <si>
    <t>SEC00133</t>
  </si>
  <si>
    <t>Delta Group 133</t>
  </si>
  <si>
    <t>SEC00134</t>
  </si>
  <si>
    <t>Cedar Energy 134</t>
  </si>
  <si>
    <t>SEC00135</t>
  </si>
  <si>
    <t>Summit Energy 135</t>
  </si>
  <si>
    <t>SEC00136</t>
  </si>
  <si>
    <t>Alpha Technology 136</t>
  </si>
  <si>
    <t>SEC00137</t>
  </si>
  <si>
    <t>Vertex Markets 137</t>
  </si>
  <si>
    <t>SEC00138</t>
  </si>
  <si>
    <t>Harbor Group 138</t>
  </si>
  <si>
    <t>SEC00139</t>
  </si>
  <si>
    <t>Cedar Group 139</t>
  </si>
  <si>
    <t>SEC00140</t>
  </si>
  <si>
    <t>Vertex Financial 140</t>
  </si>
  <si>
    <t>SEC00141</t>
  </si>
  <si>
    <t>Vertex Group 141</t>
  </si>
  <si>
    <t>SEC00142</t>
  </si>
  <si>
    <t>Vertex Industries 142</t>
  </si>
  <si>
    <t>SEC00143</t>
  </si>
  <si>
    <t>Alpha Markets 143</t>
  </si>
  <si>
    <t>SEC00144</t>
  </si>
  <si>
    <t>Orion Fund 144</t>
  </si>
  <si>
    <t>SEC00145</t>
  </si>
  <si>
    <t>Sterling Markets 145</t>
  </si>
  <si>
    <t>SEC00146</t>
  </si>
  <si>
    <t>Vertex Technology 146</t>
  </si>
  <si>
    <t>SEC00147</t>
  </si>
  <si>
    <t>Orion Capital 147</t>
  </si>
  <si>
    <t>SEC00148</t>
  </si>
  <si>
    <t>Summit Group 148</t>
  </si>
  <si>
    <t>SEC00149</t>
  </si>
  <si>
    <t>Vertex Partners 149</t>
  </si>
  <si>
    <t>SEC00150</t>
  </si>
  <si>
    <t>Summit Technology 150</t>
  </si>
  <si>
    <t>SEC00151</t>
  </si>
  <si>
    <t>Delta Financial 151</t>
  </si>
  <si>
    <t>SEC00152</t>
  </si>
  <si>
    <t>Harbor Markets 152</t>
  </si>
  <si>
    <t>SEC00153</t>
  </si>
  <si>
    <t>Liberty Group 153</t>
  </si>
  <si>
    <t>SEC00154</t>
  </si>
  <si>
    <t>Atlas Group 154</t>
  </si>
  <si>
    <t>SEC00155</t>
  </si>
  <si>
    <t>Harbor Group 155</t>
  </si>
  <si>
    <t>SEC00156</t>
  </si>
  <si>
    <t>Vertex Fund 156</t>
  </si>
  <si>
    <t>SEC00157</t>
  </si>
  <si>
    <t>Delta Capital 157</t>
  </si>
  <si>
    <t>SEC00158</t>
  </si>
  <si>
    <t>Alpha Markets 158</t>
  </si>
  <si>
    <t>SEC00159</t>
  </si>
  <si>
    <t>Vertex Financial 159</t>
  </si>
  <si>
    <t>SEC00160</t>
  </si>
  <si>
    <t>Cedar Technology 160</t>
  </si>
  <si>
    <t>SEC00161</t>
  </si>
  <si>
    <t>Delta Group 161</t>
  </si>
  <si>
    <t>SEC00162</t>
  </si>
  <si>
    <t>Delta Partners 162</t>
  </si>
  <si>
    <t>SEC00163</t>
  </si>
  <si>
    <t>Nova Capital 163</t>
  </si>
  <si>
    <t>SEC00164</t>
  </si>
  <si>
    <t>Pioneer Fund 164</t>
  </si>
  <si>
    <t>SEC00165</t>
  </si>
  <si>
    <t>Liberty Industries 165</t>
  </si>
  <si>
    <t>SEC00166</t>
  </si>
  <si>
    <t>Orion Holdings 166</t>
  </si>
  <si>
    <t>SEC00167</t>
  </si>
  <si>
    <t>Sterling Technology 167</t>
  </si>
  <si>
    <t>SEC00168</t>
  </si>
  <si>
    <t>Delta Fund 168</t>
  </si>
  <si>
    <t>SEC00169</t>
  </si>
  <si>
    <t>Atlas Partners 169</t>
  </si>
  <si>
    <t>SEC00170</t>
  </si>
  <si>
    <t>Cedar Energy 170</t>
  </si>
  <si>
    <t>SEC00171</t>
  </si>
  <si>
    <t>Orion Technology 171</t>
  </si>
  <si>
    <t>SEC00172</t>
  </si>
  <si>
    <t>Liberty Technology 172</t>
  </si>
  <si>
    <t>SEC00173</t>
  </si>
  <si>
    <t>Sterling Technology 173</t>
  </si>
  <si>
    <t>SEC00174</t>
  </si>
  <si>
    <t>Sterling Partners 174</t>
  </si>
  <si>
    <t>SEC00175</t>
  </si>
  <si>
    <t>Delta Markets 175</t>
  </si>
  <si>
    <t>SEC00176</t>
  </si>
  <si>
    <t>Liberty Group 176</t>
  </si>
  <si>
    <t>SEC00177</t>
  </si>
  <si>
    <t>Cedar Technology 177</t>
  </si>
  <si>
    <t>SEC00178</t>
  </si>
  <si>
    <t>Pioneer Markets 178</t>
  </si>
  <si>
    <t>SEC00179</t>
  </si>
  <si>
    <t>Nova Energy 179</t>
  </si>
  <si>
    <t>SEC00180</t>
  </si>
  <si>
    <t>Pioneer Financial 180</t>
  </si>
  <si>
    <t>SEC00181</t>
  </si>
  <si>
    <t>Pioneer Fund 181</t>
  </si>
  <si>
    <t>SEC00182</t>
  </si>
  <si>
    <t>Orion Partners 182</t>
  </si>
  <si>
    <t>SEC00183</t>
  </si>
  <si>
    <t>Alpha Fund 183</t>
  </si>
  <si>
    <t>SEC00184</t>
  </si>
  <si>
    <t>Nova Group 184</t>
  </si>
  <si>
    <t>SEC00185</t>
  </si>
  <si>
    <t>Sterling Capital 185</t>
  </si>
  <si>
    <t>SEC00186</t>
  </si>
  <si>
    <t>Sterling Technology 186</t>
  </si>
  <si>
    <t>SEC00187</t>
  </si>
  <si>
    <t>Pioneer Energy 187</t>
  </si>
  <si>
    <t>SEC00188</t>
  </si>
  <si>
    <t>Pioneer Financial 188</t>
  </si>
  <si>
    <t>SEC00189</t>
  </si>
  <si>
    <t>Nova Fund 189</t>
  </si>
  <si>
    <t>SEC00190</t>
  </si>
  <si>
    <t>Atlas Industries 190</t>
  </si>
  <si>
    <t>SEC00191</t>
  </si>
  <si>
    <t>Alpha Holdings 191</t>
  </si>
  <si>
    <t>SEC00192</t>
  </si>
  <si>
    <t>Nova Industries 192</t>
  </si>
  <si>
    <t>SEC00193</t>
  </si>
  <si>
    <t>Orion Industries 193</t>
  </si>
  <si>
    <t>SEC00194</t>
  </si>
  <si>
    <t>Liberty Holdings 194</t>
  </si>
  <si>
    <t>SEC00195</t>
  </si>
  <si>
    <t>Delta Fund 195</t>
  </si>
  <si>
    <t>SEC00196</t>
  </si>
  <si>
    <t>Orion Holdings 196</t>
  </si>
  <si>
    <t>SEC00197</t>
  </si>
  <si>
    <t>Vertex Markets 197</t>
  </si>
  <si>
    <t>SEC00198</t>
  </si>
  <si>
    <t>Cedar Group 198</t>
  </si>
  <si>
    <t>SEC00199</t>
  </si>
  <si>
    <t>Atlas Markets 199</t>
  </si>
  <si>
    <t>SEC00200</t>
  </si>
  <si>
    <t>Orion Financial 200</t>
  </si>
  <si>
    <t>SEC00201</t>
  </si>
  <si>
    <t>Orion Group 201</t>
  </si>
  <si>
    <t>SEC00202</t>
  </si>
  <si>
    <t>Delta Technology 202</t>
  </si>
  <si>
    <t>SEC00203</t>
  </si>
  <si>
    <t>Pioneer Financial 203</t>
  </si>
  <si>
    <t>SEC00204</t>
  </si>
  <si>
    <t>Delta Markets 204</t>
  </si>
  <si>
    <t>SEC00205</t>
  </si>
  <si>
    <t>Liberty Financial 205</t>
  </si>
  <si>
    <t>SEC00206</t>
  </si>
  <si>
    <t>Atlas Fund 206</t>
  </si>
  <si>
    <t>SEC00207</t>
  </si>
  <si>
    <t>Cedar Energy 207</t>
  </si>
  <si>
    <t>SEC00208</t>
  </si>
  <si>
    <t>Delta Fund 208</t>
  </si>
  <si>
    <t>SEC00209</t>
  </si>
  <si>
    <t>Atlas Technology 209</t>
  </si>
  <si>
    <t>SEC00210</t>
  </si>
  <si>
    <t>Alpha Group 210</t>
  </si>
  <si>
    <t>SEC00211</t>
  </si>
  <si>
    <t>Orion Energy 211</t>
  </si>
  <si>
    <t>SEC00212</t>
  </si>
  <si>
    <t>Pioneer Industries 212</t>
  </si>
  <si>
    <t>SEC00213</t>
  </si>
  <si>
    <t>Vertex Holdings 213</t>
  </si>
  <si>
    <t>SEC00214</t>
  </si>
  <si>
    <t>Summit Holdings 214</t>
  </si>
  <si>
    <t>SEC00215</t>
  </si>
  <si>
    <t>Delta Partners 215</t>
  </si>
  <si>
    <t>SEC00216</t>
  </si>
  <si>
    <t>Atlas Partners 216</t>
  </si>
  <si>
    <t>SEC00217</t>
  </si>
  <si>
    <t>Pioneer Holdings 217</t>
  </si>
  <si>
    <t>SEC00218</t>
  </si>
  <si>
    <t>Vertex Energy 218</t>
  </si>
  <si>
    <t>SEC00219</t>
  </si>
  <si>
    <t>Nova Markets 219</t>
  </si>
  <si>
    <t>SEC00220</t>
  </si>
  <si>
    <t>Harbor Holdings 220</t>
  </si>
  <si>
    <t>SEC00221</t>
  </si>
  <si>
    <t>Orion Energy 221</t>
  </si>
  <si>
    <t>SEC00222</t>
  </si>
  <si>
    <t>Cedar Capital 222</t>
  </si>
  <si>
    <t>SEC00223</t>
  </si>
  <si>
    <t>Nova Technology 223</t>
  </si>
  <si>
    <t>SEC00224</t>
  </si>
  <si>
    <t>Orion Energy 224</t>
  </si>
  <si>
    <t>SEC00225</t>
  </si>
  <si>
    <t>Atlas Holdings 225</t>
  </si>
  <si>
    <t>SEC00226</t>
  </si>
  <si>
    <t>Sterling Financial 226</t>
  </si>
  <si>
    <t>SEC00227</t>
  </si>
  <si>
    <t>Liberty Capital 227</t>
  </si>
  <si>
    <t>SEC00228</t>
  </si>
  <si>
    <t>Delta Fund 228</t>
  </si>
  <si>
    <t>SEC00229</t>
  </si>
  <si>
    <t>Nova Group 229</t>
  </si>
  <si>
    <t>SEC00230</t>
  </si>
  <si>
    <t>Vertex Technology 230</t>
  </si>
  <si>
    <t>SEC00231</t>
  </si>
  <si>
    <t>Orion Capital 231</t>
  </si>
  <si>
    <t>SEC00232</t>
  </si>
  <si>
    <t>Harbor Partners 232</t>
  </si>
  <si>
    <t>SEC00233</t>
  </si>
  <si>
    <t>Pioneer Capital 233</t>
  </si>
  <si>
    <t>SEC00234</t>
  </si>
  <si>
    <t>Vertex Energy 234</t>
  </si>
  <si>
    <t>SEC00235</t>
  </si>
  <si>
    <t>Delta Holdings 235</t>
  </si>
  <si>
    <t>SEC00236</t>
  </si>
  <si>
    <t>Pioneer Partners 236</t>
  </si>
  <si>
    <t>SEC00237</t>
  </si>
  <si>
    <t>Sterling Group 237</t>
  </si>
  <si>
    <t>SEC00238</t>
  </si>
  <si>
    <t>Liberty Financial 238</t>
  </si>
  <si>
    <t>SEC00239</t>
  </si>
  <si>
    <t>Harbor Partners 239</t>
  </si>
  <si>
    <t>SEC00240</t>
  </si>
  <si>
    <t>Delta Holdings 240</t>
  </si>
  <si>
    <t>SEC00241</t>
  </si>
  <si>
    <t>Harbor Partners 241</t>
  </si>
  <si>
    <t>SEC00242</t>
  </si>
  <si>
    <t>Orion Fund 242</t>
  </si>
  <si>
    <t>SEC00243</t>
  </si>
  <si>
    <t>Atlas Energy 243</t>
  </si>
  <si>
    <t>SEC00244</t>
  </si>
  <si>
    <t>Cedar Holdings 244</t>
  </si>
  <si>
    <t>SEC00245</t>
  </si>
  <si>
    <t>Sterling Industries 245</t>
  </si>
  <si>
    <t>SEC00246</t>
  </si>
  <si>
    <t>Cedar Technology 246</t>
  </si>
  <si>
    <t>SEC00247</t>
  </si>
  <si>
    <t>Atlas Financial 247</t>
  </si>
  <si>
    <t>SEC00248</t>
  </si>
  <si>
    <t>Pioneer Energy 248</t>
  </si>
  <si>
    <t>SEC00249</t>
  </si>
  <si>
    <t>Sterling Holdings 249</t>
  </si>
  <si>
    <t>SEC00250</t>
  </si>
  <si>
    <t>Vertex Financial 250</t>
  </si>
  <si>
    <t>SEC00251</t>
  </si>
  <si>
    <t>Harbor Capital 251</t>
  </si>
  <si>
    <t>SEC00252</t>
  </si>
  <si>
    <t>Delta Fund 252</t>
  </si>
  <si>
    <t>SEC00253</t>
  </si>
  <si>
    <t>Sterling Group 253</t>
  </si>
  <si>
    <t>SEC00254</t>
  </si>
  <si>
    <t>Alpha Holdings 254</t>
  </si>
  <si>
    <t>SEC00255</t>
  </si>
  <si>
    <t>Pioneer Financial 255</t>
  </si>
  <si>
    <t>SEC00256</t>
  </si>
  <si>
    <t>Harbor Fund 256</t>
  </si>
  <si>
    <t>SEC00257</t>
  </si>
  <si>
    <t>Sterling Markets 257</t>
  </si>
  <si>
    <t>SEC00258</t>
  </si>
  <si>
    <t>Sterling Technology 258</t>
  </si>
  <si>
    <t>SEC00259</t>
  </si>
  <si>
    <t>Atlas Financial 259</t>
  </si>
  <si>
    <t>SEC00260</t>
  </si>
  <si>
    <t>Liberty Holdings 260</t>
  </si>
  <si>
    <t>SEC00261</t>
  </si>
  <si>
    <t>Atlas Holdings 261</t>
  </si>
  <si>
    <t>SEC00262</t>
  </si>
  <si>
    <t>Sterling Financial 262</t>
  </si>
  <si>
    <t>SEC00263</t>
  </si>
  <si>
    <t>Cedar Group 263</t>
  </si>
  <si>
    <t>SEC00264</t>
  </si>
  <si>
    <t>Nova Fund 264</t>
  </si>
  <si>
    <t>SEC00265</t>
  </si>
  <si>
    <t>Sterling Partners 265</t>
  </si>
  <si>
    <t>SEC00266</t>
  </si>
  <si>
    <t>Harbor Markets 266</t>
  </si>
  <si>
    <t>SEC00267</t>
  </si>
  <si>
    <t>Sterling Industries 267</t>
  </si>
  <si>
    <t>SEC00268</t>
  </si>
  <si>
    <t>Cedar Holdings 268</t>
  </si>
  <si>
    <t>SEC00269</t>
  </si>
  <si>
    <t>Vertex Holdings 269</t>
  </si>
  <si>
    <t>SEC00270</t>
  </si>
  <si>
    <t>Alpha Technology 270</t>
  </si>
  <si>
    <t>SEC00271</t>
  </si>
  <si>
    <t>Vertex Partners 271</t>
  </si>
  <si>
    <t>SEC00272</t>
  </si>
  <si>
    <t>Nova Industries 272</t>
  </si>
  <si>
    <t>SEC00273</t>
  </si>
  <si>
    <t>Harbor Markets 273</t>
  </si>
  <si>
    <t>SEC00274</t>
  </si>
  <si>
    <t>Sterling Energy 274</t>
  </si>
  <si>
    <t>SEC00275</t>
  </si>
  <si>
    <t>Harbor Partners 275</t>
  </si>
  <si>
    <t>SEC00276</t>
  </si>
  <si>
    <t>Vertex Fund 276</t>
  </si>
  <si>
    <t>SEC00277</t>
  </si>
  <si>
    <t>Delta Technology 277</t>
  </si>
  <si>
    <t>SEC00278</t>
  </si>
  <si>
    <t>Orion Holdings 278</t>
  </si>
  <si>
    <t>SEC00279</t>
  </si>
  <si>
    <t>Sterling Partners 279</t>
  </si>
  <si>
    <t>SEC00280</t>
  </si>
  <si>
    <t>Sterling Holdings 280</t>
  </si>
  <si>
    <t>SEC00281</t>
  </si>
  <si>
    <t>Alpha Markets 281</t>
  </si>
  <si>
    <t>SEC00282</t>
  </si>
  <si>
    <t>Sterling Markets 282</t>
  </si>
  <si>
    <t>SEC00283</t>
  </si>
  <si>
    <t>Vertex Capital 283</t>
  </si>
  <si>
    <t>SEC00284</t>
  </si>
  <si>
    <t>Pioneer Energy 284</t>
  </si>
  <si>
    <t>SEC00285</t>
  </si>
  <si>
    <t>Atlas Industries 285</t>
  </si>
  <si>
    <t>SEC00286</t>
  </si>
  <si>
    <t>Delta Financial 286</t>
  </si>
  <si>
    <t>SEC00287</t>
  </si>
  <si>
    <t>Vertex Markets 287</t>
  </si>
  <si>
    <t>SEC00288</t>
  </si>
  <si>
    <t>Delta Partners 288</t>
  </si>
  <si>
    <t>SEC00289</t>
  </si>
  <si>
    <t>Pioneer Group 289</t>
  </si>
  <si>
    <t>SEC00290</t>
  </si>
  <si>
    <t>Vertex Financial 290</t>
  </si>
  <si>
    <t>SEC00291</t>
  </si>
  <si>
    <t>Atlas Energy 291</t>
  </si>
  <si>
    <t>SEC00292</t>
  </si>
  <si>
    <t>Orion Group 292</t>
  </si>
  <si>
    <t>SEC00293</t>
  </si>
  <si>
    <t>Sterling Markets 293</t>
  </si>
  <si>
    <t>SEC00294</t>
  </si>
  <si>
    <t>Delta Fund 294</t>
  </si>
  <si>
    <t>SEC00295</t>
  </si>
  <si>
    <t>Atlas Fund 295</t>
  </si>
  <si>
    <t>SEC00296</t>
  </si>
  <si>
    <t>Harbor Partners 296</t>
  </si>
  <si>
    <t>SEC00297</t>
  </si>
  <si>
    <t>Atlas Holdings 297</t>
  </si>
  <si>
    <t>SEC00298</t>
  </si>
  <si>
    <t>Pioneer Group 298</t>
  </si>
  <si>
    <t>SEC00299</t>
  </si>
  <si>
    <t>Orion Industries 299</t>
  </si>
  <si>
    <t>SEC00300</t>
  </si>
  <si>
    <t>Atlas Markets 300</t>
  </si>
  <si>
    <t>SEC00301</t>
  </si>
  <si>
    <t>Vertex Technology 301</t>
  </si>
  <si>
    <t>SEC00302</t>
  </si>
  <si>
    <t>Summit Group 302</t>
  </si>
  <si>
    <t>SEC00303</t>
  </si>
  <si>
    <t>Pioneer Holdings 303</t>
  </si>
  <si>
    <t>SEC00304</t>
  </si>
  <si>
    <t>Nova Capital 304</t>
  </si>
  <si>
    <t>SEC00305</t>
  </si>
  <si>
    <t>Atlas Energy 305</t>
  </si>
  <si>
    <t>SEC00306</t>
  </si>
  <si>
    <t>Orion Markets 306</t>
  </si>
  <si>
    <t>SEC00307</t>
  </si>
  <si>
    <t>Harbor Holdings 307</t>
  </si>
  <si>
    <t>SEC00308</t>
  </si>
  <si>
    <t>Orion Technology 308</t>
  </si>
  <si>
    <t>SEC00309</t>
  </si>
  <si>
    <t>Delta Group 309</t>
  </si>
  <si>
    <t>SEC00310</t>
  </si>
  <si>
    <t>Vertex Holdings 310</t>
  </si>
  <si>
    <t>SEC00311</t>
  </si>
  <si>
    <t>Harbor Industries 311</t>
  </si>
  <si>
    <t>SEC00312</t>
  </si>
  <si>
    <t>Alpha Holdings 312</t>
  </si>
  <si>
    <t>SEC00313</t>
  </si>
  <si>
    <t>Delta Technology 313</t>
  </si>
  <si>
    <t>SEC00314</t>
  </si>
  <si>
    <t>Cedar Group 314</t>
  </si>
  <si>
    <t>SEC00315</t>
  </si>
  <si>
    <t>Vertex Partners 315</t>
  </si>
  <si>
    <t>SEC00316</t>
  </si>
  <si>
    <t>Summit Energy 316</t>
  </si>
  <si>
    <t>SEC00317</t>
  </si>
  <si>
    <t>Liberty Fund 317</t>
  </si>
  <si>
    <t>SEC00318</t>
  </si>
  <si>
    <t>Atlas Group 318</t>
  </si>
  <si>
    <t>SEC00319</t>
  </si>
  <si>
    <t>Nova Holdings 319</t>
  </si>
  <si>
    <t>SEC00320</t>
  </si>
  <si>
    <t>Cedar Markets 320</t>
  </si>
  <si>
    <t>SEC00321</t>
  </si>
  <si>
    <t>Nova Holdings 321</t>
  </si>
  <si>
    <t>SEC00322</t>
  </si>
  <si>
    <t>Harbor Fund 322</t>
  </si>
  <si>
    <t>SEC00323</t>
  </si>
  <si>
    <t>Nova Financial 323</t>
  </si>
  <si>
    <t>SEC00324</t>
  </si>
  <si>
    <t>Harbor Group 324</t>
  </si>
  <si>
    <t>SEC00325</t>
  </si>
  <si>
    <t>Delta Markets 325</t>
  </si>
  <si>
    <t>SEC00326</t>
  </si>
  <si>
    <t>Pioneer Partners 326</t>
  </si>
  <si>
    <t>SEC00327</t>
  </si>
  <si>
    <t>Pioneer Group 327</t>
  </si>
  <si>
    <t>SEC00328</t>
  </si>
  <si>
    <t>Pioneer Industries 328</t>
  </si>
  <si>
    <t>SEC00329</t>
  </si>
  <si>
    <t>Liberty Capital 329</t>
  </si>
  <si>
    <t>SEC00330</t>
  </si>
  <si>
    <t>Summit Group 330</t>
  </si>
  <si>
    <t>SEC00331</t>
  </si>
  <si>
    <t>Pioneer Partners 331</t>
  </si>
  <si>
    <t>SEC00332</t>
  </si>
  <si>
    <t>Orion Industries 332</t>
  </si>
  <si>
    <t>SEC00333</t>
  </si>
  <si>
    <t>Pioneer Fund 333</t>
  </si>
  <si>
    <t>SEC00334</t>
  </si>
  <si>
    <t>Nova Fund 334</t>
  </si>
  <si>
    <t>SEC00335</t>
  </si>
  <si>
    <t>Orion Markets 335</t>
  </si>
  <si>
    <t>SEC00336</t>
  </si>
  <si>
    <t>Nova Industries 336</t>
  </si>
  <si>
    <t>SEC00337</t>
  </si>
  <si>
    <t>Liberty Capital 337</t>
  </si>
  <si>
    <t>SEC00338</t>
  </si>
  <si>
    <t>Alpha Partners 338</t>
  </si>
  <si>
    <t>SEC00339</t>
  </si>
  <si>
    <t>Harbor Industries 339</t>
  </si>
  <si>
    <t>SEC00340</t>
  </si>
  <si>
    <t>Atlas Industries 340</t>
  </si>
  <si>
    <t>SEC00341</t>
  </si>
  <si>
    <t>Harbor Markets 341</t>
  </si>
  <si>
    <t>SEC00342</t>
  </si>
  <si>
    <t>Summit Holdings 342</t>
  </si>
  <si>
    <t>SEC00343</t>
  </si>
  <si>
    <t>Pioneer Energy 343</t>
  </si>
  <si>
    <t>SEC00344</t>
  </si>
  <si>
    <t>Nova Fund 344</t>
  </si>
  <si>
    <t>SEC00345</t>
  </si>
  <si>
    <t>Cedar Technology 345</t>
  </si>
  <si>
    <t>SEC00346</t>
  </si>
  <si>
    <t>Nova Energy 346</t>
  </si>
  <si>
    <t>SEC00347</t>
  </si>
  <si>
    <t>Atlas Capital 347</t>
  </si>
  <si>
    <t>SEC00348</t>
  </si>
  <si>
    <t>Delta Markets 348</t>
  </si>
  <si>
    <t>SEC00349</t>
  </si>
  <si>
    <t>Atlas Partners 349</t>
  </si>
  <si>
    <t>SEC00350</t>
  </si>
  <si>
    <t>Liberty Capital 350</t>
  </si>
  <si>
    <t>SEC00351</t>
  </si>
  <si>
    <t>Vertex Financial 351</t>
  </si>
  <si>
    <t>SEC00352</t>
  </si>
  <si>
    <t>Harbor Financial 352</t>
  </si>
  <si>
    <t>SEC00353</t>
  </si>
  <si>
    <t>Cedar Markets 353</t>
  </si>
  <si>
    <t>SEC00354</t>
  </si>
  <si>
    <t>Summit Energy 354</t>
  </si>
  <si>
    <t>SEC00355</t>
  </si>
  <si>
    <t>Alpha Markets 355</t>
  </si>
  <si>
    <t>SEC00356</t>
  </si>
  <si>
    <t>Nova Technology 356</t>
  </si>
  <si>
    <t>SEC00357</t>
  </si>
  <si>
    <t>Cedar Industries 357</t>
  </si>
  <si>
    <t>SEC00358</t>
  </si>
  <si>
    <t>Cedar Technology 358</t>
  </si>
  <si>
    <t>SEC00359</t>
  </si>
  <si>
    <t>Harbor Group 359</t>
  </si>
  <si>
    <t>SEC00360</t>
  </si>
  <si>
    <t>Nova Industries 360</t>
  </si>
  <si>
    <t>SEC00361</t>
  </si>
  <si>
    <t>Pioneer Energy 361</t>
  </si>
  <si>
    <t>SEC00362</t>
  </si>
  <si>
    <t>Liberty Holdings 362</t>
  </si>
  <si>
    <t>SEC00363</t>
  </si>
  <si>
    <t>Pioneer Technology 363</t>
  </si>
  <si>
    <t>SEC00364</t>
  </si>
  <si>
    <t>Orion Industries 364</t>
  </si>
  <si>
    <t>SEC00365</t>
  </si>
  <si>
    <t>Atlas Industries 365</t>
  </si>
  <si>
    <t>SEC00366</t>
  </si>
  <si>
    <t>Alpha Industries 366</t>
  </si>
  <si>
    <t>SEC00367</t>
  </si>
  <si>
    <t>Nova Capital 367</t>
  </si>
  <si>
    <t>SEC00368</t>
  </si>
  <si>
    <t>Pioneer Fund 368</t>
  </si>
  <si>
    <t>SEC00369</t>
  </si>
  <si>
    <t>Alpha Partners 369</t>
  </si>
  <si>
    <t>SEC00370</t>
  </si>
  <si>
    <t>Pioneer Partners 370</t>
  </si>
  <si>
    <t>SEC00371</t>
  </si>
  <si>
    <t>Summit Energy 371</t>
  </si>
  <si>
    <t>SEC00372</t>
  </si>
  <si>
    <t>Atlas Financial 372</t>
  </si>
  <si>
    <t>SEC00373</t>
  </si>
  <si>
    <t>Alpha Capital 373</t>
  </si>
  <si>
    <t>SEC00374</t>
  </si>
  <si>
    <t>Liberty Financial 374</t>
  </si>
  <si>
    <t>SEC00375</t>
  </si>
  <si>
    <t>Atlas Fund 375</t>
  </si>
  <si>
    <t>SEC00376</t>
  </si>
  <si>
    <t>Summit Partners 376</t>
  </si>
  <si>
    <t>SEC00377</t>
  </si>
  <si>
    <t>Cedar Markets 377</t>
  </si>
  <si>
    <t>SEC00378</t>
  </si>
  <si>
    <t>Atlas Fund 378</t>
  </si>
  <si>
    <t>SEC00379</t>
  </si>
  <si>
    <t>Atlas Fund 379</t>
  </si>
  <si>
    <t>SEC00380</t>
  </si>
  <si>
    <t>Vertex Capital 380</t>
  </si>
  <si>
    <t>SEC00381</t>
  </si>
  <si>
    <t>Sterling Group 381</t>
  </si>
  <si>
    <t>SEC00382</t>
  </si>
  <si>
    <t>Vertex Energy 382</t>
  </si>
  <si>
    <t>SEC00383</t>
  </si>
  <si>
    <t>Sterling Holdings 383</t>
  </si>
  <si>
    <t>SEC00384</t>
  </si>
  <si>
    <t>Sterling Markets 384</t>
  </si>
  <si>
    <t>SEC00385</t>
  </si>
  <si>
    <t>Delta Industries 385</t>
  </si>
  <si>
    <t>SEC00386</t>
  </si>
  <si>
    <t>Pioneer Fund 386</t>
  </si>
  <si>
    <t>SEC00387</t>
  </si>
  <si>
    <t>Cedar Partners 387</t>
  </si>
  <si>
    <t>SEC00388</t>
  </si>
  <si>
    <t>Delta Industries 388</t>
  </si>
  <si>
    <t>SEC00389</t>
  </si>
  <si>
    <t>Orion Partners 389</t>
  </si>
  <si>
    <t>SEC00390</t>
  </si>
  <si>
    <t>Pioneer Markets 390</t>
  </si>
  <si>
    <t>SEC00391</t>
  </si>
  <si>
    <t>Harbor Holdings 391</t>
  </si>
  <si>
    <t>SEC00392</t>
  </si>
  <si>
    <t>Alpha Group 392</t>
  </si>
  <si>
    <t>SEC00393</t>
  </si>
  <si>
    <t>Nova Financial 393</t>
  </si>
  <si>
    <t>SEC00394</t>
  </si>
  <si>
    <t>Liberty Partners 394</t>
  </si>
  <si>
    <t>SEC00395</t>
  </si>
  <si>
    <t>Summit Technology 395</t>
  </si>
  <si>
    <t>SEC00396</t>
  </si>
  <si>
    <t>Summit Fund 396</t>
  </si>
  <si>
    <t>SEC00397</t>
  </si>
  <si>
    <t>Vertex Holdings 397</t>
  </si>
  <si>
    <t>SEC00398</t>
  </si>
  <si>
    <t>Harbor Financial 398</t>
  </si>
  <si>
    <t>SEC00399</t>
  </si>
  <si>
    <t>Harbor Financial 399</t>
  </si>
  <si>
    <t>SEC00400</t>
  </si>
  <si>
    <t>Vertex Holdings 400</t>
  </si>
  <si>
    <t>SEC00401</t>
  </si>
  <si>
    <t>Liberty Energy 401</t>
  </si>
  <si>
    <t>SEC00402</t>
  </si>
  <si>
    <t>Nova Markets 402</t>
  </si>
  <si>
    <t>SEC00403</t>
  </si>
  <si>
    <t>Sterling Financial 403</t>
  </si>
  <si>
    <t>SEC00404</t>
  </si>
  <si>
    <t>Nova Energy 404</t>
  </si>
  <si>
    <t>SEC00405</t>
  </si>
  <si>
    <t>Alpha Partners 405</t>
  </si>
  <si>
    <t>SEC00406</t>
  </si>
  <si>
    <t>Nova Capital 406</t>
  </si>
  <si>
    <t>SEC00407</t>
  </si>
  <si>
    <t>Orion Financial 407</t>
  </si>
  <si>
    <t>SEC00408</t>
  </si>
  <si>
    <t>Orion Industries 408</t>
  </si>
  <si>
    <t>SEC00409</t>
  </si>
  <si>
    <t>Nova Holdings 409</t>
  </si>
  <si>
    <t>SEC00410</t>
  </si>
  <si>
    <t>Alpha Technology 410</t>
  </si>
  <si>
    <t>SEC00411</t>
  </si>
  <si>
    <t>Atlas Capital 411</t>
  </si>
  <si>
    <t>SEC00412</t>
  </si>
  <si>
    <t>Sterling Fund 412</t>
  </si>
  <si>
    <t>SEC00413</t>
  </si>
  <si>
    <t>Alpha Holdings 413</t>
  </si>
  <si>
    <t>SEC00414</t>
  </si>
  <si>
    <t>Orion Holdings 414</t>
  </si>
  <si>
    <t>SEC00415</t>
  </si>
  <si>
    <t>Nova Partners 415</t>
  </si>
  <si>
    <t>SEC00416</t>
  </si>
  <si>
    <t>Sterling Partners 416</t>
  </si>
  <si>
    <t>SEC00417</t>
  </si>
  <si>
    <t>Pioneer Group 417</t>
  </si>
  <si>
    <t>SEC00418</t>
  </si>
  <si>
    <t>Cedar Fund 418</t>
  </si>
  <si>
    <t>SEC00419</t>
  </si>
  <si>
    <t>Summit Energy 419</t>
  </si>
  <si>
    <t>SEC00420</t>
  </si>
  <si>
    <t>Delta Capital 420</t>
  </si>
  <si>
    <t>SEC00421</t>
  </si>
  <si>
    <t>Pioneer Holdings 421</t>
  </si>
  <si>
    <t>SEC00422</t>
  </si>
  <si>
    <t>Sterling Energy 422</t>
  </si>
  <si>
    <t>SEC00423</t>
  </si>
  <si>
    <t>Harbor Fund 423</t>
  </si>
  <si>
    <t>SEC00424</t>
  </si>
  <si>
    <t>Pioneer Technology 424</t>
  </si>
  <si>
    <t>SEC00425</t>
  </si>
  <si>
    <t>Vertex Fund 425</t>
  </si>
  <si>
    <t>SEC00426</t>
  </si>
  <si>
    <t>Harbor Holdings 426</t>
  </si>
  <si>
    <t>SEC00427</t>
  </si>
  <si>
    <t>Vertex Holdings 427</t>
  </si>
  <si>
    <t>SEC00428</t>
  </si>
  <si>
    <t>Nova Technology 428</t>
  </si>
  <si>
    <t>SEC00429</t>
  </si>
  <si>
    <t>Harbor Markets 429</t>
  </si>
  <si>
    <t>SEC00430</t>
  </si>
  <si>
    <t>Harbor Holdings 430</t>
  </si>
  <si>
    <t>SEC00431</t>
  </si>
  <si>
    <t>Liberty Group 431</t>
  </si>
  <si>
    <t>SEC00432</t>
  </si>
  <si>
    <t>Vertex Markets 432</t>
  </si>
  <si>
    <t>SEC00433</t>
  </si>
  <si>
    <t>Summit Capital 433</t>
  </si>
  <si>
    <t>SEC00434</t>
  </si>
  <si>
    <t>Cedar Fund 434</t>
  </si>
  <si>
    <t>SEC00435</t>
  </si>
  <si>
    <t>Sterling Markets 435</t>
  </si>
  <si>
    <t>SEC00436</t>
  </si>
  <si>
    <t>Summit Fund 436</t>
  </si>
  <si>
    <t>SEC00437</t>
  </si>
  <si>
    <t>Atlas Partners 437</t>
  </si>
  <si>
    <t>SEC00438</t>
  </si>
  <si>
    <t>Alpha Technology 438</t>
  </si>
  <si>
    <t>SEC00439</t>
  </si>
  <si>
    <t>Harbor Industries 439</t>
  </si>
  <si>
    <t>SEC00440</t>
  </si>
  <si>
    <t>Orion Energy 440</t>
  </si>
  <si>
    <t>SEC00441</t>
  </si>
  <si>
    <t>Harbor Markets 441</t>
  </si>
  <si>
    <t>SEC00442</t>
  </si>
  <si>
    <t>Liberty Fund 442</t>
  </si>
  <si>
    <t>SEC00443</t>
  </si>
  <si>
    <t>Pioneer Markets 443</t>
  </si>
  <si>
    <t>SEC00444</t>
  </si>
  <si>
    <t>Cedar Financial 444</t>
  </si>
  <si>
    <t>SEC00445</t>
  </si>
  <si>
    <t>Sterling Financial 445</t>
  </si>
  <si>
    <t>SEC00446</t>
  </si>
  <si>
    <t>Summit Fund 446</t>
  </si>
  <si>
    <t>SEC00447</t>
  </si>
  <si>
    <t>Summit Energy 447</t>
  </si>
  <si>
    <t>SEC00448</t>
  </si>
  <si>
    <t>Atlas Financial 448</t>
  </si>
  <si>
    <t>SEC00449</t>
  </si>
  <si>
    <t>Nova Markets 449</t>
  </si>
  <si>
    <t>SEC00450</t>
  </si>
  <si>
    <t>Orion Industries 450</t>
  </si>
  <si>
    <t>SEC00451</t>
  </si>
  <si>
    <t>Orion Group 451</t>
  </si>
  <si>
    <t>SEC00452</t>
  </si>
  <si>
    <t>Alpha Group 452</t>
  </si>
  <si>
    <t>SEC00453</t>
  </si>
  <si>
    <t>Delta Industries 453</t>
  </si>
  <si>
    <t>SEC00454</t>
  </si>
  <si>
    <t>Orion Partners 454</t>
  </si>
  <si>
    <t>SEC00455</t>
  </si>
  <si>
    <t>Sterling Capital 455</t>
  </si>
  <si>
    <t>SEC00456</t>
  </si>
  <si>
    <t>Vertex Holdings 456</t>
  </si>
  <si>
    <t>SEC00457</t>
  </si>
  <si>
    <t>Orion Fund 457</t>
  </si>
  <si>
    <t>SEC00458</t>
  </si>
  <si>
    <t>Liberty Industries 458</t>
  </si>
  <si>
    <t>SEC00459</t>
  </si>
  <si>
    <t>Sterling Technology 459</t>
  </si>
  <si>
    <t>SEC00460</t>
  </si>
  <si>
    <t>Liberty Holdings 460</t>
  </si>
  <si>
    <t>SEC00461</t>
  </si>
  <si>
    <t>Pioneer Group 461</t>
  </si>
  <si>
    <t>SEC00462</t>
  </si>
  <si>
    <t>Alpha Holdings 462</t>
  </si>
  <si>
    <t>SEC00463</t>
  </si>
  <si>
    <t>Sterling Markets 463</t>
  </si>
  <si>
    <t>SEC00464</t>
  </si>
  <si>
    <t>Harbor Holdings 464</t>
  </si>
  <si>
    <t>SEC00465</t>
  </si>
  <si>
    <t>Delta Group 465</t>
  </si>
  <si>
    <t>SEC00466</t>
  </si>
  <si>
    <t>Liberty Fund 466</t>
  </si>
  <si>
    <t>SEC00467</t>
  </si>
  <si>
    <t>Summit Energy 467</t>
  </si>
  <si>
    <t>SEC00468</t>
  </si>
  <si>
    <t>Orion Partners 468</t>
  </si>
  <si>
    <t>SEC00469</t>
  </si>
  <si>
    <t>Atlas Group 469</t>
  </si>
  <si>
    <t>SEC00470</t>
  </si>
  <si>
    <t>Sterling Markets 470</t>
  </si>
  <si>
    <t>SEC00471</t>
  </si>
  <si>
    <t>Cedar Energy 471</t>
  </si>
  <si>
    <t>SEC00472</t>
  </si>
  <si>
    <t>Delta Financial 472</t>
  </si>
  <si>
    <t>SEC00473</t>
  </si>
  <si>
    <t>Alpha Fund 473</t>
  </si>
  <si>
    <t>SEC00474</t>
  </si>
  <si>
    <t>Liberty Industries 474</t>
  </si>
  <si>
    <t>SEC00475</t>
  </si>
  <si>
    <t>Atlas Energy 475</t>
  </si>
  <si>
    <t>SEC00476</t>
  </si>
  <si>
    <t>Vertex Energy 476</t>
  </si>
  <si>
    <t>SEC00477</t>
  </si>
  <si>
    <t>Harbor Holdings 477</t>
  </si>
  <si>
    <t>SEC00478</t>
  </si>
  <si>
    <t>Delta Fund 478</t>
  </si>
  <si>
    <t>SEC00479</t>
  </si>
  <si>
    <t>Sterling Technology 479</t>
  </si>
  <si>
    <t>SEC00480</t>
  </si>
  <si>
    <t>Liberty Financial 480</t>
  </si>
  <si>
    <t>SEC00481</t>
  </si>
  <si>
    <t>Delta Financial 481</t>
  </si>
  <si>
    <t>SEC00482</t>
  </si>
  <si>
    <t>Liberty Industries 482</t>
  </si>
  <si>
    <t>SEC00483</t>
  </si>
  <si>
    <t>Alpha Markets 483</t>
  </si>
  <si>
    <t>SEC00484</t>
  </si>
  <si>
    <t>Nova Partners 484</t>
  </si>
  <si>
    <t>SEC00485</t>
  </si>
  <si>
    <t>Pioneer Technology 485</t>
  </si>
  <si>
    <t>SEC00486</t>
  </si>
  <si>
    <t>Pioneer Group 486</t>
  </si>
  <si>
    <t>SEC00487</t>
  </si>
  <si>
    <t>Vertex Holdings 487</t>
  </si>
  <si>
    <t>SEC00488</t>
  </si>
  <si>
    <t>Summit Technology 488</t>
  </si>
  <si>
    <t>SEC00489</t>
  </si>
  <si>
    <t>Summit Capital 489</t>
  </si>
  <si>
    <t>SEC00490</t>
  </si>
  <si>
    <t>Cedar Industries 490</t>
  </si>
  <si>
    <t>SEC00491</t>
  </si>
  <si>
    <t>Nova Fund 491</t>
  </si>
  <si>
    <t>SEC00492</t>
  </si>
  <si>
    <t>Delta Financial 492</t>
  </si>
  <si>
    <t>SEC00493</t>
  </si>
  <si>
    <t>Delta Fund 493</t>
  </si>
  <si>
    <t>SEC00494</t>
  </si>
  <si>
    <t>Liberty Fund 494</t>
  </si>
  <si>
    <t>SEC00495</t>
  </si>
  <si>
    <t>Alpha Financial 495</t>
  </si>
  <si>
    <t>SEC00496</t>
  </si>
  <si>
    <t>Cedar Financial 496</t>
  </si>
  <si>
    <t>SEC00497</t>
  </si>
  <si>
    <t>Vertex Group 497</t>
  </si>
  <si>
    <t>SEC00498</t>
  </si>
  <si>
    <t>Pioneer Group 498</t>
  </si>
  <si>
    <t>SEC00499</t>
  </si>
  <si>
    <t>Summit Group 499</t>
  </si>
  <si>
    <t>SEC00500</t>
  </si>
  <si>
    <t>Harbor Capital 500</t>
  </si>
  <si>
    <t>SEC00501</t>
  </si>
  <si>
    <t>Pioneer Partners 501</t>
  </si>
  <si>
    <t>SEC00502</t>
  </si>
  <si>
    <t>Orion Holdings 502</t>
  </si>
  <si>
    <t>SEC00503</t>
  </si>
  <si>
    <t>Orion Industries 503</t>
  </si>
  <si>
    <t>SEC00504</t>
  </si>
  <si>
    <t>Pioneer Industries 504</t>
  </si>
  <si>
    <t>SEC00505</t>
  </si>
  <si>
    <t>Cedar Holdings 505</t>
  </si>
  <si>
    <t>SEC00506</t>
  </si>
  <si>
    <t>Harbor Partners 506</t>
  </si>
  <si>
    <t>SEC00507</t>
  </si>
  <si>
    <t>Cedar Holdings 507</t>
  </si>
  <si>
    <t>SEC00508</t>
  </si>
  <si>
    <t>Summit Technology 508</t>
  </si>
  <si>
    <t>SEC00509</t>
  </si>
  <si>
    <t>Delta Industries 509</t>
  </si>
  <si>
    <t>SEC00510</t>
  </si>
  <si>
    <t>Vertex Holdings 510</t>
  </si>
  <si>
    <t>SEC00511</t>
  </si>
  <si>
    <t>Nova Markets 511</t>
  </si>
  <si>
    <t>SEC00512</t>
  </si>
  <si>
    <t>Alpha Markets 512</t>
  </si>
  <si>
    <t>SEC00513</t>
  </si>
  <si>
    <t>Nova Capital 513</t>
  </si>
  <si>
    <t>SEC00514</t>
  </si>
  <si>
    <t>Sterling Group 514</t>
  </si>
  <si>
    <t>SEC00515</t>
  </si>
  <si>
    <t>Pioneer Industries 515</t>
  </si>
  <si>
    <t>SEC00516</t>
  </si>
  <si>
    <t>Alpha Markets 516</t>
  </si>
  <si>
    <t>SEC00517</t>
  </si>
  <si>
    <t>Pioneer Group 517</t>
  </si>
  <si>
    <t>SEC00518</t>
  </si>
  <si>
    <t>Liberty Industries 518</t>
  </si>
  <si>
    <t>SEC00519</t>
  </si>
  <si>
    <t>Summit Technology 519</t>
  </si>
  <si>
    <t>SEC00520</t>
  </si>
  <si>
    <t>Delta Partners 520</t>
  </si>
  <si>
    <t>SEC00521</t>
  </si>
  <si>
    <t>Delta Capital 521</t>
  </si>
  <si>
    <t>SEC00522</t>
  </si>
  <si>
    <t>Orion Energy 522</t>
  </si>
  <si>
    <t>SEC00523</t>
  </si>
  <si>
    <t>Nova Markets 523</t>
  </si>
  <si>
    <t>SEC00524</t>
  </si>
  <si>
    <t>Orion Partners 524</t>
  </si>
  <si>
    <t>SEC00525</t>
  </si>
  <si>
    <t>Harbor Technology 525</t>
  </si>
  <si>
    <t>SEC00526</t>
  </si>
  <si>
    <t>Pioneer Energy 526</t>
  </si>
  <si>
    <t>SEC00527</t>
  </si>
  <si>
    <t>Harbor Partners 527</t>
  </si>
  <si>
    <t>SEC00528</t>
  </si>
  <si>
    <t>Liberty Financial 528</t>
  </si>
  <si>
    <t>SEC00529</t>
  </si>
  <si>
    <t>Vertex Industries 529</t>
  </si>
  <si>
    <t>SEC00530</t>
  </si>
  <si>
    <t>Alpha Energy 530</t>
  </si>
  <si>
    <t>SEC00531</t>
  </si>
  <si>
    <t>Cedar Industries 531</t>
  </si>
  <si>
    <t>SEC00532</t>
  </si>
  <si>
    <t>Delta Partners 532</t>
  </si>
  <si>
    <t>SEC00533</t>
  </si>
  <si>
    <t>Alpha Financial 533</t>
  </si>
  <si>
    <t>SEC00534</t>
  </si>
  <si>
    <t>Nova Group 534</t>
  </si>
  <si>
    <t>SEC00535</t>
  </si>
  <si>
    <t>Summit Technology 535</t>
  </si>
  <si>
    <t>SEC00536</t>
  </si>
  <si>
    <t>Summit Technology 536</t>
  </si>
  <si>
    <t>SEC00537</t>
  </si>
  <si>
    <t>Pioneer Partners 537</t>
  </si>
  <si>
    <t>SEC00538</t>
  </si>
  <si>
    <t>Sterling Capital 538</t>
  </si>
  <si>
    <t>SEC00539</t>
  </si>
  <si>
    <t>Atlas Group 539</t>
  </si>
  <si>
    <t>SEC00540</t>
  </si>
  <si>
    <t>Atlas Holdings 540</t>
  </si>
  <si>
    <t>SEC00541</t>
  </si>
  <si>
    <t>Liberty Partners 541</t>
  </si>
  <si>
    <t>SEC00542</t>
  </si>
  <si>
    <t>Sterling Holdings 542</t>
  </si>
  <si>
    <t>SEC00543</t>
  </si>
  <si>
    <t>Cedar Financial 543</t>
  </si>
  <si>
    <t>SEC00544</t>
  </si>
  <si>
    <t>Orion Partners 544</t>
  </si>
  <si>
    <t>SEC00545</t>
  </si>
  <si>
    <t>Alpha Partners 545</t>
  </si>
  <si>
    <t>SEC00546</t>
  </si>
  <si>
    <t>Harbor Fund 546</t>
  </si>
  <si>
    <t>SEC00547</t>
  </si>
  <si>
    <t>Sterling Technology 547</t>
  </si>
  <si>
    <t>SEC00548</t>
  </si>
  <si>
    <t>Pioneer Technology 548</t>
  </si>
  <si>
    <t>SEC00549</t>
  </si>
  <si>
    <t>Delta Partners 549</t>
  </si>
  <si>
    <t>SEC00550</t>
  </si>
  <si>
    <t>Atlas Financial 550</t>
  </si>
  <si>
    <t>SEC00551</t>
  </si>
  <si>
    <t>Vertex Holdings 551</t>
  </si>
  <si>
    <t>SEC00552</t>
  </si>
  <si>
    <t>Harbor Energy 552</t>
  </si>
  <si>
    <t>SEC00553</t>
  </si>
  <si>
    <t>Liberty Energy 553</t>
  </si>
  <si>
    <t>SEC00554</t>
  </si>
  <si>
    <t>Alpha Group 554</t>
  </si>
  <si>
    <t>SEC00555</t>
  </si>
  <si>
    <t>Nova Technology 555</t>
  </si>
  <si>
    <t>SEC00556</t>
  </si>
  <si>
    <t>Orion Capital 556</t>
  </si>
  <si>
    <t>SEC00557</t>
  </si>
  <si>
    <t>Vertex Financial 557</t>
  </si>
  <si>
    <t>SEC00558</t>
  </si>
  <si>
    <t>Harbor Capital 558</t>
  </si>
  <si>
    <t>SEC00559</t>
  </si>
  <si>
    <t>Harbor Technology 559</t>
  </si>
  <si>
    <t>SEC00560</t>
  </si>
  <si>
    <t>Atlas Financial 560</t>
  </si>
  <si>
    <t>SEC00561</t>
  </si>
  <si>
    <t>Pioneer Energy 561</t>
  </si>
  <si>
    <t>SEC00562</t>
  </si>
  <si>
    <t>Orion Capital 562</t>
  </si>
  <si>
    <t>SEC00563</t>
  </si>
  <si>
    <t>Liberty Markets 563</t>
  </si>
  <si>
    <t>SEC00564</t>
  </si>
  <si>
    <t>Nova Technology 564</t>
  </si>
  <si>
    <t>SEC00565</t>
  </si>
  <si>
    <t>Liberty Technology 565</t>
  </si>
  <si>
    <t>SEC00566</t>
  </si>
  <si>
    <t>Cedar Technology 566</t>
  </si>
  <si>
    <t>SEC00567</t>
  </si>
  <si>
    <t>Cedar Group 567</t>
  </si>
  <si>
    <t>SEC00568</t>
  </si>
  <si>
    <t>Liberty Partners 568</t>
  </si>
  <si>
    <t>SEC00569</t>
  </si>
  <si>
    <t>Cedar Technology 569</t>
  </si>
  <si>
    <t>SEC00570</t>
  </si>
  <si>
    <t>Harbor Financial 570</t>
  </si>
  <si>
    <t>SEC00571</t>
  </si>
  <si>
    <t>Pioneer Fund 571</t>
  </si>
  <si>
    <t>SEC00572</t>
  </si>
  <si>
    <t>Nova Partners 572</t>
  </si>
  <si>
    <t>SEC00573</t>
  </si>
  <si>
    <t>Orion Group 573</t>
  </si>
  <si>
    <t>SEC00574</t>
  </si>
  <si>
    <t>Pioneer Holdings 574</t>
  </si>
  <si>
    <t>SEC00575</t>
  </si>
  <si>
    <t>Pioneer Fund 575</t>
  </si>
  <si>
    <t>SEC00576</t>
  </si>
  <si>
    <t>Vertex Technology 576</t>
  </si>
  <si>
    <t>SEC00577</t>
  </si>
  <si>
    <t>Vertex Capital 577</t>
  </si>
  <si>
    <t>SEC00578</t>
  </si>
  <si>
    <t>Alpha Energy 578</t>
  </si>
  <si>
    <t>SEC00579</t>
  </si>
  <si>
    <t>Sterling Group 579</t>
  </si>
  <si>
    <t>SEC00580</t>
  </si>
  <si>
    <t>Orion Financial 580</t>
  </si>
  <si>
    <t>SEC00581</t>
  </si>
  <si>
    <t>Orion Partners 581</t>
  </si>
  <si>
    <t>SEC00582</t>
  </si>
  <si>
    <t>Alpha Partners 582</t>
  </si>
  <si>
    <t>SEC00583</t>
  </si>
  <si>
    <t>Alpha Industries 583</t>
  </si>
  <si>
    <t>SEC00584</t>
  </si>
  <si>
    <t>Alpha Markets 584</t>
  </si>
  <si>
    <t>SEC00585</t>
  </si>
  <si>
    <t>Liberty Group 585</t>
  </si>
  <si>
    <t>SEC00586</t>
  </si>
  <si>
    <t>Nova Partners 586</t>
  </si>
  <si>
    <t>SEC00587</t>
  </si>
  <si>
    <t>Pioneer Group 587</t>
  </si>
  <si>
    <t>SEC00588</t>
  </si>
  <si>
    <t>Cedar Technology 588</t>
  </si>
  <si>
    <t>SEC00589</t>
  </si>
  <si>
    <t>Nova Fund 589</t>
  </si>
  <si>
    <t>SEC00590</t>
  </si>
  <si>
    <t>Sterling Partners 590</t>
  </si>
  <si>
    <t>SEC00591</t>
  </si>
  <si>
    <t>Pioneer Energy 591</t>
  </si>
  <si>
    <t>SEC00592</t>
  </si>
  <si>
    <t>Nova Financial 592</t>
  </si>
  <si>
    <t>SEC00593</t>
  </si>
  <si>
    <t>Delta Technology 593</t>
  </si>
  <si>
    <t>SEC00594</t>
  </si>
  <si>
    <t>Harbor Energy 594</t>
  </si>
  <si>
    <t>SEC00595</t>
  </si>
  <si>
    <t>Atlas Industries 595</t>
  </si>
  <si>
    <t>SEC00596</t>
  </si>
  <si>
    <t>Cedar Fund 596</t>
  </si>
  <si>
    <t>SEC00597</t>
  </si>
  <si>
    <t>Summit Holdings 597</t>
  </si>
  <si>
    <t>SEC00598</t>
  </si>
  <si>
    <t>Atlas Energy 598</t>
  </si>
  <si>
    <t>SEC00599</t>
  </si>
  <si>
    <t>Liberty Technology 599</t>
  </si>
  <si>
    <t>SEC00600</t>
  </si>
  <si>
    <t>Sterling Group 600</t>
  </si>
  <si>
    <t>SEC00601</t>
  </si>
  <si>
    <t>Harbor Capital 601</t>
  </si>
  <si>
    <t>SEC00602</t>
  </si>
  <si>
    <t>Liberty Markets 602</t>
  </si>
  <si>
    <t>SEC00603</t>
  </si>
  <si>
    <t>Delta Industries 603</t>
  </si>
  <si>
    <t>SEC00604</t>
  </si>
  <si>
    <t>Sterling Capital 604</t>
  </si>
  <si>
    <t>SEC00605</t>
  </si>
  <si>
    <t>Liberty Technology 605</t>
  </si>
  <si>
    <t>SEC00606</t>
  </si>
  <si>
    <t>Orion Partners 606</t>
  </si>
  <si>
    <t>SEC00607</t>
  </si>
  <si>
    <t>Nova Markets 607</t>
  </si>
  <si>
    <t>SEC00608</t>
  </si>
  <si>
    <t>Nova Holdings 608</t>
  </si>
  <si>
    <t>SEC00609</t>
  </si>
  <si>
    <t>Atlas Industries 609</t>
  </si>
  <si>
    <t>SEC00610</t>
  </si>
  <si>
    <t>Vertex Technology 610</t>
  </si>
  <si>
    <t>SEC00611</t>
  </si>
  <si>
    <t>Atlas Partners 611</t>
  </si>
  <si>
    <t>SEC00612</t>
  </si>
  <si>
    <t>Alpha Energy 612</t>
  </si>
  <si>
    <t>SEC00613</t>
  </si>
  <si>
    <t>Alpha Capital 613</t>
  </si>
  <si>
    <t>SEC00614</t>
  </si>
  <si>
    <t>Cedar Capital 614</t>
  </si>
  <si>
    <t>SEC00615</t>
  </si>
  <si>
    <t>Harbor Partners 615</t>
  </si>
  <si>
    <t>SEC00616</t>
  </si>
  <si>
    <t>Vertex Industries 616</t>
  </si>
  <si>
    <t>SEC00617</t>
  </si>
  <si>
    <t>Delta Capital 617</t>
  </si>
  <si>
    <t>SEC00618</t>
  </si>
  <si>
    <t>Orion Markets 618</t>
  </si>
  <si>
    <t>SEC00619</t>
  </si>
  <si>
    <t>Harbor Fund 619</t>
  </si>
  <si>
    <t>SEC00620</t>
  </si>
  <si>
    <t>Delta Industries 620</t>
  </si>
  <si>
    <t>SEC00621</t>
  </si>
  <si>
    <t>Sterling Technology 621</t>
  </si>
  <si>
    <t>SEC00622</t>
  </si>
  <si>
    <t>Cedar Industries 622</t>
  </si>
  <si>
    <t>SEC00623</t>
  </si>
  <si>
    <t>Atlas Financial 623</t>
  </si>
  <si>
    <t>SEC00624</t>
  </si>
  <si>
    <t>Pioneer Capital 624</t>
  </si>
  <si>
    <t>SEC00625</t>
  </si>
  <si>
    <t>Cedar Fund 625</t>
  </si>
  <si>
    <t>SEC00626</t>
  </si>
  <si>
    <t>Delta Partners 626</t>
  </si>
  <si>
    <t>SEC00627</t>
  </si>
  <si>
    <t>Orion Financial 627</t>
  </si>
  <si>
    <t>SEC00628</t>
  </si>
  <si>
    <t>Alpha Technology 628</t>
  </si>
  <si>
    <t>SEC00629</t>
  </si>
  <si>
    <t>Liberty Markets 629</t>
  </si>
  <si>
    <t>SEC00630</t>
  </si>
  <si>
    <t>Nova Capital 630</t>
  </si>
  <si>
    <t>SEC00631</t>
  </si>
  <si>
    <t>Pioneer Financial 631</t>
  </si>
  <si>
    <t>SEC00632</t>
  </si>
  <si>
    <t>Alpha Partners 632</t>
  </si>
  <si>
    <t>SEC00633</t>
  </si>
  <si>
    <t>Alpha Industries 633</t>
  </si>
  <si>
    <t>SEC00634</t>
  </si>
  <si>
    <t>Atlas Technology 634</t>
  </si>
  <si>
    <t>SEC00635</t>
  </si>
  <si>
    <t>Summit Capital 635</t>
  </si>
  <si>
    <t>SEC00636</t>
  </si>
  <si>
    <t>Orion Holdings 636</t>
  </si>
  <si>
    <t>SEC00637</t>
  </si>
  <si>
    <t>Cedar Group 637</t>
  </si>
  <si>
    <t>SEC00638</t>
  </si>
  <si>
    <t>Vertex Partners 638</t>
  </si>
  <si>
    <t>SEC00639</t>
  </si>
  <si>
    <t>Alpha Technology 639</t>
  </si>
  <si>
    <t>SEC00640</t>
  </si>
  <si>
    <t>Liberty Technology 640</t>
  </si>
  <si>
    <t>SEC00641</t>
  </si>
  <si>
    <t>Atlas Energy 641</t>
  </si>
  <si>
    <t>SEC00642</t>
  </si>
  <si>
    <t>Summit Group 642</t>
  </si>
  <si>
    <t>SEC00643</t>
  </si>
  <si>
    <t>Orion Markets 643</t>
  </si>
  <si>
    <t>SEC00644</t>
  </si>
  <si>
    <t>Atlas Fund 644</t>
  </si>
  <si>
    <t>SEC00645</t>
  </si>
  <si>
    <t>Harbor Holdings 645</t>
  </si>
  <si>
    <t>SEC00646</t>
  </si>
  <si>
    <t>Summit Group 646</t>
  </si>
  <si>
    <t>SEC00647</t>
  </si>
  <si>
    <t>Summit Markets 647</t>
  </si>
  <si>
    <t>SEC00648</t>
  </si>
  <si>
    <t>Delta Markets 648</t>
  </si>
  <si>
    <t>SEC00649</t>
  </si>
  <si>
    <t>Alpha Holdings 649</t>
  </si>
  <si>
    <t>SEC00650</t>
  </si>
  <si>
    <t>Summit Partners 650</t>
  </si>
  <si>
    <t>SEC00651</t>
  </si>
  <si>
    <t>Pioneer Capital 651</t>
  </si>
  <si>
    <t>SEC00652</t>
  </si>
  <si>
    <t>Delta Capital 652</t>
  </si>
  <si>
    <t>SEC00653</t>
  </si>
  <si>
    <t>Alpha Holdings 653</t>
  </si>
  <si>
    <t>SEC00654</t>
  </si>
  <si>
    <t>Harbor Fund 654</t>
  </si>
  <si>
    <t>SEC00655</t>
  </si>
  <si>
    <t>Cedar Industries 655</t>
  </si>
  <si>
    <t>SEC00656</t>
  </si>
  <si>
    <t>Orion Group 656</t>
  </si>
  <si>
    <t>SEC00657</t>
  </si>
  <si>
    <t>Nova Technology 657</t>
  </si>
  <si>
    <t>SEC00658</t>
  </si>
  <si>
    <t>Nova Industries 658</t>
  </si>
  <si>
    <t>SEC00659</t>
  </si>
  <si>
    <t>Cedar Energy 659</t>
  </si>
  <si>
    <t>SEC00660</t>
  </si>
  <si>
    <t>Pioneer Markets 660</t>
  </si>
  <si>
    <t>SEC00661</t>
  </si>
  <si>
    <t>Alpha Energy 661</t>
  </si>
  <si>
    <t>SEC00662</t>
  </si>
  <si>
    <t>Cedar Group 662</t>
  </si>
  <si>
    <t>SEC00663</t>
  </si>
  <si>
    <t>Orion Fund 663</t>
  </si>
  <si>
    <t>SEC00664</t>
  </si>
  <si>
    <t>Liberty Financial 664</t>
  </si>
  <si>
    <t>SEC00665</t>
  </si>
  <si>
    <t>Cedar Fund 665</t>
  </si>
  <si>
    <t>SEC00666</t>
  </si>
  <si>
    <t>Cedar Partners 666</t>
  </si>
  <si>
    <t>SEC00667</t>
  </si>
  <si>
    <t>Atlas Technology 667</t>
  </si>
  <si>
    <t>SEC00668</t>
  </si>
  <si>
    <t>Sterling Holdings 668</t>
  </si>
  <si>
    <t>SEC00669</t>
  </si>
  <si>
    <t>Vertex Group 669</t>
  </si>
  <si>
    <t>SEC00670</t>
  </si>
  <si>
    <t>Cedar Fund 670</t>
  </si>
  <si>
    <t>SEC00671</t>
  </si>
  <si>
    <t>Nova Markets 671</t>
  </si>
  <si>
    <t>SEC00672</t>
  </si>
  <si>
    <t>Harbor Partners 672</t>
  </si>
  <si>
    <t>SEC00673</t>
  </si>
  <si>
    <t>Pioneer Energy 673</t>
  </si>
  <si>
    <t>SEC00674</t>
  </si>
  <si>
    <t>Nova Capital 674</t>
  </si>
  <si>
    <t>SEC00675</t>
  </si>
  <si>
    <t>Sterling Technology 675</t>
  </si>
  <si>
    <t>SEC00676</t>
  </si>
  <si>
    <t>Nova Partners 676</t>
  </si>
  <si>
    <t>SEC00677</t>
  </si>
  <si>
    <t>Cedar Technology 677</t>
  </si>
  <si>
    <t>SEC00678</t>
  </si>
  <si>
    <t>Delta Energy 678</t>
  </si>
  <si>
    <t>SEC00679</t>
  </si>
  <si>
    <t>Sterling Industries 679</t>
  </si>
  <si>
    <t>SEC00680</t>
  </si>
  <si>
    <t>Cedar Energy 680</t>
  </si>
  <si>
    <t>SEC00681</t>
  </si>
  <si>
    <t>Alpha Markets 681</t>
  </si>
  <si>
    <t>SEC00682</t>
  </si>
  <si>
    <t>Pioneer Industries 682</t>
  </si>
  <si>
    <t>SEC00683</t>
  </si>
  <si>
    <t>Delta Group 683</t>
  </si>
  <si>
    <t>SEC00684</t>
  </si>
  <si>
    <t>Summit Markets 684</t>
  </si>
  <si>
    <t>SEC00685</t>
  </si>
  <si>
    <t>Atlas Industries 685</t>
  </si>
  <si>
    <t>SEC00686</t>
  </si>
  <si>
    <t>Orion Capital 686</t>
  </si>
  <si>
    <t>SEC00687</t>
  </si>
  <si>
    <t>Delta Group 687</t>
  </si>
  <si>
    <t>SEC00688</t>
  </si>
  <si>
    <t>Atlas Group 688</t>
  </si>
  <si>
    <t>SEC00689</t>
  </si>
  <si>
    <t>Atlas Markets 689</t>
  </si>
  <si>
    <t>SEC00690</t>
  </si>
  <si>
    <t>Sterling Technology 690</t>
  </si>
  <si>
    <t>SEC00691</t>
  </si>
  <si>
    <t>Nova Energy 691</t>
  </si>
  <si>
    <t>SEC00692</t>
  </si>
  <si>
    <t>Sterling Group 692</t>
  </si>
  <si>
    <t>SEC00693</t>
  </si>
  <si>
    <t>Orion Fund 693</t>
  </si>
  <si>
    <t>SEC00694</t>
  </si>
  <si>
    <t>Pioneer Capital 694</t>
  </si>
  <si>
    <t>SEC00695</t>
  </si>
  <si>
    <t>Atlas Energy 695</t>
  </si>
  <si>
    <t>SEC00696</t>
  </si>
  <si>
    <t>Atlas Capital 696</t>
  </si>
  <si>
    <t>SEC00697</t>
  </si>
  <si>
    <t>Pioneer Technology 697</t>
  </si>
  <si>
    <t>SEC00698</t>
  </si>
  <si>
    <t>Delta Fund 698</t>
  </si>
  <si>
    <t>SEC00699</t>
  </si>
  <si>
    <t>Alpha Markets 699</t>
  </si>
  <si>
    <t>SEC00700</t>
  </si>
  <si>
    <t>Orion Group 700</t>
  </si>
  <si>
    <t>SEC00701</t>
  </si>
  <si>
    <t>Vertex Group 701</t>
  </si>
  <si>
    <t>SEC00702</t>
  </si>
  <si>
    <t>Alpha Fund 702</t>
  </si>
  <si>
    <t>SEC00703</t>
  </si>
  <si>
    <t>Pioneer Financial 703</t>
  </si>
  <si>
    <t>SEC00704</t>
  </si>
  <si>
    <t>Vertex Energy 704</t>
  </si>
  <si>
    <t>SEC00705</t>
  </si>
  <si>
    <t>Alpha Industries 705</t>
  </si>
  <si>
    <t>SEC00706</t>
  </si>
  <si>
    <t>Alpha Capital 706</t>
  </si>
  <si>
    <t>SEC00707</t>
  </si>
  <si>
    <t>Harbor Technology 707</t>
  </si>
  <si>
    <t>SEC00708</t>
  </si>
  <si>
    <t>Atlas Markets 708</t>
  </si>
  <si>
    <t>SEC00709</t>
  </si>
  <si>
    <t>Orion Energy 709</t>
  </si>
  <si>
    <t>SEC00710</t>
  </si>
  <si>
    <t>Cedar Fund 710</t>
  </si>
  <si>
    <t>SEC00711</t>
  </si>
  <si>
    <t>Delta Holdings 711</t>
  </si>
  <si>
    <t>SEC00712</t>
  </si>
  <si>
    <t>Atlas Holdings 712</t>
  </si>
  <si>
    <t>SEC00713</t>
  </si>
  <si>
    <t>Sterling Holdings 713</t>
  </si>
  <si>
    <t>SEC00714</t>
  </si>
  <si>
    <t>Orion Group 714</t>
  </si>
  <si>
    <t>SEC00715</t>
  </si>
  <si>
    <t>Harbor Fund 715</t>
  </si>
  <si>
    <t>SEC00716</t>
  </si>
  <si>
    <t>Nova Financial 716</t>
  </si>
  <si>
    <t>SEC00717</t>
  </si>
  <si>
    <t>Vertex Markets 717</t>
  </si>
  <si>
    <t>SEC00718</t>
  </si>
  <si>
    <t>Atlas Financial 718</t>
  </si>
  <si>
    <t>SEC00719</t>
  </si>
  <si>
    <t>Sterling Industries 719</t>
  </si>
  <si>
    <t>SEC00720</t>
  </si>
  <si>
    <t>Sterling Markets 720</t>
  </si>
  <si>
    <t>SEC00721</t>
  </si>
  <si>
    <t>Harbor Markets 721</t>
  </si>
  <si>
    <t>SEC00722</t>
  </si>
  <si>
    <t>Nova Markets 722</t>
  </si>
  <si>
    <t>SEC00723</t>
  </si>
  <si>
    <t>Sterling Holdings 723</t>
  </si>
  <si>
    <t>SEC00724</t>
  </si>
  <si>
    <t>Orion Financial 724</t>
  </si>
  <si>
    <t>SEC00725</t>
  </si>
  <si>
    <t>Cedar Energy 725</t>
  </si>
  <si>
    <t>SEC00726</t>
  </si>
  <si>
    <t>Cedar Capital 726</t>
  </si>
  <si>
    <t>SEC00727</t>
  </si>
  <si>
    <t>Cedar Capital 727</t>
  </si>
  <si>
    <t>SEC00728</t>
  </si>
  <si>
    <t>Sterling Holdings 728</t>
  </si>
  <si>
    <t>SEC00729</t>
  </si>
  <si>
    <t>Atlas Holdings 729</t>
  </si>
  <si>
    <t>SEC00730</t>
  </si>
  <si>
    <t>Summit Holdings 730</t>
  </si>
  <si>
    <t>SEC00731</t>
  </si>
  <si>
    <t>Alpha Capital 731</t>
  </si>
  <si>
    <t>SEC00732</t>
  </si>
  <si>
    <t>Nova Industries 732</t>
  </si>
  <si>
    <t>SEC00733</t>
  </si>
  <si>
    <t>Liberty Capital 733</t>
  </si>
  <si>
    <t>SEC00734</t>
  </si>
  <si>
    <t>Atlas Industries 734</t>
  </si>
  <si>
    <t>SEC00735</t>
  </si>
  <si>
    <t>Nova Energy 735</t>
  </si>
  <si>
    <t>SEC00736</t>
  </si>
  <si>
    <t>Pioneer Partners 736</t>
  </si>
  <si>
    <t>SEC00737</t>
  </si>
  <si>
    <t>Alpha Industries 737</t>
  </si>
  <si>
    <t>SEC00738</t>
  </si>
  <si>
    <t>Cedar Technology 738</t>
  </si>
  <si>
    <t>SEC00739</t>
  </si>
  <si>
    <t>Cedar Industries 739</t>
  </si>
  <si>
    <t>SEC00740</t>
  </si>
  <si>
    <t>Alpha Capital 740</t>
  </si>
  <si>
    <t>SEC00741</t>
  </si>
  <si>
    <t>Delta Partners 741</t>
  </si>
  <si>
    <t>SEC00742</t>
  </si>
  <si>
    <t>Summit Capital 742</t>
  </si>
  <si>
    <t>SEC00743</t>
  </si>
  <si>
    <t>Orion Markets 743</t>
  </si>
  <si>
    <t>SEC00744</t>
  </si>
  <si>
    <t>Alpha Energy 744</t>
  </si>
  <si>
    <t>SEC00745</t>
  </si>
  <si>
    <t>Harbor Partners 745</t>
  </si>
  <si>
    <t>SEC00746</t>
  </si>
  <si>
    <t>Orion Holdings 746</t>
  </si>
  <si>
    <t>SEC00747</t>
  </si>
  <si>
    <t>Cedar Holdings 747</t>
  </si>
  <si>
    <t>SEC00748</t>
  </si>
  <si>
    <t>Atlas Technology 748</t>
  </si>
  <si>
    <t>SEC00749</t>
  </si>
  <si>
    <t>Orion Holdings 749</t>
  </si>
  <si>
    <t>SEC00750</t>
  </si>
  <si>
    <t>Vertex Group 750</t>
  </si>
  <si>
    <t>SEC00751</t>
  </si>
  <si>
    <t>Atlas Markets 751</t>
  </si>
  <si>
    <t>SEC00752</t>
  </si>
  <si>
    <t>Atlas Industries 752</t>
  </si>
  <si>
    <t>SEC00753</t>
  </si>
  <si>
    <t>Cedar Technology 753</t>
  </si>
  <si>
    <t>SEC00754</t>
  </si>
  <si>
    <t>Summit Partners 754</t>
  </si>
  <si>
    <t>SEC00755</t>
  </si>
  <si>
    <t>Vertex Fund 755</t>
  </si>
  <si>
    <t>SEC00756</t>
  </si>
  <si>
    <t>Delta Markets 756</t>
  </si>
  <si>
    <t>SEC00757</t>
  </si>
  <si>
    <t>Nova Fund 757</t>
  </si>
  <si>
    <t>SEC00758</t>
  </si>
  <si>
    <t>Orion Fund 758</t>
  </si>
  <si>
    <t>SEC00759</t>
  </si>
  <si>
    <t>Vertex Fund 759</t>
  </si>
  <si>
    <t>SEC00760</t>
  </si>
  <si>
    <t>Atlas Capital 760</t>
  </si>
  <si>
    <t>SEC00761</t>
  </si>
  <si>
    <t>Harbor Energy 761</t>
  </si>
  <si>
    <t>SEC00762</t>
  </si>
  <si>
    <t>Delta Energy 762</t>
  </si>
  <si>
    <t>SEC00763</t>
  </si>
  <si>
    <t>Delta Partners 763</t>
  </si>
  <si>
    <t>SEC00764</t>
  </si>
  <si>
    <t>Delta Partners 764</t>
  </si>
  <si>
    <t>SEC00765</t>
  </si>
  <si>
    <t>Atlas Markets 765</t>
  </si>
  <si>
    <t>SEC00766</t>
  </si>
  <si>
    <t>Sterling Industries 766</t>
  </si>
  <si>
    <t>SEC00767</t>
  </si>
  <si>
    <t>Alpha Industries 767</t>
  </si>
  <si>
    <t>SEC00768</t>
  </si>
  <si>
    <t>Vertex Technology 768</t>
  </si>
  <si>
    <t>SEC00769</t>
  </si>
  <si>
    <t>Atlas Fund 769</t>
  </si>
  <si>
    <t>SEC00770</t>
  </si>
  <si>
    <t>Alpha Partners 770</t>
  </si>
  <si>
    <t>SEC00771</t>
  </si>
  <si>
    <t>Vertex Partners 771</t>
  </si>
  <si>
    <t>SEC00772</t>
  </si>
  <si>
    <t>Harbor Partners 772</t>
  </si>
  <si>
    <t>SEC00773</t>
  </si>
  <si>
    <t>Sterling Financial 773</t>
  </si>
  <si>
    <t>SEC00774</t>
  </si>
  <si>
    <t>Summit Partners 774</t>
  </si>
  <si>
    <t>SEC00775</t>
  </si>
  <si>
    <t>Summit Capital 775</t>
  </si>
  <si>
    <t>SEC00776</t>
  </si>
  <si>
    <t>Atlas Holdings 776</t>
  </si>
  <si>
    <t>SEC00777</t>
  </si>
  <si>
    <t>Delta Group 777</t>
  </si>
  <si>
    <t>SEC00778</t>
  </si>
  <si>
    <t>Pioneer Markets 778</t>
  </si>
  <si>
    <t>SEC00779</t>
  </si>
  <si>
    <t>Summit Fund 779</t>
  </si>
  <si>
    <t>SEC00780</t>
  </si>
  <si>
    <t>Sterling Technology 780</t>
  </si>
  <si>
    <t>SEC00781</t>
  </si>
  <si>
    <t>Alpha Financial 781</t>
  </si>
  <si>
    <t>SEC00782</t>
  </si>
  <si>
    <t>Summit Fund 782</t>
  </si>
  <si>
    <t>SEC00783</t>
  </si>
  <si>
    <t>Vertex Holdings 783</t>
  </si>
  <si>
    <t>SEC00784</t>
  </si>
  <si>
    <t>Nova Markets 784</t>
  </si>
  <si>
    <t>SEC00785</t>
  </si>
  <si>
    <t>Cedar Fund 785</t>
  </si>
  <si>
    <t>SEC00786</t>
  </si>
  <si>
    <t>Vertex Technology 786</t>
  </si>
  <si>
    <t>SEC00787</t>
  </si>
  <si>
    <t>Alpha Financial 787</t>
  </si>
  <si>
    <t>SEC00788</t>
  </si>
  <si>
    <t>Cedar Holdings 788</t>
  </si>
  <si>
    <t>SEC00789</t>
  </si>
  <si>
    <t>Sterling Financial 789</t>
  </si>
  <si>
    <t>SEC00790</t>
  </si>
  <si>
    <t>Harbor Group 790</t>
  </si>
  <si>
    <t>SEC00791</t>
  </si>
  <si>
    <t>Pioneer Markets 791</t>
  </si>
  <si>
    <t>SEC00792</t>
  </si>
  <si>
    <t>Alpha Industries 792</t>
  </si>
  <si>
    <t>SEC00793</t>
  </si>
  <si>
    <t>Alpha Financial 793</t>
  </si>
  <si>
    <t>SEC00794</t>
  </si>
  <si>
    <t>Liberty Energy 794</t>
  </si>
  <si>
    <t>SEC00795</t>
  </si>
  <si>
    <t>Nova Industries 795</t>
  </si>
  <si>
    <t>SEC00796</t>
  </si>
  <si>
    <t>Vertex Group 796</t>
  </si>
  <si>
    <t>SEC00797</t>
  </si>
  <si>
    <t>Sterling Group 797</t>
  </si>
  <si>
    <t>SEC00798</t>
  </si>
  <si>
    <t>Liberty Partners 798</t>
  </si>
  <si>
    <t>SEC00799</t>
  </si>
  <si>
    <t>Alpha Industries 799</t>
  </si>
  <si>
    <t>SEC00800</t>
  </si>
  <si>
    <t>Atlas Markets 800</t>
  </si>
  <si>
    <t>SEC00801</t>
  </si>
  <si>
    <t>Vertex Technology 801</t>
  </si>
  <si>
    <t>SEC00802</t>
  </si>
  <si>
    <t>Nova Holdings 802</t>
  </si>
  <si>
    <t>SEC00803</t>
  </si>
  <si>
    <t>Cedar Holdings 803</t>
  </si>
  <si>
    <t>SEC00804</t>
  </si>
  <si>
    <t>Alpha Energy 804</t>
  </si>
  <si>
    <t>SEC00805</t>
  </si>
  <si>
    <t>Vertex Financial 805</t>
  </si>
  <si>
    <t>SEC00806</t>
  </si>
  <si>
    <t>Sterling Technology 806</t>
  </si>
  <si>
    <t>SEC00807</t>
  </si>
  <si>
    <t>Sterling Holdings 807</t>
  </si>
  <si>
    <t>SEC00808</t>
  </si>
  <si>
    <t>Harbor Holdings 808</t>
  </si>
  <si>
    <t>SEC00809</t>
  </si>
  <si>
    <t>Liberty Industries 809</t>
  </si>
  <si>
    <t>SEC00810</t>
  </si>
  <si>
    <t>Summit Capital 810</t>
  </si>
  <si>
    <t>SEC00811</t>
  </si>
  <si>
    <t>Liberty Technology 811</t>
  </si>
  <si>
    <t>SEC00812</t>
  </si>
  <si>
    <t>Summit Holdings 812</t>
  </si>
  <si>
    <t>SEC00813</t>
  </si>
  <si>
    <t>Alpha Industries 813</t>
  </si>
  <si>
    <t>SEC00814</t>
  </si>
  <si>
    <t>Liberty Technology 814</t>
  </si>
  <si>
    <t>SEC00815</t>
  </si>
  <si>
    <t>Cedar Financial 815</t>
  </si>
  <si>
    <t>SEC00816</t>
  </si>
  <si>
    <t>Atlas Holdings 816</t>
  </si>
  <si>
    <t>SEC00817</t>
  </si>
  <si>
    <t>Liberty Group 817</t>
  </si>
  <si>
    <t>SEC00818</t>
  </si>
  <si>
    <t>Liberty Group 818</t>
  </si>
  <si>
    <t>SEC00819</t>
  </si>
  <si>
    <t>Atlas Fund 819</t>
  </si>
  <si>
    <t>SEC00820</t>
  </si>
  <si>
    <t>Sterling Group 820</t>
  </si>
  <si>
    <t>SEC00821</t>
  </si>
  <si>
    <t>Cedar Industries 821</t>
  </si>
  <si>
    <t>SEC00822</t>
  </si>
  <si>
    <t>Vertex Technology 822</t>
  </si>
  <si>
    <t>SEC00823</t>
  </si>
  <si>
    <t>Pioneer Energy 823</t>
  </si>
  <si>
    <t>SEC00824</t>
  </si>
  <si>
    <t>Vertex Partners 824</t>
  </si>
  <si>
    <t>SEC00825</t>
  </si>
  <si>
    <t>Alpha Markets 825</t>
  </si>
  <si>
    <t>SEC00826</t>
  </si>
  <si>
    <t>Orion Industries 826</t>
  </si>
  <si>
    <t>SEC00827</t>
  </si>
  <si>
    <t>Alpha Capital 827</t>
  </si>
  <si>
    <t>SEC00828</t>
  </si>
  <si>
    <t>Alpha Industries 828</t>
  </si>
  <si>
    <t>SEC00829</t>
  </si>
  <si>
    <t>Delta Holdings 829</t>
  </si>
  <si>
    <t>SEC00830</t>
  </si>
  <si>
    <t>Cedar Group 830</t>
  </si>
  <si>
    <t>SEC00831</t>
  </si>
  <si>
    <t>Liberty Partners 831</t>
  </si>
  <si>
    <t>SEC00832</t>
  </si>
  <si>
    <t>Liberty Industries 832</t>
  </si>
  <si>
    <t>SEC00833</t>
  </si>
  <si>
    <t>Atlas Fund 833</t>
  </si>
  <si>
    <t>SEC00834</t>
  </si>
  <si>
    <t>Cedar Markets 834</t>
  </si>
  <si>
    <t>SEC00835</t>
  </si>
  <si>
    <t>Atlas Group 835</t>
  </si>
  <si>
    <t>SEC00836</t>
  </si>
  <si>
    <t>Cedar Fund 836</t>
  </si>
  <si>
    <t>SEC00837</t>
  </si>
  <si>
    <t>Cedar Technology 837</t>
  </si>
  <si>
    <t>SEC00838</t>
  </si>
  <si>
    <t>Pioneer Capital 838</t>
  </si>
  <si>
    <t>SEC00839</t>
  </si>
  <si>
    <t>Liberty Group 839</t>
  </si>
  <si>
    <t>SEC00840</t>
  </si>
  <si>
    <t>Harbor Energy 840</t>
  </si>
  <si>
    <t>SEC00841</t>
  </si>
  <si>
    <t>Cedar Financial 841</t>
  </si>
  <si>
    <t>SEC00842</t>
  </si>
  <si>
    <t>Liberty Markets 842</t>
  </si>
  <si>
    <t>SEC00843</t>
  </si>
  <si>
    <t>Delta Fund 843</t>
  </si>
  <si>
    <t>SEC00844</t>
  </si>
  <si>
    <t>Harbor Financial 844</t>
  </si>
  <si>
    <t>SEC00845</t>
  </si>
  <si>
    <t>Pioneer Financial 845</t>
  </si>
  <si>
    <t>SEC00846</t>
  </si>
  <si>
    <t>Liberty Markets 846</t>
  </si>
  <si>
    <t>SEC00847</t>
  </si>
  <si>
    <t>Vertex Fund 847</t>
  </si>
  <si>
    <t>SEC00848</t>
  </si>
  <si>
    <t>Pioneer Partners 848</t>
  </si>
  <si>
    <t>SEC00849</t>
  </si>
  <si>
    <t>Vertex Capital 849</t>
  </si>
  <si>
    <t>SEC00850</t>
  </si>
  <si>
    <t>Sterling Group 850</t>
  </si>
  <si>
    <t>SEC00851</t>
  </si>
  <si>
    <t>Alpha Group 851</t>
  </si>
  <si>
    <t>SEC00852</t>
  </si>
  <si>
    <t>Orion Markets 852</t>
  </si>
  <si>
    <t>SEC00853</t>
  </si>
  <si>
    <t>Summit Technology 853</t>
  </si>
  <si>
    <t>SEC00854</t>
  </si>
  <si>
    <t>Sterling Fund 854</t>
  </si>
  <si>
    <t>SEC00855</t>
  </si>
  <si>
    <t>Pioneer Energy 855</t>
  </si>
  <si>
    <t>SEC00856</t>
  </si>
  <si>
    <t>Delta Partners 856</t>
  </si>
  <si>
    <t>SEC00857</t>
  </si>
  <si>
    <t>Liberty Financial 857</t>
  </si>
  <si>
    <t>SEC00858</t>
  </si>
  <si>
    <t>Cedar Holdings 858</t>
  </si>
  <si>
    <t>SEC00859</t>
  </si>
  <si>
    <t>Atlas Holdings 859</t>
  </si>
  <si>
    <t>SEC00860</t>
  </si>
  <si>
    <t>Liberty Partners 860</t>
  </si>
  <si>
    <t>SEC00861</t>
  </si>
  <si>
    <t>Atlas Financial 861</t>
  </si>
  <si>
    <t>SEC00862</t>
  </si>
  <si>
    <t>Delta Markets 862</t>
  </si>
  <si>
    <t>SEC00863</t>
  </si>
  <si>
    <t>Atlas Fund 863</t>
  </si>
  <si>
    <t>SEC00864</t>
  </si>
  <si>
    <t>Cedar Technology 864</t>
  </si>
  <si>
    <t>SEC00865</t>
  </si>
  <si>
    <t>Harbor Energy 865</t>
  </si>
  <si>
    <t>SEC00866</t>
  </si>
  <si>
    <t>Sterling Technology 866</t>
  </si>
  <si>
    <t>SEC00867</t>
  </si>
  <si>
    <t>Cedar Partners 867</t>
  </si>
  <si>
    <t>SEC00868</t>
  </si>
  <si>
    <t>Harbor Energy 868</t>
  </si>
  <si>
    <t>SEC00869</t>
  </si>
  <si>
    <t>Orion Energy 869</t>
  </si>
  <si>
    <t>SEC00870</t>
  </si>
  <si>
    <t>Cedar Holdings 870</t>
  </si>
  <si>
    <t>SEC00871</t>
  </si>
  <si>
    <t>Harbor Markets 871</t>
  </si>
  <si>
    <t>SEC00872</t>
  </si>
  <si>
    <t>Vertex Capital 872</t>
  </si>
  <si>
    <t>SEC00873</t>
  </si>
  <si>
    <t>Liberty Capital 873</t>
  </si>
  <si>
    <t>SEC00874</t>
  </si>
  <si>
    <t>Nova Industries 874</t>
  </si>
  <si>
    <t>SEC00875</t>
  </si>
  <si>
    <t>Liberty Industries 875</t>
  </si>
  <si>
    <t>SEC00876</t>
  </si>
  <si>
    <t>Pioneer Holdings 876</t>
  </si>
  <si>
    <t>SEC00877</t>
  </si>
  <si>
    <t>Orion Fund 877</t>
  </si>
  <si>
    <t>SEC00878</t>
  </si>
  <si>
    <t>Sterling Capital 878</t>
  </si>
  <si>
    <t>SEC00879</t>
  </si>
  <si>
    <t>Harbor Capital 879</t>
  </si>
  <si>
    <t>SEC00880</t>
  </si>
  <si>
    <t>Atlas Industries 880</t>
  </si>
  <si>
    <t>SEC00881</t>
  </si>
  <si>
    <t>Atlas Holdings 881</t>
  </si>
  <si>
    <t>SEC00882</t>
  </si>
  <si>
    <t>Sterling Markets 882</t>
  </si>
  <si>
    <t>SEC00883</t>
  </si>
  <si>
    <t>Atlas Technology 883</t>
  </si>
  <si>
    <t>SEC00884</t>
  </si>
  <si>
    <t>Orion Markets 884</t>
  </si>
  <si>
    <t>SEC00885</t>
  </si>
  <si>
    <t>Vertex Markets 885</t>
  </si>
  <si>
    <t>SEC00886</t>
  </si>
  <si>
    <t>Liberty Industries 886</t>
  </si>
  <si>
    <t>SEC00887</t>
  </si>
  <si>
    <t>Nova Financial 887</t>
  </si>
  <si>
    <t>SEC00888</t>
  </si>
  <si>
    <t>Delta Technology 888</t>
  </si>
  <si>
    <t>SEC00889</t>
  </si>
  <si>
    <t>Nova Group 889</t>
  </si>
  <si>
    <t>SEC00890</t>
  </si>
  <si>
    <t>Vertex Partners 890</t>
  </si>
  <si>
    <t>SEC00891</t>
  </si>
  <si>
    <t>Nova Fund 891</t>
  </si>
  <si>
    <t>SEC00892</t>
  </si>
  <si>
    <t>Sterling Capital 892</t>
  </si>
  <si>
    <t>SEC00893</t>
  </si>
  <si>
    <t>Pioneer Group 893</t>
  </si>
  <si>
    <t>SEC00894</t>
  </si>
  <si>
    <t>Orion Partners 894</t>
  </si>
  <si>
    <t>SEC00895</t>
  </si>
  <si>
    <t>Pioneer Fund 895</t>
  </si>
  <si>
    <t>SEC00896</t>
  </si>
  <si>
    <t>Cedar Holdings 896</t>
  </si>
  <si>
    <t>SEC00897</t>
  </si>
  <si>
    <t>Nova Group 897</t>
  </si>
  <si>
    <t>SEC00898</t>
  </si>
  <si>
    <t>Delta Energy 898</t>
  </si>
  <si>
    <t>SEC00899</t>
  </si>
  <si>
    <t>Pioneer Energy 899</t>
  </si>
  <si>
    <t>SEC00900</t>
  </si>
  <si>
    <t>Orion Group 900</t>
  </si>
  <si>
    <t>SEC00901</t>
  </si>
  <si>
    <t>Orion Energy 901</t>
  </si>
  <si>
    <t>SEC00902</t>
  </si>
  <si>
    <t>Delta Industries 902</t>
  </si>
  <si>
    <t>SEC00903</t>
  </si>
  <si>
    <t>Harbor Technology 903</t>
  </si>
  <si>
    <t>SEC00904</t>
  </si>
  <si>
    <t>Liberty Group 904</t>
  </si>
  <si>
    <t>SEC00905</t>
  </si>
  <si>
    <t>Sterling Markets 905</t>
  </si>
  <si>
    <t>SEC00906</t>
  </si>
  <si>
    <t>Alpha Energy 906</t>
  </si>
  <si>
    <t>SEC00907</t>
  </si>
  <si>
    <t>Nova Technology 907</t>
  </si>
  <si>
    <t>SEC00908</t>
  </si>
  <si>
    <t>Alpha Partners 908</t>
  </si>
  <si>
    <t>SEC00909</t>
  </si>
  <si>
    <t>Alpha Fund 909</t>
  </si>
  <si>
    <t>SEC00910</t>
  </si>
  <si>
    <t>Atlas Industries 910</t>
  </si>
  <si>
    <t>SEC00911</t>
  </si>
  <si>
    <t>Harbor Holdings 911</t>
  </si>
  <si>
    <t>SEC00912</t>
  </si>
  <si>
    <t>Delta Partners 912</t>
  </si>
  <si>
    <t>SEC00913</t>
  </si>
  <si>
    <t>Pioneer Holdings 913</t>
  </si>
  <si>
    <t>SEC00914</t>
  </si>
  <si>
    <t>Pioneer Group 914</t>
  </si>
  <si>
    <t>SEC00915</t>
  </si>
  <si>
    <t>Nova Group 915</t>
  </si>
  <si>
    <t>SEC00916</t>
  </si>
  <si>
    <t>Vertex Capital 916</t>
  </si>
  <si>
    <t>SEC00917</t>
  </si>
  <si>
    <t>Sterling Technology 917</t>
  </si>
  <si>
    <t>SEC00918</t>
  </si>
  <si>
    <t>Alpha Group 918</t>
  </si>
  <si>
    <t>SEC00919</t>
  </si>
  <si>
    <t>Vertex Holdings 919</t>
  </si>
  <si>
    <t>SEC00920</t>
  </si>
  <si>
    <t>Liberty Energy 920</t>
  </si>
  <si>
    <t>SEC00921</t>
  </si>
  <si>
    <t>Atlas Industries 921</t>
  </si>
  <si>
    <t>SEC00922</t>
  </si>
  <si>
    <t>Sterling Financial 922</t>
  </si>
  <si>
    <t>SEC00923</t>
  </si>
  <si>
    <t>Alpha Technology 923</t>
  </si>
  <si>
    <t>SEC00924</t>
  </si>
  <si>
    <t>Summit Technology 924</t>
  </si>
  <si>
    <t>SEC00925</t>
  </si>
  <si>
    <t>Alpha Fund 925</t>
  </si>
  <si>
    <t>SEC00926</t>
  </si>
  <si>
    <t>Alpha Markets 926</t>
  </si>
  <si>
    <t>SEC00927</t>
  </si>
  <si>
    <t>Alpha Technology 927</t>
  </si>
  <si>
    <t>SEC00928</t>
  </si>
  <si>
    <t>Nova Industries 928</t>
  </si>
  <si>
    <t>SEC00929</t>
  </si>
  <si>
    <t>Harbor Holdings 929</t>
  </si>
  <si>
    <t>SEC00930</t>
  </si>
  <si>
    <t>Harbor Technology 930</t>
  </si>
  <si>
    <t>SEC00931</t>
  </si>
  <si>
    <t>Summit Industries 931</t>
  </si>
  <si>
    <t>SEC00932</t>
  </si>
  <si>
    <t>Nova Energy 932</t>
  </si>
  <si>
    <t>SEC00933</t>
  </si>
  <si>
    <t>Delta Group 933</t>
  </si>
  <si>
    <t>SEC00934</t>
  </si>
  <si>
    <t>Orion Markets 934</t>
  </si>
  <si>
    <t>SEC00935</t>
  </si>
  <si>
    <t>Pioneer Holdings 935</t>
  </si>
  <si>
    <t>SEC00936</t>
  </si>
  <si>
    <t>Delta Industries 936</t>
  </si>
  <si>
    <t>SEC00937</t>
  </si>
  <si>
    <t>Orion Energy 937</t>
  </si>
  <si>
    <t>SEC00938</t>
  </si>
  <si>
    <t>Summit Financial 938</t>
  </si>
  <si>
    <t>SEC00939</t>
  </si>
  <si>
    <t>Delta Capital 939</t>
  </si>
  <si>
    <t>SEC00940</t>
  </si>
  <si>
    <t>Harbor Partners 940</t>
  </si>
  <si>
    <t>SEC00941</t>
  </si>
  <si>
    <t>Nova Capital 941</t>
  </si>
  <si>
    <t>SEC00942</t>
  </si>
  <si>
    <t>Harbor Technology 942</t>
  </si>
  <si>
    <t>SEC00943</t>
  </si>
  <si>
    <t>Atlas Holdings 943</t>
  </si>
  <si>
    <t>SEC00944</t>
  </si>
  <si>
    <t>Atlas Energy 944</t>
  </si>
  <si>
    <t>SEC00945</t>
  </si>
  <si>
    <t>Orion Energy 945</t>
  </si>
  <si>
    <t>SEC00946</t>
  </si>
  <si>
    <t>Alpha Holdings 946</t>
  </si>
  <si>
    <t>SEC00947</t>
  </si>
  <si>
    <t>Nova Group 947</t>
  </si>
  <si>
    <t>SEC00948</t>
  </si>
  <si>
    <t>Delta Fund 948</t>
  </si>
  <si>
    <t>SEC00949</t>
  </si>
  <si>
    <t>Harbor Group 949</t>
  </si>
  <si>
    <t>SEC00950</t>
  </si>
  <si>
    <t>Delta Technology 950</t>
  </si>
  <si>
    <t>SEC00951</t>
  </si>
  <si>
    <t>Cedar Capital 951</t>
  </si>
  <si>
    <t>SEC00952</t>
  </si>
  <si>
    <t>Liberty Energy 952</t>
  </si>
  <si>
    <t>SEC00953</t>
  </si>
  <si>
    <t>Pioneer Energy 953</t>
  </si>
  <si>
    <t>SEC00954</t>
  </si>
  <si>
    <t>Cedar Industries 954</t>
  </si>
  <si>
    <t>SEC00955</t>
  </si>
  <si>
    <t>Pioneer Technology 955</t>
  </si>
  <si>
    <t>SEC00956</t>
  </si>
  <si>
    <t>Orion Capital 956</t>
  </si>
  <si>
    <t>SEC00957</t>
  </si>
  <si>
    <t>Sterling Partners 957</t>
  </si>
  <si>
    <t>SEC00958</t>
  </si>
  <si>
    <t>Delta Group 958</t>
  </si>
  <si>
    <t>SEC00959</t>
  </si>
  <si>
    <t>Atlas Partners 959</t>
  </si>
  <si>
    <t>SEC00960</t>
  </si>
  <si>
    <t>Orion Markets 960</t>
  </si>
  <si>
    <t>SEC00961</t>
  </si>
  <si>
    <t>Delta Holdings 961</t>
  </si>
  <si>
    <t>SEC00962</t>
  </si>
  <si>
    <t>Harbor Partners 962</t>
  </si>
  <si>
    <t>SEC00963</t>
  </si>
  <si>
    <t>Summit Holdings 963</t>
  </si>
  <si>
    <t>SEC00964</t>
  </si>
  <si>
    <t>Summit Fund 964</t>
  </si>
  <si>
    <t>SEC00965</t>
  </si>
  <si>
    <t>Cedar Markets 965</t>
  </si>
  <si>
    <t>SEC00966</t>
  </si>
  <si>
    <t>Liberty Industries 966</t>
  </si>
  <si>
    <t>SEC00967</t>
  </si>
  <si>
    <t>Pioneer Technology 967</t>
  </si>
  <si>
    <t>SEC00968</t>
  </si>
  <si>
    <t>Alpha Markets 968</t>
  </si>
  <si>
    <t>SEC00969</t>
  </si>
  <si>
    <t>Sterling Technology 969</t>
  </si>
  <si>
    <t>SEC00970</t>
  </si>
  <si>
    <t>Orion Partners 970</t>
  </si>
  <si>
    <t>SEC00971</t>
  </si>
  <si>
    <t>Atlas Financial 971</t>
  </si>
  <si>
    <t>SEC00972</t>
  </si>
  <si>
    <t>Delta Group 972</t>
  </si>
  <si>
    <t>SEC00973</t>
  </si>
  <si>
    <t>Alpha Financial 973</t>
  </si>
  <si>
    <t>SEC00974</t>
  </si>
  <si>
    <t>Harbor Financial 974</t>
  </si>
  <si>
    <t>SEC00975</t>
  </si>
  <si>
    <t>Nova Capital 975</t>
  </si>
  <si>
    <t>SEC00976</t>
  </si>
  <si>
    <t>Pioneer Group 976</t>
  </si>
  <si>
    <t>SEC00977</t>
  </si>
  <si>
    <t>Summit Financial 977</t>
  </si>
  <si>
    <t>SEC00978</t>
  </si>
  <si>
    <t>Harbor Holdings 978</t>
  </si>
  <si>
    <t>SEC00979</t>
  </si>
  <si>
    <t>Sterling Holdings 979</t>
  </si>
  <si>
    <t>SEC00980</t>
  </si>
  <si>
    <t>Vertex Industries 980</t>
  </si>
  <si>
    <t>SEC00981</t>
  </si>
  <si>
    <t>Sterling Fund 981</t>
  </si>
  <si>
    <t>SEC00982</t>
  </si>
  <si>
    <t>Atlas Markets 982</t>
  </si>
  <si>
    <t>SEC00983</t>
  </si>
  <si>
    <t>Cedar Capital 983</t>
  </si>
  <si>
    <t>SEC00984</t>
  </si>
  <si>
    <t>Liberty Energy 984</t>
  </si>
  <si>
    <t>SEC00985</t>
  </si>
  <si>
    <t>Delta Holdings 985</t>
  </si>
  <si>
    <t>SEC00986</t>
  </si>
  <si>
    <t>Delta Holdings 986</t>
  </si>
  <si>
    <t>SEC00987</t>
  </si>
  <si>
    <t>Summit Energy 987</t>
  </si>
  <si>
    <t>SEC00988</t>
  </si>
  <si>
    <t>Pioneer Technology 988</t>
  </si>
  <si>
    <t>SEC00989</t>
  </si>
  <si>
    <t>Vertex Capital 989</t>
  </si>
  <si>
    <t>SEC00990</t>
  </si>
  <si>
    <t>Cedar Capital 990</t>
  </si>
  <si>
    <t>SEC00991</t>
  </si>
  <si>
    <t>Alpha Financial 991</t>
  </si>
  <si>
    <t>SEC00992</t>
  </si>
  <si>
    <t>Pioneer Group 992</t>
  </si>
  <si>
    <t>SEC00993</t>
  </si>
  <si>
    <t>Liberty Capital 993</t>
  </si>
  <si>
    <t>SEC00994</t>
  </si>
  <si>
    <t>Orion Technology 994</t>
  </si>
  <si>
    <t>SEC00995</t>
  </si>
  <si>
    <t>Nova Capital 995</t>
  </si>
  <si>
    <t>SEC00996</t>
  </si>
  <si>
    <t>Delta Industries 996</t>
  </si>
  <si>
    <t>SEC00997</t>
  </si>
  <si>
    <t>Delta Capital 997</t>
  </si>
  <si>
    <t>SEC00998</t>
  </si>
  <si>
    <t>Delta Technology 998</t>
  </si>
  <si>
    <t>SEC00999</t>
  </si>
  <si>
    <t>Harbor Group 999</t>
  </si>
  <si>
    <t>SEC01000</t>
  </si>
  <si>
    <t>Alpha Technology 1000</t>
  </si>
  <si>
    <t>SEC01001</t>
  </si>
  <si>
    <t>Harbor Energy 1001</t>
  </si>
  <si>
    <t>SEC01002</t>
  </si>
  <si>
    <t>Atlas Capital 1002</t>
  </si>
  <si>
    <t>SEC01003</t>
  </si>
  <si>
    <t>Harbor Group 1003</t>
  </si>
  <si>
    <t>SEC01004</t>
  </si>
  <si>
    <t>Liberty Financial 1004</t>
  </si>
  <si>
    <t>SEC01005</t>
  </si>
  <si>
    <t>Sterling Energy 1005</t>
  </si>
  <si>
    <t>SEC01006</t>
  </si>
  <si>
    <t>Cedar Markets 1006</t>
  </si>
  <si>
    <t>SEC01007</t>
  </si>
  <si>
    <t>Cedar Fund 1007</t>
  </si>
  <si>
    <t>SEC01008</t>
  </si>
  <si>
    <t>Nova Capital 1008</t>
  </si>
  <si>
    <t>SEC01009</t>
  </si>
  <si>
    <t>Vertex Energy 1009</t>
  </si>
  <si>
    <t>SEC01010</t>
  </si>
  <si>
    <t>Harbor Financial 1010</t>
  </si>
  <si>
    <t>SEC01011</t>
  </si>
  <si>
    <t>Harbor Technology 1011</t>
  </si>
  <si>
    <t>SEC01012</t>
  </si>
  <si>
    <t>Sterling Fund 1012</t>
  </si>
  <si>
    <t>SEC01013</t>
  </si>
  <si>
    <t>Cedar Group 1013</t>
  </si>
  <si>
    <t>SEC01014</t>
  </si>
  <si>
    <t>Alpha Technology 1014</t>
  </si>
  <si>
    <t>SEC01015</t>
  </si>
  <si>
    <t>Nova Group 1015</t>
  </si>
  <si>
    <t>SEC01016</t>
  </si>
  <si>
    <t>Vertex Holdings 1016</t>
  </si>
  <si>
    <t>SEC01017</t>
  </si>
  <si>
    <t>Orion Partners 1017</t>
  </si>
  <si>
    <t>SEC01018</t>
  </si>
  <si>
    <t>Orion Capital 1018</t>
  </si>
  <si>
    <t>SEC01019</t>
  </si>
  <si>
    <t>Nova Financial 1019</t>
  </si>
  <si>
    <t>SEC01020</t>
  </si>
  <si>
    <t>Pioneer Group 1020</t>
  </si>
  <si>
    <t>SEC01021</t>
  </si>
  <si>
    <t>Cedar Markets 1021</t>
  </si>
  <si>
    <t>SEC01022</t>
  </si>
  <si>
    <t>Nova Markets 1022</t>
  </si>
  <si>
    <t>SEC01023</t>
  </si>
  <si>
    <t>Delta Holdings 1023</t>
  </si>
  <si>
    <t>SEC01024</t>
  </si>
  <si>
    <t>Summit Fund 1024</t>
  </si>
  <si>
    <t>SEC01025</t>
  </si>
  <si>
    <t>Pioneer Technology 1025</t>
  </si>
  <si>
    <t>SEC01026</t>
  </si>
  <si>
    <t>Vertex Industries 1026</t>
  </si>
  <si>
    <t>SEC01027</t>
  </si>
  <si>
    <t>Atlas Financial 1027</t>
  </si>
  <si>
    <t>SEC01028</t>
  </si>
  <si>
    <t>Nova Technology 1028</t>
  </si>
  <si>
    <t>SEC01029</t>
  </si>
  <si>
    <t>Nova Group 1029</t>
  </si>
  <si>
    <t>SEC01030</t>
  </si>
  <si>
    <t>Pioneer Capital 1030</t>
  </si>
  <si>
    <t>SEC01031</t>
  </si>
  <si>
    <t>Summit Partners 1031</t>
  </si>
  <si>
    <t>SEC01032</t>
  </si>
  <si>
    <t>Delta Group 1032</t>
  </si>
  <si>
    <t>SEC01033</t>
  </si>
  <si>
    <t>Nova Markets 1033</t>
  </si>
  <si>
    <t>SEC01034</t>
  </si>
  <si>
    <t>Orion Group 1034</t>
  </si>
  <si>
    <t>SEC01035</t>
  </si>
  <si>
    <t>Atlas Capital 1035</t>
  </si>
  <si>
    <t>SEC01036</t>
  </si>
  <si>
    <t>Atlas Partners 1036</t>
  </si>
  <si>
    <t>SEC01037</t>
  </si>
  <si>
    <t>Alpha Fund 1037</t>
  </si>
  <si>
    <t>SEC01038</t>
  </si>
  <si>
    <t>Harbor Capital 1038</t>
  </si>
  <si>
    <t>SEC01039</t>
  </si>
  <si>
    <t>Harbor Financial 1039</t>
  </si>
  <si>
    <t>SEC01040</t>
  </si>
  <si>
    <t>Liberty Fund 1040</t>
  </si>
  <si>
    <t>SEC01041</t>
  </si>
  <si>
    <t>Pioneer Industries 1041</t>
  </si>
  <si>
    <t>SEC01042</t>
  </si>
  <si>
    <t>Liberty Fund 1042</t>
  </si>
  <si>
    <t>SEC01043</t>
  </si>
  <si>
    <t>Atlas Capital 1043</t>
  </si>
  <si>
    <t>SEC01044</t>
  </si>
  <si>
    <t>Liberty Technology 1044</t>
  </si>
  <si>
    <t>SEC01045</t>
  </si>
  <si>
    <t>Nova Group 1045</t>
  </si>
  <si>
    <t>SEC01046</t>
  </si>
  <si>
    <t>Vertex Group 1046</t>
  </si>
  <si>
    <t>SEC01047</t>
  </si>
  <si>
    <t>Liberty Holdings 1047</t>
  </si>
  <si>
    <t>SEC01048</t>
  </si>
  <si>
    <t>Cedar Fund 1048</t>
  </si>
  <si>
    <t>SEC01049</t>
  </si>
  <si>
    <t>Summit Holdings 1049</t>
  </si>
  <si>
    <t>SEC01050</t>
  </si>
  <si>
    <t>Alpha Markets 1050</t>
  </si>
  <si>
    <t>SEC01051</t>
  </si>
  <si>
    <t>Cedar Markets 1051</t>
  </si>
  <si>
    <t>SEC01052</t>
  </si>
  <si>
    <t>Summit Financial 1052</t>
  </si>
  <si>
    <t>SEC01053</t>
  </si>
  <si>
    <t>Alpha Group 1053</t>
  </si>
  <si>
    <t>SEC01054</t>
  </si>
  <si>
    <t>Sterling Partners 1054</t>
  </si>
  <si>
    <t>SEC01055</t>
  </si>
  <si>
    <t>Nova Industries 1055</t>
  </si>
  <si>
    <t>SEC01056</t>
  </si>
  <si>
    <t>Cedar Group 1056</t>
  </si>
  <si>
    <t>SEC01057</t>
  </si>
  <si>
    <t>Cedar Energy 1057</t>
  </si>
  <si>
    <t>SEC01058</t>
  </si>
  <si>
    <t>Pioneer Capital 1058</t>
  </si>
  <si>
    <t>SEC01059</t>
  </si>
  <si>
    <t>Sterling Energy 1059</t>
  </si>
  <si>
    <t>SEC01060</t>
  </si>
  <si>
    <t>Cedar Capital 1060</t>
  </si>
  <si>
    <t>SEC01061</t>
  </si>
  <si>
    <t>Orion Financial 1061</t>
  </si>
  <si>
    <t>SEC01062</t>
  </si>
  <si>
    <t>Vertex Partners 1062</t>
  </si>
  <si>
    <t>SEC01063</t>
  </si>
  <si>
    <t>Alpha Industries 1063</t>
  </si>
  <si>
    <t>SEC01064</t>
  </si>
  <si>
    <t>Delta Capital 1064</t>
  </si>
  <si>
    <t>SEC01065</t>
  </si>
  <si>
    <t>Cedar Holdings 1065</t>
  </si>
  <si>
    <t>SEC01066</t>
  </si>
  <si>
    <t>Nova Technology 1066</t>
  </si>
  <si>
    <t>SEC01067</t>
  </si>
  <si>
    <t>Delta Financial 1067</t>
  </si>
  <si>
    <t>SEC01068</t>
  </si>
  <si>
    <t>Nova Group 1068</t>
  </si>
  <si>
    <t>SEC01069</t>
  </si>
  <si>
    <t>Atlas Technology 1069</t>
  </si>
  <si>
    <t>SEC01070</t>
  </si>
  <si>
    <t>Summit Technology 1070</t>
  </si>
  <si>
    <t>SEC01071</t>
  </si>
  <si>
    <t>Nova Technology 1071</t>
  </si>
  <si>
    <t>SEC01072</t>
  </si>
  <si>
    <t>Pioneer Group 1072</t>
  </si>
  <si>
    <t>SEC01073</t>
  </si>
  <si>
    <t>Liberty Capital 1073</t>
  </si>
  <si>
    <t>SEC01074</t>
  </si>
  <si>
    <t>Harbor Markets 1074</t>
  </si>
  <si>
    <t>SEC01075</t>
  </si>
  <si>
    <t>Liberty Financial 1075</t>
  </si>
  <si>
    <t>SEC01076</t>
  </si>
  <si>
    <t>Delta Energy 1076</t>
  </si>
  <si>
    <t>SEC01077</t>
  </si>
  <si>
    <t>Alpha Group 1077</t>
  </si>
  <si>
    <t>SEC01078</t>
  </si>
  <si>
    <t>Harbor Technology 1078</t>
  </si>
  <si>
    <t>SEC01079</t>
  </si>
  <si>
    <t>Delta Holdings 1079</t>
  </si>
  <si>
    <t>SEC01080</t>
  </si>
  <si>
    <t>Harbor Group 1080</t>
  </si>
  <si>
    <t>SEC01081</t>
  </si>
  <si>
    <t>Delta Industries 1081</t>
  </si>
  <si>
    <t>SEC01082</t>
  </si>
  <si>
    <t>Liberty Group 1082</t>
  </si>
  <si>
    <t>SEC01083</t>
  </si>
  <si>
    <t>Sterling Technology 1083</t>
  </si>
  <si>
    <t>SEC01084</t>
  </si>
  <si>
    <t>Harbor Partners 1084</t>
  </si>
  <si>
    <t>SEC01085</t>
  </si>
  <si>
    <t>Harbor Group 1085</t>
  </si>
  <si>
    <t>SEC01086</t>
  </si>
  <si>
    <t>Delta Markets 1086</t>
  </si>
  <si>
    <t>SEC01087</t>
  </si>
  <si>
    <t>Alpha Markets 1087</t>
  </si>
  <si>
    <t>SEC01088</t>
  </si>
  <si>
    <t>Delta Industries 1088</t>
  </si>
  <si>
    <t>SEC01089</t>
  </si>
  <si>
    <t>Atlas Holdings 1089</t>
  </si>
  <si>
    <t>SEC01090</t>
  </si>
  <si>
    <t>Liberty Group 1090</t>
  </si>
  <si>
    <t>SEC01091</t>
  </si>
  <si>
    <t>Sterling Capital 1091</t>
  </si>
  <si>
    <t>SEC01092</t>
  </si>
  <si>
    <t>Orion Industries 1092</t>
  </si>
  <si>
    <t>SEC01093</t>
  </si>
  <si>
    <t>Cedar Energy 1093</t>
  </si>
  <si>
    <t>SEC01094</t>
  </si>
  <si>
    <t>Alpha Energy 1094</t>
  </si>
  <si>
    <t>SEC01095</t>
  </si>
  <si>
    <t>Atlas Holdings 1095</t>
  </si>
  <si>
    <t>SEC01096</t>
  </si>
  <si>
    <t>Orion Markets 1096</t>
  </si>
  <si>
    <t>SEC01097</t>
  </si>
  <si>
    <t>Delta Markets 1097</t>
  </si>
  <si>
    <t>SEC01098</t>
  </si>
  <si>
    <t>Nova Holdings 1098</t>
  </si>
  <si>
    <t>SEC01099</t>
  </si>
  <si>
    <t>Summit Technology 1099</t>
  </si>
  <si>
    <t>SEC01100</t>
  </si>
  <si>
    <t>Liberty Holdings 1100</t>
  </si>
  <si>
    <t>SEC01101</t>
  </si>
  <si>
    <t>Atlas Group 1101</t>
  </si>
  <si>
    <t>SEC01102</t>
  </si>
  <si>
    <t>Sterling Holdings 1102</t>
  </si>
  <si>
    <t>SEC01103</t>
  </si>
  <si>
    <t>Delta Industries 1103</t>
  </si>
  <si>
    <t>SEC01104</t>
  </si>
  <si>
    <t>Delta Fund 1104</t>
  </si>
  <si>
    <t>SEC01105</t>
  </si>
  <si>
    <t>Atlas Technology 1105</t>
  </si>
  <si>
    <t>SEC01106</t>
  </si>
  <si>
    <t>Orion Markets 1106</t>
  </si>
  <si>
    <t>SEC01107</t>
  </si>
  <si>
    <t>Cedar Holdings 1107</t>
  </si>
  <si>
    <t>SEC01108</t>
  </si>
  <si>
    <t>Vertex Financial 1108</t>
  </si>
  <si>
    <t>SEC01109</t>
  </si>
  <si>
    <t>Delta Fund 1109</t>
  </si>
  <si>
    <t>SEC01110</t>
  </si>
  <si>
    <t>Sterling Holdings 1110</t>
  </si>
  <si>
    <t>SEC01111</t>
  </si>
  <si>
    <t>Delta Holdings 1111</t>
  </si>
  <si>
    <t>SEC01112</t>
  </si>
  <si>
    <t>Nova Group 1112</t>
  </si>
  <si>
    <t>SEC01113</t>
  </si>
  <si>
    <t>Vertex Financial 1113</t>
  </si>
  <si>
    <t>SEC01114</t>
  </si>
  <si>
    <t>Vertex Industries 1114</t>
  </si>
  <si>
    <t>SEC01115</t>
  </si>
  <si>
    <t>Harbor Partners 1115</t>
  </si>
  <si>
    <t>SEC01116</t>
  </si>
  <si>
    <t>Sterling Technology 1116</t>
  </si>
  <si>
    <t>SEC01117</t>
  </si>
  <si>
    <t>Vertex Financial 1117</t>
  </si>
  <si>
    <t>SEC01118</t>
  </si>
  <si>
    <t>Delta Industries 1118</t>
  </si>
  <si>
    <t>SEC01119</t>
  </si>
  <si>
    <t>Liberty Holdings 1119</t>
  </si>
  <si>
    <t>SEC01120</t>
  </si>
  <si>
    <t>Delta Energy 1120</t>
  </si>
  <si>
    <t>SEC01121</t>
  </si>
  <si>
    <t>Cedar Capital 1121</t>
  </si>
  <si>
    <t>SEC01122</t>
  </si>
  <si>
    <t>Summit Capital 1122</t>
  </si>
  <si>
    <t>SEC01123</t>
  </si>
  <si>
    <t>Atlas Partners 1123</t>
  </si>
  <si>
    <t>SEC01124</t>
  </si>
  <si>
    <t>Alpha Holdings 1124</t>
  </si>
  <si>
    <t>SEC01125</t>
  </si>
  <si>
    <t>Cedar Markets 1125</t>
  </si>
  <si>
    <t>SEC01126</t>
  </si>
  <si>
    <t>Sterling Partners 1126</t>
  </si>
  <si>
    <t>SEC01127</t>
  </si>
  <si>
    <t>Atlas Group 1127</t>
  </si>
  <si>
    <t>SEC01128</t>
  </si>
  <si>
    <t>Harbor Industries 1128</t>
  </si>
  <si>
    <t>SEC01129</t>
  </si>
  <si>
    <t>Summit Holdings 1129</t>
  </si>
  <si>
    <t>SEC01130</t>
  </si>
  <si>
    <t>Cedar Capital 1130</t>
  </si>
  <si>
    <t>SEC01131</t>
  </si>
  <si>
    <t>Delta Markets 1131</t>
  </si>
  <si>
    <t>SEC01132</t>
  </si>
  <si>
    <t>Alpha Industries 1132</t>
  </si>
  <si>
    <t>SEC01133</t>
  </si>
  <si>
    <t>Orion Technology 1133</t>
  </si>
  <si>
    <t>SEC01134</t>
  </si>
  <si>
    <t>Harbor Markets 1134</t>
  </si>
  <si>
    <t>SEC01135</t>
  </si>
  <si>
    <t>Cedar Group 1135</t>
  </si>
  <si>
    <t>SEC01136</t>
  </si>
  <si>
    <t>Liberty Partners 1136</t>
  </si>
  <si>
    <t>SEC01137</t>
  </si>
  <si>
    <t>Nova Holdings 1137</t>
  </si>
  <si>
    <t>SEC01138</t>
  </si>
  <si>
    <t>Atlas Markets 1138</t>
  </si>
  <si>
    <t>SEC01139</t>
  </si>
  <si>
    <t>Pioneer Partners 1139</t>
  </si>
  <si>
    <t>SEC01140</t>
  </si>
  <si>
    <t>Alpha Energy 1140</t>
  </si>
  <si>
    <t>SEC01141</t>
  </si>
  <si>
    <t>Harbor Energy 1141</t>
  </si>
  <si>
    <t>SEC01142</t>
  </si>
  <si>
    <t>Pioneer Capital 1142</t>
  </si>
  <si>
    <t>SEC01143</t>
  </si>
  <si>
    <t>Orion Partners 1143</t>
  </si>
  <si>
    <t>SEC01144</t>
  </si>
  <si>
    <t>Nova Energy 1144</t>
  </si>
  <si>
    <t>SEC01145</t>
  </si>
  <si>
    <t>Liberty Financial 1145</t>
  </si>
  <si>
    <t>SEC01146</t>
  </si>
  <si>
    <t>Vertex Industries 1146</t>
  </si>
  <si>
    <t>SEC01147</t>
  </si>
  <si>
    <t>Delta Industries 1147</t>
  </si>
  <si>
    <t>SEC01148</t>
  </si>
  <si>
    <t>Nova Financial 1148</t>
  </si>
  <si>
    <t>SEC01149</t>
  </si>
  <si>
    <t>Harbor Group 1149</t>
  </si>
  <si>
    <t>SEC01150</t>
  </si>
  <si>
    <t>Sterling Fund 1150</t>
  </si>
  <si>
    <t>SEC01151</t>
  </si>
  <si>
    <t>Harbor Capital 1151</t>
  </si>
  <si>
    <t>SEC01152</t>
  </si>
  <si>
    <t>Summit Holdings 1152</t>
  </si>
  <si>
    <t>SEC01153</t>
  </si>
  <si>
    <t>Pioneer Markets 1153</t>
  </si>
  <si>
    <t>SEC01154</t>
  </si>
  <si>
    <t>Orion Holdings 1154</t>
  </si>
  <si>
    <t>SEC01155</t>
  </si>
  <si>
    <t>Atlas Industries 1155</t>
  </si>
  <si>
    <t>SEC01156</t>
  </si>
  <si>
    <t>Atlas Partners 1156</t>
  </si>
  <si>
    <t>SEC01157</t>
  </si>
  <si>
    <t>Atlas Partners 1157</t>
  </si>
  <si>
    <t>SEC01158</t>
  </si>
  <si>
    <t>Cedar Energy 1158</t>
  </si>
  <si>
    <t>SEC01159</t>
  </si>
  <si>
    <t>Orion Energy 1159</t>
  </si>
  <si>
    <t>SEC01160</t>
  </si>
  <si>
    <t>Vertex Markets 1160</t>
  </si>
  <si>
    <t>SEC01161</t>
  </si>
  <si>
    <t>Summit Technology 1161</t>
  </si>
  <si>
    <t>SEC01162</t>
  </si>
  <si>
    <t>Orion Industries 1162</t>
  </si>
  <si>
    <t>SEC01163</t>
  </si>
  <si>
    <t>Nova Group 1163</t>
  </si>
  <si>
    <t>SEC01164</t>
  </si>
  <si>
    <t>Summit Energy 1164</t>
  </si>
  <si>
    <t>SEC01165</t>
  </si>
  <si>
    <t>Orion Technology 1165</t>
  </si>
  <si>
    <t>SEC01166</t>
  </si>
  <si>
    <t>Sterling Partners 1166</t>
  </si>
  <si>
    <t>SEC01167</t>
  </si>
  <si>
    <t>Atlas Partners 1167</t>
  </si>
  <si>
    <t>SEC01168</t>
  </si>
  <si>
    <t>Vertex Financial 1168</t>
  </si>
  <si>
    <t>SEC01169</t>
  </si>
  <si>
    <t>Summit Partners 1169</t>
  </si>
  <si>
    <t>SEC01170</t>
  </si>
  <si>
    <t>Nova Holdings 1170</t>
  </si>
  <si>
    <t>SEC01171</t>
  </si>
  <si>
    <t>Vertex Group 1171</t>
  </si>
  <si>
    <t>SEC01172</t>
  </si>
  <si>
    <t>Summit Markets 1172</t>
  </si>
  <si>
    <t>SEC01173</t>
  </si>
  <si>
    <t>Atlas Industries 1173</t>
  </si>
  <si>
    <t>SEC01174</t>
  </si>
  <si>
    <t>Sterling Capital 1174</t>
  </si>
  <si>
    <t>SEC01175</t>
  </si>
  <si>
    <t>Nova Partners 1175</t>
  </si>
  <si>
    <t>SEC01176</t>
  </si>
  <si>
    <t>Delta Holdings 1176</t>
  </si>
  <si>
    <t>SEC01177</t>
  </si>
  <si>
    <t>Orion Fund 1177</t>
  </si>
  <si>
    <t>SEC01178</t>
  </si>
  <si>
    <t>Liberty Holdings 1178</t>
  </si>
  <si>
    <t>SEC01179</t>
  </si>
  <si>
    <t>Cedar Energy 1179</t>
  </si>
  <si>
    <t>SEC01180</t>
  </si>
  <si>
    <t>Vertex Technology 1180</t>
  </si>
  <si>
    <t>SEC01181</t>
  </si>
  <si>
    <t>Atlas Energy 1181</t>
  </si>
  <si>
    <t>SEC01182</t>
  </si>
  <si>
    <t>Alpha Capital 1182</t>
  </si>
  <si>
    <t>SEC01183</t>
  </si>
  <si>
    <t>Orion Industries 1183</t>
  </si>
  <si>
    <t>SEC01184</t>
  </si>
  <si>
    <t>Liberty Capital 1184</t>
  </si>
  <si>
    <t>SEC01185</t>
  </si>
  <si>
    <t>Sterling Holdings 1185</t>
  </si>
  <si>
    <t>SEC01186</t>
  </si>
  <si>
    <t>Summit Partners 1186</t>
  </si>
  <si>
    <t>SEC01187</t>
  </si>
  <si>
    <t>Alpha Capital 1187</t>
  </si>
  <si>
    <t>SEC01188</t>
  </si>
  <si>
    <t>Orion Fund 1188</t>
  </si>
  <si>
    <t>SEC01189</t>
  </si>
  <si>
    <t>Pioneer Capital 1189</t>
  </si>
  <si>
    <t>SEC01190</t>
  </si>
  <si>
    <t>Pioneer Financial 1190</t>
  </si>
  <si>
    <t>SEC01191</t>
  </si>
  <si>
    <t>Pioneer Holdings 1191</t>
  </si>
  <si>
    <t>SEC01192</t>
  </si>
  <si>
    <t>Cedar Technology 1192</t>
  </si>
  <si>
    <t>SEC01193</t>
  </si>
  <si>
    <t>Atlas Partners 1193</t>
  </si>
  <si>
    <t>SEC01194</t>
  </si>
  <si>
    <t>Vertex Capital 1194</t>
  </si>
  <si>
    <t>SEC01195</t>
  </si>
  <si>
    <t>Harbor Partners 1195</t>
  </si>
  <si>
    <t>SEC01196</t>
  </si>
  <si>
    <t>Harbor Fund 1196</t>
  </si>
  <si>
    <t>SEC01197</t>
  </si>
  <si>
    <t>Harbor Financial 1197</t>
  </si>
  <si>
    <t>SEC01198</t>
  </si>
  <si>
    <t>Pioneer Holdings 1198</t>
  </si>
  <si>
    <t>SEC01199</t>
  </si>
  <si>
    <t>Orion Capital 1199</t>
  </si>
  <si>
    <t>SEC01200</t>
  </si>
  <si>
    <t>Sterling Partners 1200</t>
  </si>
  <si>
    <t>SEC01201</t>
  </si>
  <si>
    <t>Harbor Financial 1201</t>
  </si>
  <si>
    <t>SEC01202</t>
  </si>
  <si>
    <t>Atlas Markets 1202</t>
  </si>
  <si>
    <t>SEC01203</t>
  </si>
  <si>
    <t>Orion Industries 1203</t>
  </si>
  <si>
    <t>SEC01204</t>
  </si>
  <si>
    <t>Nova Partners 1204</t>
  </si>
  <si>
    <t>SEC01205</t>
  </si>
  <si>
    <t>Atlas Group 1205</t>
  </si>
  <si>
    <t>SEC01206</t>
  </si>
  <si>
    <t>Liberty Markets 1206</t>
  </si>
  <si>
    <t>SEC01207</t>
  </si>
  <si>
    <t>Cedar Financial 1207</t>
  </si>
  <si>
    <t>SEC01208</t>
  </si>
  <si>
    <t>Orion Technology 1208</t>
  </si>
  <si>
    <t>SEC01209</t>
  </si>
  <si>
    <t>Cedar Markets 1209</t>
  </si>
  <si>
    <t>SEC01210</t>
  </si>
  <si>
    <t>Harbor Capital 1210</t>
  </si>
  <si>
    <t>SEC01211</t>
  </si>
  <si>
    <t>Delta Technology 1211</t>
  </si>
  <si>
    <t>SEC01212</t>
  </si>
  <si>
    <t>Liberty Holdings 1212</t>
  </si>
  <si>
    <t>SEC01213</t>
  </si>
  <si>
    <t>Harbor Technology 1213</t>
  </si>
  <si>
    <t>SEC01214</t>
  </si>
  <si>
    <t>Vertex Markets 1214</t>
  </si>
  <si>
    <t>SEC01215</t>
  </si>
  <si>
    <t>Harbor Industries 1215</t>
  </si>
  <si>
    <t>SEC01216</t>
  </si>
  <si>
    <t>Vertex Technology 1216</t>
  </si>
  <si>
    <t>SEC01217</t>
  </si>
  <si>
    <t>Sterling Fund 1217</t>
  </si>
  <si>
    <t>SEC01218</t>
  </si>
  <si>
    <t>Vertex Technology 1218</t>
  </si>
  <si>
    <t>SEC01219</t>
  </si>
  <si>
    <t>Sterling Partners 1219</t>
  </si>
  <si>
    <t>SEC01220</t>
  </si>
  <si>
    <t>Cedar Fund 1220</t>
  </si>
  <si>
    <t>SEC01221</t>
  </si>
  <si>
    <t>Harbor Fund 1221</t>
  </si>
  <si>
    <t>SEC01222</t>
  </si>
  <si>
    <t>Nova Industries 1222</t>
  </si>
  <si>
    <t>SEC01223</t>
  </si>
  <si>
    <t>Nova Capital 1223</t>
  </si>
  <si>
    <t>SEC01224</t>
  </si>
  <si>
    <t>Orion Capital 1224</t>
  </si>
  <si>
    <t>SEC01225</t>
  </si>
  <si>
    <t>Vertex Holdings 1225</t>
  </si>
  <si>
    <t>SEC01226</t>
  </si>
  <si>
    <t>Alpha Financial 1226</t>
  </si>
  <si>
    <t>SEC01227</t>
  </si>
  <si>
    <t>Liberty Fund 1227</t>
  </si>
  <si>
    <t>SEC01228</t>
  </si>
  <si>
    <t>Nova Financial 1228</t>
  </si>
  <si>
    <t>SEC01229</t>
  </si>
  <si>
    <t>Sterling Energy 1229</t>
  </si>
  <si>
    <t>SEC01230</t>
  </si>
  <si>
    <t>Harbor Fund 1230</t>
  </si>
  <si>
    <t>SEC01231</t>
  </si>
  <si>
    <t>Alpha Group 1231</t>
  </si>
  <si>
    <t>SEC01232</t>
  </si>
  <si>
    <t>Alpha Financial 1232</t>
  </si>
  <si>
    <t>SEC01233</t>
  </si>
  <si>
    <t>Delta Financial 1233</t>
  </si>
  <si>
    <t>SEC01234</t>
  </si>
  <si>
    <t>Atlas Industries 1234</t>
  </si>
  <si>
    <t>SEC01235</t>
  </si>
  <si>
    <t>Delta Fund 1235</t>
  </si>
  <si>
    <t>SEC01236</t>
  </si>
  <si>
    <t>Vertex Financial 1236</t>
  </si>
  <si>
    <t>SEC01237</t>
  </si>
  <si>
    <t>Atlas Fund 1237</t>
  </si>
  <si>
    <t>SEC01238</t>
  </si>
  <si>
    <t>Cedar Financial 1238</t>
  </si>
  <si>
    <t>SEC01239</t>
  </si>
  <si>
    <t>Sterling Markets 1239</t>
  </si>
  <si>
    <t>SEC01240</t>
  </si>
  <si>
    <t>Orion Holdings 1240</t>
  </si>
  <si>
    <t>SEC01241</t>
  </si>
  <si>
    <t>Harbor Markets 1241</t>
  </si>
  <si>
    <t>SEC01242</t>
  </si>
  <si>
    <t>Summit Energy 1242</t>
  </si>
  <si>
    <t>SEC01243</t>
  </si>
  <si>
    <t>Cedar Partners 1243</t>
  </si>
  <si>
    <t>SEC01244</t>
  </si>
  <si>
    <t>Liberty Partners 1244</t>
  </si>
  <si>
    <t>SEC01245</t>
  </si>
  <si>
    <t>Summit Capital 1245</t>
  </si>
  <si>
    <t>SEC01246</t>
  </si>
  <si>
    <t>Harbor Holdings 1246</t>
  </si>
  <si>
    <t>SEC01247</t>
  </si>
  <si>
    <t>Alpha Markets 1247</t>
  </si>
  <si>
    <t>SEC01248</t>
  </si>
  <si>
    <t>Harbor Technology 1248</t>
  </si>
  <si>
    <t>SEC01249</t>
  </si>
  <si>
    <t>Sterling Markets 1249</t>
  </si>
  <si>
    <t>SEC01250</t>
  </si>
  <si>
    <t>Orion Fund 1250</t>
  </si>
  <si>
    <t>SEC01251</t>
  </si>
  <si>
    <t>Orion Partners 1251</t>
  </si>
  <si>
    <t>SEC01252</t>
  </si>
  <si>
    <t>Atlas Financial 1252</t>
  </si>
  <si>
    <t>SEC01253</t>
  </si>
  <si>
    <t>Atlas Fund 1253</t>
  </si>
  <si>
    <t>SEC01254</t>
  </si>
  <si>
    <t>Nova Financial 1254</t>
  </si>
  <si>
    <t>SEC01255</t>
  </si>
  <si>
    <t>Vertex Industries 1255</t>
  </si>
  <si>
    <t>SEC01256</t>
  </si>
  <si>
    <t>Alpha Energy 1256</t>
  </si>
  <si>
    <t>SEC01257</t>
  </si>
  <si>
    <t>Cedar Capital 1257</t>
  </si>
  <si>
    <t>SEC01258</t>
  </si>
  <si>
    <t>Sterling Holdings 1258</t>
  </si>
  <si>
    <t>SEC01259</t>
  </si>
  <si>
    <t>Nova Partners 1259</t>
  </si>
  <si>
    <t>SEC01260</t>
  </si>
  <si>
    <t>Liberty Markets 1260</t>
  </si>
  <si>
    <t>SEC01261</t>
  </si>
  <si>
    <t>Vertex Partners 1261</t>
  </si>
  <si>
    <t>SEC01262</t>
  </si>
  <si>
    <t>Nova Technology 1262</t>
  </si>
  <si>
    <t>SEC01263</t>
  </si>
  <si>
    <t>Vertex Group 1263</t>
  </si>
  <si>
    <t>SEC01264</t>
  </si>
  <si>
    <t>Alpha Fund 1264</t>
  </si>
  <si>
    <t>SEC01265</t>
  </si>
  <si>
    <t>Vertex Energy 1265</t>
  </si>
  <si>
    <t>SEC01266</t>
  </si>
  <si>
    <t>Sterling Holdings 1266</t>
  </si>
  <si>
    <t>SEC01267</t>
  </si>
  <si>
    <t>Summit Capital 1267</t>
  </si>
  <si>
    <t>SEC01268</t>
  </si>
  <si>
    <t>Cedar Holdings 1268</t>
  </si>
  <si>
    <t>SEC01269</t>
  </si>
  <si>
    <t>Summit Holdings 1269</t>
  </si>
  <si>
    <t>SEC01270</t>
  </si>
  <si>
    <t>Delta Capital 1270</t>
  </si>
  <si>
    <t>SEC01271</t>
  </si>
  <si>
    <t>Alpha Group 1271</t>
  </si>
  <si>
    <t>SEC01272</t>
  </si>
  <si>
    <t>Harbor Industries 1272</t>
  </si>
  <si>
    <t>SEC01273</t>
  </si>
  <si>
    <t>Harbor Holdings 1273</t>
  </si>
  <si>
    <t>SEC01274</t>
  </si>
  <si>
    <t>Vertex Financial 1274</t>
  </si>
  <si>
    <t>SEC01275</t>
  </si>
  <si>
    <t>Pioneer Fund 1275</t>
  </si>
  <si>
    <t>SEC01276</t>
  </si>
  <si>
    <t>Cedar Industries 1276</t>
  </si>
  <si>
    <t>SEC01277</t>
  </si>
  <si>
    <t>Orion Holdings 1277</t>
  </si>
  <si>
    <t>SEC01278</t>
  </si>
  <si>
    <t>Delta Holdings 1278</t>
  </si>
  <si>
    <t>SEC01279</t>
  </si>
  <si>
    <t>Harbor Markets 1279</t>
  </si>
  <si>
    <t>SEC01280</t>
  </si>
  <si>
    <t>Delta Technology 1280</t>
  </si>
  <si>
    <t>SEC01281</t>
  </si>
  <si>
    <t>Nova Holdings 1281</t>
  </si>
  <si>
    <t>SEC01282</t>
  </si>
  <si>
    <t>Vertex Capital 1282</t>
  </si>
  <si>
    <t>SEC01283</t>
  </si>
  <si>
    <t>Liberty Partners 1283</t>
  </si>
  <si>
    <t>SEC01284</t>
  </si>
  <si>
    <t>Pioneer Markets 1284</t>
  </si>
  <si>
    <t>SEC01285</t>
  </si>
  <si>
    <t>Summit Holdings 1285</t>
  </si>
  <si>
    <t>SEC01286</t>
  </si>
  <si>
    <t>Nova Holdings 1286</t>
  </si>
  <si>
    <t>SEC01287</t>
  </si>
  <si>
    <t>Liberty Group 1287</t>
  </si>
  <si>
    <t>SEC01288</t>
  </si>
  <si>
    <t>Pioneer Fund 1288</t>
  </si>
  <si>
    <t>SEC01289</t>
  </si>
  <si>
    <t>Cedar Group 1289</t>
  </si>
  <si>
    <t>SEC01290</t>
  </si>
  <si>
    <t>Orion Holdings 1290</t>
  </si>
  <si>
    <t>SEC01291</t>
  </si>
  <si>
    <t>Vertex Group 1291</t>
  </si>
  <si>
    <t>SEC01292</t>
  </si>
  <si>
    <t>Cedar Fund 1292</t>
  </si>
  <si>
    <t>SEC01293</t>
  </si>
  <si>
    <t>Liberty Technology 1293</t>
  </si>
  <si>
    <t>SEC01294</t>
  </si>
  <si>
    <t>Cedar Group 1294</t>
  </si>
  <si>
    <t>SEC01295</t>
  </si>
  <si>
    <t>Nova Financial 1295</t>
  </si>
  <si>
    <t>SEC01296</t>
  </si>
  <si>
    <t>Alpha Markets 1296</t>
  </si>
  <si>
    <t>SEC01297</t>
  </si>
  <si>
    <t>Harbor Technology 1297</t>
  </si>
  <si>
    <t>SEC01298</t>
  </si>
  <si>
    <t>Atlas Markets 1298</t>
  </si>
  <si>
    <t>SEC01299</t>
  </si>
  <si>
    <t>Atlas Financial 1299</t>
  </si>
  <si>
    <t>SEC01300</t>
  </si>
  <si>
    <t>Sterling Energy 1300</t>
  </si>
  <si>
    <t>SEC01301</t>
  </si>
  <si>
    <t>Summit Industries 1301</t>
  </si>
  <si>
    <t>SEC01302</t>
  </si>
  <si>
    <t>Nova Technology 1302</t>
  </si>
  <si>
    <t>SEC01303</t>
  </si>
  <si>
    <t>Atlas Partners 1303</t>
  </si>
  <si>
    <t>SEC01304</t>
  </si>
  <si>
    <t>Orion Financial 1304</t>
  </si>
  <si>
    <t>SEC01305</t>
  </si>
  <si>
    <t>Sterling Capital 1305</t>
  </si>
  <si>
    <t>SEC01306</t>
  </si>
  <si>
    <t>Atlas Financial 1306</t>
  </si>
  <si>
    <t>SEC01307</t>
  </si>
  <si>
    <t>Nova Holdings 1307</t>
  </si>
  <si>
    <t>SEC01308</t>
  </si>
  <si>
    <t>Pioneer Holdings 1308</t>
  </si>
  <si>
    <t>SEC01309</t>
  </si>
  <si>
    <t>Vertex Holdings 1309</t>
  </si>
  <si>
    <t>SEC01310</t>
  </si>
  <si>
    <t>Summit Group 1310</t>
  </si>
  <si>
    <t>SEC01311</t>
  </si>
  <si>
    <t>Cedar Partners 1311</t>
  </si>
  <si>
    <t>SEC01312</t>
  </si>
  <si>
    <t>Atlas Group 1312</t>
  </si>
  <si>
    <t>SEC01313</t>
  </si>
  <si>
    <t>Pioneer Group 1313</t>
  </si>
  <si>
    <t>SEC01314</t>
  </si>
  <si>
    <t>Cedar Partners 1314</t>
  </si>
  <si>
    <t>SEC01315</t>
  </si>
  <si>
    <t>Vertex Group 1315</t>
  </si>
  <si>
    <t>SEC01316</t>
  </si>
  <si>
    <t>Summit Technology 1316</t>
  </si>
  <si>
    <t>SEC01317</t>
  </si>
  <si>
    <t>Orion Partners 1317</t>
  </si>
  <si>
    <t>SEC01318</t>
  </si>
  <si>
    <t>Atlas Technology 1318</t>
  </si>
  <si>
    <t>SEC01319</t>
  </si>
  <si>
    <t>Delta Capital 1319</t>
  </si>
  <si>
    <t>SEC01320</t>
  </si>
  <si>
    <t>Orion Markets 1320</t>
  </si>
  <si>
    <t>SEC01321</t>
  </si>
  <si>
    <t>Cedar Capital 1321</t>
  </si>
  <si>
    <t>SEC01322</t>
  </si>
  <si>
    <t>Harbor Energy 1322</t>
  </si>
  <si>
    <t>SEC01323</t>
  </si>
  <si>
    <t>Alpha Industries 1323</t>
  </si>
  <si>
    <t>SEC01324</t>
  </si>
  <si>
    <t>Harbor Group 1324</t>
  </si>
  <si>
    <t>SEC01325</t>
  </si>
  <si>
    <t>Pioneer Group 1325</t>
  </si>
  <si>
    <t>SEC01326</t>
  </si>
  <si>
    <t>Sterling Markets 1326</t>
  </si>
  <si>
    <t>SEC01327</t>
  </si>
  <si>
    <t>Delta Holdings 1327</t>
  </si>
  <si>
    <t>SEC01328</t>
  </si>
  <si>
    <t>Cedar Financial 1328</t>
  </si>
  <si>
    <t>SEC01329</t>
  </si>
  <si>
    <t>Summit Partners 1329</t>
  </si>
  <si>
    <t>SEC01330</t>
  </si>
  <si>
    <t>Cedar Group 1330</t>
  </si>
  <si>
    <t>SEC01331</t>
  </si>
  <si>
    <t>Harbor Energy 1331</t>
  </si>
  <si>
    <t>SEC01332</t>
  </si>
  <si>
    <t>Sterling Group 1332</t>
  </si>
  <si>
    <t>SEC01333</t>
  </si>
  <si>
    <t>Cedar Technology 1333</t>
  </si>
  <si>
    <t>SEC01334</t>
  </si>
  <si>
    <t>Cedar Partners 1334</t>
  </si>
  <si>
    <t>SEC01335</t>
  </si>
  <si>
    <t>Vertex Markets 1335</t>
  </si>
  <si>
    <t>SEC01336</t>
  </si>
  <si>
    <t>Summit Capital 1336</t>
  </si>
  <si>
    <t>SEC01337</t>
  </si>
  <si>
    <t>Vertex Energy 1337</t>
  </si>
  <si>
    <t>SEC01338</t>
  </si>
  <si>
    <t>Summit Technology 1338</t>
  </si>
  <si>
    <t>SEC01339</t>
  </si>
  <si>
    <t>Cedar Energy 1339</t>
  </si>
  <si>
    <t>SEC01340</t>
  </si>
  <si>
    <t>Orion Financial 1340</t>
  </si>
  <si>
    <t>SEC01341</t>
  </si>
  <si>
    <t>Nova Group 1341</t>
  </si>
  <si>
    <t>SEC01342</t>
  </si>
  <si>
    <t>Sterling Fund 1342</t>
  </si>
  <si>
    <t>SEC01343</t>
  </si>
  <si>
    <t>Nova Partners 1343</t>
  </si>
  <si>
    <t>SEC01344</t>
  </si>
  <si>
    <t>Alpha Financial 1344</t>
  </si>
  <si>
    <t>SEC01345</t>
  </si>
  <si>
    <t>Nova Fund 1345</t>
  </si>
  <si>
    <t>SEC01346</t>
  </si>
  <si>
    <t>Harbor Capital 1346</t>
  </si>
  <si>
    <t>SEC01347</t>
  </si>
  <si>
    <t>Alpha Fund 1347</t>
  </si>
  <si>
    <t>SEC01348</t>
  </si>
  <si>
    <t>Nova Group 1348</t>
  </si>
  <si>
    <t>SEC01349</t>
  </si>
  <si>
    <t>Harbor Holdings 1349</t>
  </si>
  <si>
    <t>SEC01350</t>
  </si>
  <si>
    <t>Vertex Fund 1350</t>
  </si>
  <si>
    <t>SEC01351</t>
  </si>
  <si>
    <t>Alpha Technology 1351</t>
  </si>
  <si>
    <t>SEC01352</t>
  </si>
  <si>
    <t>Alpha Partners 1352</t>
  </si>
  <si>
    <t>SEC01353</t>
  </si>
  <si>
    <t>Orion Industries 1353</t>
  </si>
  <si>
    <t>SEC01354</t>
  </si>
  <si>
    <t>Orion Fund 1354</t>
  </si>
  <si>
    <t>SEC01355</t>
  </si>
  <si>
    <t>Nova Partners 1355</t>
  </si>
  <si>
    <t>SEC01356</t>
  </si>
  <si>
    <t>Alpha Energy 1356</t>
  </si>
  <si>
    <t>SEC01357</t>
  </si>
  <si>
    <t>Alpha Markets 1357</t>
  </si>
  <si>
    <t>SEC01358</t>
  </si>
  <si>
    <t>Pioneer Holdings 1358</t>
  </si>
  <si>
    <t>SEC01359</t>
  </si>
  <si>
    <t>Harbor Industries 1359</t>
  </si>
  <si>
    <t>SEC01360</t>
  </si>
  <si>
    <t>Atlas Partners 1360</t>
  </si>
  <si>
    <t>SEC01361</t>
  </si>
  <si>
    <t>Orion Capital 1361</t>
  </si>
  <si>
    <t>SEC01362</t>
  </si>
  <si>
    <t>Liberty Industries 1362</t>
  </si>
  <si>
    <t>SEC01363</t>
  </si>
  <si>
    <t>Vertex Energy 1363</t>
  </si>
  <si>
    <t>SEC01364</t>
  </si>
  <si>
    <t>Sterling Capital 1364</t>
  </si>
  <si>
    <t>SEC01365</t>
  </si>
  <si>
    <t>Vertex Technology 1365</t>
  </si>
  <si>
    <t>SEC01366</t>
  </si>
  <si>
    <t>Sterling Holdings 1366</t>
  </si>
  <si>
    <t>SEC01367</t>
  </si>
  <si>
    <t>Summit Technology 1367</t>
  </si>
  <si>
    <t>SEC01368</t>
  </si>
  <si>
    <t>Delta Industries 1368</t>
  </si>
  <si>
    <t>SEC01369</t>
  </si>
  <si>
    <t>Liberty Capital 1369</t>
  </si>
  <si>
    <t>SEC01370</t>
  </si>
  <si>
    <t>Delta Capital 1370</t>
  </si>
  <si>
    <t>SEC01371</t>
  </si>
  <si>
    <t>Vertex Energy 1371</t>
  </si>
  <si>
    <t>SEC01372</t>
  </si>
  <si>
    <t>Vertex Industries 1372</t>
  </si>
  <si>
    <t>SEC01373</t>
  </si>
  <si>
    <t>Delta Group 1373</t>
  </si>
  <si>
    <t>SEC01374</t>
  </si>
  <si>
    <t>Orion Markets 1374</t>
  </si>
  <si>
    <t>SEC01375</t>
  </si>
  <si>
    <t>Orion Holdings 1375</t>
  </si>
  <si>
    <t>SEC01376</t>
  </si>
  <si>
    <t>Nova Fund 1376</t>
  </si>
  <si>
    <t>SEC01377</t>
  </si>
  <si>
    <t>Alpha Technology 1377</t>
  </si>
  <si>
    <t>SEC01378</t>
  </si>
  <si>
    <t>Pioneer Partners 1378</t>
  </si>
  <si>
    <t>SEC01379</t>
  </si>
  <si>
    <t>Pioneer Industries 1379</t>
  </si>
  <si>
    <t>SEC01380</t>
  </si>
  <si>
    <t>Orion Industries 1380</t>
  </si>
  <si>
    <t>SEC01381</t>
  </si>
  <si>
    <t>Liberty Financial 1381</t>
  </si>
  <si>
    <t>SEC01382</t>
  </si>
  <si>
    <t>Cedar Fund 1382</t>
  </si>
  <si>
    <t>SEC01383</t>
  </si>
  <si>
    <t>Vertex Group 1383</t>
  </si>
  <si>
    <t>SEC01384</t>
  </si>
  <si>
    <t>Vertex Capital 1384</t>
  </si>
  <si>
    <t>SEC01385</t>
  </si>
  <si>
    <t>Alpha Industries 1385</t>
  </si>
  <si>
    <t>SEC01386</t>
  </si>
  <si>
    <t>Vertex Partners 1386</t>
  </si>
  <si>
    <t>SEC01387</t>
  </si>
  <si>
    <t>Cedar Group 1387</t>
  </si>
  <si>
    <t>SEC01388</t>
  </si>
  <si>
    <t>Alpha Energy 1388</t>
  </si>
  <si>
    <t>SEC01389</t>
  </si>
  <si>
    <t>Pioneer Holdings 1389</t>
  </si>
  <si>
    <t>SEC01390</t>
  </si>
  <si>
    <t>Summit Industries 1390</t>
  </si>
  <si>
    <t>SEC01391</t>
  </si>
  <si>
    <t>Nova Capital 1391</t>
  </si>
  <si>
    <t>SEC01392</t>
  </si>
  <si>
    <t>Delta Financial 1392</t>
  </si>
  <si>
    <t>SEC01393</t>
  </si>
  <si>
    <t>Delta Markets 1393</t>
  </si>
  <si>
    <t>SEC01394</t>
  </si>
  <si>
    <t>Delta Technology 1394</t>
  </si>
  <si>
    <t>SEC01395</t>
  </si>
  <si>
    <t>Summit Markets 1395</t>
  </si>
  <si>
    <t>SEC01396</t>
  </si>
  <si>
    <t>Atlas Capital 1396</t>
  </si>
  <si>
    <t>SEC01397</t>
  </si>
  <si>
    <t>Summit Fund 1397</t>
  </si>
  <si>
    <t>SEC01398</t>
  </si>
  <si>
    <t>Pioneer Capital 1398</t>
  </si>
  <si>
    <t>SEC01399</t>
  </si>
  <si>
    <t>Delta Capital 1399</t>
  </si>
  <si>
    <t>SEC01400</t>
  </si>
  <si>
    <t>Vertex Industries 1400</t>
  </si>
  <si>
    <t>SEC01401</t>
  </si>
  <si>
    <t>Pioneer Financial 1401</t>
  </si>
  <si>
    <t>SEC01402</t>
  </si>
  <si>
    <t>Pioneer Group 1402</t>
  </si>
  <si>
    <t>SEC01403</t>
  </si>
  <si>
    <t>Cedar Industries 1403</t>
  </si>
  <si>
    <t>SEC01404</t>
  </si>
  <si>
    <t>Vertex Partners 1404</t>
  </si>
  <si>
    <t>SEC01405</t>
  </si>
  <si>
    <t>Summit Financial 1405</t>
  </si>
  <si>
    <t>SEC01406</t>
  </si>
  <si>
    <t>Nova Markets 1406</t>
  </si>
  <si>
    <t>SEC01407</t>
  </si>
  <si>
    <t>Nova Capital 1407</t>
  </si>
  <si>
    <t>SEC01408</t>
  </si>
  <si>
    <t>Pioneer Holdings 1408</t>
  </si>
  <si>
    <t>SEC01409</t>
  </si>
  <si>
    <t>Cedar Markets 1409</t>
  </si>
  <si>
    <t>SEC01410</t>
  </si>
  <si>
    <t>Orion Financial 1410</t>
  </si>
  <si>
    <t>SEC01411</t>
  </si>
  <si>
    <t>Pioneer Fund 1411</t>
  </si>
  <si>
    <t>SEC01412</t>
  </si>
  <si>
    <t>Vertex Holdings 1412</t>
  </si>
  <si>
    <t>SEC01413</t>
  </si>
  <si>
    <t>Orion Holdings 1413</t>
  </si>
  <si>
    <t>SEC01414</t>
  </si>
  <si>
    <t>Vertex Energy 1414</t>
  </si>
  <si>
    <t>SEC01415</t>
  </si>
  <si>
    <t>Liberty Markets 1415</t>
  </si>
  <si>
    <t>SEC01416</t>
  </si>
  <si>
    <t>Alpha Holdings 1416</t>
  </si>
  <si>
    <t>SEC01417</t>
  </si>
  <si>
    <t>Cedar Group 1417</t>
  </si>
  <si>
    <t>SEC01418</t>
  </si>
  <si>
    <t>Pioneer Fund 1418</t>
  </si>
  <si>
    <t>SEC01419</t>
  </si>
  <si>
    <t>Summit Financial 1419</t>
  </si>
  <si>
    <t>SEC01420</t>
  </si>
  <si>
    <t>Sterling Financial 1420</t>
  </si>
  <si>
    <t>SEC01421</t>
  </si>
  <si>
    <t>Delta Technology 1421</t>
  </si>
  <si>
    <t>SEC01422</t>
  </si>
  <si>
    <t>Harbor Technology 1422</t>
  </si>
  <si>
    <t>SEC01423</t>
  </si>
  <si>
    <t>Vertex Financial 1423</t>
  </si>
  <si>
    <t>SEC01424</t>
  </si>
  <si>
    <t>Pioneer Capital 1424</t>
  </si>
  <si>
    <t>SEC01425</t>
  </si>
  <si>
    <t>Alpha Group 1425</t>
  </si>
  <si>
    <t>SEC01426</t>
  </si>
  <si>
    <t>Delta Technology 1426</t>
  </si>
  <si>
    <t>SEC01427</t>
  </si>
  <si>
    <t>Nova Markets 1427</t>
  </si>
  <si>
    <t>SEC01428</t>
  </si>
  <si>
    <t>Atlas Fund 1428</t>
  </si>
  <si>
    <t>SEC01429</t>
  </si>
  <si>
    <t>Delta Markets 1429</t>
  </si>
  <si>
    <t>SEC01430</t>
  </si>
  <si>
    <t>Vertex Fund 1430</t>
  </si>
  <si>
    <t>SEC01431</t>
  </si>
  <si>
    <t>Summit Group 1431</t>
  </si>
  <si>
    <t>SEC01432</t>
  </si>
  <si>
    <t>Cedar Fund 1432</t>
  </si>
  <si>
    <t>SEC01433</t>
  </si>
  <si>
    <t>Atlas Group 1433</t>
  </si>
  <si>
    <t>SEC01434</t>
  </si>
  <si>
    <t>Alpha Fund 1434</t>
  </si>
  <si>
    <t>SEC01435</t>
  </si>
  <si>
    <t>Orion Technology 1435</t>
  </si>
  <si>
    <t>SEC01436</t>
  </si>
  <si>
    <t>Vertex Capital 1436</t>
  </si>
  <si>
    <t>SEC01437</t>
  </si>
  <si>
    <t>Nova Capital 1437</t>
  </si>
  <si>
    <t>SEC01438</t>
  </si>
  <si>
    <t>Liberty Fund 1438</t>
  </si>
  <si>
    <t>SEC01439</t>
  </si>
  <si>
    <t>Sterling Fund 1439</t>
  </si>
  <si>
    <t>SEC01440</t>
  </si>
  <si>
    <t>Orion Capital 1440</t>
  </si>
  <si>
    <t>SEC01441</t>
  </si>
  <si>
    <t>Vertex Technology 1441</t>
  </si>
  <si>
    <t>SEC01442</t>
  </si>
  <si>
    <t>Pioneer Financial 1442</t>
  </si>
  <si>
    <t>SEC01443</t>
  </si>
  <si>
    <t>Summit Holdings 1443</t>
  </si>
  <si>
    <t>SEC01444</t>
  </si>
  <si>
    <t>Delta Financial 1444</t>
  </si>
  <si>
    <t>SEC01445</t>
  </si>
  <si>
    <t>Alpha Industries 1445</t>
  </si>
  <si>
    <t>SEC01446</t>
  </si>
  <si>
    <t>Cedar Group 1446</t>
  </si>
  <si>
    <t>SEC01447</t>
  </si>
  <si>
    <t>Liberty Industries 1447</t>
  </si>
  <si>
    <t>SEC01448</t>
  </si>
  <si>
    <t>Vertex Energy 1448</t>
  </si>
  <si>
    <t>SEC01449</t>
  </si>
  <si>
    <t>Sterling Group 1449</t>
  </si>
  <si>
    <t>SEC01450</t>
  </si>
  <si>
    <t>Liberty Financial 1450</t>
  </si>
  <si>
    <t>SEC01451</t>
  </si>
  <si>
    <t>Alpha Fund 1451</t>
  </si>
  <si>
    <t>SEC01452</t>
  </si>
  <si>
    <t>Summit Holdings 1452</t>
  </si>
  <si>
    <t>SEC01453</t>
  </si>
  <si>
    <t>Cedar Industries 1453</t>
  </si>
  <si>
    <t>SEC01454</t>
  </si>
  <si>
    <t>Delta Energy 1454</t>
  </si>
  <si>
    <t>SEC01455</t>
  </si>
  <si>
    <t>Sterling Industries 1455</t>
  </si>
  <si>
    <t>SEC01456</t>
  </si>
  <si>
    <t>Cedar Holdings 1456</t>
  </si>
  <si>
    <t>SEC01457</t>
  </si>
  <si>
    <t>Sterling Technology 1457</t>
  </si>
  <si>
    <t>SEC01458</t>
  </si>
  <si>
    <t>Liberty Holdings 1458</t>
  </si>
  <si>
    <t>SEC01459</t>
  </si>
  <si>
    <t>Alpha Energy 1459</t>
  </si>
  <si>
    <t>SEC01460</t>
  </si>
  <si>
    <t>Vertex Industries 1460</t>
  </si>
  <si>
    <t>SEC01461</t>
  </si>
  <si>
    <t>Cedar Energy 1461</t>
  </si>
  <si>
    <t>SEC01462</t>
  </si>
  <si>
    <t>Summit Partners 1462</t>
  </si>
  <si>
    <t>SEC01463</t>
  </si>
  <si>
    <t>Nova Industries 1463</t>
  </si>
  <si>
    <t>SEC01464</t>
  </si>
  <si>
    <t>Sterling Technology 1464</t>
  </si>
  <si>
    <t>SEC01465</t>
  </si>
  <si>
    <t>Liberty Partners 1465</t>
  </si>
  <si>
    <t>SEC01466</t>
  </si>
  <si>
    <t>Liberty Capital 1466</t>
  </si>
  <si>
    <t>SEC01467</t>
  </si>
  <si>
    <t>Nova Energy 1467</t>
  </si>
  <si>
    <t>SEC01468</t>
  </si>
  <si>
    <t>Delta Fund 1468</t>
  </si>
  <si>
    <t>SEC01469</t>
  </si>
  <si>
    <t>Harbor Partners 1469</t>
  </si>
  <si>
    <t>SEC01470</t>
  </si>
  <si>
    <t>Harbor Fund 1470</t>
  </si>
  <si>
    <t>SEC01471</t>
  </si>
  <si>
    <t>Summit Capital 1471</t>
  </si>
  <si>
    <t>SEC01472</t>
  </si>
  <si>
    <t>Vertex Industries 1472</t>
  </si>
  <si>
    <t>SEC01473</t>
  </si>
  <si>
    <t>Pioneer Capital 1473</t>
  </si>
  <si>
    <t>SEC01474</t>
  </si>
  <si>
    <t>Cedar Financial 1474</t>
  </si>
  <si>
    <t>SEC01475</t>
  </si>
  <si>
    <t>Vertex Holdings 1475</t>
  </si>
  <si>
    <t>SEC01476</t>
  </si>
  <si>
    <t>Nova Capital 1476</t>
  </si>
  <si>
    <t>SEC01477</t>
  </si>
  <si>
    <t>Atlas Capital 1477</t>
  </si>
  <si>
    <t>SEC01478</t>
  </si>
  <si>
    <t>Summit Industries 1478</t>
  </si>
  <si>
    <t>SEC01479</t>
  </si>
  <si>
    <t>Delta Capital 1479</t>
  </si>
  <si>
    <t>SEC01480</t>
  </si>
  <si>
    <t>Atlas Group 1480</t>
  </si>
  <si>
    <t>SEC01481</t>
  </si>
  <si>
    <t>Harbor Energy 1481</t>
  </si>
  <si>
    <t>SEC01482</t>
  </si>
  <si>
    <t>Harbor Technology 1482</t>
  </si>
  <si>
    <t>SEC01483</t>
  </si>
  <si>
    <t>Orion Industries 1483</t>
  </si>
  <si>
    <t>SEC01484</t>
  </si>
  <si>
    <t>Liberty Technology 1484</t>
  </si>
  <si>
    <t>SEC01485</t>
  </si>
  <si>
    <t>Alpha Fund 1485</t>
  </si>
  <si>
    <t>SEC01486</t>
  </si>
  <si>
    <t>Pioneer Energy 1486</t>
  </si>
  <si>
    <t>SEC01487</t>
  </si>
  <si>
    <t>Nova Partners 1487</t>
  </si>
  <si>
    <t>SEC01488</t>
  </si>
  <si>
    <t>Summit Industries 1488</t>
  </si>
  <si>
    <t>SEC01489</t>
  </si>
  <si>
    <t>Liberty Industries 1489</t>
  </si>
  <si>
    <t>SEC01490</t>
  </si>
  <si>
    <t>Vertex Technology 1490</t>
  </si>
  <si>
    <t>SEC01491</t>
  </si>
  <si>
    <t>Liberty Capital 1491</t>
  </si>
  <si>
    <t>SEC01492</t>
  </si>
  <si>
    <t>Pioneer Energy 1492</t>
  </si>
  <si>
    <t>SEC01493</t>
  </si>
  <si>
    <t>Nova Fund 1493</t>
  </si>
  <si>
    <t>SEC01494</t>
  </si>
  <si>
    <t>Orion Fund 1494</t>
  </si>
  <si>
    <t>SEC01495</t>
  </si>
  <si>
    <t>Orion Technology 1495</t>
  </si>
  <si>
    <t>SEC01496</t>
  </si>
  <si>
    <t>Summit Industries 1496</t>
  </si>
  <si>
    <t>SEC01497</t>
  </si>
  <si>
    <t>Delta Fund 1497</t>
  </si>
  <si>
    <t>SEC01498</t>
  </si>
  <si>
    <t>Delta Capital 1498</t>
  </si>
  <si>
    <t>SEC01499</t>
  </si>
  <si>
    <t>Atlas Financial 1499</t>
  </si>
  <si>
    <t>SEC01500</t>
  </si>
  <si>
    <t>Pioneer Industries 1500</t>
  </si>
  <si>
    <t>SEC01501</t>
  </si>
  <si>
    <t>Liberty Technology 1501</t>
  </si>
  <si>
    <t>SEC01502</t>
  </si>
  <si>
    <t>Pioneer Holdings 1502</t>
  </si>
  <si>
    <t>SEC01503</t>
  </si>
  <si>
    <t>Orion Partners 1503</t>
  </si>
  <si>
    <t>SEC01504</t>
  </si>
  <si>
    <t>Vertex Partners 1504</t>
  </si>
  <si>
    <t>SEC01505</t>
  </si>
  <si>
    <t>Sterling Energy 1505</t>
  </si>
  <si>
    <t>SEC01506</t>
  </si>
  <si>
    <t>Vertex Markets 1506</t>
  </si>
  <si>
    <t>SEC01507</t>
  </si>
  <si>
    <t>Vertex Holdings 1507</t>
  </si>
  <si>
    <t>SEC01508</t>
  </si>
  <si>
    <t>Atlas Partners 1508</t>
  </si>
  <si>
    <t>SEC01509</t>
  </si>
  <si>
    <t>Summit Industries 1509</t>
  </si>
  <si>
    <t>SEC01510</t>
  </si>
  <si>
    <t>Cedar Fund 1510</t>
  </si>
  <si>
    <t>SEC01511</t>
  </si>
  <si>
    <t>Cedar Financial 1511</t>
  </si>
  <si>
    <t>SEC01512</t>
  </si>
  <si>
    <t>Atlas Industries 1512</t>
  </si>
  <si>
    <t>SEC01513</t>
  </si>
  <si>
    <t>Sterling Capital 1513</t>
  </si>
  <si>
    <t>SEC01514</t>
  </si>
  <si>
    <t>Nova Capital 1514</t>
  </si>
  <si>
    <t>SEC01515</t>
  </si>
  <si>
    <t>Vertex Fund 1515</t>
  </si>
  <si>
    <t>SEC01516</t>
  </si>
  <si>
    <t>Harbor Holdings 1516</t>
  </si>
  <si>
    <t>SEC01517</t>
  </si>
  <si>
    <t>Liberty Markets 1517</t>
  </si>
  <si>
    <t>SEC01518</t>
  </si>
  <si>
    <t>Atlas Financial 1518</t>
  </si>
  <si>
    <t>SEC01519</t>
  </si>
  <si>
    <t>Vertex Industries 1519</t>
  </si>
  <si>
    <t>SEC01520</t>
  </si>
  <si>
    <t>Orion Industries 1520</t>
  </si>
  <si>
    <t>SEC01521</t>
  </si>
  <si>
    <t>Cedar Technology 1521</t>
  </si>
  <si>
    <t>SEC01522</t>
  </si>
  <si>
    <t>Delta Partners 1522</t>
  </si>
  <si>
    <t>SEC01523</t>
  </si>
  <si>
    <t>Delta Technology 1523</t>
  </si>
  <si>
    <t>SEC01524</t>
  </si>
  <si>
    <t>Alpha Fund 1524</t>
  </si>
  <si>
    <t>SEC01525</t>
  </si>
  <si>
    <t>Delta Capital 1525</t>
  </si>
  <si>
    <t>SEC01526</t>
  </si>
  <si>
    <t>Liberty Capital 1526</t>
  </si>
  <si>
    <t>SEC01527</t>
  </si>
  <si>
    <t>Alpha Technology 1527</t>
  </si>
  <si>
    <t>SEC01528</t>
  </si>
  <si>
    <t>Vertex Fund 1528</t>
  </si>
  <si>
    <t>SEC01529</t>
  </si>
  <si>
    <t>Summit Capital 1529</t>
  </si>
  <si>
    <t>SEC01530</t>
  </si>
  <si>
    <t>Summit Markets 1530</t>
  </si>
  <si>
    <t>SEC01531</t>
  </si>
  <si>
    <t>Alpha Holdings 1531</t>
  </si>
  <si>
    <t>SEC01532</t>
  </si>
  <si>
    <t>Alpha Partners 1532</t>
  </si>
  <si>
    <t>SEC01533</t>
  </si>
  <si>
    <t>Vertex Financial 1533</t>
  </si>
  <si>
    <t>SEC01534</t>
  </si>
  <si>
    <t>Nova Technology 1534</t>
  </si>
  <si>
    <t>SEC01535</t>
  </si>
  <si>
    <t>Alpha Industries 1535</t>
  </si>
  <si>
    <t>SEC01536</t>
  </si>
  <si>
    <t>Delta Energy 1536</t>
  </si>
  <si>
    <t>SEC01537</t>
  </si>
  <si>
    <t>Pioneer Group 1537</t>
  </si>
  <si>
    <t>SEC01538</t>
  </si>
  <si>
    <t>Orion Partners 1538</t>
  </si>
  <si>
    <t>SEC01539</t>
  </si>
  <si>
    <t>Delta Financial 1539</t>
  </si>
  <si>
    <t>SEC01540</t>
  </si>
  <si>
    <t>Sterling Financial 1540</t>
  </si>
  <si>
    <t>SEC01541</t>
  </si>
  <si>
    <t>Cedar Group 1541</t>
  </si>
  <si>
    <t>SEC01542</t>
  </si>
  <si>
    <t>Vertex Partners 1542</t>
  </si>
  <si>
    <t>SEC01543</t>
  </si>
  <si>
    <t>Pioneer Holdings 1543</t>
  </si>
  <si>
    <t>SEC01544</t>
  </si>
  <si>
    <t>Orion Group 1544</t>
  </si>
  <si>
    <t>SEC01545</t>
  </si>
  <si>
    <t>Orion Partners 1545</t>
  </si>
  <si>
    <t>SEC01546</t>
  </si>
  <si>
    <t>Delta Holdings 1546</t>
  </si>
  <si>
    <t>SEC01547</t>
  </si>
  <si>
    <t>Summit Group 1547</t>
  </si>
  <si>
    <t>SEC01548</t>
  </si>
  <si>
    <t>Sterling Industries 1548</t>
  </si>
  <si>
    <t>SEC01549</t>
  </si>
  <si>
    <t>Alpha Group 1549</t>
  </si>
  <si>
    <t>SEC01550</t>
  </si>
  <si>
    <t>Sterling Financial 1550</t>
  </si>
  <si>
    <t>SEC01551</t>
  </si>
  <si>
    <t>Orion Capital 1551</t>
  </si>
  <si>
    <t>SEC01552</t>
  </si>
  <si>
    <t>Alpha Markets 1552</t>
  </si>
  <si>
    <t>SEC01553</t>
  </si>
  <si>
    <t>Atlas Partners 1553</t>
  </si>
  <si>
    <t>SEC01554</t>
  </si>
  <si>
    <t>Sterling Industries 1554</t>
  </si>
  <si>
    <t>SEC01555</t>
  </si>
  <si>
    <t>Summit Partners 1555</t>
  </si>
  <si>
    <t>SEC01556</t>
  </si>
  <si>
    <t>Liberty Financial 1556</t>
  </si>
  <si>
    <t>SEC01557</t>
  </si>
  <si>
    <t>Cedar Financial 1557</t>
  </si>
  <si>
    <t>SEC01558</t>
  </si>
  <si>
    <t>Delta Industries 1558</t>
  </si>
  <si>
    <t>SEC01559</t>
  </si>
  <si>
    <t>Sterling Industries 1559</t>
  </si>
  <si>
    <t>SEC01560</t>
  </si>
  <si>
    <t>Harbor Partners 1560</t>
  </si>
  <si>
    <t>SEC01561</t>
  </si>
  <si>
    <t>Atlas Markets 1561</t>
  </si>
  <si>
    <t>SEC01562</t>
  </si>
  <si>
    <t>Nova Holdings 1562</t>
  </si>
  <si>
    <t>SEC01563</t>
  </si>
  <si>
    <t>Cedar Holdings 1563</t>
  </si>
  <si>
    <t>SEC01564</t>
  </si>
  <si>
    <t>Summit Group 1564</t>
  </si>
  <si>
    <t>SEC01565</t>
  </si>
  <si>
    <t>Alpha Partners 1565</t>
  </si>
  <si>
    <t>SEC01566</t>
  </si>
  <si>
    <t>Nova Group 1566</t>
  </si>
  <si>
    <t>SEC01567</t>
  </si>
  <si>
    <t>Harbor Markets 1567</t>
  </si>
  <si>
    <t>SEC01568</t>
  </si>
  <si>
    <t>Cedar Technology 1568</t>
  </si>
  <si>
    <t>SEC01569</t>
  </si>
  <si>
    <t>Summit Fund 1569</t>
  </si>
  <si>
    <t>SEC01570</t>
  </si>
  <si>
    <t>Sterling Industries 1570</t>
  </si>
  <si>
    <t>SEC01571</t>
  </si>
  <si>
    <t>Orion Partners 1571</t>
  </si>
  <si>
    <t>SEC01572</t>
  </si>
  <si>
    <t>Summit Fund 1572</t>
  </si>
  <si>
    <t>SEC01573</t>
  </si>
  <si>
    <t>Orion Partners 1573</t>
  </si>
  <si>
    <t>SEC01574</t>
  </si>
  <si>
    <t>Orion Financial 1574</t>
  </si>
  <si>
    <t>SEC01575</t>
  </si>
  <si>
    <t>Pioneer Financial 1575</t>
  </si>
  <si>
    <t>SEC01576</t>
  </si>
  <si>
    <t>Delta Holdings 1576</t>
  </si>
  <si>
    <t>SEC01577</t>
  </si>
  <si>
    <t>Alpha Group 1577</t>
  </si>
  <si>
    <t>SEC01578</t>
  </si>
  <si>
    <t>Liberty Holdings 1578</t>
  </si>
  <si>
    <t>SEC01579</t>
  </si>
  <si>
    <t>Liberty Group 1579</t>
  </si>
  <si>
    <t>SEC01580</t>
  </si>
  <si>
    <t>Vertex Partners 1580</t>
  </si>
  <si>
    <t>SEC01581</t>
  </si>
  <si>
    <t>Orion Capital 1581</t>
  </si>
  <si>
    <t>SEC01582</t>
  </si>
  <si>
    <t>Sterling Capital 1582</t>
  </si>
  <si>
    <t>SEC01583</t>
  </si>
  <si>
    <t>Summit Energy 1583</t>
  </si>
  <si>
    <t>SEC01584</t>
  </si>
  <si>
    <t>Orion Financial 1584</t>
  </si>
  <si>
    <t>SEC01585</t>
  </si>
  <si>
    <t>Atlas Partners 1585</t>
  </si>
  <si>
    <t>SEC01586</t>
  </si>
  <si>
    <t>Cedar Markets 1586</t>
  </si>
  <si>
    <t>SEC01587</t>
  </si>
  <si>
    <t>Cedar Financial 1587</t>
  </si>
  <si>
    <t>SEC01588</t>
  </si>
  <si>
    <t>Nova Holdings 1588</t>
  </si>
  <si>
    <t>SEC01589</t>
  </si>
  <si>
    <t>Alpha Holdings 1589</t>
  </si>
  <si>
    <t>SEC01590</t>
  </si>
  <si>
    <t>Harbor Industries 1590</t>
  </si>
  <si>
    <t>SEC01591</t>
  </si>
  <si>
    <t>Harbor Technology 1591</t>
  </si>
  <si>
    <t>SEC01592</t>
  </si>
  <si>
    <t>Pioneer Partners 1592</t>
  </si>
  <si>
    <t>SEC01593</t>
  </si>
  <si>
    <t>Pioneer Industries 1593</t>
  </si>
  <si>
    <t>SEC01594</t>
  </si>
  <si>
    <t>Delta Capital 1594</t>
  </si>
  <si>
    <t>SEC01595</t>
  </si>
  <si>
    <t>Pioneer Partners 1595</t>
  </si>
  <si>
    <t>SEC01596</t>
  </si>
  <si>
    <t>Pioneer Capital 1596</t>
  </si>
  <si>
    <t>SEC01597</t>
  </si>
  <si>
    <t>Atlas Technology 1597</t>
  </si>
  <si>
    <t>SEC01598</t>
  </si>
  <si>
    <t>Nova Group 1598</t>
  </si>
  <si>
    <t>SEC01599</t>
  </si>
  <si>
    <t>Cedar Fund 1599</t>
  </si>
  <si>
    <t>SEC01600</t>
  </si>
  <si>
    <t>Nova Markets 1600</t>
  </si>
  <si>
    <t>SEC01601</t>
  </si>
  <si>
    <t>Delta Partners 1601</t>
  </si>
  <si>
    <t>SEC01602</t>
  </si>
  <si>
    <t>Harbor Group 1602</t>
  </si>
  <si>
    <t>SEC01603</t>
  </si>
  <si>
    <t>Pioneer Energy 1603</t>
  </si>
  <si>
    <t>SEC01604</t>
  </si>
  <si>
    <t>Delta Capital 1604</t>
  </si>
  <si>
    <t>SEC01605</t>
  </si>
  <si>
    <t>Pioneer Fund 1605</t>
  </si>
  <si>
    <t>SEC01606</t>
  </si>
  <si>
    <t>Pioneer Holdings 1606</t>
  </si>
  <si>
    <t>SEC01607</t>
  </si>
  <si>
    <t>Liberty Financial 1607</t>
  </si>
  <si>
    <t>SEC01608</t>
  </si>
  <si>
    <t>Alpha Technology 1608</t>
  </si>
  <si>
    <t>SEC01609</t>
  </si>
  <si>
    <t>Liberty Capital 1609</t>
  </si>
  <si>
    <t>SEC01610</t>
  </si>
  <si>
    <t>Vertex Financial 1610</t>
  </si>
  <si>
    <t>SEC01611</t>
  </si>
  <si>
    <t>Sterling Group 1611</t>
  </si>
  <si>
    <t>SEC01612</t>
  </si>
  <si>
    <t>Harbor Markets 1612</t>
  </si>
  <si>
    <t>SEC01613</t>
  </si>
  <si>
    <t>Liberty Industries 1613</t>
  </si>
  <si>
    <t>SEC01614</t>
  </si>
  <si>
    <t>Liberty Markets 1614</t>
  </si>
  <si>
    <t>SEC01615</t>
  </si>
  <si>
    <t>Summit Capital 1615</t>
  </si>
  <si>
    <t>SEC01616</t>
  </si>
  <si>
    <t>Summit Technology 1616</t>
  </si>
  <si>
    <t>SEC01617</t>
  </si>
  <si>
    <t>Pioneer Industries 1617</t>
  </si>
  <si>
    <t>SEC01618</t>
  </si>
  <si>
    <t>Liberty Fund 1618</t>
  </si>
  <si>
    <t>SEC01619</t>
  </si>
  <si>
    <t>Nova Financial 1619</t>
  </si>
  <si>
    <t>SEC01620</t>
  </si>
  <si>
    <t>Cedar Technology 1620</t>
  </si>
  <si>
    <t>SEC01621</t>
  </si>
  <si>
    <t>Delta Group 1621</t>
  </si>
  <si>
    <t>SEC01622</t>
  </si>
  <si>
    <t>Alpha Partners 1622</t>
  </si>
  <si>
    <t>SEC01623</t>
  </si>
  <si>
    <t>Harbor Financial 1623</t>
  </si>
  <si>
    <t>SEC01624</t>
  </si>
  <si>
    <t>Nova Financial 1624</t>
  </si>
  <si>
    <t>SEC01625</t>
  </si>
  <si>
    <t>Vertex Holdings 1625</t>
  </si>
  <si>
    <t>SEC01626</t>
  </si>
  <si>
    <t>Harbor Financial 1626</t>
  </si>
  <si>
    <t>SEC01627</t>
  </si>
  <si>
    <t>Alpha Fund 1627</t>
  </si>
  <si>
    <t>SEC01628</t>
  </si>
  <si>
    <t>Orion Markets 1628</t>
  </si>
  <si>
    <t>SEC01629</t>
  </si>
  <si>
    <t>Liberty Markets 1629</t>
  </si>
  <si>
    <t>SEC01630</t>
  </si>
  <si>
    <t>Harbor Financial 1630</t>
  </si>
  <si>
    <t>SEC01631</t>
  </si>
  <si>
    <t>Sterling Capital 1631</t>
  </si>
  <si>
    <t>SEC01632</t>
  </si>
  <si>
    <t>Harbor Financial 1632</t>
  </si>
  <si>
    <t>SEC01633</t>
  </si>
  <si>
    <t>Alpha Industries 1633</t>
  </si>
  <si>
    <t>SEC01634</t>
  </si>
  <si>
    <t>Pioneer Holdings 1634</t>
  </si>
  <si>
    <t>SEC01635</t>
  </si>
  <si>
    <t>Orion Markets 1635</t>
  </si>
  <si>
    <t>SEC01636</t>
  </si>
  <si>
    <t>Harbor Technology 1636</t>
  </si>
  <si>
    <t>SEC01637</t>
  </si>
  <si>
    <t>Delta Partners 1637</t>
  </si>
  <si>
    <t>SEC01638</t>
  </si>
  <si>
    <t>Cedar Capital 1638</t>
  </si>
  <si>
    <t>SEC01639</t>
  </si>
  <si>
    <t>Harbor Industries 1639</t>
  </si>
  <si>
    <t>SEC01640</t>
  </si>
  <si>
    <t>Harbor Fund 1640</t>
  </si>
  <si>
    <t>SEC01641</t>
  </si>
  <si>
    <t>Liberty Fund 1641</t>
  </si>
  <si>
    <t>SEC01642</t>
  </si>
  <si>
    <t>Atlas Fund 1642</t>
  </si>
  <si>
    <t>SEC01643</t>
  </si>
  <si>
    <t>Atlas Markets 1643</t>
  </si>
  <si>
    <t>SEC01644</t>
  </si>
  <si>
    <t>Delta Technology 1644</t>
  </si>
  <si>
    <t>SEC01645</t>
  </si>
  <si>
    <t>Vertex Holdings 1645</t>
  </si>
  <si>
    <t>SEC01646</t>
  </si>
  <si>
    <t>Delta Technology 1646</t>
  </si>
  <si>
    <t>SEC01647</t>
  </si>
  <si>
    <t>Atlas Partners 1647</t>
  </si>
  <si>
    <t>SEC01648</t>
  </si>
  <si>
    <t>Nova Partners 1648</t>
  </si>
  <si>
    <t>SEC01649</t>
  </si>
  <si>
    <t>Atlas Financial 1649</t>
  </si>
  <si>
    <t>SEC01650</t>
  </si>
  <si>
    <t>Atlas Partners 1650</t>
  </si>
  <si>
    <t>SEC01651</t>
  </si>
  <si>
    <t>Nova Capital 1651</t>
  </si>
  <si>
    <t>SEC01652</t>
  </si>
  <si>
    <t>Alpha Partners 1652</t>
  </si>
  <si>
    <t>SEC01653</t>
  </si>
  <si>
    <t>Delta Group 1653</t>
  </si>
  <si>
    <t>SEC01654</t>
  </si>
  <si>
    <t>Delta Technology 1654</t>
  </si>
  <si>
    <t>SEC01655</t>
  </si>
  <si>
    <t>Alpha Industries 1655</t>
  </si>
  <si>
    <t>SEC01656</t>
  </si>
  <si>
    <t>Cedar Fund 1656</t>
  </si>
  <si>
    <t>SEC01657</t>
  </si>
  <si>
    <t>Delta Group 1657</t>
  </si>
  <si>
    <t>SEC01658</t>
  </si>
  <si>
    <t>Pioneer Industries 1658</t>
  </si>
  <si>
    <t>SEC01659</t>
  </si>
  <si>
    <t>Pioneer Technology 1659</t>
  </si>
  <si>
    <t>SEC01660</t>
  </si>
  <si>
    <t>Atlas Energy 1660</t>
  </si>
  <si>
    <t>SEC01661</t>
  </si>
  <si>
    <t>Vertex Group 1661</t>
  </si>
  <si>
    <t>SEC01662</t>
  </si>
  <si>
    <t>Delta Industries 1662</t>
  </si>
  <si>
    <t>SEC01663</t>
  </si>
  <si>
    <t>Atlas Financial 1663</t>
  </si>
  <si>
    <t>SEC01664</t>
  </si>
  <si>
    <t>Delta Capital 1664</t>
  </si>
  <si>
    <t>SEC01665</t>
  </si>
  <si>
    <t>Orion Markets 1665</t>
  </si>
  <si>
    <t>SEC01666</t>
  </si>
  <si>
    <t>Cedar Partners 1666</t>
  </si>
  <si>
    <t>SEC01667</t>
  </si>
  <si>
    <t>Vertex Technology 1667</t>
  </si>
  <si>
    <t>SEC01668</t>
  </si>
  <si>
    <t>Alpha Technology 1668</t>
  </si>
  <si>
    <t>SEC01669</t>
  </si>
  <si>
    <t>Nova Financial 1669</t>
  </si>
  <si>
    <t>SEC01670</t>
  </si>
  <si>
    <t>Orion Group 1670</t>
  </si>
  <si>
    <t>SEC01671</t>
  </si>
  <si>
    <t>Harbor Financial 1671</t>
  </si>
  <si>
    <t>SEC01672</t>
  </si>
  <si>
    <t>Harbor Markets 1672</t>
  </si>
  <si>
    <t>SEC01673</t>
  </si>
  <si>
    <t>Harbor Markets 1673</t>
  </si>
  <si>
    <t>SEC01674</t>
  </si>
  <si>
    <t>Atlas Partners 1674</t>
  </si>
  <si>
    <t>SEC01675</t>
  </si>
  <si>
    <t>Pioneer Energy 1675</t>
  </si>
  <si>
    <t>SEC01676</t>
  </si>
  <si>
    <t>Atlas Group 1676</t>
  </si>
  <si>
    <t>SEC01677</t>
  </si>
  <si>
    <t>Liberty Technology 1677</t>
  </si>
  <si>
    <t>SEC01678</t>
  </si>
  <si>
    <t>Atlas Financial 1678</t>
  </si>
  <si>
    <t>SEC01679</t>
  </si>
  <si>
    <t>Pioneer Partners 1679</t>
  </si>
  <si>
    <t>SEC01680</t>
  </si>
  <si>
    <t>Vertex Group 1680</t>
  </si>
  <si>
    <t>SEC01681</t>
  </si>
  <si>
    <t>Harbor Technology 1681</t>
  </si>
  <si>
    <t>SEC01682</t>
  </si>
  <si>
    <t>Delta Partners 1682</t>
  </si>
  <si>
    <t>SEC01683</t>
  </si>
  <si>
    <t>Cedar Group 1683</t>
  </si>
  <si>
    <t>SEC01684</t>
  </si>
  <si>
    <t>Sterling Capital 1684</t>
  </si>
  <si>
    <t>SEC01685</t>
  </si>
  <si>
    <t>Vertex Group 1685</t>
  </si>
  <si>
    <t>SEC01686</t>
  </si>
  <si>
    <t>Summit Partners 1686</t>
  </si>
  <si>
    <t>SEC01687</t>
  </si>
  <si>
    <t>Orion Financial 1687</t>
  </si>
  <si>
    <t>SEC01688</t>
  </si>
  <si>
    <t>Orion Capital 1688</t>
  </si>
  <si>
    <t>SEC01689</t>
  </si>
  <si>
    <t>Cedar Technology 1689</t>
  </si>
  <si>
    <t>SEC01690</t>
  </si>
  <si>
    <t>Liberty Energy 1690</t>
  </si>
  <si>
    <t>SEC01691</t>
  </si>
  <si>
    <t>Vertex Technology 1691</t>
  </si>
  <si>
    <t>SEC01692</t>
  </si>
  <si>
    <t>Alpha Industries 1692</t>
  </si>
  <si>
    <t>SEC01693</t>
  </si>
  <si>
    <t>Summit Energy 1693</t>
  </si>
  <si>
    <t>SEC01694</t>
  </si>
  <si>
    <t>Orion Group 1694</t>
  </si>
  <si>
    <t>SEC01695</t>
  </si>
  <si>
    <t>Nova Capital 1695</t>
  </si>
  <si>
    <t>SEC01696</t>
  </si>
  <si>
    <t>Vertex Financial 1696</t>
  </si>
  <si>
    <t>SEC01697</t>
  </si>
  <si>
    <t>Pioneer Partners 1697</t>
  </si>
  <si>
    <t>SEC01698</t>
  </si>
  <si>
    <t>Orion Partners 1698</t>
  </si>
  <si>
    <t>SEC01699</t>
  </si>
  <si>
    <t>Liberty Capital 1699</t>
  </si>
  <si>
    <t>SEC01700</t>
  </si>
  <si>
    <t>Delta Holdings 1700</t>
  </si>
  <si>
    <t>SEC01701</t>
  </si>
  <si>
    <t>Sterling Technology 1701</t>
  </si>
  <si>
    <t>SEC01702</t>
  </si>
  <si>
    <t>Orion Energy 1702</t>
  </si>
  <si>
    <t>SEC01703</t>
  </si>
  <si>
    <t>Atlas Partners 1703</t>
  </si>
  <si>
    <t>SEC01704</t>
  </si>
  <si>
    <t>Delta Energy 1704</t>
  </si>
  <si>
    <t>SEC01705</t>
  </si>
  <si>
    <t>Alpha Technology 1705</t>
  </si>
  <si>
    <t>SEC01706</t>
  </si>
  <si>
    <t>Orion Holdings 1706</t>
  </si>
  <si>
    <t>SEC01707</t>
  </si>
  <si>
    <t>Orion Financial 1707</t>
  </si>
  <si>
    <t>SEC01708</t>
  </si>
  <si>
    <t>Delta Energy 1708</t>
  </si>
  <si>
    <t>SEC01709</t>
  </si>
  <si>
    <t>Delta Technology 1709</t>
  </si>
  <si>
    <t>SEC01710</t>
  </si>
  <si>
    <t>Nova Partners 1710</t>
  </si>
  <si>
    <t>SEC01711</t>
  </si>
  <si>
    <t>Orion Holdings 1711</t>
  </si>
  <si>
    <t>SEC01712</t>
  </si>
  <si>
    <t>Vertex Capital 1712</t>
  </si>
  <si>
    <t>SEC01713</t>
  </si>
  <si>
    <t>Summit Fund 1713</t>
  </si>
  <si>
    <t>SEC01714</t>
  </si>
  <si>
    <t>Alpha Financial 1714</t>
  </si>
  <si>
    <t>SEC01715</t>
  </si>
  <si>
    <t>Harbor Holdings 1715</t>
  </si>
  <si>
    <t>SEC01716</t>
  </si>
  <si>
    <t>Atlas Partners 1716</t>
  </si>
  <si>
    <t>SEC01717</t>
  </si>
  <si>
    <t>Cedar Industries 1717</t>
  </si>
  <si>
    <t>SEC01718</t>
  </si>
  <si>
    <t>Nova Capital 1718</t>
  </si>
  <si>
    <t>SEC01719</t>
  </si>
  <si>
    <t>Delta Capital 1719</t>
  </si>
  <si>
    <t>SEC01720</t>
  </si>
  <si>
    <t>Delta Energy 1720</t>
  </si>
  <si>
    <t>SEC01721</t>
  </si>
  <si>
    <t>Atlas Technology 1721</t>
  </si>
  <si>
    <t>SEC01722</t>
  </si>
  <si>
    <t>Summit Energy 1722</t>
  </si>
  <si>
    <t>SEC01723</t>
  </si>
  <si>
    <t>Pioneer Financial 1723</t>
  </si>
  <si>
    <t>SEC01724</t>
  </si>
  <si>
    <t>Cedar Technology 1724</t>
  </si>
  <si>
    <t>SEC01725</t>
  </si>
  <si>
    <t>Alpha Technology 1725</t>
  </si>
  <si>
    <t>SEC01726</t>
  </si>
  <si>
    <t>Pioneer Technology 1726</t>
  </si>
  <si>
    <t>SEC01727</t>
  </si>
  <si>
    <t>Atlas Technology 1727</t>
  </si>
  <si>
    <t>SEC01728</t>
  </si>
  <si>
    <t>Vertex Partners 1728</t>
  </si>
  <si>
    <t>SEC01729</t>
  </si>
  <si>
    <t>Pioneer Markets 1729</t>
  </si>
  <si>
    <t>SEC01730</t>
  </si>
  <si>
    <t>Orion Capital 1730</t>
  </si>
  <si>
    <t>SEC01731</t>
  </si>
  <si>
    <t>Atlas Capital 1731</t>
  </si>
  <si>
    <t>SEC01732</t>
  </si>
  <si>
    <t>Cedar Partners 1732</t>
  </si>
  <si>
    <t>SEC01733</t>
  </si>
  <si>
    <t>Cedar Industries 1733</t>
  </si>
  <si>
    <t>SEC01734</t>
  </si>
  <si>
    <t>Pioneer Technology 1734</t>
  </si>
  <si>
    <t>SEC01735</t>
  </si>
  <si>
    <t>Harbor Capital 1735</t>
  </si>
  <si>
    <t>SEC01736</t>
  </si>
  <si>
    <t>Atlas Fund 1736</t>
  </si>
  <si>
    <t>SEC01737</t>
  </si>
  <si>
    <t>Summit Fund 1737</t>
  </si>
  <si>
    <t>SEC01738</t>
  </si>
  <si>
    <t>Liberty Technology 1738</t>
  </si>
  <si>
    <t>SEC01739</t>
  </si>
  <si>
    <t>Orion Industries 1739</t>
  </si>
  <si>
    <t>SEC01740</t>
  </si>
  <si>
    <t>Vertex Group 1740</t>
  </si>
  <si>
    <t>SEC01741</t>
  </si>
  <si>
    <t>Cedar Holdings 1741</t>
  </si>
  <si>
    <t>SEC01742</t>
  </si>
  <si>
    <t>Alpha Capital 1742</t>
  </si>
  <si>
    <t>SEC01743</t>
  </si>
  <si>
    <t>Atlas Financial 1743</t>
  </si>
  <si>
    <t>SEC01744</t>
  </si>
  <si>
    <t>Liberty Holdings 1744</t>
  </si>
  <si>
    <t>SEC01745</t>
  </si>
  <si>
    <t>Sterling Capital 1745</t>
  </si>
  <si>
    <t>SEC01746</t>
  </si>
  <si>
    <t>Pioneer Capital 1746</t>
  </si>
  <si>
    <t>SEC01747</t>
  </si>
  <si>
    <t>Sterling Group 1747</t>
  </si>
  <si>
    <t>SEC01748</t>
  </si>
  <si>
    <t>Cedar Fund 1748</t>
  </si>
  <si>
    <t>SEC01749</t>
  </si>
  <si>
    <t>Delta Financial 1749</t>
  </si>
  <si>
    <t>SEC01750</t>
  </si>
  <si>
    <t>Vertex Industries 1750</t>
  </si>
  <si>
    <t>SEC01751</t>
  </si>
  <si>
    <t>Cedar Markets 1751</t>
  </si>
  <si>
    <t>SEC01752</t>
  </si>
  <si>
    <t>Cedar Partners 1752</t>
  </si>
  <si>
    <t>SEC01753</t>
  </si>
  <si>
    <t>Delta Holdings 1753</t>
  </si>
  <si>
    <t>SEC01754</t>
  </si>
  <si>
    <t>Liberty Industries 1754</t>
  </si>
  <si>
    <t>SEC01755</t>
  </si>
  <si>
    <t>Cedar Group 1755</t>
  </si>
  <si>
    <t>SEC01756</t>
  </si>
  <si>
    <t>Sterling Holdings 1756</t>
  </si>
  <si>
    <t>SEC01757</t>
  </si>
  <si>
    <t>Harbor Fund 1757</t>
  </si>
  <si>
    <t>SEC01758</t>
  </si>
  <si>
    <t>Delta Financial 1758</t>
  </si>
  <si>
    <t>SEC01759</t>
  </si>
  <si>
    <t>Pioneer Partners 1759</t>
  </si>
  <si>
    <t>SEC01760</t>
  </si>
  <si>
    <t>Delta Technology 1760</t>
  </si>
  <si>
    <t>SEC01761</t>
  </si>
  <si>
    <t>Alpha Markets 1761</t>
  </si>
  <si>
    <t>SEC01762</t>
  </si>
  <si>
    <t>Summit Markets 1762</t>
  </si>
  <si>
    <t>SEC01763</t>
  </si>
  <si>
    <t>Sterling Technology 1763</t>
  </si>
  <si>
    <t>SEC01764</t>
  </si>
  <si>
    <t>Vertex Industries 1764</t>
  </si>
  <si>
    <t>SEC01765</t>
  </si>
  <si>
    <t>Cedar Holdings 1765</t>
  </si>
  <si>
    <t>SEC01766</t>
  </si>
  <si>
    <t>Sterling Group 1766</t>
  </si>
  <si>
    <t>SEC01767</t>
  </si>
  <si>
    <t>Alpha Partners 1767</t>
  </si>
  <si>
    <t>SEC01768</t>
  </si>
  <si>
    <t>Summit Capital 1768</t>
  </si>
  <si>
    <t>SEC01769</t>
  </si>
  <si>
    <t>Delta Technology 1769</t>
  </si>
  <si>
    <t>SEC01770</t>
  </si>
  <si>
    <t>Pioneer Financial 1770</t>
  </si>
  <si>
    <t>SEC01771</t>
  </si>
  <si>
    <t>Liberty Group 1771</t>
  </si>
  <si>
    <t>SEC01772</t>
  </si>
  <si>
    <t>Cedar Partners 1772</t>
  </si>
  <si>
    <t>SEC01773</t>
  </si>
  <si>
    <t>Cedar Industries 1773</t>
  </si>
  <si>
    <t>SEC01774</t>
  </si>
  <si>
    <t>Sterling Industries 1774</t>
  </si>
  <si>
    <t>SEC01775</t>
  </si>
  <si>
    <t>Orion Technology 1775</t>
  </si>
  <si>
    <t>SEC01776</t>
  </si>
  <si>
    <t>Harbor Markets 1776</t>
  </si>
  <si>
    <t>SEC01777</t>
  </si>
  <si>
    <t>Atlas Markets 1777</t>
  </si>
  <si>
    <t>SEC01778</t>
  </si>
  <si>
    <t>Harbor Capital 1778</t>
  </si>
  <si>
    <t>SEC01779</t>
  </si>
  <si>
    <t>Alpha Holdings 1779</t>
  </si>
  <si>
    <t>SEC01780</t>
  </si>
  <si>
    <t>Pioneer Holdings 1780</t>
  </si>
  <si>
    <t>SEC01781</t>
  </si>
  <si>
    <t>Alpha Fund 1781</t>
  </si>
  <si>
    <t>SEC01782</t>
  </si>
  <si>
    <t>Sterling Markets 1782</t>
  </si>
  <si>
    <t>SEC01783</t>
  </si>
  <si>
    <t>Liberty Partners 1783</t>
  </si>
  <si>
    <t>SEC01784</t>
  </si>
  <si>
    <t>Harbor Energy 1784</t>
  </si>
  <si>
    <t>SEC01785</t>
  </si>
  <si>
    <t>Atlas Capital 1785</t>
  </si>
  <si>
    <t>SEC01786</t>
  </si>
  <si>
    <t>Summit Markets 1786</t>
  </si>
  <si>
    <t>SEC01787</t>
  </si>
  <si>
    <t>Vertex Energy 1787</t>
  </si>
  <si>
    <t>SEC01788</t>
  </si>
  <si>
    <t>Harbor Markets 1788</t>
  </si>
  <si>
    <t>SEC01789</t>
  </si>
  <si>
    <t>Alpha Energy 1789</t>
  </si>
  <si>
    <t>SEC01790</t>
  </si>
  <si>
    <t>Liberty Fund 1790</t>
  </si>
  <si>
    <t>SEC01791</t>
  </si>
  <si>
    <t>Alpha Capital 1791</t>
  </si>
  <si>
    <t>SEC01792</t>
  </si>
  <si>
    <t>Orion Financial 1792</t>
  </si>
  <si>
    <t>SEC01793</t>
  </si>
  <si>
    <t>Liberty Capital 1793</t>
  </si>
  <si>
    <t>SEC01794</t>
  </si>
  <si>
    <t>Cedar Industries 1794</t>
  </si>
  <si>
    <t>SEC01795</t>
  </si>
  <si>
    <t>Cedar Holdings 1795</t>
  </si>
  <si>
    <t>SEC01796</t>
  </si>
  <si>
    <t>Liberty Holdings 1796</t>
  </si>
  <si>
    <t>SEC01797</t>
  </si>
  <si>
    <t>Pioneer Energy 1797</t>
  </si>
  <si>
    <t>SEC01798</t>
  </si>
  <si>
    <t>Sterling Fund 1798</t>
  </si>
  <si>
    <t>SEC01799</t>
  </si>
  <si>
    <t>Cedar Fund 1799</t>
  </si>
  <si>
    <t>SEC01800</t>
  </si>
  <si>
    <t>Sterling Capital 1800</t>
  </si>
  <si>
    <t>SEC01801</t>
  </si>
  <si>
    <t>Sterling Industries 1801</t>
  </si>
  <si>
    <t>SEC01802</t>
  </si>
  <si>
    <t>Atlas Energy 1802</t>
  </si>
  <si>
    <t>SEC01803</t>
  </si>
  <si>
    <t>Delta Technology 1803</t>
  </si>
  <si>
    <t>SEC01804</t>
  </si>
  <si>
    <t>Cedar Industries 1804</t>
  </si>
  <si>
    <t>SEC01805</t>
  </si>
  <si>
    <t>Cedar Industries 1805</t>
  </si>
  <si>
    <t>SEC01806</t>
  </si>
  <si>
    <t>Pioneer Group 1806</t>
  </si>
  <si>
    <t>SEC01807</t>
  </si>
  <si>
    <t>Liberty Capital 1807</t>
  </si>
  <si>
    <t>SEC01808</t>
  </si>
  <si>
    <t>Liberty Financial 1808</t>
  </si>
  <si>
    <t>SEC01809</t>
  </si>
  <si>
    <t>Sterling Fund 1809</t>
  </si>
  <si>
    <t>SEC01810</t>
  </si>
  <si>
    <t>Pioneer Industries 1810</t>
  </si>
  <si>
    <t>SEC01811</t>
  </si>
  <si>
    <t>Delta Industries 1811</t>
  </si>
  <si>
    <t>SEC01812</t>
  </si>
  <si>
    <t>Harbor Capital 1812</t>
  </si>
  <si>
    <t>SEC01813</t>
  </si>
  <si>
    <t>Alpha Energy 1813</t>
  </si>
  <si>
    <t>SEC01814</t>
  </si>
  <si>
    <t>Sterling Markets 1814</t>
  </si>
  <si>
    <t>SEC01815</t>
  </si>
  <si>
    <t>Atlas Technology 1815</t>
  </si>
  <si>
    <t>SEC01816</t>
  </si>
  <si>
    <t>Sterling Markets 1816</t>
  </si>
  <si>
    <t>SEC01817</t>
  </si>
  <si>
    <t>Alpha Energy 1817</t>
  </si>
  <si>
    <t>SEC01818</t>
  </si>
  <si>
    <t>Orion Financial 1818</t>
  </si>
  <si>
    <t>SEC01819</t>
  </si>
  <si>
    <t>Nova Capital 1819</t>
  </si>
  <si>
    <t>SEC01820</t>
  </si>
  <si>
    <t>Cedar Markets 1820</t>
  </si>
  <si>
    <t>SEC01821</t>
  </si>
  <si>
    <t>Harbor Group 1821</t>
  </si>
  <si>
    <t>SEC01822</t>
  </si>
  <si>
    <t>Nova Fund 1822</t>
  </si>
  <si>
    <t>SEC01823</t>
  </si>
  <si>
    <t>Nova Markets 1823</t>
  </si>
  <si>
    <t>SEC01824</t>
  </si>
  <si>
    <t>Pioneer Markets 1824</t>
  </si>
  <si>
    <t>SEC01825</t>
  </si>
  <si>
    <t>Nova Capital 1825</t>
  </si>
  <si>
    <t>SEC01826</t>
  </si>
  <si>
    <t>Pioneer Group 1826</t>
  </si>
  <si>
    <t>SEC01827</t>
  </si>
  <si>
    <t>Pioneer Industries 1827</t>
  </si>
  <si>
    <t>SEC01828</t>
  </si>
  <si>
    <t>Liberty Partners 1828</t>
  </si>
  <si>
    <t>SEC01829</t>
  </si>
  <si>
    <t>Atlas Group 1829</t>
  </si>
  <si>
    <t>SEC01830</t>
  </si>
  <si>
    <t>Harbor Holdings 1830</t>
  </si>
  <si>
    <t>SEC01831</t>
  </si>
  <si>
    <t>Liberty Technology 1831</t>
  </si>
  <si>
    <t>SEC01832</t>
  </si>
  <si>
    <t>Atlas Energy 1832</t>
  </si>
  <si>
    <t>SEC01833</t>
  </si>
  <si>
    <t>Cedar Industries 1833</t>
  </si>
  <si>
    <t>SEC01834</t>
  </si>
  <si>
    <t>Delta Markets 1834</t>
  </si>
  <si>
    <t>SEC01835</t>
  </si>
  <si>
    <t>Harbor Holdings 1835</t>
  </si>
  <si>
    <t>SEC01836</t>
  </si>
  <si>
    <t>Pioneer Fund 1836</t>
  </si>
  <si>
    <t>SEC01837</t>
  </si>
  <si>
    <t>Cedar Fund 1837</t>
  </si>
  <si>
    <t>SEC01838</t>
  </si>
  <si>
    <t>Summit Capital 1838</t>
  </si>
  <si>
    <t>SEC01839</t>
  </si>
  <si>
    <t>Orion Markets 1839</t>
  </si>
  <si>
    <t>SEC01840</t>
  </si>
  <si>
    <t>Atlas Holdings 1840</t>
  </si>
  <si>
    <t>SEC01841</t>
  </si>
  <si>
    <t>Harbor Financial 1841</t>
  </si>
  <si>
    <t>SEC01842</t>
  </si>
  <si>
    <t>Sterling Partners 1842</t>
  </si>
  <si>
    <t>SEC01843</t>
  </si>
  <si>
    <t>Harbor Partners 1843</t>
  </si>
  <si>
    <t>SEC01844</t>
  </si>
  <si>
    <t>Delta Group 1844</t>
  </si>
  <si>
    <t>SEC01845</t>
  </si>
  <si>
    <t>Summit Industries 1845</t>
  </si>
  <si>
    <t>SEC01846</t>
  </si>
  <si>
    <t>Delta Group 1846</t>
  </si>
  <si>
    <t>SEC01847</t>
  </si>
  <si>
    <t>Nova Financial 1847</t>
  </si>
  <si>
    <t>SEC01848</t>
  </si>
  <si>
    <t>Vertex Markets 1848</t>
  </si>
  <si>
    <t>SEC01849</t>
  </si>
  <si>
    <t>Delta Energy 1849</t>
  </si>
  <si>
    <t>SEC01850</t>
  </si>
  <si>
    <t>Nova Markets 1850</t>
  </si>
  <si>
    <t>SEC01851</t>
  </si>
  <si>
    <t>Harbor Financial 1851</t>
  </si>
  <si>
    <t>SEC01852</t>
  </si>
  <si>
    <t>Delta Markets 1852</t>
  </si>
  <si>
    <t>SEC01853</t>
  </si>
  <si>
    <t>Liberty Markets 1853</t>
  </si>
  <si>
    <t>SEC01854</t>
  </si>
  <si>
    <t>Sterling Technology 1854</t>
  </si>
  <si>
    <t>SEC01855</t>
  </si>
  <si>
    <t>Summit Holdings 1855</t>
  </si>
  <si>
    <t>SEC01856</t>
  </si>
  <si>
    <t>Alpha Industries 1856</t>
  </si>
  <si>
    <t>SEC01857</t>
  </si>
  <si>
    <t>Orion Technology 1857</t>
  </si>
  <si>
    <t>SEC01858</t>
  </si>
  <si>
    <t>Liberty Capital 1858</t>
  </si>
  <si>
    <t>SEC01859</t>
  </si>
  <si>
    <t>Vertex Energy 1859</t>
  </si>
  <si>
    <t>SEC01860</t>
  </si>
  <si>
    <t>Delta Financial 1860</t>
  </si>
  <si>
    <t>SEC01861</t>
  </si>
  <si>
    <t>Atlas Fund 1861</t>
  </si>
  <si>
    <t>SEC01862</t>
  </si>
  <si>
    <t>Cedar Industries 1862</t>
  </si>
  <si>
    <t>SEC01863</t>
  </si>
  <si>
    <t>Summit Fund 1863</t>
  </si>
  <si>
    <t>SEC01864</t>
  </si>
  <si>
    <t>Pioneer Financial 1864</t>
  </si>
  <si>
    <t>SEC01865</t>
  </si>
  <si>
    <t>Atlas Capital 1865</t>
  </si>
  <si>
    <t>SEC01866</t>
  </si>
  <si>
    <t>Alpha Partners 1866</t>
  </si>
  <si>
    <t>SEC01867</t>
  </si>
  <si>
    <t>Cedar Energy 1867</t>
  </si>
  <si>
    <t>SEC01868</t>
  </si>
  <si>
    <t>Alpha Financial 1868</t>
  </si>
  <si>
    <t>SEC01869</t>
  </si>
  <si>
    <t>Liberty Partners 1869</t>
  </si>
  <si>
    <t>SEC01870</t>
  </si>
  <si>
    <t>Orion Financial 1870</t>
  </si>
  <si>
    <t>SEC01871</t>
  </si>
  <si>
    <t>Sterling Technology 1871</t>
  </si>
  <si>
    <t>SEC01872</t>
  </si>
  <si>
    <t>Nova Group 1872</t>
  </si>
  <si>
    <t>SEC01873</t>
  </si>
  <si>
    <t>Nova Capital 1873</t>
  </si>
  <si>
    <t>SEC01874</t>
  </si>
  <si>
    <t>Vertex Energy 1874</t>
  </si>
  <si>
    <t>SEC01875</t>
  </si>
  <si>
    <t>Delta Markets 1875</t>
  </si>
  <si>
    <t>SEC01876</t>
  </si>
  <si>
    <t>Orion Group 1876</t>
  </si>
  <si>
    <t>SEC01877</t>
  </si>
  <si>
    <t>Orion Energy 1877</t>
  </si>
  <si>
    <t>SEC01878</t>
  </si>
  <si>
    <t>Vertex Financial 1878</t>
  </si>
  <si>
    <t>SEC01879</t>
  </si>
  <si>
    <t>Atlas Partners 1879</t>
  </si>
  <si>
    <t>SEC01880</t>
  </si>
  <si>
    <t>Vertex Capital 1880</t>
  </si>
  <si>
    <t>SEC01881</t>
  </si>
  <si>
    <t>Delta Holdings 1881</t>
  </si>
  <si>
    <t>SEC01882</t>
  </si>
  <si>
    <t>Orion Energy 1882</t>
  </si>
  <si>
    <t>SEC01883</t>
  </si>
  <si>
    <t>Liberty Capital 1883</t>
  </si>
  <si>
    <t>SEC01884</t>
  </si>
  <si>
    <t>Summit Energy 1884</t>
  </si>
  <si>
    <t>SEC01885</t>
  </si>
  <si>
    <t>Cedar Financial 1885</t>
  </si>
  <si>
    <t>SEC01886</t>
  </si>
  <si>
    <t>Liberty Markets 1886</t>
  </si>
  <si>
    <t>SEC01887</t>
  </si>
  <si>
    <t>Sterling Technology 1887</t>
  </si>
  <si>
    <t>SEC01888</t>
  </si>
  <si>
    <t>Alpha Energy 1888</t>
  </si>
  <si>
    <t>SEC01889</t>
  </si>
  <si>
    <t>Alpha Holdings 1889</t>
  </si>
  <si>
    <t>SEC01890</t>
  </si>
  <si>
    <t>Orion Financial 1890</t>
  </si>
  <si>
    <t>SEC01891</t>
  </si>
  <si>
    <t>Cedar Holdings 1891</t>
  </si>
  <si>
    <t>SEC01892</t>
  </si>
  <si>
    <t>Harbor Energy 1892</t>
  </si>
  <si>
    <t>SEC01893</t>
  </si>
  <si>
    <t>Cedar Energy 1893</t>
  </si>
  <si>
    <t>SEC01894</t>
  </si>
  <si>
    <t>Cedar Holdings 1894</t>
  </si>
  <si>
    <t>SEC01895</t>
  </si>
  <si>
    <t>Harbor Financial 1895</t>
  </si>
  <si>
    <t>SEC01896</t>
  </si>
  <si>
    <t>Atlas Group 1896</t>
  </si>
  <si>
    <t>SEC01897</t>
  </si>
  <si>
    <t>Nova Markets 1897</t>
  </si>
  <si>
    <t>SEC01898</t>
  </si>
  <si>
    <t>Vertex Financial 1898</t>
  </si>
  <si>
    <t>SEC01899</t>
  </si>
  <si>
    <t>Sterling Markets 1899</t>
  </si>
  <si>
    <t>SEC01900</t>
  </si>
  <si>
    <t>Vertex Markets 1900</t>
  </si>
  <si>
    <t>SEC01901</t>
  </si>
  <si>
    <t>Delta Fund 1901</t>
  </si>
  <si>
    <t>SEC01902</t>
  </si>
  <si>
    <t>Liberty Energy 1902</t>
  </si>
  <si>
    <t>SEC01903</t>
  </si>
  <si>
    <t>Cedar Industries 1903</t>
  </si>
  <si>
    <t>SEC01904</t>
  </si>
  <si>
    <t>Orion Energy 1904</t>
  </si>
  <si>
    <t>SEC01905</t>
  </si>
  <si>
    <t>Vertex Industries 1905</t>
  </si>
  <si>
    <t>SEC01906</t>
  </si>
  <si>
    <t>Summit Markets 1906</t>
  </si>
  <si>
    <t>SEC01907</t>
  </si>
  <si>
    <t>Sterling Markets 1907</t>
  </si>
  <si>
    <t>SEC01908</t>
  </si>
  <si>
    <t>Pioneer Capital 1908</t>
  </si>
  <si>
    <t>SEC01909</t>
  </si>
  <si>
    <t>Cedar Industries 1909</t>
  </si>
  <si>
    <t>SEC01910</t>
  </si>
  <si>
    <t>Atlas Technology 1910</t>
  </si>
  <si>
    <t>SEC01911</t>
  </si>
  <si>
    <t>Alpha Fund 1911</t>
  </si>
  <si>
    <t>SEC01912</t>
  </si>
  <si>
    <t>Liberty Technology 1912</t>
  </si>
  <si>
    <t>SEC01913</t>
  </si>
  <si>
    <t>Pioneer Energy 1913</t>
  </si>
  <si>
    <t>SEC01914</t>
  </si>
  <si>
    <t>Nova Markets 1914</t>
  </si>
  <si>
    <t>SEC01915</t>
  </si>
  <si>
    <t>Atlas Energy 1915</t>
  </si>
  <si>
    <t>SEC01916</t>
  </si>
  <si>
    <t>Harbor Industries 1916</t>
  </si>
  <si>
    <t>SEC01917</t>
  </si>
  <si>
    <t>Atlas Partners 1917</t>
  </si>
  <si>
    <t>SEC01918</t>
  </si>
  <si>
    <t>Orion Financial 1918</t>
  </si>
  <si>
    <t>SEC01919</t>
  </si>
  <si>
    <t>Cedar Markets 1919</t>
  </si>
  <si>
    <t>SEC01920</t>
  </si>
  <si>
    <t>Atlas Fund 1920</t>
  </si>
  <si>
    <t>SEC01921</t>
  </si>
  <si>
    <t>Orion Group 1921</t>
  </si>
  <si>
    <t>SEC01922</t>
  </si>
  <si>
    <t>Orion Financial 1922</t>
  </si>
  <si>
    <t>SEC01923</t>
  </si>
  <si>
    <t>Vertex Group 1923</t>
  </si>
  <si>
    <t>SEC01924</t>
  </si>
  <si>
    <t>Pioneer Holdings 1924</t>
  </si>
  <si>
    <t>SEC01925</t>
  </si>
  <si>
    <t>Liberty Industries 1925</t>
  </si>
  <si>
    <t>SEC01926</t>
  </si>
  <si>
    <t>Pioneer Group 1926</t>
  </si>
  <si>
    <t>SEC01927</t>
  </si>
  <si>
    <t>Delta Energy 1927</t>
  </si>
  <si>
    <t>SEC01928</t>
  </si>
  <si>
    <t>Sterling Group 1928</t>
  </si>
  <si>
    <t>SEC01929</t>
  </si>
  <si>
    <t>Pioneer Group 1929</t>
  </si>
  <si>
    <t>SEC01930</t>
  </si>
  <si>
    <t>Liberty Fund 1930</t>
  </si>
  <si>
    <t>SEC01931</t>
  </si>
  <si>
    <t>Delta Industries 1931</t>
  </si>
  <si>
    <t>SEC01932</t>
  </si>
  <si>
    <t>Harbor Financial 1932</t>
  </si>
  <si>
    <t>SEC01933</t>
  </si>
  <si>
    <t>Orion Capital 1933</t>
  </si>
  <si>
    <t>SEC01934</t>
  </si>
  <si>
    <t>Nova Holdings 1934</t>
  </si>
  <si>
    <t>SEC01935</t>
  </si>
  <si>
    <t>Orion Financial 1935</t>
  </si>
  <si>
    <t>SEC01936</t>
  </si>
  <si>
    <t>Vertex Group 1936</t>
  </si>
  <si>
    <t>SEC01937</t>
  </si>
  <si>
    <t>Pioneer Technology 1937</t>
  </si>
  <si>
    <t>SEC01938</t>
  </si>
  <si>
    <t>Orion Fund 1938</t>
  </si>
  <si>
    <t>SEC01939</t>
  </si>
  <si>
    <t>Summit Energy 1939</t>
  </si>
  <si>
    <t>SEC01940</t>
  </si>
  <si>
    <t>Summit Partners 1940</t>
  </si>
  <si>
    <t>SEC01941</t>
  </si>
  <si>
    <t>Orion Markets 1941</t>
  </si>
  <si>
    <t>SEC01942</t>
  </si>
  <si>
    <t>Delta Capital 1942</t>
  </si>
  <si>
    <t>SEC01943</t>
  </si>
  <si>
    <t>Vertex Fund 1943</t>
  </si>
  <si>
    <t>SEC01944</t>
  </si>
  <si>
    <t>Harbor Capital 1944</t>
  </si>
  <si>
    <t>SEC01945</t>
  </si>
  <si>
    <t>Nova Capital 1945</t>
  </si>
  <si>
    <t>SEC01946</t>
  </si>
  <si>
    <t>Alpha Group 1946</t>
  </si>
  <si>
    <t>SEC01947</t>
  </si>
  <si>
    <t>Harbor Financial 1947</t>
  </si>
  <si>
    <t>SEC01948</t>
  </si>
  <si>
    <t>Delta Fund 1948</t>
  </si>
  <si>
    <t>SEC01949</t>
  </si>
  <si>
    <t>Sterling Partners 1949</t>
  </si>
  <si>
    <t>SEC01950</t>
  </si>
  <si>
    <t>Liberty Fund 1950</t>
  </si>
  <si>
    <t>SEC01951</t>
  </si>
  <si>
    <t>Liberty Fund 1951</t>
  </si>
  <si>
    <t>SEC01952</t>
  </si>
  <si>
    <t>Liberty Financial 1952</t>
  </si>
  <si>
    <t>SEC01953</t>
  </si>
  <si>
    <t>Pioneer Industries 1953</t>
  </si>
  <si>
    <t>SEC01954</t>
  </si>
  <si>
    <t>Vertex Financial 1954</t>
  </si>
  <si>
    <t>SEC01955</t>
  </si>
  <si>
    <t>Vertex Industries 1955</t>
  </si>
  <si>
    <t>SEC01956</t>
  </si>
  <si>
    <t>Cedar Industries 1956</t>
  </si>
  <si>
    <t>SEC01957</t>
  </si>
  <si>
    <t>Orion Industries 1957</t>
  </si>
  <si>
    <t>SEC01958</t>
  </si>
  <si>
    <t>Nova Group 1958</t>
  </si>
  <si>
    <t>SEC01959</t>
  </si>
  <si>
    <t>Sterling Holdings 1959</t>
  </si>
  <si>
    <t>SEC01960</t>
  </si>
  <si>
    <t>Alpha Holdings 1960</t>
  </si>
  <si>
    <t>SEC01961</t>
  </si>
  <si>
    <t>Vertex Holdings 1961</t>
  </si>
  <si>
    <t>SEC01962</t>
  </si>
  <si>
    <t>Cedar Markets 1962</t>
  </si>
  <si>
    <t>SEC01963</t>
  </si>
  <si>
    <t>Orion Partners 1963</t>
  </si>
  <si>
    <t>SEC01964</t>
  </si>
  <si>
    <t>Nova Markets 1964</t>
  </si>
  <si>
    <t>SEC01965</t>
  </si>
  <si>
    <t>Summit Capital 1965</t>
  </si>
  <si>
    <t>SEC01966</t>
  </si>
  <si>
    <t>Alpha Industries 1966</t>
  </si>
  <si>
    <t>SEC01967</t>
  </si>
  <si>
    <t>Sterling Capital 1967</t>
  </si>
  <si>
    <t>SEC01968</t>
  </si>
  <si>
    <t>Alpha Group 1968</t>
  </si>
  <si>
    <t>SEC01969</t>
  </si>
  <si>
    <t>Pioneer Industries 1969</t>
  </si>
  <si>
    <t>SEC01970</t>
  </si>
  <si>
    <t>Cedar Fund 1970</t>
  </si>
  <si>
    <t>SEC01971</t>
  </si>
  <si>
    <t>Alpha Partners 1971</t>
  </si>
  <si>
    <t>SEC01972</t>
  </si>
  <si>
    <t>Alpha Financial 1972</t>
  </si>
  <si>
    <t>SEC01973</t>
  </si>
  <si>
    <t>Orion Technology 1973</t>
  </si>
  <si>
    <t>SEC01974</t>
  </si>
  <si>
    <t>Summit Industries 1974</t>
  </si>
  <si>
    <t>SEC01975</t>
  </si>
  <si>
    <t>Harbor Fund 1975</t>
  </si>
  <si>
    <t>SEC01976</t>
  </si>
  <si>
    <t>Harbor Fund 1976</t>
  </si>
  <si>
    <t>SEC01977</t>
  </si>
  <si>
    <t>Harbor Partners 1977</t>
  </si>
  <si>
    <t>SEC01978</t>
  </si>
  <si>
    <t>Harbor Financial 1978</t>
  </si>
  <si>
    <t>SEC01979</t>
  </si>
  <si>
    <t>Summit Partners 1979</t>
  </si>
  <si>
    <t>SEC01980</t>
  </si>
  <si>
    <t>Nova Fund 1980</t>
  </si>
  <si>
    <t>SEC01981</t>
  </si>
  <si>
    <t>Alpha Holdings 1981</t>
  </si>
  <si>
    <t>SEC01982</t>
  </si>
  <si>
    <t>Vertex Group 1982</t>
  </si>
  <si>
    <t>SEC01983</t>
  </si>
  <si>
    <t>Harbor Holdings 1983</t>
  </si>
  <si>
    <t>SEC01984</t>
  </si>
  <si>
    <t>Alpha Holdings 1984</t>
  </si>
  <si>
    <t>SEC01985</t>
  </si>
  <si>
    <t>Alpha Financial 1985</t>
  </si>
  <si>
    <t>SEC01986</t>
  </si>
  <si>
    <t>Delta Partners 1986</t>
  </si>
  <si>
    <t>SEC01987</t>
  </si>
  <si>
    <t>Pioneer Markets 1987</t>
  </si>
  <si>
    <t>SEC01988</t>
  </si>
  <si>
    <t>Sterling Group 1988</t>
  </si>
  <si>
    <t>SEC01989</t>
  </si>
  <si>
    <t>Pioneer Industries 1989</t>
  </si>
  <si>
    <t>SEC01990</t>
  </si>
  <si>
    <t>Atlas Energy 1990</t>
  </si>
  <si>
    <t>SEC01991</t>
  </si>
  <si>
    <t>Cedar Financial 1991</t>
  </si>
  <si>
    <t>SEC01992</t>
  </si>
  <si>
    <t>Orion Group 1992</t>
  </si>
  <si>
    <t>SEC01993</t>
  </si>
  <si>
    <t>Pioneer Capital 1993</t>
  </si>
  <si>
    <t>SEC01994</t>
  </si>
  <si>
    <t>Cedar Group 1994</t>
  </si>
  <si>
    <t>SEC01995</t>
  </si>
  <si>
    <t>Nova Holdings 1995</t>
  </si>
  <si>
    <t>SEC01996</t>
  </si>
  <si>
    <t>Pioneer Capital 1996</t>
  </si>
  <si>
    <t>SEC01997</t>
  </si>
  <si>
    <t>Cedar Capital 1997</t>
  </si>
  <si>
    <t>SEC01998</t>
  </si>
  <si>
    <t>Cedar Group 1998</t>
  </si>
  <si>
    <t>SEC01999</t>
  </si>
  <si>
    <t>Sterling Holdings 1999</t>
  </si>
  <si>
    <t>SEC02000</t>
  </si>
  <si>
    <t>Alpha Markets 2000</t>
  </si>
  <si>
    <t>SEC02001</t>
  </si>
  <si>
    <t>Delta Holdings 2001</t>
  </si>
  <si>
    <t>SEC02002</t>
  </si>
  <si>
    <t>Pioneer Capital 2002</t>
  </si>
  <si>
    <t>SEC02003</t>
  </si>
  <si>
    <t>Orion Technology 2003</t>
  </si>
  <si>
    <t>SEC02004</t>
  </si>
  <si>
    <t>Nova Holdings 2004</t>
  </si>
  <si>
    <t>SEC02005</t>
  </si>
  <si>
    <t>Delta Capital 2005</t>
  </si>
  <si>
    <t>SEC02006</t>
  </si>
  <si>
    <t>Sterling Holdings 2006</t>
  </si>
  <si>
    <t>SEC02007</t>
  </si>
  <si>
    <t>Harbor Markets 2007</t>
  </si>
  <si>
    <t>SEC02008</t>
  </si>
  <si>
    <t>Delta Holdings 2008</t>
  </si>
  <si>
    <t>SEC02009</t>
  </si>
  <si>
    <t>Harbor Partners 2009</t>
  </si>
  <si>
    <t>SEC02010</t>
  </si>
  <si>
    <t>Atlas Industries 2010</t>
  </si>
  <si>
    <t>SEC02011</t>
  </si>
  <si>
    <t>Orion Industries 2011</t>
  </si>
  <si>
    <t>SEC02012</t>
  </si>
  <si>
    <t>Cedar Technology 2012</t>
  </si>
  <si>
    <t>SEC02013</t>
  </si>
  <si>
    <t>Cedar Group 2013</t>
  </si>
  <si>
    <t>SEC02014</t>
  </si>
  <si>
    <t>Summit Markets 2014</t>
  </si>
  <si>
    <t>SEC02015</t>
  </si>
  <si>
    <t>Orion Markets 2015</t>
  </si>
  <si>
    <t>SEC02016</t>
  </si>
  <si>
    <t>Alpha Financial 2016</t>
  </si>
  <si>
    <t>SEC02017</t>
  </si>
  <si>
    <t>Cedar Partners 2017</t>
  </si>
  <si>
    <t>SEC02018</t>
  </si>
  <si>
    <t>Vertex Capital 2018</t>
  </si>
  <si>
    <t>SEC02019</t>
  </si>
  <si>
    <t>Harbor Holdings 2019</t>
  </si>
  <si>
    <t>SEC02020</t>
  </si>
  <si>
    <t>Delta Capital 2020</t>
  </si>
  <si>
    <t>SEC02021</t>
  </si>
  <si>
    <t>Alpha Fund 2021</t>
  </si>
  <si>
    <t>SEC02022</t>
  </si>
  <si>
    <t>Orion Group 2022</t>
  </si>
  <si>
    <t>SEC02023</t>
  </si>
  <si>
    <t>Pioneer Energy 2023</t>
  </si>
  <si>
    <t>SEC02024</t>
  </si>
  <si>
    <t>Sterling Energy 2024</t>
  </si>
  <si>
    <t>SEC02025</t>
  </si>
  <si>
    <t>Sterling Partners 2025</t>
  </si>
  <si>
    <t>SEC02026</t>
  </si>
  <si>
    <t>Alpha Capital 2026</t>
  </si>
  <si>
    <t>SEC02027</t>
  </si>
  <si>
    <t>Orion Capital 2027</t>
  </si>
  <si>
    <t>SEC02028</t>
  </si>
  <si>
    <t>Atlas Energy 2028</t>
  </si>
  <si>
    <t>SEC02029</t>
  </si>
  <si>
    <t>Delta Partners 2029</t>
  </si>
  <si>
    <t>SEC02030</t>
  </si>
  <si>
    <t>Cedar Technology 2030</t>
  </si>
  <si>
    <t>SEC02031</t>
  </si>
  <si>
    <t>Cedar Industries 2031</t>
  </si>
  <si>
    <t>SEC02032</t>
  </si>
  <si>
    <t>Nova Fund 2032</t>
  </si>
  <si>
    <t>SEC02033</t>
  </si>
  <si>
    <t>Cedar Fund 2033</t>
  </si>
  <si>
    <t>SEC02034</t>
  </si>
  <si>
    <t>Atlas Holdings 2034</t>
  </si>
  <si>
    <t>SEC02035</t>
  </si>
  <si>
    <t>Summit Energy 2035</t>
  </si>
  <si>
    <t>SEC02036</t>
  </si>
  <si>
    <t>Liberty Partners 2036</t>
  </si>
  <si>
    <t>SEC02037</t>
  </si>
  <si>
    <t>Orion Holdings 2037</t>
  </si>
  <si>
    <t>SEC02038</t>
  </si>
  <si>
    <t>Orion Group 2038</t>
  </si>
  <si>
    <t>SEC02039</t>
  </si>
  <si>
    <t>Pioneer Industries 2039</t>
  </si>
  <si>
    <t>SEC02040</t>
  </si>
  <si>
    <t>Atlas Energy 2040</t>
  </si>
  <si>
    <t>SEC02041</t>
  </si>
  <si>
    <t>Cedar Financial 2041</t>
  </si>
  <si>
    <t>SEC02042</t>
  </si>
  <si>
    <t>Cedar Markets 2042</t>
  </si>
  <si>
    <t>SEC02043</t>
  </si>
  <si>
    <t>Atlas Industries 2043</t>
  </si>
  <si>
    <t>SEC02044</t>
  </si>
  <si>
    <t>Harbor Partners 2044</t>
  </si>
  <si>
    <t>SEC02045</t>
  </si>
  <si>
    <t>Liberty Technology 2045</t>
  </si>
  <si>
    <t>SEC02046</t>
  </si>
  <si>
    <t>Vertex Holdings 2046</t>
  </si>
  <si>
    <t>SEC02047</t>
  </si>
  <si>
    <t>Vertex Fund 2047</t>
  </si>
  <si>
    <t>SEC02048</t>
  </si>
  <si>
    <t>Alpha Group 2048</t>
  </si>
  <si>
    <t>SEC02049</t>
  </si>
  <si>
    <t>Harbor Group 2049</t>
  </si>
  <si>
    <t>SEC02050</t>
  </si>
  <si>
    <t>Pioneer Group 2050</t>
  </si>
  <si>
    <t>SEC02051</t>
  </si>
  <si>
    <t>Vertex Financial 2051</t>
  </si>
  <si>
    <t>SEC02052</t>
  </si>
  <si>
    <t>Sterling Financial 2052</t>
  </si>
  <si>
    <t>SEC02053</t>
  </si>
  <si>
    <t>Nova Fund 2053</t>
  </si>
  <si>
    <t>SEC02054</t>
  </si>
  <si>
    <t>Summit Capital 2054</t>
  </si>
  <si>
    <t>SEC02055</t>
  </si>
  <si>
    <t>Sterling Holdings 2055</t>
  </si>
  <si>
    <t>SEC02056</t>
  </si>
  <si>
    <t>Alpha Group 2056</t>
  </si>
  <si>
    <t>SEC02057</t>
  </si>
  <si>
    <t>Sterling Financial 2057</t>
  </si>
  <si>
    <t>SEC02058</t>
  </si>
  <si>
    <t>Delta Capital 2058</t>
  </si>
  <si>
    <t>SEC02059</t>
  </si>
  <si>
    <t>Orion Holdings 2059</t>
  </si>
  <si>
    <t>SEC02060</t>
  </si>
  <si>
    <t>Summit Industries 2060</t>
  </si>
  <si>
    <t>SEC02061</t>
  </si>
  <si>
    <t>Liberty Technology 2061</t>
  </si>
  <si>
    <t>SEC02062</t>
  </si>
  <si>
    <t>Atlas Markets 2062</t>
  </si>
  <si>
    <t>SEC02063</t>
  </si>
  <si>
    <t>Nova Energy 2063</t>
  </si>
  <si>
    <t>SEC02064</t>
  </si>
  <si>
    <t>Pioneer Fund 2064</t>
  </si>
  <si>
    <t>SEC02065</t>
  </si>
  <si>
    <t>Vertex Markets 2065</t>
  </si>
  <si>
    <t>SEC02066</t>
  </si>
  <si>
    <t>Liberty Energy 2066</t>
  </si>
  <si>
    <t>SEC02067</t>
  </si>
  <si>
    <t>Orion Capital 2067</t>
  </si>
  <si>
    <t>SEC02068</t>
  </si>
  <si>
    <t>Sterling Capital 2068</t>
  </si>
  <si>
    <t>SEC02069</t>
  </si>
  <si>
    <t>Nova Industries 2069</t>
  </si>
  <si>
    <t>SEC02070</t>
  </si>
  <si>
    <t>Vertex Partners 2070</t>
  </si>
  <si>
    <t>SEC02071</t>
  </si>
  <si>
    <t>Sterling Fund 2071</t>
  </si>
  <si>
    <t>SEC02072</t>
  </si>
  <si>
    <t>Sterling Fund 2072</t>
  </si>
  <si>
    <t>SEC02073</t>
  </si>
  <si>
    <t>Vertex Financial 2073</t>
  </si>
  <si>
    <t>SEC02074</t>
  </si>
  <si>
    <t>Harbor Financial 2074</t>
  </si>
  <si>
    <t>SEC02075</t>
  </si>
  <si>
    <t>Nova Technology 2075</t>
  </si>
  <si>
    <t>SEC02076</t>
  </si>
  <si>
    <t>Harbor Markets 2076</t>
  </si>
  <si>
    <t>SEC02077</t>
  </si>
  <si>
    <t>Atlas Fund 2077</t>
  </si>
  <si>
    <t>SEC02078</t>
  </si>
  <si>
    <t>Pioneer Group 2078</t>
  </si>
  <si>
    <t>SEC02079</t>
  </si>
  <si>
    <t>Sterling Holdings 2079</t>
  </si>
  <si>
    <t>SEC02080</t>
  </si>
  <si>
    <t>Atlas Industries 2080</t>
  </si>
  <si>
    <t>SEC02081</t>
  </si>
  <si>
    <t>Delta Energy 2081</t>
  </si>
  <si>
    <t>SEC02082</t>
  </si>
  <si>
    <t>Summit Technology 2082</t>
  </si>
  <si>
    <t>SEC02083</t>
  </si>
  <si>
    <t>Orion Fund 2083</t>
  </si>
  <si>
    <t>SEC02084</t>
  </si>
  <si>
    <t>Delta Partners 2084</t>
  </si>
  <si>
    <t>SEC02085</t>
  </si>
  <si>
    <t>Vertex Group 2085</t>
  </si>
  <si>
    <t>SEC02086</t>
  </si>
  <si>
    <t>Alpha Industries 2086</t>
  </si>
  <si>
    <t>SEC02087</t>
  </si>
  <si>
    <t>Delta Partners 2087</t>
  </si>
  <si>
    <t>SEC02088</t>
  </si>
  <si>
    <t>Cedar Partners 2088</t>
  </si>
  <si>
    <t>SEC02089</t>
  </si>
  <si>
    <t>Pioneer Holdings 2089</t>
  </si>
  <si>
    <t>SEC02090</t>
  </si>
  <si>
    <t>Orion Technology 2090</t>
  </si>
  <si>
    <t>SEC02091</t>
  </si>
  <si>
    <t>Cedar Partners 2091</t>
  </si>
  <si>
    <t>SEC02092</t>
  </si>
  <si>
    <t>Sterling Fund 2092</t>
  </si>
  <si>
    <t>SEC02093</t>
  </si>
  <si>
    <t>Alpha Technology 2093</t>
  </si>
  <si>
    <t>SEC02094</t>
  </si>
  <si>
    <t>Cedar Energy 2094</t>
  </si>
  <si>
    <t>SEC02095</t>
  </si>
  <si>
    <t>Liberty Financial 2095</t>
  </si>
  <si>
    <t>SEC02096</t>
  </si>
  <si>
    <t>Liberty Partners 2096</t>
  </si>
  <si>
    <t>SEC02097</t>
  </si>
  <si>
    <t>Nova Technology 2097</t>
  </si>
  <si>
    <t>SEC02098</t>
  </si>
  <si>
    <t>Atlas Group 2098</t>
  </si>
  <si>
    <t>SEC02099</t>
  </si>
  <si>
    <t>Pioneer Partners 2099</t>
  </si>
  <si>
    <t>SEC02100</t>
  </si>
  <si>
    <t>Atlas Financial 2100</t>
  </si>
  <si>
    <t>SEC02101</t>
  </si>
  <si>
    <t>Liberty Markets 2101</t>
  </si>
  <si>
    <t>SEC02102</t>
  </si>
  <si>
    <t>Delta Group 2102</t>
  </si>
  <si>
    <t>SEC02103</t>
  </si>
  <si>
    <t>Harbor Holdings 2103</t>
  </si>
  <si>
    <t>SEC02104</t>
  </si>
  <si>
    <t>Harbor Industries 2104</t>
  </si>
  <si>
    <t>SEC02105</t>
  </si>
  <si>
    <t>Harbor Technology 2105</t>
  </si>
  <si>
    <t>SEC02106</t>
  </si>
  <si>
    <t>Nova Holdings 2106</t>
  </si>
  <si>
    <t>SEC02107</t>
  </si>
  <si>
    <t>Harbor Group 2107</t>
  </si>
  <si>
    <t>SEC02108</t>
  </si>
  <si>
    <t>Alpha Markets 2108</t>
  </si>
  <si>
    <t>SEC02109</t>
  </si>
  <si>
    <t>Summit Partners 2109</t>
  </si>
  <si>
    <t>SEC02110</t>
  </si>
  <si>
    <t>Harbor Partners 2110</t>
  </si>
  <si>
    <t>SEC02111</t>
  </si>
  <si>
    <t>Vertex Energy 2111</t>
  </si>
  <si>
    <t>SEC02112</t>
  </si>
  <si>
    <t>Atlas Partners 2112</t>
  </si>
  <si>
    <t>SEC02113</t>
  </si>
  <si>
    <t>Nova Technology 2113</t>
  </si>
  <si>
    <t>SEC02114</t>
  </si>
  <si>
    <t>Vertex Capital 2114</t>
  </si>
  <si>
    <t>SEC02115</t>
  </si>
  <si>
    <t>Harbor Group 2115</t>
  </si>
  <si>
    <t>SEC02116</t>
  </si>
  <si>
    <t>Vertex Holdings 2116</t>
  </si>
  <si>
    <t>SEC02117</t>
  </si>
  <si>
    <t>Vertex Markets 2117</t>
  </si>
  <si>
    <t>SEC02118</t>
  </si>
  <si>
    <t>Harbor Group 2118</t>
  </si>
  <si>
    <t>SEC02119</t>
  </si>
  <si>
    <t>Delta Markets 2119</t>
  </si>
  <si>
    <t>SEC02120</t>
  </si>
  <si>
    <t>Orion Energy 2120</t>
  </si>
  <si>
    <t>SEC02121</t>
  </si>
  <si>
    <t>Vertex Holdings 2121</t>
  </si>
  <si>
    <t>SEC02122</t>
  </si>
  <si>
    <t>Sterling Fund 2122</t>
  </si>
  <si>
    <t>SEC02123</t>
  </si>
  <si>
    <t>Liberty Holdings 2123</t>
  </si>
  <si>
    <t>SEC02124</t>
  </si>
  <si>
    <t>Cedar Technology 2124</t>
  </si>
  <si>
    <t>SEC02125</t>
  </si>
  <si>
    <t>Alpha Energy 2125</t>
  </si>
  <si>
    <t>SEC02126</t>
  </si>
  <si>
    <t>Pioneer Holdings 2126</t>
  </si>
  <si>
    <t>SEC02127</t>
  </si>
  <si>
    <t>Nova Holdings 2127</t>
  </si>
  <si>
    <t>SEC02128</t>
  </si>
  <si>
    <t>Atlas Industries 2128</t>
  </si>
  <si>
    <t>SEC02129</t>
  </si>
  <si>
    <t>Orion Holdings 2129</t>
  </si>
  <si>
    <t>SEC02130</t>
  </si>
  <si>
    <t>Cedar Industries 2130</t>
  </si>
  <si>
    <t>SEC02131</t>
  </si>
  <si>
    <t>Pioneer Group 2131</t>
  </si>
  <si>
    <t>SEC02132</t>
  </si>
  <si>
    <t>Nova Financial 2132</t>
  </si>
  <si>
    <t>SEC02133</t>
  </si>
  <si>
    <t>Pioneer Holdings 2133</t>
  </si>
  <si>
    <t>SEC02134</t>
  </si>
  <si>
    <t>Cedar Energy 2134</t>
  </si>
  <si>
    <t>SEC02135</t>
  </si>
  <si>
    <t>Orion Industries 2135</t>
  </si>
  <si>
    <t>SEC02136</t>
  </si>
  <si>
    <t>Summit Industries 2136</t>
  </si>
  <si>
    <t>SEC02137</t>
  </si>
  <si>
    <t>Alpha Capital 2137</t>
  </si>
  <si>
    <t>SEC02138</t>
  </si>
  <si>
    <t>Orion Holdings 2138</t>
  </si>
  <si>
    <t>SEC02139</t>
  </si>
  <si>
    <t>Vertex Fund 2139</t>
  </si>
  <si>
    <t>SEC02140</t>
  </si>
  <si>
    <t>Atlas Partners 2140</t>
  </si>
  <si>
    <t>SEC02141</t>
  </si>
  <si>
    <t>Atlas Financial 2141</t>
  </si>
  <si>
    <t>SEC02142</t>
  </si>
  <si>
    <t>Vertex Markets 2142</t>
  </si>
  <si>
    <t>SEC02143</t>
  </si>
  <si>
    <t>Atlas Industries 2143</t>
  </si>
  <si>
    <t>SEC02144</t>
  </si>
  <si>
    <t>Alpha Group 2144</t>
  </si>
  <si>
    <t>SEC02145</t>
  </si>
  <si>
    <t>Cedar Group 2145</t>
  </si>
  <si>
    <t>SEC02146</t>
  </si>
  <si>
    <t>Harbor Energy 2146</t>
  </si>
  <si>
    <t>SEC02147</t>
  </si>
  <si>
    <t>Alpha Capital 2147</t>
  </si>
  <si>
    <t>SEC02148</t>
  </si>
  <si>
    <t>Delta Group 2148</t>
  </si>
  <si>
    <t>SEC02149</t>
  </si>
  <si>
    <t>Nova Partners 2149</t>
  </si>
  <si>
    <t>SEC02150</t>
  </si>
  <si>
    <t>Sterling Markets 2150</t>
  </si>
  <si>
    <t>SEC02151</t>
  </si>
  <si>
    <t>Sterling Group 2151</t>
  </si>
  <si>
    <t>SEC02152</t>
  </si>
  <si>
    <t>Summit Capital 2152</t>
  </si>
  <si>
    <t>SEC02153</t>
  </si>
  <si>
    <t>Alpha Capital 2153</t>
  </si>
  <si>
    <t>SEC02154</t>
  </si>
  <si>
    <t>Vertex Fund 2154</t>
  </si>
  <si>
    <t>SEC02155</t>
  </si>
  <si>
    <t>Delta Capital 2155</t>
  </si>
  <si>
    <t>SEC02156</t>
  </si>
  <si>
    <t>Liberty Fund 2156</t>
  </si>
  <si>
    <t>SEC02157</t>
  </si>
  <si>
    <t>Harbor Financial 2157</t>
  </si>
  <si>
    <t>SEC02158</t>
  </si>
  <si>
    <t>Orion Energy 2158</t>
  </si>
  <si>
    <t>SEC02159</t>
  </si>
  <si>
    <t>Cedar Energy 2159</t>
  </si>
  <si>
    <t>SEC02160</t>
  </si>
  <si>
    <t>Pioneer Industries 2160</t>
  </si>
  <si>
    <t>SEC02161</t>
  </si>
  <si>
    <t>Orion Partners 2161</t>
  </si>
  <si>
    <t>SEC02162</t>
  </si>
  <si>
    <t>Delta Technology 2162</t>
  </si>
  <si>
    <t>SEC02163</t>
  </si>
  <si>
    <t>Liberty Fund 2163</t>
  </si>
  <si>
    <t>SEC02164</t>
  </si>
  <si>
    <t>Alpha Capital 2164</t>
  </si>
  <si>
    <t>SEC02165</t>
  </si>
  <si>
    <t>Liberty Technology 2165</t>
  </si>
  <si>
    <t>SEC02166</t>
  </si>
  <si>
    <t>Liberty Holdings 2166</t>
  </si>
  <si>
    <t>SEC02167</t>
  </si>
  <si>
    <t>Delta Fund 2167</t>
  </si>
  <si>
    <t>SEC02168</t>
  </si>
  <si>
    <t>Cedar Holdings 2168</t>
  </si>
  <si>
    <t>SEC02169</t>
  </si>
  <si>
    <t>Harbor Fund 2169</t>
  </si>
  <si>
    <t>SEC02170</t>
  </si>
  <si>
    <t>Alpha Partners 2170</t>
  </si>
  <si>
    <t>SEC02171</t>
  </si>
  <si>
    <t>Orion Capital 2171</t>
  </si>
  <si>
    <t>SEC02172</t>
  </si>
  <si>
    <t>Pioneer Fund 2172</t>
  </si>
  <si>
    <t>SEC02173</t>
  </si>
  <si>
    <t>Summit Financial 2173</t>
  </si>
  <si>
    <t>SEC02174</t>
  </si>
  <si>
    <t>Atlas Industries 2174</t>
  </si>
  <si>
    <t>SEC02175</t>
  </si>
  <si>
    <t>Harbor Financial 2175</t>
  </si>
  <si>
    <t>SEC02176</t>
  </si>
  <si>
    <t>Liberty Capital 2176</t>
  </si>
  <si>
    <t>SEC02177</t>
  </si>
  <si>
    <t>Orion Group 2177</t>
  </si>
  <si>
    <t>SEC02178</t>
  </si>
  <si>
    <t>Atlas Industries 2178</t>
  </si>
  <si>
    <t>SEC02179</t>
  </si>
  <si>
    <t>Vertex Capital 2179</t>
  </si>
  <si>
    <t>SEC02180</t>
  </si>
  <si>
    <t>Liberty Capital 2180</t>
  </si>
  <si>
    <t>SEC02181</t>
  </si>
  <si>
    <t>Cedar Capital 2181</t>
  </si>
  <si>
    <t>SEC02182</t>
  </si>
  <si>
    <t>Summit Industries 2182</t>
  </si>
  <si>
    <t>SEC02183</t>
  </si>
  <si>
    <t>Liberty Fund 2183</t>
  </si>
  <si>
    <t>SEC02184</t>
  </si>
  <si>
    <t>Orion Industries 2184</t>
  </si>
  <si>
    <t>SEC02185</t>
  </si>
  <si>
    <t>Cedar Holdings 2185</t>
  </si>
  <si>
    <t>SEC02186</t>
  </si>
  <si>
    <t>Sterling Markets 2186</t>
  </si>
  <si>
    <t>SEC02187</t>
  </si>
  <si>
    <t>Delta Fund 2187</t>
  </si>
  <si>
    <t>SEC02188</t>
  </si>
  <si>
    <t>Liberty Holdings 2188</t>
  </si>
  <si>
    <t>SEC02189</t>
  </si>
  <si>
    <t>Nova Partners 2189</t>
  </si>
  <si>
    <t>SEC02190</t>
  </si>
  <si>
    <t>Harbor Markets 2190</t>
  </si>
  <si>
    <t>SEC02191</t>
  </si>
  <si>
    <t>Alpha Industries 2191</t>
  </si>
  <si>
    <t>SEC02192</t>
  </si>
  <si>
    <t>Delta Group 2192</t>
  </si>
  <si>
    <t>SEC02193</t>
  </si>
  <si>
    <t>Atlas Industries 2193</t>
  </si>
  <si>
    <t>SEC02194</t>
  </si>
  <si>
    <t>Atlas Group 2194</t>
  </si>
  <si>
    <t>SEC02195</t>
  </si>
  <si>
    <t>Nova Markets 2195</t>
  </si>
  <si>
    <t>SEC02196</t>
  </si>
  <si>
    <t>Liberty Holdings 2196</t>
  </si>
  <si>
    <t>SEC02197</t>
  </si>
  <si>
    <t>Sterling Markets 2197</t>
  </si>
  <si>
    <t>SEC02198</t>
  </si>
  <si>
    <t>Delta Fund 2198</t>
  </si>
  <si>
    <t>SEC02199</t>
  </si>
  <si>
    <t>Sterling Technology 2199</t>
  </si>
  <si>
    <t>SEC02200</t>
  </si>
  <si>
    <t>Alpha Energy 2200</t>
  </si>
  <si>
    <t>SEC02201</t>
  </si>
  <si>
    <t>Vertex Group 2201</t>
  </si>
  <si>
    <t>SEC02202</t>
  </si>
  <si>
    <t>Alpha Group 2202</t>
  </si>
  <si>
    <t>SEC02203</t>
  </si>
  <si>
    <t>Cedar Technology 2203</t>
  </si>
  <si>
    <t>SEC02204</t>
  </si>
  <si>
    <t>Harbor Partners 2204</t>
  </si>
  <si>
    <t>SEC02205</t>
  </si>
  <si>
    <t>Nova Capital 2205</t>
  </si>
  <si>
    <t>SEC02206</t>
  </si>
  <si>
    <t>Summit Holdings 2206</t>
  </si>
  <si>
    <t>SEC02207</t>
  </si>
  <si>
    <t>Alpha Industries 2207</t>
  </si>
  <si>
    <t>SEC02208</t>
  </si>
  <si>
    <t>Sterling Fund 2208</t>
  </si>
  <si>
    <t>SEC02209</t>
  </si>
  <si>
    <t>Orion Partners 2209</t>
  </si>
  <si>
    <t>SEC02210</t>
  </si>
  <si>
    <t>Vertex Partners 2210</t>
  </si>
  <si>
    <t>SEC02211</t>
  </si>
  <si>
    <t>Pioneer Capital 2211</t>
  </si>
  <si>
    <t>SEC02212</t>
  </si>
  <si>
    <t>Cedar Technology 2212</t>
  </si>
  <si>
    <t>SEC02213</t>
  </si>
  <si>
    <t>Harbor Holdings 2213</t>
  </si>
  <si>
    <t>SEC02214</t>
  </si>
  <si>
    <t>Vertex Markets 2214</t>
  </si>
  <si>
    <t>SEC02215</t>
  </si>
  <si>
    <t>Delta Holdings 2215</t>
  </si>
  <si>
    <t>SEC02216</t>
  </si>
  <si>
    <t>Vertex Technology 2216</t>
  </si>
  <si>
    <t>SEC02217</t>
  </si>
  <si>
    <t>Summit Technology 2217</t>
  </si>
  <si>
    <t>SEC02218</t>
  </si>
  <si>
    <t>Liberty Capital 2218</t>
  </si>
  <si>
    <t>SEC02219</t>
  </si>
  <si>
    <t>Liberty Markets 2219</t>
  </si>
  <si>
    <t>SEC02220</t>
  </si>
  <si>
    <t>Vertex Technology 2220</t>
  </si>
  <si>
    <t>SEC02221</t>
  </si>
  <si>
    <t>Alpha Capital 2221</t>
  </si>
  <si>
    <t>SEC02222</t>
  </si>
  <si>
    <t>Harbor Partners 2222</t>
  </si>
  <si>
    <t>SEC02223</t>
  </si>
  <si>
    <t>Harbor Technology 2223</t>
  </si>
  <si>
    <t>SEC02224</t>
  </si>
  <si>
    <t>Atlas Holdings 2224</t>
  </si>
  <si>
    <t>SEC02225</t>
  </si>
  <si>
    <t>Nova Holdings 2225</t>
  </si>
  <si>
    <t>SEC02226</t>
  </si>
  <si>
    <t>Vertex Markets 2226</t>
  </si>
  <si>
    <t>SEC02227</t>
  </si>
  <si>
    <t>Sterling Group 2227</t>
  </si>
  <si>
    <t>SEC02228</t>
  </si>
  <si>
    <t>Orion Markets 2228</t>
  </si>
  <si>
    <t>SEC02229</t>
  </si>
  <si>
    <t>Atlas Partners 2229</t>
  </si>
  <si>
    <t>SEC02230</t>
  </si>
  <si>
    <t>Liberty Markets 2230</t>
  </si>
  <si>
    <t>SEC02231</t>
  </si>
  <si>
    <t>Atlas Industries 2231</t>
  </si>
  <si>
    <t>SEC02232</t>
  </si>
  <si>
    <t>Summit Financial 2232</t>
  </si>
  <si>
    <t>SEC02233</t>
  </si>
  <si>
    <t>Harbor Energy 2233</t>
  </si>
  <si>
    <t>SEC02234</t>
  </si>
  <si>
    <t>Liberty Fund 2234</t>
  </si>
  <si>
    <t>SEC02235</t>
  </si>
  <si>
    <t>Nova Partners 2235</t>
  </si>
  <si>
    <t>SEC02236</t>
  </si>
  <si>
    <t>Cedar Technology 2236</t>
  </si>
  <si>
    <t>SEC02237</t>
  </si>
  <si>
    <t>Summit Technology 2237</t>
  </si>
  <si>
    <t>SEC02238</t>
  </si>
  <si>
    <t>Liberty Markets 2238</t>
  </si>
  <si>
    <t>SEC02239</t>
  </si>
  <si>
    <t>Alpha Capital 2239</t>
  </si>
  <si>
    <t>SEC02240</t>
  </si>
  <si>
    <t>Liberty Industries 2240</t>
  </si>
  <si>
    <t>SEC02241</t>
  </si>
  <si>
    <t>Orion Fund 2241</t>
  </si>
  <si>
    <t>SEC02242</t>
  </si>
  <si>
    <t>Vertex Financial 2242</t>
  </si>
  <si>
    <t>SEC02243</t>
  </si>
  <si>
    <t>Nova Partners 2243</t>
  </si>
  <si>
    <t>SEC02244</t>
  </si>
  <si>
    <t>Pioneer Markets 2244</t>
  </si>
  <si>
    <t>SEC02245</t>
  </si>
  <si>
    <t>Nova Capital 2245</t>
  </si>
  <si>
    <t>SEC02246</t>
  </si>
  <si>
    <t>Alpha Partners 2246</t>
  </si>
  <si>
    <t>SEC02247</t>
  </si>
  <si>
    <t>Pioneer Financial 2247</t>
  </si>
  <si>
    <t>SEC02248</t>
  </si>
  <si>
    <t>Nova Energy 2248</t>
  </si>
  <si>
    <t>SEC02249</t>
  </si>
  <si>
    <t>Delta Financial 2249</t>
  </si>
  <si>
    <t>SEC02250</t>
  </si>
  <si>
    <t>Vertex Industries 2250</t>
  </si>
  <si>
    <t>SEC02251</t>
  </si>
  <si>
    <t>Delta Technology 2251</t>
  </si>
  <si>
    <t>SEC02252</t>
  </si>
  <si>
    <t>Summit Group 2252</t>
  </si>
  <si>
    <t>SEC02253</t>
  </si>
  <si>
    <t>Summit Financial 2253</t>
  </si>
  <si>
    <t>SEC02254</t>
  </si>
  <si>
    <t>Pioneer Industries 2254</t>
  </si>
  <si>
    <t>SEC02255</t>
  </si>
  <si>
    <t>Liberty Markets 2255</t>
  </si>
  <si>
    <t>SEC02256</t>
  </si>
  <si>
    <t>Harbor Partners 2256</t>
  </si>
  <si>
    <t>SEC02257</t>
  </si>
  <si>
    <t>Nova Industries 2257</t>
  </si>
  <si>
    <t>SEC02258</t>
  </si>
  <si>
    <t>Cedar Markets 2258</t>
  </si>
  <si>
    <t>SEC02259</t>
  </si>
  <si>
    <t>Liberty Industries 2259</t>
  </si>
  <si>
    <t>SEC02260</t>
  </si>
  <si>
    <t>Vertex Industries 2260</t>
  </si>
  <si>
    <t>SEC02261</t>
  </si>
  <si>
    <t>Cedar Partners 2261</t>
  </si>
  <si>
    <t>SEC02262</t>
  </si>
  <si>
    <t>Atlas Markets 2262</t>
  </si>
  <si>
    <t>SEC02263</t>
  </si>
  <si>
    <t>Alpha Technology 2263</t>
  </si>
  <si>
    <t>SEC02264</t>
  </si>
  <si>
    <t>Liberty Technology 2264</t>
  </si>
  <si>
    <t>SEC02265</t>
  </si>
  <si>
    <t>Delta Capital 2265</t>
  </si>
  <si>
    <t>SEC02266</t>
  </si>
  <si>
    <t>Atlas Markets 2266</t>
  </si>
  <si>
    <t>SEC02267</t>
  </si>
  <si>
    <t>Summit Industries 2267</t>
  </si>
  <si>
    <t>SEC02268</t>
  </si>
  <si>
    <t>Delta Partners 2268</t>
  </si>
  <si>
    <t>SEC02269</t>
  </si>
  <si>
    <t>Orion Holdings 2269</t>
  </si>
  <si>
    <t>SEC02270</t>
  </si>
  <si>
    <t>Atlas Fund 2270</t>
  </si>
  <si>
    <t>SEC02271</t>
  </si>
  <si>
    <t>Nova Group 2271</t>
  </si>
  <si>
    <t>SEC02272</t>
  </si>
  <si>
    <t>Pioneer Capital 2272</t>
  </si>
  <si>
    <t>SEC02273</t>
  </si>
  <si>
    <t>Harbor Capital 2273</t>
  </si>
  <si>
    <t>SEC02274</t>
  </si>
  <si>
    <t>Liberty Markets 2274</t>
  </si>
  <si>
    <t>SEC02275</t>
  </si>
  <si>
    <t>Harbor Financial 2275</t>
  </si>
  <si>
    <t>SEC02276</t>
  </si>
  <si>
    <t>Atlas Partners 2276</t>
  </si>
  <si>
    <t>SEC02277</t>
  </si>
  <si>
    <t>Atlas Energy 2277</t>
  </si>
  <si>
    <t>SEC02278</t>
  </si>
  <si>
    <t>Pioneer Industries 2278</t>
  </si>
  <si>
    <t>SEC02279</t>
  </si>
  <si>
    <t>Atlas Financial 2279</t>
  </si>
  <si>
    <t>SEC02280</t>
  </si>
  <si>
    <t>Harbor Capital 2280</t>
  </si>
  <si>
    <t>SEC02281</t>
  </si>
  <si>
    <t>Alpha Technology 2281</t>
  </si>
  <si>
    <t>SEC02282</t>
  </si>
  <si>
    <t>Harbor Technology 2282</t>
  </si>
  <si>
    <t>SEC02283</t>
  </si>
  <si>
    <t>Nova Fund 2283</t>
  </si>
  <si>
    <t>SEC02284</t>
  </si>
  <si>
    <t>Orion Holdings 2284</t>
  </si>
  <si>
    <t>SEC02285</t>
  </si>
  <si>
    <t>Sterling Fund 2285</t>
  </si>
  <si>
    <t>SEC02286</t>
  </si>
  <si>
    <t>Delta Energy 2286</t>
  </si>
  <si>
    <t>SEC02287</t>
  </si>
  <si>
    <t>Cedar Fund 2287</t>
  </si>
  <si>
    <t>SEC02288</t>
  </si>
  <si>
    <t>Harbor Capital 2288</t>
  </si>
  <si>
    <t>SEC02289</t>
  </si>
  <si>
    <t>Vertex Fund 2289</t>
  </si>
  <si>
    <t>SEC02290</t>
  </si>
  <si>
    <t>Cedar Financial 2290</t>
  </si>
  <si>
    <t>SEC02291</t>
  </si>
  <si>
    <t>Vertex Energy 2291</t>
  </si>
  <si>
    <t>SEC02292</t>
  </si>
  <si>
    <t>Pioneer Markets 2292</t>
  </si>
  <si>
    <t>SEC02293</t>
  </si>
  <si>
    <t>Summit Financial 2293</t>
  </si>
  <si>
    <t>SEC02294</t>
  </si>
  <si>
    <t>Atlas Industries 2294</t>
  </si>
  <si>
    <t>SEC02295</t>
  </si>
  <si>
    <t>Delta Holdings 2295</t>
  </si>
  <si>
    <t>SEC02296</t>
  </si>
  <si>
    <t>Atlas Financial 2296</t>
  </si>
  <si>
    <t>SEC02297</t>
  </si>
  <si>
    <t>Atlas Holdings 2297</t>
  </si>
  <si>
    <t>SEC02298</t>
  </si>
  <si>
    <t>Orion Holdings 2298</t>
  </si>
  <si>
    <t>SEC02299</t>
  </si>
  <si>
    <t>Delta Partners 2299</t>
  </si>
  <si>
    <t>SEC02300</t>
  </si>
  <si>
    <t>Sterling Group 2300</t>
  </si>
  <si>
    <t>SEC02301</t>
  </si>
  <si>
    <t>Vertex Markets 2301</t>
  </si>
  <si>
    <t>SEC02302</t>
  </si>
  <si>
    <t>Summit Markets 2302</t>
  </si>
  <si>
    <t>SEC02303</t>
  </si>
  <si>
    <t>Vertex Partners 2303</t>
  </si>
  <si>
    <t>SEC02304</t>
  </si>
  <si>
    <t>Delta Energy 2304</t>
  </si>
  <si>
    <t>SEC02305</t>
  </si>
  <si>
    <t>Pioneer Financial 2305</t>
  </si>
  <si>
    <t>SEC02306</t>
  </si>
  <si>
    <t>Pioneer Partners 2306</t>
  </si>
  <si>
    <t>SEC02307</t>
  </si>
  <si>
    <t>Liberty Capital 2307</t>
  </si>
  <si>
    <t>SEC02308</t>
  </si>
  <si>
    <t>Pioneer Technology 2308</t>
  </si>
  <si>
    <t>SEC02309</t>
  </si>
  <si>
    <t>Orion Financial 2309</t>
  </si>
  <si>
    <t>SEC02310</t>
  </si>
  <si>
    <t>Summit Energy 2310</t>
  </si>
  <si>
    <t>SEC02311</t>
  </si>
  <si>
    <t>Sterling Fund 2311</t>
  </si>
  <si>
    <t>SEC02312</t>
  </si>
  <si>
    <t>Cedar Holdings 2312</t>
  </si>
  <si>
    <t>SEC02313</t>
  </si>
  <si>
    <t>Vertex Technology 2313</t>
  </si>
  <si>
    <t>SEC02314</t>
  </si>
  <si>
    <t>Sterling Holdings 2314</t>
  </si>
  <si>
    <t>SEC02315</t>
  </si>
  <si>
    <t>Harbor Group 2315</t>
  </si>
  <si>
    <t>SEC02316</t>
  </si>
  <si>
    <t>Pioneer Markets 2316</t>
  </si>
  <si>
    <t>SEC02317</t>
  </si>
  <si>
    <t>Cedar Technology 2317</t>
  </si>
  <si>
    <t>SEC02318</t>
  </si>
  <si>
    <t>Pioneer Financial 2318</t>
  </si>
  <si>
    <t>SEC02319</t>
  </si>
  <si>
    <t>Pioneer Partners 2319</t>
  </si>
  <si>
    <t>SEC02320</t>
  </si>
  <si>
    <t>Summit Financial 2320</t>
  </si>
  <si>
    <t>SEC02321</t>
  </si>
  <si>
    <t>Summit Holdings 2321</t>
  </si>
  <si>
    <t>SEC02322</t>
  </si>
  <si>
    <t>Vertex Capital 2322</t>
  </si>
  <si>
    <t>SEC02323</t>
  </si>
  <si>
    <t>Vertex Fund 2323</t>
  </si>
  <si>
    <t>SEC02324</t>
  </si>
  <si>
    <t>Summit Markets 2324</t>
  </si>
  <si>
    <t>SEC02325</t>
  </si>
  <si>
    <t>Sterling Energy 2325</t>
  </si>
  <si>
    <t>SEC02326</t>
  </si>
  <si>
    <t>Summit Financial 2326</t>
  </si>
  <si>
    <t>SEC02327</t>
  </si>
  <si>
    <t>Nova Holdings 2327</t>
  </si>
  <si>
    <t>SEC02328</t>
  </si>
  <si>
    <t>Vertex Energy 2328</t>
  </si>
  <si>
    <t>SEC02329</t>
  </si>
  <si>
    <t>Nova Industries 2329</t>
  </si>
  <si>
    <t>SEC02330</t>
  </si>
  <si>
    <t>Delta Markets 2330</t>
  </si>
  <si>
    <t>SEC02331</t>
  </si>
  <si>
    <t>Atlas Fund 2331</t>
  </si>
  <si>
    <t>SEC02332</t>
  </si>
  <si>
    <t>Harbor Technology 2332</t>
  </si>
  <si>
    <t>SEC02333</t>
  </si>
  <si>
    <t>Alpha Technology 2333</t>
  </si>
  <si>
    <t>SEC02334</t>
  </si>
  <si>
    <t>Pioneer Group 2334</t>
  </si>
  <si>
    <t>SEC02335</t>
  </si>
  <si>
    <t>Delta Technology 2335</t>
  </si>
  <si>
    <t>SEC02336</t>
  </si>
  <si>
    <t>Sterling Group 2336</t>
  </si>
  <si>
    <t>SEC02337</t>
  </si>
  <si>
    <t>Cedar Partners 2337</t>
  </si>
  <si>
    <t>SEC02338</t>
  </si>
  <si>
    <t>Atlas Group 2338</t>
  </si>
  <si>
    <t>SEC02339</t>
  </si>
  <si>
    <t>Alpha Fund 2339</t>
  </si>
  <si>
    <t>SEC02340</t>
  </si>
  <si>
    <t>Sterling Energy 2340</t>
  </si>
  <si>
    <t>SEC02341</t>
  </si>
  <si>
    <t>Harbor Group 2341</t>
  </si>
  <si>
    <t>SEC02342</t>
  </si>
  <si>
    <t>Liberty Holdings 2342</t>
  </si>
  <si>
    <t>SEC02343</t>
  </si>
  <si>
    <t>Liberty Financial 2343</t>
  </si>
  <si>
    <t>SEC02344</t>
  </si>
  <si>
    <t>Orion Fund 2344</t>
  </si>
  <si>
    <t>SEC02345</t>
  </si>
  <si>
    <t>Harbor Group 2345</t>
  </si>
  <si>
    <t>SEC02346</t>
  </si>
  <si>
    <t>Orion Fund 2346</t>
  </si>
  <si>
    <t>SEC02347</t>
  </si>
  <si>
    <t>Atlas Industries 2347</t>
  </si>
  <si>
    <t>SEC02348</t>
  </si>
  <si>
    <t>Alpha Fund 2348</t>
  </si>
  <si>
    <t>SEC02349</t>
  </si>
  <si>
    <t>Orion Capital 2349</t>
  </si>
  <si>
    <t>SEC02350</t>
  </si>
  <si>
    <t>Harbor Holdings 2350</t>
  </si>
  <si>
    <t>SEC02351</t>
  </si>
  <si>
    <t>Pioneer Fund 2351</t>
  </si>
  <si>
    <t>SEC02352</t>
  </si>
  <si>
    <t>Alpha Fund 2352</t>
  </si>
  <si>
    <t>SEC02353</t>
  </si>
  <si>
    <t>Atlas Technology 2353</t>
  </si>
  <si>
    <t>SEC02354</t>
  </si>
  <si>
    <t>Orion Technology 2354</t>
  </si>
  <si>
    <t>SEC02355</t>
  </si>
  <si>
    <t>Pioneer Financial 2355</t>
  </si>
  <si>
    <t>SEC02356</t>
  </si>
  <si>
    <t>Harbor Partners 2356</t>
  </si>
  <si>
    <t>SEC02357</t>
  </si>
  <si>
    <t>Pioneer Capital 2357</t>
  </si>
  <si>
    <t>SEC02358</t>
  </si>
  <si>
    <t>Atlas Technology 2358</t>
  </si>
  <si>
    <t>SEC02359</t>
  </si>
  <si>
    <t>Pioneer Financial 2359</t>
  </si>
  <si>
    <t>SEC02360</t>
  </si>
  <si>
    <t>Nova Partners 2360</t>
  </si>
  <si>
    <t>SEC02361</t>
  </si>
  <si>
    <t>Pioneer Fund 2361</t>
  </si>
  <si>
    <t>SEC02362</t>
  </si>
  <si>
    <t>Liberty Capital 2362</t>
  </si>
  <si>
    <t>SEC02363</t>
  </si>
  <si>
    <t>Liberty Energy 2363</t>
  </si>
  <si>
    <t>SEC02364</t>
  </si>
  <si>
    <t>Vertex Energy 2364</t>
  </si>
  <si>
    <t>SEC02365</t>
  </si>
  <si>
    <t>Pioneer Partners 2365</t>
  </si>
  <si>
    <t>SEC02366</t>
  </si>
  <si>
    <t>Nova Partners 2366</t>
  </si>
  <si>
    <t>SEC02367</t>
  </si>
  <si>
    <t>Atlas Technology 2367</t>
  </si>
  <si>
    <t>SEC02368</t>
  </si>
  <si>
    <t>Nova Holdings 2368</t>
  </si>
  <si>
    <t>SEC02369</t>
  </si>
  <si>
    <t>Orion Fund 2369</t>
  </si>
  <si>
    <t>SEC02370</t>
  </si>
  <si>
    <t>Alpha Technology 2370</t>
  </si>
  <si>
    <t>SEC02371</t>
  </si>
  <si>
    <t>Sterling Capital 2371</t>
  </si>
  <si>
    <t>SEC02372</t>
  </si>
  <si>
    <t>Orion Markets 2372</t>
  </si>
  <si>
    <t>SEC02373</t>
  </si>
  <si>
    <t>Cedar Energy 2373</t>
  </si>
  <si>
    <t>SEC02374</t>
  </si>
  <si>
    <t>Orion Partners 2374</t>
  </si>
  <si>
    <t>SEC02375</t>
  </si>
  <si>
    <t>Vertex Energy 2375</t>
  </si>
  <si>
    <t>SEC02376</t>
  </si>
  <si>
    <t>Summit Holdings 2376</t>
  </si>
  <si>
    <t>SEC02377</t>
  </si>
  <si>
    <t>Liberty Markets 2377</t>
  </si>
  <si>
    <t>SEC02378</t>
  </si>
  <si>
    <t>Liberty Partners 2378</t>
  </si>
  <si>
    <t>SEC02379</t>
  </si>
  <si>
    <t>Atlas Technology 2379</t>
  </si>
  <si>
    <t>SEC02380</t>
  </si>
  <si>
    <t>Cedar Fund 2380</t>
  </si>
  <si>
    <t>SEC02381</t>
  </si>
  <si>
    <t>Alpha Fund 2381</t>
  </si>
  <si>
    <t>SEC02382</t>
  </si>
  <si>
    <t>Pioneer Financial 2382</t>
  </si>
  <si>
    <t>SEC02383</t>
  </si>
  <si>
    <t>Delta Holdings 2383</t>
  </si>
  <si>
    <t>SEC02384</t>
  </si>
  <si>
    <t>Nova Energy 2384</t>
  </si>
  <si>
    <t>SEC02385</t>
  </si>
  <si>
    <t>Liberty Group 2385</t>
  </si>
  <si>
    <t>SEC02386</t>
  </si>
  <si>
    <t>Sterling Industries 2386</t>
  </si>
  <si>
    <t>SEC02387</t>
  </si>
  <si>
    <t>Delta Capital 2387</t>
  </si>
  <si>
    <t>SEC02388</t>
  </si>
  <si>
    <t>Pioneer Holdings 2388</t>
  </si>
  <si>
    <t>SEC02389</t>
  </si>
  <si>
    <t>Atlas Fund 2389</t>
  </si>
  <si>
    <t>SEC02390</t>
  </si>
  <si>
    <t>Atlas Financial 2390</t>
  </si>
  <si>
    <t>SEC02391</t>
  </si>
  <si>
    <t>Harbor Technology 2391</t>
  </si>
  <si>
    <t>SEC02392</t>
  </si>
  <si>
    <t>Atlas Partners 2392</t>
  </si>
  <si>
    <t>SEC02393</t>
  </si>
  <si>
    <t>Pioneer Holdings 2393</t>
  </si>
  <si>
    <t>SEC02394</t>
  </si>
  <si>
    <t>Sterling Partners 2394</t>
  </si>
  <si>
    <t>SEC02395</t>
  </si>
  <si>
    <t>Atlas Partners 2395</t>
  </si>
  <si>
    <t>SEC02396</t>
  </si>
  <si>
    <t>Vertex Technology 2396</t>
  </si>
  <si>
    <t>SEC02397</t>
  </si>
  <si>
    <t>Alpha Group 2397</t>
  </si>
  <si>
    <t>SEC02398</t>
  </si>
  <si>
    <t>Pioneer Holdings 2398</t>
  </si>
  <si>
    <t>SEC02399</t>
  </si>
  <si>
    <t>Pioneer Holdings 2399</t>
  </si>
  <si>
    <t>SEC02400</t>
  </si>
  <si>
    <t>Alpha Holdings 2400</t>
  </si>
  <si>
    <t>SEC02401</t>
  </si>
  <si>
    <t>Pioneer Industries 2401</t>
  </si>
  <si>
    <t>SEC02402</t>
  </si>
  <si>
    <t>Harbor Markets 2402</t>
  </si>
  <si>
    <t>SEC02403</t>
  </si>
  <si>
    <t>Sterling Capital 2403</t>
  </si>
  <si>
    <t>SEC02404</t>
  </si>
  <si>
    <t>Atlas Capital 2404</t>
  </si>
  <si>
    <t>SEC02405</t>
  </si>
  <si>
    <t>Sterling Holdings 2405</t>
  </si>
  <si>
    <t>SEC02406</t>
  </si>
  <si>
    <t>Harbor Group 2406</t>
  </si>
  <si>
    <t>SEC02407</t>
  </si>
  <si>
    <t>Harbor Industries 2407</t>
  </si>
  <si>
    <t>SEC02408</t>
  </si>
  <si>
    <t>Orion Energy 2408</t>
  </si>
  <si>
    <t>SEC02409</t>
  </si>
  <si>
    <t>Alpha Fund 2409</t>
  </si>
  <si>
    <t>SEC02410</t>
  </si>
  <si>
    <t>Liberty Industries 2410</t>
  </si>
  <si>
    <t>SEC02411</t>
  </si>
  <si>
    <t>Orion Capital 2411</t>
  </si>
  <si>
    <t>SEC02412</t>
  </si>
  <si>
    <t>Pioneer Capital 2412</t>
  </si>
  <si>
    <t>SEC02413</t>
  </si>
  <si>
    <t>Orion Capital 2413</t>
  </si>
  <si>
    <t>SEC02414</t>
  </si>
  <si>
    <t>Alpha Fund 2414</t>
  </si>
  <si>
    <t>SEC02415</t>
  </si>
  <si>
    <t>Sterling Holdings 2415</t>
  </si>
  <si>
    <t>SEC02416</t>
  </si>
  <si>
    <t>Nova Financial 2416</t>
  </si>
  <si>
    <t>SEC02417</t>
  </si>
  <si>
    <t>Summit Energy 2417</t>
  </si>
  <si>
    <t>SEC02418</t>
  </si>
  <si>
    <t>Pioneer Financial 2418</t>
  </si>
  <si>
    <t>SEC02419</t>
  </si>
  <si>
    <t>Orion Industries 2419</t>
  </si>
  <si>
    <t>SEC02420</t>
  </si>
  <si>
    <t>Liberty Technology 2420</t>
  </si>
  <si>
    <t>SEC02421</t>
  </si>
  <si>
    <t>Delta Energy 2421</t>
  </si>
  <si>
    <t>SEC02422</t>
  </si>
  <si>
    <t>Summit Financial 2422</t>
  </si>
  <si>
    <t>SEC02423</t>
  </si>
  <si>
    <t>Nova Partners 2423</t>
  </si>
  <si>
    <t>SEC02424</t>
  </si>
  <si>
    <t>Delta Energy 2424</t>
  </si>
  <si>
    <t>SEC02425</t>
  </si>
  <si>
    <t>Pioneer Markets 2425</t>
  </si>
  <si>
    <t>SEC02426</t>
  </si>
  <si>
    <t>Pioneer Fund 2426</t>
  </si>
  <si>
    <t>SEC02427</t>
  </si>
  <si>
    <t>Harbor Markets 2427</t>
  </si>
  <si>
    <t>SEC02428</t>
  </si>
  <si>
    <t>Vertex Energy 2428</t>
  </si>
  <si>
    <t>SEC02429</t>
  </si>
  <si>
    <t>Harbor Technology 2429</t>
  </si>
  <si>
    <t>SEC02430</t>
  </si>
  <si>
    <t>Cedar Industries 2430</t>
  </si>
  <si>
    <t>SEC02431</t>
  </si>
  <si>
    <t>Liberty Partners 2431</t>
  </si>
  <si>
    <t>SEC02432</t>
  </si>
  <si>
    <t>Pioneer Partners 2432</t>
  </si>
  <si>
    <t>SEC02433</t>
  </si>
  <si>
    <t>Nova Fund 2433</t>
  </si>
  <si>
    <t>SEC02434</t>
  </si>
  <si>
    <t>Summit Holdings 2434</t>
  </si>
  <si>
    <t>SEC02435</t>
  </si>
  <si>
    <t>Summit Technology 2435</t>
  </si>
  <si>
    <t>SEC02436</t>
  </si>
  <si>
    <t>Harbor Industries 2436</t>
  </si>
  <si>
    <t>SEC02437</t>
  </si>
  <si>
    <t>Summit Industries 2437</t>
  </si>
  <si>
    <t>SEC02438</t>
  </si>
  <si>
    <t>Delta Partners 2438</t>
  </si>
  <si>
    <t>SEC02439</t>
  </si>
  <si>
    <t>Sterling Financial 2439</t>
  </si>
  <si>
    <t>SEC02440</t>
  </si>
  <si>
    <t>Pioneer Group 2440</t>
  </si>
  <si>
    <t>SEC02441</t>
  </si>
  <si>
    <t>Delta Group 2441</t>
  </si>
  <si>
    <t>SEC02442</t>
  </si>
  <si>
    <t>Nova Fund 2442</t>
  </si>
  <si>
    <t>SEC02443</t>
  </si>
  <si>
    <t>Vertex Fund 2443</t>
  </si>
  <si>
    <t>SEC02444</t>
  </si>
  <si>
    <t>Alpha Industries 2444</t>
  </si>
  <si>
    <t>SEC02445</t>
  </si>
  <si>
    <t>Delta Holdings 2445</t>
  </si>
  <si>
    <t>SEC02446</t>
  </si>
  <si>
    <t>Delta Holdings 2446</t>
  </si>
  <si>
    <t>SEC02447</t>
  </si>
  <si>
    <t>Harbor Capital 2447</t>
  </si>
  <si>
    <t>SEC02448</t>
  </si>
  <si>
    <t>Atlas Capital 2448</t>
  </si>
  <si>
    <t>SEC02449</t>
  </si>
  <si>
    <t>Liberty Financial 2449</t>
  </si>
  <si>
    <t>SEC02450</t>
  </si>
  <si>
    <t>Liberty Technology 2450</t>
  </si>
  <si>
    <t>SEC02451</t>
  </si>
  <si>
    <t>Pioneer Financial 2451</t>
  </si>
  <si>
    <t>SEC02452</t>
  </si>
  <si>
    <t>Sterling Partners 2452</t>
  </si>
  <si>
    <t>SEC02453</t>
  </si>
  <si>
    <t>Sterling Partners 2453</t>
  </si>
  <si>
    <t>SEC02454</t>
  </si>
  <si>
    <t>Vertex Fund 2454</t>
  </si>
  <si>
    <t>SEC02455</t>
  </si>
  <si>
    <t>Liberty Industries 2455</t>
  </si>
  <si>
    <t>SEC02456</t>
  </si>
  <si>
    <t>Atlas Fund 2456</t>
  </si>
  <si>
    <t>SEC02457</t>
  </si>
  <si>
    <t>Liberty Holdings 2457</t>
  </si>
  <si>
    <t>SEC02458</t>
  </si>
  <si>
    <t>Delta Technology 2458</t>
  </si>
  <si>
    <t>SEC02459</t>
  </si>
  <si>
    <t>Alpha Fund 2459</t>
  </si>
  <si>
    <t>SEC02460</t>
  </si>
  <si>
    <t>Orion Fund 2460</t>
  </si>
  <si>
    <t>SEC02461</t>
  </si>
  <si>
    <t>Orion Energy 2461</t>
  </si>
  <si>
    <t>SEC02462</t>
  </si>
  <si>
    <t>Liberty Fund 2462</t>
  </si>
  <si>
    <t>SEC02463</t>
  </si>
  <si>
    <t>Summit Partners 2463</t>
  </si>
  <si>
    <t>SEC02464</t>
  </si>
  <si>
    <t>Alpha Holdings 2464</t>
  </si>
  <si>
    <t>SEC02465</t>
  </si>
  <si>
    <t>Sterling Financial 2465</t>
  </si>
  <si>
    <t>SEC02466</t>
  </si>
  <si>
    <t>Liberty Financial 2466</t>
  </si>
  <si>
    <t>SEC02467</t>
  </si>
  <si>
    <t>Summit Fund 2467</t>
  </si>
  <si>
    <t>SEC02468</t>
  </si>
  <si>
    <t>Orion Fund 2468</t>
  </si>
  <si>
    <t>SEC02469</t>
  </si>
  <si>
    <t>Alpha Technology 2469</t>
  </si>
  <si>
    <t>SEC02470</t>
  </si>
  <si>
    <t>Summit Holdings 2470</t>
  </si>
  <si>
    <t>SEC02471</t>
  </si>
  <si>
    <t>Vertex Group 2471</t>
  </si>
  <si>
    <t>SEC02472</t>
  </si>
  <si>
    <t>Vertex Energy 2472</t>
  </si>
  <si>
    <t>SEC02473</t>
  </si>
  <si>
    <t>Liberty Markets 2473</t>
  </si>
  <si>
    <t>SEC02474</t>
  </si>
  <si>
    <t>Harbor Technology 2474</t>
  </si>
  <si>
    <t>SEC02475</t>
  </si>
  <si>
    <t>Vertex Industries 2475</t>
  </si>
  <si>
    <t>SEC02476</t>
  </si>
  <si>
    <t>Harbor Financial 2476</t>
  </si>
  <si>
    <t>SEC02477</t>
  </si>
  <si>
    <t>Harbor Fund 2477</t>
  </si>
  <si>
    <t>SEC02478</t>
  </si>
  <si>
    <t>Harbor Holdings 2478</t>
  </si>
  <si>
    <t>SEC02479</t>
  </si>
  <si>
    <t>Harbor Holdings 2479</t>
  </si>
  <si>
    <t>SEC02480</t>
  </si>
  <si>
    <t>Cedar Group 2480</t>
  </si>
  <si>
    <t>SEC02481</t>
  </si>
  <si>
    <t>Summit Holdings 2481</t>
  </si>
  <si>
    <t>SEC02482</t>
  </si>
  <si>
    <t>Delta Energy 2482</t>
  </si>
  <si>
    <t>SEC02483</t>
  </si>
  <si>
    <t>Pioneer Holdings 2483</t>
  </si>
  <si>
    <t>SEC02484</t>
  </si>
  <si>
    <t>Nova Fund 2484</t>
  </si>
  <si>
    <t>SEC02485</t>
  </si>
  <si>
    <t>Orion Financial 2485</t>
  </si>
  <si>
    <t>SEC02486</t>
  </si>
  <si>
    <t>Nova Fund 2486</t>
  </si>
  <si>
    <t>SEC02487</t>
  </si>
  <si>
    <t>Pioneer Partners 2487</t>
  </si>
  <si>
    <t>SEC02488</t>
  </si>
  <si>
    <t>Nova Partners 2488</t>
  </si>
  <si>
    <t>SEC02489</t>
  </si>
  <si>
    <t>Sterling Capital 2489</t>
  </si>
  <si>
    <t>SEC02490</t>
  </si>
  <si>
    <t>Alpha Holdings 2490</t>
  </si>
  <si>
    <t>SEC02491</t>
  </si>
  <si>
    <t>Summit Industries 2491</t>
  </si>
  <si>
    <t>SEC02492</t>
  </si>
  <si>
    <t>Pioneer Markets 2492</t>
  </si>
  <si>
    <t>SEC02493</t>
  </si>
  <si>
    <t>Alpha Holdings 2493</t>
  </si>
  <si>
    <t>SEC02494</t>
  </si>
  <si>
    <t>Atlas Markets 2494</t>
  </si>
  <si>
    <t>SEC02495</t>
  </si>
  <si>
    <t>Sterling Technology 2495</t>
  </si>
  <si>
    <t>SEC02496</t>
  </si>
  <si>
    <t>Orion Markets 2496</t>
  </si>
  <si>
    <t>SEC02497</t>
  </si>
  <si>
    <t>Sterling Group 2497</t>
  </si>
  <si>
    <t>SEC02498</t>
  </si>
  <si>
    <t>Nova Energy 2498</t>
  </si>
  <si>
    <t>SEC02499</t>
  </si>
  <si>
    <t>Summit Industries 2499</t>
  </si>
  <si>
    <t>SEC02500</t>
  </si>
  <si>
    <t>Delta Energy 2500</t>
  </si>
  <si>
    <t>SEC02501</t>
  </si>
  <si>
    <t>Nova Markets 2501</t>
  </si>
  <si>
    <t>SEC02502</t>
  </si>
  <si>
    <t>Cedar Fund 2502</t>
  </si>
  <si>
    <t>SEC02503</t>
  </si>
  <si>
    <t>Sterling Holdings 2503</t>
  </si>
  <si>
    <t>SEC02504</t>
  </si>
  <si>
    <t>Sterling Technology 2504</t>
  </si>
  <si>
    <t>SEC02505</t>
  </si>
  <si>
    <t>Sterling Financial 2505</t>
  </si>
  <si>
    <t>SEC02506</t>
  </si>
  <si>
    <t>Summit Technology 2506</t>
  </si>
  <si>
    <t>SEC02507</t>
  </si>
  <si>
    <t>Vertex Technology 2507</t>
  </si>
  <si>
    <t>SEC02508</t>
  </si>
  <si>
    <t>Sterling Partners 2508</t>
  </si>
  <si>
    <t>SEC02509</t>
  </si>
  <si>
    <t>Delta Capital 2509</t>
  </si>
  <si>
    <t>SEC02510</t>
  </si>
  <si>
    <t>Pioneer Partners 2510</t>
  </si>
  <si>
    <t>SEC02511</t>
  </si>
  <si>
    <t>Atlas Industries 2511</t>
  </si>
  <si>
    <t>SEC02512</t>
  </si>
  <si>
    <t>Summit Holdings 2512</t>
  </si>
  <si>
    <t>SEC02513</t>
  </si>
  <si>
    <t>Delta Capital 2513</t>
  </si>
  <si>
    <t>SEC02514</t>
  </si>
  <si>
    <t>Cedar Energy 2514</t>
  </si>
  <si>
    <t>SEC02515</t>
  </si>
  <si>
    <t>Orion Energy 2515</t>
  </si>
  <si>
    <t>SEC02516</t>
  </si>
  <si>
    <t>Nova Holdings 2516</t>
  </si>
  <si>
    <t>SEC02517</t>
  </si>
  <si>
    <t>Nova Group 2517</t>
  </si>
  <si>
    <t>SEC02518</t>
  </si>
  <si>
    <t>Pioneer Technology 2518</t>
  </si>
  <si>
    <t>SEC02519</t>
  </si>
  <si>
    <t>Cedar Fund 2519</t>
  </si>
  <si>
    <t>SEC02520</t>
  </si>
  <si>
    <t>Harbor Holdings 2520</t>
  </si>
  <si>
    <t>SEC02521</t>
  </si>
  <si>
    <t>Pioneer Energy 2521</t>
  </si>
  <si>
    <t>SEC02522</t>
  </si>
  <si>
    <t>Atlas Holdings 2522</t>
  </si>
  <si>
    <t>SEC02523</t>
  </si>
  <si>
    <t>Alpha Markets 2523</t>
  </si>
  <si>
    <t>SEC02524</t>
  </si>
  <si>
    <t>Nova Fund 2524</t>
  </si>
  <si>
    <t>SEC02525</t>
  </si>
  <si>
    <t>Orion Capital 2525</t>
  </si>
  <si>
    <t>SEC02526</t>
  </si>
  <si>
    <t>Alpha Technology 2526</t>
  </si>
  <si>
    <t>SEC02527</t>
  </si>
  <si>
    <t>Pioneer Partners 2527</t>
  </si>
  <si>
    <t>SEC02528</t>
  </si>
  <si>
    <t>Summit Markets 2528</t>
  </si>
  <si>
    <t>SEC02529</t>
  </si>
  <si>
    <t>Pioneer Technology 2529</t>
  </si>
  <si>
    <t>SEC02530</t>
  </si>
  <si>
    <t>Summit Energy 2530</t>
  </si>
  <si>
    <t>SEC02531</t>
  </si>
  <si>
    <t>Summit Fund 2531</t>
  </si>
  <si>
    <t>SEC02532</t>
  </si>
  <si>
    <t>Vertex Partners 2532</t>
  </si>
  <si>
    <t>SEC02533</t>
  </si>
  <si>
    <t>Sterling Holdings 2533</t>
  </si>
  <si>
    <t>SEC02534</t>
  </si>
  <si>
    <t>Summit Financial 2534</t>
  </si>
  <si>
    <t>SEC02535</t>
  </si>
  <si>
    <t>Pioneer Technology 2535</t>
  </si>
  <si>
    <t>SEC02536</t>
  </si>
  <si>
    <t>Orion Technology 2536</t>
  </si>
  <si>
    <t>SEC02537</t>
  </si>
  <si>
    <t>Cedar Group 2537</t>
  </si>
  <si>
    <t>SEC02538</t>
  </si>
  <si>
    <t>Sterling Financial 2538</t>
  </si>
  <si>
    <t>SEC02539</t>
  </si>
  <si>
    <t>Orion Markets 2539</t>
  </si>
  <si>
    <t>SEC02540</t>
  </si>
  <si>
    <t>Pioneer Partners 2540</t>
  </si>
  <si>
    <t>SEC02541</t>
  </si>
  <si>
    <t>Atlas Partners 2541</t>
  </si>
  <si>
    <t>SEC02542</t>
  </si>
  <si>
    <t>Harbor Industries 2542</t>
  </si>
  <si>
    <t>SEC02543</t>
  </si>
  <si>
    <t>Summit Technology 2543</t>
  </si>
  <si>
    <t>SEC02544</t>
  </si>
  <si>
    <t>Sterling Technology 2544</t>
  </si>
  <si>
    <t>SEC02545</t>
  </si>
  <si>
    <t>Nova Capital 2545</t>
  </si>
  <si>
    <t>SEC02546</t>
  </si>
  <si>
    <t>Nova Group 2546</t>
  </si>
  <si>
    <t>SEC02547</t>
  </si>
  <si>
    <t>Sterling Industries 2547</t>
  </si>
  <si>
    <t>SEC02548</t>
  </si>
  <si>
    <t>Harbor Partners 2548</t>
  </si>
  <si>
    <t>SEC02549</t>
  </si>
  <si>
    <t>Sterling Fund 2549</t>
  </si>
  <si>
    <t>SEC02550</t>
  </si>
  <si>
    <t>Liberty Partners 2550</t>
  </si>
  <si>
    <t>SEC02551</t>
  </si>
  <si>
    <t>Pioneer Fund 2551</t>
  </si>
  <si>
    <t>SEC02552</t>
  </si>
  <si>
    <t>Harbor Financial 2552</t>
  </si>
  <si>
    <t>SEC02553</t>
  </si>
  <si>
    <t>Vertex Energy 2553</t>
  </si>
  <si>
    <t>SEC02554</t>
  </si>
  <si>
    <t>Orion Industries 2554</t>
  </si>
  <si>
    <t>SEC02555</t>
  </si>
  <si>
    <t>Atlas Partners 2555</t>
  </si>
  <si>
    <t>SEC02556</t>
  </si>
  <si>
    <t>Harbor Energy 2556</t>
  </si>
  <si>
    <t>SEC02557</t>
  </si>
  <si>
    <t>Liberty Energy 2557</t>
  </si>
  <si>
    <t>SEC02558</t>
  </si>
  <si>
    <t>Pioneer Energy 2558</t>
  </si>
  <si>
    <t>SEC02559</t>
  </si>
  <si>
    <t>Harbor Technology 2559</t>
  </si>
  <si>
    <t>SEC02560</t>
  </si>
  <si>
    <t>Summit Capital 2560</t>
  </si>
  <si>
    <t>SEC02561</t>
  </si>
  <si>
    <t>Delta Partners 2561</t>
  </si>
  <si>
    <t>SEC02562</t>
  </si>
  <si>
    <t>Alpha Technology 2562</t>
  </si>
  <si>
    <t>SEC02563</t>
  </si>
  <si>
    <t>Delta Group 2563</t>
  </si>
  <si>
    <t>SEC02564</t>
  </si>
  <si>
    <t>Atlas Financial 2564</t>
  </si>
  <si>
    <t>SEC02565</t>
  </si>
  <si>
    <t>Vertex Markets 2565</t>
  </si>
  <si>
    <t>SEC02566</t>
  </si>
  <si>
    <t>Cedar Energy 2566</t>
  </si>
  <si>
    <t>SEC02567</t>
  </si>
  <si>
    <t>Liberty Capital 2567</t>
  </si>
  <si>
    <t>SEC02568</t>
  </si>
  <si>
    <t>Orion Group 2568</t>
  </si>
  <si>
    <t>SEC02569</t>
  </si>
  <si>
    <t>Cedar Holdings 2569</t>
  </si>
  <si>
    <t>SEC02570</t>
  </si>
  <si>
    <t>Vertex Group 2570</t>
  </si>
  <si>
    <t>SEC02571</t>
  </si>
  <si>
    <t>Nova Energy 2571</t>
  </si>
  <si>
    <t>SEC02572</t>
  </si>
  <si>
    <t>Vertex Markets 2572</t>
  </si>
  <si>
    <t>SEC02573</t>
  </si>
  <si>
    <t>Orion Partners 2573</t>
  </si>
  <si>
    <t>SEC02574</t>
  </si>
  <si>
    <t>Atlas Industries 2574</t>
  </si>
  <si>
    <t>SEC02575</t>
  </si>
  <si>
    <t>Pioneer Partners 2575</t>
  </si>
  <si>
    <t>SEC02576</t>
  </si>
  <si>
    <t>Atlas Holdings 2576</t>
  </si>
  <si>
    <t>SEC02577</t>
  </si>
  <si>
    <t>Cedar Holdings 2577</t>
  </si>
  <si>
    <t>SEC02578</t>
  </si>
  <si>
    <t>Atlas Industries 2578</t>
  </si>
  <si>
    <t>SEC02579</t>
  </si>
  <si>
    <t>Orion Energy 2579</t>
  </si>
  <si>
    <t>SEC02580</t>
  </si>
  <si>
    <t>Cedar Technology 2580</t>
  </si>
  <si>
    <t>SEC02581</t>
  </si>
  <si>
    <t>Liberty Technology 2581</t>
  </si>
  <si>
    <t>SEC02582</t>
  </si>
  <si>
    <t>Cedar Capital 2582</t>
  </si>
  <si>
    <t>SEC02583</t>
  </si>
  <si>
    <t>Vertex Financial 2583</t>
  </si>
  <si>
    <t>SEC02584</t>
  </si>
  <si>
    <t>Summit Group 2584</t>
  </si>
  <si>
    <t>SEC02585</t>
  </si>
  <si>
    <t>Cedar Partners 2585</t>
  </si>
  <si>
    <t>SEC02586</t>
  </si>
  <si>
    <t>Atlas Energy 2586</t>
  </si>
  <si>
    <t>SEC02587</t>
  </si>
  <si>
    <t>Harbor Financial 2587</t>
  </si>
  <si>
    <t>SEC02588</t>
  </si>
  <si>
    <t>Delta Industries 2588</t>
  </si>
  <si>
    <t>SEC02589</t>
  </si>
  <si>
    <t>Orion Capital 2589</t>
  </si>
  <si>
    <t>SEC02590</t>
  </si>
  <si>
    <t>Sterling Technology 2590</t>
  </si>
  <si>
    <t>SEC02591</t>
  </si>
  <si>
    <t>Harbor Holdings 2591</t>
  </si>
  <si>
    <t>SEC02592</t>
  </si>
  <si>
    <t>Atlas Partners 2592</t>
  </si>
  <si>
    <t>SEC02593</t>
  </si>
  <si>
    <t>Delta Energy 2593</t>
  </si>
  <si>
    <t>SEC02594</t>
  </si>
  <si>
    <t>Orion Partners 2594</t>
  </si>
  <si>
    <t>SEC02595</t>
  </si>
  <si>
    <t>Summit Partners 2595</t>
  </si>
  <si>
    <t>SEC02596</t>
  </si>
  <si>
    <t>Summit Partners 2596</t>
  </si>
  <si>
    <t>SEC02597</t>
  </si>
  <si>
    <t>Liberty Technology 2597</t>
  </si>
  <si>
    <t>SEC02598</t>
  </si>
  <si>
    <t>Liberty Financial 2598</t>
  </si>
  <si>
    <t>SEC02599</t>
  </si>
  <si>
    <t>Alpha Holdings 2599</t>
  </si>
  <si>
    <t>SEC02600</t>
  </si>
  <si>
    <t>Harbor Group 2600</t>
  </si>
  <si>
    <t>SEC02601</t>
  </si>
  <si>
    <t>Liberty Markets 2601</t>
  </si>
  <si>
    <t>SEC02602</t>
  </si>
  <si>
    <t>Harbor Partners 2602</t>
  </si>
  <si>
    <t>SEC02603</t>
  </si>
  <si>
    <t>Pioneer Capital 2603</t>
  </si>
  <si>
    <t>SEC02604</t>
  </si>
  <si>
    <t>Cedar Fund 2604</t>
  </si>
  <si>
    <t>SEC02605</t>
  </si>
  <si>
    <t>Delta Holdings 2605</t>
  </si>
  <si>
    <t>SEC02606</t>
  </si>
  <si>
    <t>Cedar Industries 2606</t>
  </si>
  <si>
    <t>SEC02607</t>
  </si>
  <si>
    <t>Atlas Partners 2607</t>
  </si>
  <si>
    <t>SEC02608</t>
  </si>
  <si>
    <t>Pioneer Group 2608</t>
  </si>
  <si>
    <t>SEC02609</t>
  </si>
  <si>
    <t>Vertex Energy 2609</t>
  </si>
  <si>
    <t>SEC02610</t>
  </si>
  <si>
    <t>Orion Capital 2610</t>
  </si>
  <si>
    <t>SEC02611</t>
  </si>
  <si>
    <t>Atlas Partners 2611</t>
  </si>
  <si>
    <t>SEC02612</t>
  </si>
  <si>
    <t>Cedar Holdings 2612</t>
  </si>
  <si>
    <t>SEC02613</t>
  </si>
  <si>
    <t>Delta Partners 2613</t>
  </si>
  <si>
    <t>SEC02614</t>
  </si>
  <si>
    <t>Harbor Group 2614</t>
  </si>
  <si>
    <t>SEC02615</t>
  </si>
  <si>
    <t>Vertex Energy 2615</t>
  </si>
  <si>
    <t>SEC02616</t>
  </si>
  <si>
    <t>Liberty Markets 2616</t>
  </si>
  <si>
    <t>SEC02617</t>
  </si>
  <si>
    <t>Nova Group 2617</t>
  </si>
  <si>
    <t>SEC02618</t>
  </si>
  <si>
    <t>Atlas Fund 2618</t>
  </si>
  <si>
    <t>SEC02619</t>
  </si>
  <si>
    <t>Atlas Fund 2619</t>
  </si>
  <si>
    <t>SEC02620</t>
  </si>
  <si>
    <t>Liberty Capital 2620</t>
  </si>
  <si>
    <t>SEC02621</t>
  </si>
  <si>
    <t>Pioneer Technology 2621</t>
  </si>
  <si>
    <t>SEC02622</t>
  </si>
  <si>
    <t>Delta Capital 2622</t>
  </si>
  <si>
    <t>SEC02623</t>
  </si>
  <si>
    <t>Liberty Group 2623</t>
  </si>
  <si>
    <t>SEC02624</t>
  </si>
  <si>
    <t>Atlas Fund 2624</t>
  </si>
  <si>
    <t>SEC02625</t>
  </si>
  <si>
    <t>Orion Markets 2625</t>
  </si>
  <si>
    <t>SEC02626</t>
  </si>
  <si>
    <t>Delta Fund 2626</t>
  </si>
  <si>
    <t>SEC02627</t>
  </si>
  <si>
    <t>Harbor Industries 2627</t>
  </si>
  <si>
    <t>SEC02628</t>
  </si>
  <si>
    <t>Delta Partners 2628</t>
  </si>
  <si>
    <t>SEC02629</t>
  </si>
  <si>
    <t>Alpha Holdings 2629</t>
  </si>
  <si>
    <t>SEC02630</t>
  </si>
  <si>
    <t>Pioneer Partners 2630</t>
  </si>
  <si>
    <t>SEC02631</t>
  </si>
  <si>
    <t>Cedar Industries 2631</t>
  </si>
  <si>
    <t>SEC02632</t>
  </si>
  <si>
    <t>Alpha Partners 2632</t>
  </si>
  <si>
    <t>SEC02633</t>
  </si>
  <si>
    <t>Delta Holdings 2633</t>
  </si>
  <si>
    <t>SEC02634</t>
  </si>
  <si>
    <t>Alpha Markets 2634</t>
  </si>
  <si>
    <t>SEC02635</t>
  </si>
  <si>
    <t>Sterling Holdings 2635</t>
  </si>
  <si>
    <t>SEC02636</t>
  </si>
  <si>
    <t>Atlas Financial 2636</t>
  </si>
  <si>
    <t>SEC02637</t>
  </si>
  <si>
    <t>Vertex Financial 2637</t>
  </si>
  <si>
    <t>SEC02638</t>
  </si>
  <si>
    <t>Alpha Capital 2638</t>
  </si>
  <si>
    <t>SEC02639</t>
  </si>
  <si>
    <t>Alpha Technology 2639</t>
  </si>
  <si>
    <t>SEC02640</t>
  </si>
  <si>
    <t>Summit Industries 2640</t>
  </si>
  <si>
    <t>SEC02641</t>
  </si>
  <si>
    <t>Atlas Holdings 2641</t>
  </si>
  <si>
    <t>SEC02642</t>
  </si>
  <si>
    <t>Pioneer Capital 2642</t>
  </si>
  <si>
    <t>SEC02643</t>
  </si>
  <si>
    <t>Alpha Industries 2643</t>
  </si>
  <si>
    <t>SEC02644</t>
  </si>
  <si>
    <t>Vertex Holdings 2644</t>
  </si>
  <si>
    <t>SEC02645</t>
  </si>
  <si>
    <t>Harbor Capital 2645</t>
  </si>
  <si>
    <t>SEC02646</t>
  </si>
  <si>
    <t>Delta Markets 2646</t>
  </si>
  <si>
    <t>SEC02647</t>
  </si>
  <si>
    <t>Harbor Financial 2647</t>
  </si>
  <si>
    <t>SEC02648</t>
  </si>
  <si>
    <t>Delta Industries 2648</t>
  </si>
  <si>
    <t>SEC02649</t>
  </si>
  <si>
    <t>Atlas Capital 2649</t>
  </si>
  <si>
    <t>SEC02650</t>
  </si>
  <si>
    <t>Pioneer Capital 2650</t>
  </si>
  <si>
    <t>SEC02651</t>
  </si>
  <si>
    <t>Sterling Fund 2651</t>
  </si>
  <si>
    <t>SEC02652</t>
  </si>
  <si>
    <t>Pioneer Financial 2652</t>
  </si>
  <si>
    <t>SEC02653</t>
  </si>
  <si>
    <t>Harbor Financial 2653</t>
  </si>
  <si>
    <t>SEC02654</t>
  </si>
  <si>
    <t>Cedar Technology 2654</t>
  </si>
  <si>
    <t>SEC02655</t>
  </si>
  <si>
    <t>Atlas Group 2655</t>
  </si>
  <si>
    <t>SEC02656</t>
  </si>
  <si>
    <t>Atlas Industries 2656</t>
  </si>
  <si>
    <t>SEC02657</t>
  </si>
  <si>
    <t>Alpha Capital 2657</t>
  </si>
  <si>
    <t>SEC02658</t>
  </si>
  <si>
    <t>Harbor Partners 2658</t>
  </si>
  <si>
    <t>SEC02659</t>
  </si>
  <si>
    <t>Orion Holdings 2659</t>
  </si>
  <si>
    <t>SEC02660</t>
  </si>
  <si>
    <t>Alpha Financial 2660</t>
  </si>
  <si>
    <t>SEC02661</t>
  </si>
  <si>
    <t>Vertex Markets 2661</t>
  </si>
  <si>
    <t>SEC02662</t>
  </si>
  <si>
    <t>Orion Capital 2662</t>
  </si>
  <si>
    <t>SEC02663</t>
  </si>
  <si>
    <t>Vertex Capital 2663</t>
  </si>
  <si>
    <t>SEC02664</t>
  </si>
  <si>
    <t>Sterling Partners 2664</t>
  </si>
  <si>
    <t>SEC02665</t>
  </si>
  <si>
    <t>Alpha Financial 2665</t>
  </si>
  <si>
    <t>SEC02666</t>
  </si>
  <si>
    <t>Liberty Capital 2666</t>
  </si>
  <si>
    <t>SEC02667</t>
  </si>
  <si>
    <t>Cedar Financial 2667</t>
  </si>
  <si>
    <t>SEC02668</t>
  </si>
  <si>
    <t>Summit Industries 2668</t>
  </si>
  <si>
    <t>SEC02669</t>
  </si>
  <si>
    <t>Cedar Technology 2669</t>
  </si>
  <si>
    <t>SEC02670</t>
  </si>
  <si>
    <t>Pioneer Capital 2670</t>
  </si>
  <si>
    <t>SEC02671</t>
  </si>
  <si>
    <t>Vertex Energy 2671</t>
  </si>
  <si>
    <t>SEC02672</t>
  </si>
  <si>
    <t>Delta Capital 2672</t>
  </si>
  <si>
    <t>SEC02673</t>
  </si>
  <si>
    <t>Cedar Group 2673</t>
  </si>
  <si>
    <t>SEC02674</t>
  </si>
  <si>
    <t>Vertex Capital 2674</t>
  </si>
  <si>
    <t>SEC02675</t>
  </si>
  <si>
    <t>Delta Partners 2675</t>
  </si>
  <si>
    <t>SEC02676</t>
  </si>
  <si>
    <t>Sterling Holdings 2676</t>
  </si>
  <si>
    <t>SEC02677</t>
  </si>
  <si>
    <t>Alpha Partners 2677</t>
  </si>
  <si>
    <t>SEC02678</t>
  </si>
  <si>
    <t>Alpha Energy 2678</t>
  </si>
  <si>
    <t>SEC02679</t>
  </si>
  <si>
    <t>Vertex Technology 2679</t>
  </si>
  <si>
    <t>SEC02680</t>
  </si>
  <si>
    <t>Pioneer Markets 2680</t>
  </si>
  <si>
    <t>SEC02681</t>
  </si>
  <si>
    <t>Pioneer Holdings 2681</t>
  </si>
  <si>
    <t>SEC02682</t>
  </si>
  <si>
    <t>Harbor Partners 2682</t>
  </si>
  <si>
    <t>SEC02683</t>
  </si>
  <si>
    <t>Cedar Industries 2683</t>
  </si>
  <si>
    <t>SEC02684</t>
  </si>
  <si>
    <t>Vertex Financial 2684</t>
  </si>
  <si>
    <t>SEC02685</t>
  </si>
  <si>
    <t>Pioneer Technology 2685</t>
  </si>
  <si>
    <t>SEC02686</t>
  </si>
  <si>
    <t>Delta Industries 2686</t>
  </si>
  <si>
    <t>SEC02687</t>
  </si>
  <si>
    <t>Orion Industries 2687</t>
  </si>
  <si>
    <t>SEC02688</t>
  </si>
  <si>
    <t>Sterling Capital 2688</t>
  </si>
  <si>
    <t>SEC02689</t>
  </si>
  <si>
    <t>Alpha Energy 2689</t>
  </si>
  <si>
    <t>SEC02690</t>
  </si>
  <si>
    <t>Alpha Energy 2690</t>
  </si>
  <si>
    <t>SEC02691</t>
  </si>
  <si>
    <t>Orion Capital 2691</t>
  </si>
  <si>
    <t>SEC02692</t>
  </si>
  <si>
    <t>Summit Industries 2692</t>
  </si>
  <si>
    <t>SEC02693</t>
  </si>
  <si>
    <t>Summit Partners 2693</t>
  </si>
  <si>
    <t>SEC02694</t>
  </si>
  <si>
    <t>Sterling Energy 2694</t>
  </si>
  <si>
    <t>SEC02695</t>
  </si>
  <si>
    <t>Alpha Financial 2695</t>
  </si>
  <si>
    <t>SEC02696</t>
  </si>
  <si>
    <t>Delta Industries 2696</t>
  </si>
  <si>
    <t>SEC02697</t>
  </si>
  <si>
    <t>Delta Partners 2697</t>
  </si>
  <si>
    <t>SEC02698</t>
  </si>
  <si>
    <t>Alpha Markets 2698</t>
  </si>
  <si>
    <t>SEC02699</t>
  </si>
  <si>
    <t>Cedar Partners 2699</t>
  </si>
  <si>
    <t>SEC02700</t>
  </si>
  <si>
    <t>Orion Industries 2700</t>
  </si>
  <si>
    <t>SEC02701</t>
  </si>
  <si>
    <t>Alpha Industries 2701</t>
  </si>
  <si>
    <t>SEC02702</t>
  </si>
  <si>
    <t>Cedar Partners 2702</t>
  </si>
  <si>
    <t>SEC02703</t>
  </si>
  <si>
    <t>Delta Capital 2703</t>
  </si>
  <si>
    <t>SEC02704</t>
  </si>
  <si>
    <t>Sterling Industries 2704</t>
  </si>
  <si>
    <t>SEC02705</t>
  </si>
  <si>
    <t>Pioneer Fund 2705</t>
  </si>
  <si>
    <t>SEC02706</t>
  </si>
  <si>
    <t>Nova Energy 2706</t>
  </si>
  <si>
    <t>SEC02707</t>
  </si>
  <si>
    <t>Atlas Industries 2707</t>
  </si>
  <si>
    <t>SEC02708</t>
  </si>
  <si>
    <t>Vertex Financial 2708</t>
  </si>
  <si>
    <t>SEC02709</t>
  </si>
  <si>
    <t>Harbor Financial 2709</t>
  </si>
  <si>
    <t>SEC02710</t>
  </si>
  <si>
    <t>Atlas Financial 2710</t>
  </si>
  <si>
    <t>SEC02711</t>
  </si>
  <si>
    <t>Harbor Markets 2711</t>
  </si>
  <si>
    <t>SEC02712</t>
  </si>
  <si>
    <t>Orion Capital 2712</t>
  </si>
  <si>
    <t>SEC02713</t>
  </si>
  <si>
    <t>Cedar Group 2713</t>
  </si>
  <si>
    <t>SEC02714</t>
  </si>
  <si>
    <t>Sterling Industries 2714</t>
  </si>
  <si>
    <t>SEC02715</t>
  </si>
  <si>
    <t>Atlas Capital 2715</t>
  </si>
  <si>
    <t>SEC02716</t>
  </si>
  <si>
    <t>Alpha Holdings 2716</t>
  </si>
  <si>
    <t>SEC02717</t>
  </si>
  <si>
    <t>Cedar Energy 2717</t>
  </si>
  <si>
    <t>SEC02718</t>
  </si>
  <si>
    <t>Sterling Group 2718</t>
  </si>
  <si>
    <t>SEC02719</t>
  </si>
  <si>
    <t>Nova Technology 2719</t>
  </si>
  <si>
    <t>SEC02720</t>
  </si>
  <si>
    <t>Alpha Technology 2720</t>
  </si>
  <si>
    <t>SEC02721</t>
  </si>
  <si>
    <t>Liberty Capital 2721</t>
  </si>
  <si>
    <t>SEC02722</t>
  </si>
  <si>
    <t>Delta Technology 2722</t>
  </si>
  <si>
    <t>SEC02723</t>
  </si>
  <si>
    <t>Vertex Capital 2723</t>
  </si>
  <si>
    <t>SEC02724</t>
  </si>
  <si>
    <t>Cedar Capital 2724</t>
  </si>
  <si>
    <t>SEC02725</t>
  </si>
  <si>
    <t>Liberty Financial 2725</t>
  </si>
  <si>
    <t>SEC02726</t>
  </si>
  <si>
    <t>Delta Technology 2726</t>
  </si>
  <si>
    <t>SEC02727</t>
  </si>
  <si>
    <t>Vertex Capital 2727</t>
  </si>
  <si>
    <t>SEC02728</t>
  </si>
  <si>
    <t>Atlas Industries 2728</t>
  </si>
  <si>
    <t>SEC02729</t>
  </si>
  <si>
    <t>Harbor Holdings 2729</t>
  </si>
  <si>
    <t>SEC02730</t>
  </si>
  <si>
    <t>Sterling Industries 2730</t>
  </si>
  <si>
    <t>SEC02731</t>
  </si>
  <si>
    <t>Vertex Markets 2731</t>
  </si>
  <si>
    <t>SEC02732</t>
  </si>
  <si>
    <t>Cedar Capital 2732</t>
  </si>
  <si>
    <t>SEC02733</t>
  </si>
  <si>
    <t>Alpha Technology 2733</t>
  </si>
  <si>
    <t>SEC02734</t>
  </si>
  <si>
    <t>Vertex Partners 2734</t>
  </si>
  <si>
    <t>SEC02735</t>
  </si>
  <si>
    <t>Summit Energy 2735</t>
  </si>
  <si>
    <t>SEC02736</t>
  </si>
  <si>
    <t>Cedar Financial 2736</t>
  </si>
  <si>
    <t>SEC02737</t>
  </si>
  <si>
    <t>Pioneer Financial 2737</t>
  </si>
  <si>
    <t>SEC02738</t>
  </si>
  <si>
    <t>Atlas Group 2738</t>
  </si>
  <si>
    <t>SEC02739</t>
  </si>
  <si>
    <t>Liberty Technology 2739</t>
  </si>
  <si>
    <t>SEC02740</t>
  </si>
  <si>
    <t>Alpha Energy 2740</t>
  </si>
  <si>
    <t>SEC02741</t>
  </si>
  <si>
    <t>Harbor Capital 2741</t>
  </si>
  <si>
    <t>SEC02742</t>
  </si>
  <si>
    <t>Summit Fund 2742</t>
  </si>
  <si>
    <t>SEC02743</t>
  </si>
  <si>
    <t>Atlas Fund 2743</t>
  </si>
  <si>
    <t>SEC02744</t>
  </si>
  <si>
    <t>Atlas Industries 2744</t>
  </si>
  <si>
    <t>SEC02745</t>
  </si>
  <si>
    <t>Orion Partners 2745</t>
  </si>
  <si>
    <t>SEC02746</t>
  </si>
  <si>
    <t>Alpha Holdings 2746</t>
  </si>
  <si>
    <t>SEC02747</t>
  </si>
  <si>
    <t>Delta Financial 2747</t>
  </si>
  <si>
    <t>SEC02748</t>
  </si>
  <si>
    <t>Cedar Energy 2748</t>
  </si>
  <si>
    <t>SEC02749</t>
  </si>
  <si>
    <t>Nova Markets 2749</t>
  </si>
  <si>
    <t>SEC02750</t>
  </si>
  <si>
    <t>Liberty Fund 2750</t>
  </si>
  <si>
    <t>SEC02751</t>
  </si>
  <si>
    <t>Cedar Holdings 2751</t>
  </si>
  <si>
    <t>SEC02752</t>
  </si>
  <si>
    <t>Harbor Technology 2752</t>
  </si>
  <si>
    <t>SEC02753</t>
  </si>
  <si>
    <t>Pioneer Markets 2753</t>
  </si>
  <si>
    <t>SEC02754</t>
  </si>
  <si>
    <t>Liberty Fund 2754</t>
  </si>
  <si>
    <t>SEC02755</t>
  </si>
  <si>
    <t>Pioneer Energy 2755</t>
  </si>
  <si>
    <t>SEC02756</t>
  </si>
  <si>
    <t>Pioneer Holdings 2756</t>
  </si>
  <si>
    <t>SEC02757</t>
  </si>
  <si>
    <t>Alpha Industries 2757</t>
  </si>
  <si>
    <t>SEC02758</t>
  </si>
  <si>
    <t>Delta Fund 2758</t>
  </si>
  <si>
    <t>SEC02759</t>
  </si>
  <si>
    <t>Vertex Group 2759</t>
  </si>
  <si>
    <t>SEC02760</t>
  </si>
  <si>
    <t>Atlas Energy 2760</t>
  </si>
  <si>
    <t>SEC02761</t>
  </si>
  <si>
    <t>Sterling Industries 2761</t>
  </si>
  <si>
    <t>SEC02762</t>
  </si>
  <si>
    <t>Atlas Markets 2762</t>
  </si>
  <si>
    <t>SEC02763</t>
  </si>
  <si>
    <t>Orion Energy 2763</t>
  </si>
  <si>
    <t>SEC02764</t>
  </si>
  <si>
    <t>Sterling Energy 2764</t>
  </si>
  <si>
    <t>SEC02765</t>
  </si>
  <si>
    <t>Summit Holdings 2765</t>
  </si>
  <si>
    <t>SEC02766</t>
  </si>
  <si>
    <t>Atlas Technology 2766</t>
  </si>
  <si>
    <t>SEC02767</t>
  </si>
  <si>
    <t>Nova Industries 2767</t>
  </si>
  <si>
    <t>SEC02768</t>
  </si>
  <si>
    <t>Sterling Partners 2768</t>
  </si>
  <si>
    <t>SEC02769</t>
  </si>
  <si>
    <t>Liberty Markets 2769</t>
  </si>
  <si>
    <t>SEC02770</t>
  </si>
  <si>
    <t>Vertex Fund 2770</t>
  </si>
  <si>
    <t>SEC02771</t>
  </si>
  <si>
    <t>Sterling Markets 2771</t>
  </si>
  <si>
    <t>SEC02772</t>
  </si>
  <si>
    <t>Orion Industries 2772</t>
  </si>
  <si>
    <t>SEC02773</t>
  </si>
  <si>
    <t>Pioneer Partners 2773</t>
  </si>
  <si>
    <t>SEC02774</t>
  </si>
  <si>
    <t>Atlas Fund 2774</t>
  </si>
  <si>
    <t>SEC02775</t>
  </si>
  <si>
    <t>Summit Financial 2775</t>
  </si>
  <si>
    <t>SEC02776</t>
  </si>
  <si>
    <t>Atlas Financial 2776</t>
  </si>
  <si>
    <t>SEC02777</t>
  </si>
  <si>
    <t>Harbor Group 2777</t>
  </si>
  <si>
    <t>SEC02778</t>
  </si>
  <si>
    <t>Sterling Capital 2778</t>
  </si>
  <si>
    <t>SEC02779</t>
  </si>
  <si>
    <t>Vertex Group 2779</t>
  </si>
  <si>
    <t>SEC02780</t>
  </si>
  <si>
    <t>Summit Industries 2780</t>
  </si>
  <si>
    <t>SEC02781</t>
  </si>
  <si>
    <t>Liberty Holdings 2781</t>
  </si>
  <si>
    <t>SEC02782</t>
  </si>
  <si>
    <t>Pioneer Industries 2782</t>
  </si>
  <si>
    <t>SEC02783</t>
  </si>
  <si>
    <t>Harbor Financial 2783</t>
  </si>
  <si>
    <t>SEC02784</t>
  </si>
  <si>
    <t>Pioneer Energy 2784</t>
  </si>
  <si>
    <t>SEC02785</t>
  </si>
  <si>
    <t>Sterling Technology 2785</t>
  </si>
  <si>
    <t>SEC02786</t>
  </si>
  <si>
    <t>Atlas Group 2786</t>
  </si>
  <si>
    <t>SEC02787</t>
  </si>
  <si>
    <t>Cedar Technology 2787</t>
  </si>
  <si>
    <t>SEC02788</t>
  </si>
  <si>
    <t>Orion Capital 2788</t>
  </si>
  <si>
    <t>SEC02789</t>
  </si>
  <si>
    <t>Alpha Technology 2789</t>
  </si>
  <si>
    <t>SEC02790</t>
  </si>
  <si>
    <t>Summit Fund 2790</t>
  </si>
  <si>
    <t>SEC02791</t>
  </si>
  <si>
    <t>Delta Energy 2791</t>
  </si>
  <si>
    <t>SEC02792</t>
  </si>
  <si>
    <t>Liberty Partners 2792</t>
  </si>
  <si>
    <t>SEC02793</t>
  </si>
  <si>
    <t>Vertex Capital 2793</t>
  </si>
  <si>
    <t>SEC02794</t>
  </si>
  <si>
    <t>Summit Group 2794</t>
  </si>
  <si>
    <t>SEC02795</t>
  </si>
  <si>
    <t>Sterling Industries 2795</t>
  </si>
  <si>
    <t>SEC02796</t>
  </si>
  <si>
    <t>Pioneer Group 2796</t>
  </si>
  <si>
    <t>SEC02797</t>
  </si>
  <si>
    <t>Orion Financial 2797</t>
  </si>
  <si>
    <t>SEC02798</t>
  </si>
  <si>
    <t>Summit Energy 2798</t>
  </si>
  <si>
    <t>SEC02799</t>
  </si>
  <si>
    <t>Vertex Group 2799</t>
  </si>
  <si>
    <t>SEC02800</t>
  </si>
  <si>
    <t>Pioneer Fund 2800</t>
  </si>
  <si>
    <t>SEC02801</t>
  </si>
  <si>
    <t>Alpha Financial 2801</t>
  </si>
  <si>
    <t>SEC02802</t>
  </si>
  <si>
    <t>Delta Energy 2802</t>
  </si>
  <si>
    <t>SEC02803</t>
  </si>
  <si>
    <t>Cedar Group 2803</t>
  </si>
  <si>
    <t>SEC02804</t>
  </si>
  <si>
    <t>Liberty Financial 2804</t>
  </si>
  <si>
    <t>SEC02805</t>
  </si>
  <si>
    <t>Pioneer Group 2805</t>
  </si>
  <si>
    <t>SEC02806</t>
  </si>
  <si>
    <t>Nova Markets 2806</t>
  </si>
  <si>
    <t>SEC02807</t>
  </si>
  <si>
    <t>Sterling Financial 2807</t>
  </si>
  <si>
    <t>SEC02808</t>
  </si>
  <si>
    <t>Orion Energy 2808</t>
  </si>
  <si>
    <t>SEC02809</t>
  </si>
  <si>
    <t>Orion Energy 2809</t>
  </si>
  <si>
    <t>SEC02810</t>
  </si>
  <si>
    <t>Orion Group 2810</t>
  </si>
  <si>
    <t>SEC02811</t>
  </si>
  <si>
    <t>Atlas Holdings 2811</t>
  </si>
  <si>
    <t>SEC02812</t>
  </si>
  <si>
    <t>Cedar Capital 2812</t>
  </si>
  <si>
    <t>SEC02813</t>
  </si>
  <si>
    <t>Alpha Group 2813</t>
  </si>
  <si>
    <t>SEC02814</t>
  </si>
  <si>
    <t>Cedar Holdings 2814</t>
  </si>
  <si>
    <t>SEC02815</t>
  </si>
  <si>
    <t>Liberty Capital 2815</t>
  </si>
  <si>
    <t>SEC02816</t>
  </si>
  <si>
    <t>Alpha Technology 2816</t>
  </si>
  <si>
    <t>SEC02817</t>
  </si>
  <si>
    <t>Liberty Energy 2817</t>
  </si>
  <si>
    <t>SEC02818</t>
  </si>
  <si>
    <t>Cedar Financial 2818</t>
  </si>
  <si>
    <t>SEC02819</t>
  </si>
  <si>
    <t>Sterling Financial 2819</t>
  </si>
  <si>
    <t>SEC02820</t>
  </si>
  <si>
    <t>Cedar Holdings 2820</t>
  </si>
  <si>
    <t>SEC02821</t>
  </si>
  <si>
    <t>Delta Group 2821</t>
  </si>
  <si>
    <t>SEC02822</t>
  </si>
  <si>
    <t>Nova Energy 2822</t>
  </si>
  <si>
    <t>SEC02823</t>
  </si>
  <si>
    <t>Orion Markets 2823</t>
  </si>
  <si>
    <t>SEC02824</t>
  </si>
  <si>
    <t>Atlas Fund 2824</t>
  </si>
  <si>
    <t>SEC02825</t>
  </si>
  <si>
    <t>Cedar Capital 2825</t>
  </si>
  <si>
    <t>SEC02826</t>
  </si>
  <si>
    <t>Harbor Holdings 2826</t>
  </si>
  <si>
    <t>SEC02827</t>
  </si>
  <si>
    <t>Atlas Partners 2827</t>
  </si>
  <si>
    <t>SEC02828</t>
  </si>
  <si>
    <t>Atlas Technology 2828</t>
  </si>
  <si>
    <t>SEC02829</t>
  </si>
  <si>
    <t>Sterling Fund 2829</t>
  </si>
  <si>
    <t>SEC02830</t>
  </si>
  <si>
    <t>Pioneer Financial 2830</t>
  </si>
  <si>
    <t>SEC02831</t>
  </si>
  <si>
    <t>Sterling Holdings 2831</t>
  </si>
  <si>
    <t>SEC02832</t>
  </si>
  <si>
    <t>Pioneer Partners 2832</t>
  </si>
  <si>
    <t>SEC02833</t>
  </si>
  <si>
    <t>Sterling Capital 2833</t>
  </si>
  <si>
    <t>SEC02834</t>
  </si>
  <si>
    <t>Summit Capital 2834</t>
  </si>
  <si>
    <t>SEC02835</t>
  </si>
  <si>
    <t>Liberty Partners 2835</t>
  </si>
  <si>
    <t>SEC02836</t>
  </si>
  <si>
    <t>Orion Technology 2836</t>
  </si>
  <si>
    <t>SEC02837</t>
  </si>
  <si>
    <t>Liberty Partners 2837</t>
  </si>
  <si>
    <t>SEC02838</t>
  </si>
  <si>
    <t>Delta Fund 2838</t>
  </si>
  <si>
    <t>SEC02839</t>
  </si>
  <si>
    <t>Atlas Energy 2839</t>
  </si>
  <si>
    <t>SEC02840</t>
  </si>
  <si>
    <t>Liberty Group 2840</t>
  </si>
  <si>
    <t>SEC02841</t>
  </si>
  <si>
    <t>Atlas Group 2841</t>
  </si>
  <si>
    <t>SEC02842</t>
  </si>
  <si>
    <t>Sterling Fund 2842</t>
  </si>
  <si>
    <t>SEC02843</t>
  </si>
  <si>
    <t>Harbor Energy 2843</t>
  </si>
  <si>
    <t>SEC02844</t>
  </si>
  <si>
    <t>Delta Fund 2844</t>
  </si>
  <si>
    <t>SEC02845</t>
  </si>
  <si>
    <t>Nova Capital 2845</t>
  </si>
  <si>
    <t>SEC02846</t>
  </si>
  <si>
    <t>Cedar Energy 2846</t>
  </si>
  <si>
    <t>SEC02847</t>
  </si>
  <si>
    <t>Liberty Holdings 2847</t>
  </si>
  <si>
    <t>SEC02848</t>
  </si>
  <si>
    <t>Cedar Markets 2848</t>
  </si>
  <si>
    <t>SEC02849</t>
  </si>
  <si>
    <t>Pioneer Financial 2849</t>
  </si>
  <si>
    <t>SEC02850</t>
  </si>
  <si>
    <t>Summit Holdings 2850</t>
  </si>
  <si>
    <t>SEC02851</t>
  </si>
  <si>
    <t>Summit Capital 2851</t>
  </si>
  <si>
    <t>SEC02852</t>
  </si>
  <si>
    <t>Vertex Financial 2852</t>
  </si>
  <si>
    <t>SEC02853</t>
  </si>
  <si>
    <t>Vertex Fund 2853</t>
  </si>
  <si>
    <t>SEC02854</t>
  </si>
  <si>
    <t>Delta Markets 2854</t>
  </si>
  <si>
    <t>SEC02855</t>
  </si>
  <si>
    <t>Sterling Capital 2855</t>
  </si>
  <si>
    <t>SEC02856</t>
  </si>
  <si>
    <t>Liberty Technology 2856</t>
  </si>
  <si>
    <t>SEC02857</t>
  </si>
  <si>
    <t>Alpha Industries 2857</t>
  </si>
  <si>
    <t>SEC02858</t>
  </si>
  <si>
    <t>Summit Capital 2858</t>
  </si>
  <si>
    <t>SEC02859</t>
  </si>
  <si>
    <t>Liberty Partners 2859</t>
  </si>
  <si>
    <t>SEC02860</t>
  </si>
  <si>
    <t>Alpha Holdings 2860</t>
  </si>
  <si>
    <t>SEC02861</t>
  </si>
  <si>
    <t>Vertex Fund 2861</t>
  </si>
  <si>
    <t>SEC02862</t>
  </si>
  <si>
    <t>Alpha Energy 2862</t>
  </si>
  <si>
    <t>SEC02863</t>
  </si>
  <si>
    <t>Cedar Technology 2863</t>
  </si>
  <si>
    <t>SEC02864</t>
  </si>
  <si>
    <t>Harbor Group 2864</t>
  </si>
  <si>
    <t>SEC02865</t>
  </si>
  <si>
    <t>Sterling Technology 2865</t>
  </si>
  <si>
    <t>SEC02866</t>
  </si>
  <si>
    <t>Orion Financial 2866</t>
  </si>
  <si>
    <t>SEC02867</t>
  </si>
  <si>
    <t>Summit Partners 2867</t>
  </si>
  <si>
    <t>SEC02868</t>
  </si>
  <si>
    <t>Summit Markets 2868</t>
  </si>
  <si>
    <t>SEC02869</t>
  </si>
  <si>
    <t>Alpha Energy 2869</t>
  </si>
  <si>
    <t>SEC02870</t>
  </si>
  <si>
    <t>Harbor Energy 2870</t>
  </si>
  <si>
    <t>SEC02871</t>
  </si>
  <si>
    <t>Alpha Group 2871</t>
  </si>
  <si>
    <t>SEC02872</t>
  </si>
  <si>
    <t>Atlas Holdings 2872</t>
  </si>
  <si>
    <t>SEC02873</t>
  </si>
  <si>
    <t>Cedar Financial 2873</t>
  </si>
  <si>
    <t>SEC02874</t>
  </si>
  <si>
    <t>Atlas Technology 2874</t>
  </si>
  <si>
    <t>SEC02875</t>
  </si>
  <si>
    <t>Harbor Holdings 2875</t>
  </si>
  <si>
    <t>SEC02876</t>
  </si>
  <si>
    <t>Orion Technology 2876</t>
  </si>
  <si>
    <t>SEC02877</t>
  </si>
  <si>
    <t>Vertex Industries 2877</t>
  </si>
  <si>
    <t>SEC02878</t>
  </si>
  <si>
    <t>Liberty Holdings 2878</t>
  </si>
  <si>
    <t>SEC02879</t>
  </si>
  <si>
    <t>Liberty Fund 2879</t>
  </si>
  <si>
    <t>SEC02880</t>
  </si>
  <si>
    <t>Atlas Holdings 2880</t>
  </si>
  <si>
    <t>SEC02881</t>
  </si>
  <si>
    <t>Atlas Holdings 2881</t>
  </si>
  <si>
    <t>SEC02882</t>
  </si>
  <si>
    <t>Pioneer Industries 2882</t>
  </si>
  <si>
    <t>SEC02883</t>
  </si>
  <si>
    <t>Nova Markets 2883</t>
  </si>
  <si>
    <t>SEC02884</t>
  </si>
  <si>
    <t>Harbor Technology 2884</t>
  </si>
  <si>
    <t>SEC02885</t>
  </si>
  <si>
    <t>Orion Partners 2885</t>
  </si>
  <si>
    <t>SEC02886</t>
  </si>
  <si>
    <t>Cedar Group 2886</t>
  </si>
  <si>
    <t>SEC02887</t>
  </si>
  <si>
    <t>Delta Capital 2887</t>
  </si>
  <si>
    <t>SEC02888</t>
  </si>
  <si>
    <t>Alpha Fund 2888</t>
  </si>
  <si>
    <t>SEC02889</t>
  </si>
  <si>
    <t>Sterling Holdings 2889</t>
  </si>
  <si>
    <t>SEC02890</t>
  </si>
  <si>
    <t>Nova Financial 2890</t>
  </si>
  <si>
    <t>SEC02891</t>
  </si>
  <si>
    <t>Summit Group 2891</t>
  </si>
  <si>
    <t>SEC02892</t>
  </si>
  <si>
    <t>Atlas Group 2892</t>
  </si>
  <si>
    <t>SEC02893</t>
  </si>
  <si>
    <t>Delta Financial 2893</t>
  </si>
  <si>
    <t>SEC02894</t>
  </si>
  <si>
    <t>Atlas Holdings 2894</t>
  </si>
  <si>
    <t>SEC02895</t>
  </si>
  <si>
    <t>Pioneer Energy 2895</t>
  </si>
  <si>
    <t>SEC02896</t>
  </si>
  <si>
    <t>Vertex Holdings 2896</t>
  </si>
  <si>
    <t>SEC02897</t>
  </si>
  <si>
    <t>Summit Financial 2897</t>
  </si>
  <si>
    <t>SEC02898</t>
  </si>
  <si>
    <t>Alpha Energy 2898</t>
  </si>
  <si>
    <t>SEC02899</t>
  </si>
  <si>
    <t>Nova Financial 2899</t>
  </si>
  <si>
    <t>SEC02900</t>
  </si>
  <si>
    <t>Summit Group 2900</t>
  </si>
  <si>
    <t>SEC02901</t>
  </si>
  <si>
    <t>Pioneer Capital 2901</t>
  </si>
  <si>
    <t>SEC02902</t>
  </si>
  <si>
    <t>Pioneer Fund 2902</t>
  </si>
  <si>
    <t>SEC02903</t>
  </si>
  <si>
    <t>Liberty Capital 2903</t>
  </si>
  <si>
    <t>SEC02904</t>
  </si>
  <si>
    <t>Nova Fund 2904</t>
  </si>
  <si>
    <t>SEC02905</t>
  </si>
  <si>
    <t>Orion Industries 2905</t>
  </si>
  <si>
    <t>SEC02906</t>
  </si>
  <si>
    <t>Nova Industries 2906</t>
  </si>
  <si>
    <t>SEC02907</t>
  </si>
  <si>
    <t>Cedar Industries 2907</t>
  </si>
  <si>
    <t>SEC02908</t>
  </si>
  <si>
    <t>Pioneer Technology 2908</t>
  </si>
  <si>
    <t>SEC02909</t>
  </si>
  <si>
    <t>Alpha Industries 2909</t>
  </si>
  <si>
    <t>SEC02910</t>
  </si>
  <si>
    <t>Alpha Technology 2910</t>
  </si>
  <si>
    <t>SEC02911</t>
  </si>
  <si>
    <t>Sterling Financial 2911</t>
  </si>
  <si>
    <t>SEC02912</t>
  </si>
  <si>
    <t>Alpha Holdings 2912</t>
  </si>
  <si>
    <t>SEC02913</t>
  </si>
  <si>
    <t>Harbor Group 2913</t>
  </si>
  <si>
    <t>SEC02914</t>
  </si>
  <si>
    <t>Alpha Industries 2914</t>
  </si>
  <si>
    <t>SEC02915</t>
  </si>
  <si>
    <t>Orion Partners 2915</t>
  </si>
  <si>
    <t>SEC02916</t>
  </si>
  <si>
    <t>Vertex Industries 2916</t>
  </si>
  <si>
    <t>SEC02917</t>
  </si>
  <si>
    <t>Summit Fund 2917</t>
  </si>
  <si>
    <t>SEC02918</t>
  </si>
  <si>
    <t>Orion Markets 2918</t>
  </si>
  <si>
    <t>SEC02919</t>
  </si>
  <si>
    <t>Atlas Capital 2919</t>
  </si>
  <si>
    <t>SEC02920</t>
  </si>
  <si>
    <t>Harbor Financial 2920</t>
  </si>
  <si>
    <t>SEC02921</t>
  </si>
  <si>
    <t>Delta Technology 2921</t>
  </si>
  <si>
    <t>SEC02922</t>
  </si>
  <si>
    <t>Orion Partners 2922</t>
  </si>
  <si>
    <t>SEC02923</t>
  </si>
  <si>
    <t>Harbor Financial 2923</t>
  </si>
  <si>
    <t>SEC02924</t>
  </si>
  <si>
    <t>Harbor Markets 2924</t>
  </si>
  <si>
    <t>SEC02925</t>
  </si>
  <si>
    <t>Vertex Group 2925</t>
  </si>
  <si>
    <t>SEC02926</t>
  </si>
  <si>
    <t>Vertex Technology 2926</t>
  </si>
  <si>
    <t>SEC02927</t>
  </si>
  <si>
    <t>Delta Technology 2927</t>
  </si>
  <si>
    <t>SEC02928</t>
  </si>
  <si>
    <t>Alpha Capital 2928</t>
  </si>
  <si>
    <t>SEC02929</t>
  </si>
  <si>
    <t>Vertex Technology 2929</t>
  </si>
  <si>
    <t>SEC02930</t>
  </si>
  <si>
    <t>Cedar Markets 2930</t>
  </si>
  <si>
    <t>SEC02931</t>
  </si>
  <si>
    <t>Alpha Technology 2931</t>
  </si>
  <si>
    <t>SEC02932</t>
  </si>
  <si>
    <t>Vertex Holdings 2932</t>
  </si>
  <si>
    <t>SEC02933</t>
  </si>
  <si>
    <t>Summit Markets 2933</t>
  </si>
  <si>
    <t>SEC02934</t>
  </si>
  <si>
    <t>Vertex Holdings 2934</t>
  </si>
  <si>
    <t>SEC02935</t>
  </si>
  <si>
    <t>Liberty Markets 2935</t>
  </si>
  <si>
    <t>SEC02936</t>
  </si>
  <si>
    <t>Alpha Financial 2936</t>
  </si>
  <si>
    <t>SEC02937</t>
  </si>
  <si>
    <t>Orion Fund 2937</t>
  </si>
  <si>
    <t>SEC02938</t>
  </si>
  <si>
    <t>Liberty Holdings 2938</t>
  </si>
  <si>
    <t>SEC02939</t>
  </si>
  <si>
    <t>Pioneer Financial 2939</t>
  </si>
  <si>
    <t>SEC02940</t>
  </si>
  <si>
    <t>Atlas Markets 2940</t>
  </si>
  <si>
    <t>SEC02941</t>
  </si>
  <si>
    <t>Alpha Capital 2941</t>
  </si>
  <si>
    <t>SEC02942</t>
  </si>
  <si>
    <t>Delta Markets 2942</t>
  </si>
  <si>
    <t>SEC02943</t>
  </si>
  <si>
    <t>Alpha Group 2943</t>
  </si>
  <si>
    <t>SEC02944</t>
  </si>
  <si>
    <t>Nova Fund 2944</t>
  </si>
  <si>
    <t>SEC02945</t>
  </si>
  <si>
    <t>Cedar Capital 2945</t>
  </si>
  <si>
    <t>SEC02946</t>
  </si>
  <si>
    <t>Summit Group 2946</t>
  </si>
  <si>
    <t>SEC02947</t>
  </si>
  <si>
    <t>Alpha Energy 2947</t>
  </si>
  <si>
    <t>SEC02948</t>
  </si>
  <si>
    <t>Cedar Technology 2948</t>
  </si>
  <si>
    <t>SEC02949</t>
  </si>
  <si>
    <t>Orion Group 2949</t>
  </si>
  <si>
    <t>SEC02950</t>
  </si>
  <si>
    <t>Harbor Financial 2950</t>
  </si>
  <si>
    <t>SEC02951</t>
  </si>
  <si>
    <t>Cedar Holdings 2951</t>
  </si>
  <si>
    <t>SEC02952</t>
  </si>
  <si>
    <t>Atlas Partners 2952</t>
  </si>
  <si>
    <t>SEC02953</t>
  </si>
  <si>
    <t>Alpha Capital 2953</t>
  </si>
  <si>
    <t>SEC02954</t>
  </si>
  <si>
    <t>Summit Group 2954</t>
  </si>
  <si>
    <t>SEC02955</t>
  </si>
  <si>
    <t>Alpha Financial 2955</t>
  </si>
  <si>
    <t>SEC02956</t>
  </si>
  <si>
    <t>Summit Capital 2956</t>
  </si>
  <si>
    <t>SEC02957</t>
  </si>
  <si>
    <t>Nova Partners 2957</t>
  </si>
  <si>
    <t>SEC02958</t>
  </si>
  <si>
    <t>Nova Financial 2958</t>
  </si>
  <si>
    <t>SEC02959</t>
  </si>
  <si>
    <t>Atlas Technology 2959</t>
  </si>
  <si>
    <t>SEC02960</t>
  </si>
  <si>
    <t>Sterling Group 2960</t>
  </si>
  <si>
    <t>SEC02961</t>
  </si>
  <si>
    <t>Liberty Fund 2961</t>
  </si>
  <si>
    <t>SEC02962</t>
  </si>
  <si>
    <t>Summit Financial 2962</t>
  </si>
  <si>
    <t>SEC02963</t>
  </si>
  <si>
    <t>Liberty Holdings 2963</t>
  </si>
  <si>
    <t>SEC02964</t>
  </si>
  <si>
    <t>Pioneer Industries 2964</t>
  </si>
  <si>
    <t>SEC02965</t>
  </si>
  <si>
    <t>Vertex Fund 2965</t>
  </si>
  <si>
    <t>SEC02966</t>
  </si>
  <si>
    <t>Summit Financial 2966</t>
  </si>
  <si>
    <t>SEC02967</t>
  </si>
  <si>
    <t>Liberty Partners 2967</t>
  </si>
  <si>
    <t>SEC02968</t>
  </si>
  <si>
    <t>Atlas Energy 2968</t>
  </si>
  <si>
    <t>SEC02969</t>
  </si>
  <si>
    <t>Cedar Capital 2969</t>
  </si>
  <si>
    <t>SEC02970</t>
  </si>
  <si>
    <t>Summit Partners 2970</t>
  </si>
  <si>
    <t>SEC02971</t>
  </si>
  <si>
    <t>Sterling Holdings 2971</t>
  </si>
  <si>
    <t>SEC02972</t>
  </si>
  <si>
    <t>Pioneer Partners 2972</t>
  </si>
  <si>
    <t>SEC02973</t>
  </si>
  <si>
    <t>Orion Capital 2973</t>
  </si>
  <si>
    <t>SEC02974</t>
  </si>
  <si>
    <t>Sterling Financial 2974</t>
  </si>
  <si>
    <t>SEC02975</t>
  </si>
  <si>
    <t>Summit Group 2975</t>
  </si>
  <si>
    <t>SEC02976</t>
  </si>
  <si>
    <t>Cedar Markets 2976</t>
  </si>
  <si>
    <t>SEC02977</t>
  </si>
  <si>
    <t>Cedar Fund 2977</t>
  </si>
  <si>
    <t>SEC02978</t>
  </si>
  <si>
    <t>Sterling Technology 2978</t>
  </si>
  <si>
    <t>SEC02979</t>
  </si>
  <si>
    <t>Pioneer Energy 2979</t>
  </si>
  <si>
    <t>SEC02980</t>
  </si>
  <si>
    <t>Alpha Energy 2980</t>
  </si>
  <si>
    <t>SEC02981</t>
  </si>
  <si>
    <t>Liberty Fund 2981</t>
  </si>
  <si>
    <t>SEC02982</t>
  </si>
  <si>
    <t>Summit Industries 2982</t>
  </si>
  <si>
    <t>SEC02983</t>
  </si>
  <si>
    <t>Alpha Fund 2983</t>
  </si>
  <si>
    <t>SEC02984</t>
  </si>
  <si>
    <t>Sterling Partners 2984</t>
  </si>
  <si>
    <t>SEC02985</t>
  </si>
  <si>
    <t>Vertex Fund 2985</t>
  </si>
  <si>
    <t>SEC02986</t>
  </si>
  <si>
    <t>Pioneer Partners 2986</t>
  </si>
  <si>
    <t>SEC02987</t>
  </si>
  <si>
    <t>Summit Markets 2987</t>
  </si>
  <si>
    <t>SEC02988</t>
  </si>
  <si>
    <t>Delta Group 2988</t>
  </si>
  <si>
    <t>SEC02989</t>
  </si>
  <si>
    <t>Nova Financial 2989</t>
  </si>
  <si>
    <t>SEC02990</t>
  </si>
  <si>
    <t>Sterling Industries 2990</t>
  </si>
  <si>
    <t>SEC02991</t>
  </si>
  <si>
    <t>Vertex Capital 2991</t>
  </si>
  <si>
    <t>SEC02992</t>
  </si>
  <si>
    <t>Sterling Markets 2992</t>
  </si>
  <si>
    <t>SEC02993</t>
  </si>
  <si>
    <t>Sterling Industries 2993</t>
  </si>
  <si>
    <t>SEC02994</t>
  </si>
  <si>
    <t>Summit Financial 2994</t>
  </si>
  <si>
    <t>SEC02995</t>
  </si>
  <si>
    <t>Pioneer Holdings 2995</t>
  </si>
  <si>
    <t>SEC02996</t>
  </si>
  <si>
    <t>Atlas Fund 2996</t>
  </si>
  <si>
    <t>SEC02997</t>
  </si>
  <si>
    <t>Nova Industries 2997</t>
  </si>
  <si>
    <t>SEC02998</t>
  </si>
  <si>
    <t>Atlas Capital 2998</t>
  </si>
  <si>
    <t>SEC02999</t>
  </si>
  <si>
    <t>Pioneer Holdings 2999</t>
  </si>
  <si>
    <t>SEC03000</t>
  </si>
  <si>
    <t>Nova Capital 3000</t>
  </si>
  <si>
    <t>SEC03001</t>
  </si>
  <si>
    <t>Vertex Energy 3001</t>
  </si>
  <si>
    <t>SEC03002</t>
  </si>
  <si>
    <t>Atlas Industries 3002</t>
  </si>
  <si>
    <t>SEC03003</t>
  </si>
  <si>
    <t>Cedar Industries 3003</t>
  </si>
  <si>
    <t>SEC03004</t>
  </si>
  <si>
    <t>Nova Partners 3004</t>
  </si>
  <si>
    <t>SEC03005</t>
  </si>
  <si>
    <t>Cedar Industries 3005</t>
  </si>
  <si>
    <t>SEC03006</t>
  </si>
  <si>
    <t>Sterling Capital 3006</t>
  </si>
  <si>
    <t>SEC03007</t>
  </si>
  <si>
    <t>Orion Financial 3007</t>
  </si>
  <si>
    <t>SEC03008</t>
  </si>
  <si>
    <t>Harbor Markets 3008</t>
  </si>
  <si>
    <t>SEC03009</t>
  </si>
  <si>
    <t>Sterling Group 3009</t>
  </si>
  <si>
    <t>SEC03010</t>
  </si>
  <si>
    <t>Atlas Capital 3010</t>
  </si>
  <si>
    <t>SEC03011</t>
  </si>
  <si>
    <t>Nova Partners 3011</t>
  </si>
  <si>
    <t>SEC03012</t>
  </si>
  <si>
    <t>Delta Partners 3012</t>
  </si>
  <si>
    <t>SEC03013</t>
  </si>
  <si>
    <t>Liberty Technology 3013</t>
  </si>
  <si>
    <t>SEC03014</t>
  </si>
  <si>
    <t>Atlas Technology 3014</t>
  </si>
  <si>
    <t>SEC03015</t>
  </si>
  <si>
    <t>Vertex Markets 3015</t>
  </si>
  <si>
    <t>SEC03016</t>
  </si>
  <si>
    <t>Cedar Markets 3016</t>
  </si>
  <si>
    <t>SEC03017</t>
  </si>
  <si>
    <t>Liberty Fund 3017</t>
  </si>
  <si>
    <t>SEC03018</t>
  </si>
  <si>
    <t>Summit Group 3018</t>
  </si>
  <si>
    <t>SEC03019</t>
  </si>
  <si>
    <t>Alpha Capital 3019</t>
  </si>
  <si>
    <t>SEC03020</t>
  </si>
  <si>
    <t>Pioneer Financial 3020</t>
  </si>
  <si>
    <t>SEC03021</t>
  </si>
  <si>
    <t>Pioneer Energy 3021</t>
  </si>
  <si>
    <t>SEC03022</t>
  </si>
  <si>
    <t>Nova Technology 3022</t>
  </si>
  <si>
    <t>SEC03023</t>
  </si>
  <si>
    <t>Sterling Industries 3023</t>
  </si>
  <si>
    <t>SEC03024</t>
  </si>
  <si>
    <t>Summit Technology 3024</t>
  </si>
  <si>
    <t>SEC03025</t>
  </si>
  <si>
    <t>Liberty Partners 3025</t>
  </si>
  <si>
    <t>SEC03026</t>
  </si>
  <si>
    <t>Cedar Industries 3026</t>
  </si>
  <si>
    <t>SEC03027</t>
  </si>
  <si>
    <t>Delta Industries 3027</t>
  </si>
  <si>
    <t>SEC03028</t>
  </si>
  <si>
    <t>Delta Energy 3028</t>
  </si>
  <si>
    <t>SEC03029</t>
  </si>
  <si>
    <t>Delta Partners 3029</t>
  </si>
  <si>
    <t>SEC03030</t>
  </si>
  <si>
    <t>Cedar Markets 3030</t>
  </si>
  <si>
    <t>SEC03031</t>
  </si>
  <si>
    <t>Liberty Financial 3031</t>
  </si>
  <si>
    <t>SEC03032</t>
  </si>
  <si>
    <t>Alpha Partners 3032</t>
  </si>
  <si>
    <t>SEC03033</t>
  </si>
  <si>
    <t>Alpha Financial 3033</t>
  </si>
  <si>
    <t>SEC03034</t>
  </si>
  <si>
    <t>Vertex Markets 3034</t>
  </si>
  <si>
    <t>SEC03035</t>
  </si>
  <si>
    <t>Summit Capital 3035</t>
  </si>
  <si>
    <t>SEC03036</t>
  </si>
  <si>
    <t>Atlas Partners 3036</t>
  </si>
  <si>
    <t>SEC03037</t>
  </si>
  <si>
    <t>Summit Industries 3037</t>
  </si>
  <si>
    <t>SEC03038</t>
  </si>
  <si>
    <t>Vertex Capital 3038</t>
  </si>
  <si>
    <t>SEC03039</t>
  </si>
  <si>
    <t>Nova Energy 3039</t>
  </si>
  <si>
    <t>SEC03040</t>
  </si>
  <si>
    <t>Orion Fund 3040</t>
  </si>
  <si>
    <t>SEC03041</t>
  </si>
  <si>
    <t>Delta Group 3041</t>
  </si>
  <si>
    <t>SEC03042</t>
  </si>
  <si>
    <t>Atlas Technology 3042</t>
  </si>
  <si>
    <t>SEC03043</t>
  </si>
  <si>
    <t>Atlas Technology 3043</t>
  </si>
  <si>
    <t>SEC03044</t>
  </si>
  <si>
    <t>Nova Energy 3044</t>
  </si>
  <si>
    <t>SEC03045</t>
  </si>
  <si>
    <t>Sterling Industries 3045</t>
  </si>
  <si>
    <t>SEC03046</t>
  </si>
  <si>
    <t>Harbor Markets 3046</t>
  </si>
  <si>
    <t>SEC03047</t>
  </si>
  <si>
    <t>Alpha Markets 3047</t>
  </si>
  <si>
    <t>SEC03048</t>
  </si>
  <si>
    <t>Sterling Capital 3048</t>
  </si>
  <si>
    <t>SEC03049</t>
  </si>
  <si>
    <t>Summit Holdings 3049</t>
  </si>
  <si>
    <t>SEC03050</t>
  </si>
  <si>
    <t>Sterling Energy 3050</t>
  </si>
  <si>
    <t>SEC03051</t>
  </si>
  <si>
    <t>Summit Group 3051</t>
  </si>
  <si>
    <t>SEC03052</t>
  </si>
  <si>
    <t>Summit Capital 3052</t>
  </si>
  <si>
    <t>SEC03053</t>
  </si>
  <si>
    <t>Sterling Technology 3053</t>
  </si>
  <si>
    <t>SEC03054</t>
  </si>
  <si>
    <t>Liberty Group 3054</t>
  </si>
  <si>
    <t>SEC03055</t>
  </si>
  <si>
    <t>Liberty Markets 3055</t>
  </si>
  <si>
    <t>SEC03056</t>
  </si>
  <si>
    <t>Summit Capital 3056</t>
  </si>
  <si>
    <t>SEC03057</t>
  </si>
  <si>
    <t>Atlas Partners 3057</t>
  </si>
  <si>
    <t>SEC03058</t>
  </si>
  <si>
    <t>Sterling Energy 3058</t>
  </si>
  <si>
    <t>SEC03059</t>
  </si>
  <si>
    <t>Sterling Industries 3059</t>
  </si>
  <si>
    <t>SEC03060</t>
  </si>
  <si>
    <t>Cedar Group 3060</t>
  </si>
  <si>
    <t>SEC03061</t>
  </si>
  <si>
    <t>Alpha Group 3061</t>
  </si>
  <si>
    <t>SEC03062</t>
  </si>
  <si>
    <t>Liberty Technology 3062</t>
  </si>
  <si>
    <t>SEC03063</t>
  </si>
  <si>
    <t>Atlas Energy 3063</t>
  </si>
  <si>
    <t>SEC03064</t>
  </si>
  <si>
    <t>Liberty Fund 3064</t>
  </si>
  <si>
    <t>SEC03065</t>
  </si>
  <si>
    <t>Atlas Holdings 3065</t>
  </si>
  <si>
    <t>SEC03066</t>
  </si>
  <si>
    <t>Alpha Markets 3066</t>
  </si>
  <si>
    <t>SEC03067</t>
  </si>
  <si>
    <t>Liberty Industries 3067</t>
  </si>
  <si>
    <t>SEC03068</t>
  </si>
  <si>
    <t>Alpha Technology 3068</t>
  </si>
  <si>
    <t>SEC03069</t>
  </si>
  <si>
    <t>Pioneer Capital 3069</t>
  </si>
  <si>
    <t>SEC03070</t>
  </si>
  <si>
    <t>Vertex Markets 3070</t>
  </si>
  <si>
    <t>SEC03071</t>
  </si>
  <si>
    <t>Liberty Group 3071</t>
  </si>
  <si>
    <t>SEC03072</t>
  </si>
  <si>
    <t>Liberty Group 3072</t>
  </si>
  <si>
    <t>SEC03073</t>
  </si>
  <si>
    <t>Atlas Partners 3073</t>
  </si>
  <si>
    <t>SEC03074</t>
  </si>
  <si>
    <t>Harbor Industries 3074</t>
  </si>
  <si>
    <t>SEC03075</t>
  </si>
  <si>
    <t>Nova Partners 3075</t>
  </si>
  <si>
    <t>SEC03076</t>
  </si>
  <si>
    <t>Alpha Group 3076</t>
  </si>
  <si>
    <t>SEC03077</t>
  </si>
  <si>
    <t>Cedar Energy 3077</t>
  </si>
  <si>
    <t>SEC03078</t>
  </si>
  <si>
    <t>Delta Capital 3078</t>
  </si>
  <si>
    <t>SEC03079</t>
  </si>
  <si>
    <t>Atlas Energy 3079</t>
  </si>
  <si>
    <t>SEC03080</t>
  </si>
  <si>
    <t>Pioneer Group 3080</t>
  </si>
  <si>
    <t>SEC03081</t>
  </si>
  <si>
    <t>Sterling Capital 3081</t>
  </si>
  <si>
    <t>SEC03082</t>
  </si>
  <si>
    <t>Orion Financial 3082</t>
  </si>
  <si>
    <t>SEC03083</t>
  </si>
  <si>
    <t>Delta Financial 3083</t>
  </si>
  <si>
    <t>SEC03084</t>
  </si>
  <si>
    <t>Liberty Holdings 3084</t>
  </si>
  <si>
    <t>SEC03085</t>
  </si>
  <si>
    <t>Delta Financial 3085</t>
  </si>
  <si>
    <t>SEC03086</t>
  </si>
  <si>
    <t>Harbor Group 3086</t>
  </si>
  <si>
    <t>SEC03087</t>
  </si>
  <si>
    <t>Pioneer Partners 3087</t>
  </si>
  <si>
    <t>SEC03088</t>
  </si>
  <si>
    <t>Cedar Energy 3088</t>
  </si>
  <si>
    <t>SEC03089</t>
  </si>
  <si>
    <t>Cedar Fund 3089</t>
  </si>
  <si>
    <t>SEC03090</t>
  </si>
  <si>
    <t>Pioneer Energy 3090</t>
  </si>
  <si>
    <t>SEC03091</t>
  </si>
  <si>
    <t>Delta Markets 3091</t>
  </si>
  <si>
    <t>SEC03092</t>
  </si>
  <si>
    <t>Vertex Partners 3092</t>
  </si>
  <si>
    <t>SEC03093</t>
  </si>
  <si>
    <t>Alpha Partners 3093</t>
  </si>
  <si>
    <t>SEC03094</t>
  </si>
  <si>
    <t>Cedar Capital 3094</t>
  </si>
  <si>
    <t>SEC03095</t>
  </si>
  <si>
    <t>Cedar Holdings 3095</t>
  </si>
  <si>
    <t>SEC03096</t>
  </si>
  <si>
    <t>Sterling Energy 3096</t>
  </si>
  <si>
    <t>SEC03097</t>
  </si>
  <si>
    <t>Cedar Fund 3097</t>
  </si>
  <si>
    <t>SEC03098</t>
  </si>
  <si>
    <t>Cedar Industries 3098</t>
  </si>
  <si>
    <t>SEC03099</t>
  </si>
  <si>
    <t>Alpha Group 3099</t>
  </si>
  <si>
    <t>SEC03100</t>
  </si>
  <si>
    <t>Pioneer Holdings 3100</t>
  </si>
  <si>
    <t>SEC03101</t>
  </si>
  <si>
    <t>Alpha Markets 3101</t>
  </si>
  <si>
    <t>SEC03102</t>
  </si>
  <si>
    <t>Alpha Energy 3102</t>
  </si>
  <si>
    <t>SEC03103</t>
  </si>
  <si>
    <t>Atlas Industries 3103</t>
  </si>
  <si>
    <t>SEC03104</t>
  </si>
  <si>
    <t>Orion Industries 3104</t>
  </si>
  <si>
    <t>SEC03105</t>
  </si>
  <si>
    <t>Alpha Capital 3105</t>
  </si>
  <si>
    <t>SEC03106</t>
  </si>
  <si>
    <t>Cedar Financial 3106</t>
  </si>
  <si>
    <t>SEC03107</t>
  </si>
  <si>
    <t>Sterling Technology 3107</t>
  </si>
  <si>
    <t>SEC03108</t>
  </si>
  <si>
    <t>Nova Technology 3108</t>
  </si>
  <si>
    <t>SEC03109</t>
  </si>
  <si>
    <t>Atlas Group 3109</t>
  </si>
  <si>
    <t>SEC03110</t>
  </si>
  <si>
    <t>Vertex Capital 3110</t>
  </si>
  <si>
    <t>SEC03111</t>
  </si>
  <si>
    <t>Summit Partners 3111</t>
  </si>
  <si>
    <t>SEC03112</t>
  </si>
  <si>
    <t>Cedar Energy 3112</t>
  </si>
  <si>
    <t>SEC03113</t>
  </si>
  <si>
    <t>Nova Energy 3113</t>
  </si>
  <si>
    <t>SEC03114</t>
  </si>
  <si>
    <t>Liberty Energy 3114</t>
  </si>
  <si>
    <t>SEC03115</t>
  </si>
  <si>
    <t>Alpha Energy 3115</t>
  </si>
  <si>
    <t>SEC03116</t>
  </si>
  <si>
    <t>Atlas Energy 3116</t>
  </si>
  <si>
    <t>SEC03117</t>
  </si>
  <si>
    <t>Pioneer Markets 3117</t>
  </si>
  <si>
    <t>SEC03118</t>
  </si>
  <si>
    <t>Atlas Fund 3118</t>
  </si>
  <si>
    <t>SEC03119</t>
  </si>
  <si>
    <t>Orion Markets 3119</t>
  </si>
  <si>
    <t>SEC03120</t>
  </si>
  <si>
    <t>Atlas Technology 3120</t>
  </si>
  <si>
    <t>SEC03121</t>
  </si>
  <si>
    <t>Pioneer Energy 3121</t>
  </si>
  <si>
    <t>SEC03122</t>
  </si>
  <si>
    <t>Pioneer Financial 3122</t>
  </si>
  <si>
    <t>SEC03123</t>
  </si>
  <si>
    <t>Summit Holdings 3123</t>
  </si>
  <si>
    <t>SEC03124</t>
  </si>
  <si>
    <t>Pioneer Industries 3124</t>
  </si>
  <si>
    <t>SEC03125</t>
  </si>
  <si>
    <t>Cedar Financial 3125</t>
  </si>
  <si>
    <t>SEC03126</t>
  </si>
  <si>
    <t>Sterling Group 3126</t>
  </si>
  <si>
    <t>SEC03127</t>
  </si>
  <si>
    <t>Liberty Technology 3127</t>
  </si>
  <si>
    <t>SEC03128</t>
  </si>
  <si>
    <t>Summit Technology 3128</t>
  </si>
  <si>
    <t>SEC03129</t>
  </si>
  <si>
    <t>Harbor Industries 3129</t>
  </si>
  <si>
    <t>SEC03130</t>
  </si>
  <si>
    <t>Liberty Capital 3130</t>
  </si>
  <si>
    <t>SEC03131</t>
  </si>
  <si>
    <t>Alpha Group 3131</t>
  </si>
  <si>
    <t>SEC03132</t>
  </si>
  <si>
    <t>Alpha Partners 3132</t>
  </si>
  <si>
    <t>SEC03133</t>
  </si>
  <si>
    <t>Vertex Holdings 3133</t>
  </si>
  <si>
    <t>SEC03134</t>
  </si>
  <si>
    <t>Pioneer Energy 3134</t>
  </si>
  <si>
    <t>SEC03135</t>
  </si>
  <si>
    <t>Pioneer Industries 3135</t>
  </si>
  <si>
    <t>SEC03136</t>
  </si>
  <si>
    <t>Vertex Holdings 3136</t>
  </si>
  <si>
    <t>SEC03137</t>
  </si>
  <si>
    <t>Atlas Markets 3137</t>
  </si>
  <si>
    <t>SEC03138</t>
  </si>
  <si>
    <t>Cedar Markets 3138</t>
  </si>
  <si>
    <t>SEC03139</t>
  </si>
  <si>
    <t>Nova Technology 3139</t>
  </si>
  <si>
    <t>SEC03140</t>
  </si>
  <si>
    <t>Pioneer Group 3140</t>
  </si>
  <si>
    <t>SEC03141</t>
  </si>
  <si>
    <t>Harbor Fund 3141</t>
  </si>
  <si>
    <t>SEC03142</t>
  </si>
  <si>
    <t>Liberty Holdings 3142</t>
  </si>
  <si>
    <t>SEC03143</t>
  </si>
  <si>
    <t>Cedar Group 3143</t>
  </si>
  <si>
    <t>SEC03144</t>
  </si>
  <si>
    <t>Sterling Group 3144</t>
  </si>
  <si>
    <t>SEC03145</t>
  </si>
  <si>
    <t>Vertex Markets 3145</t>
  </si>
  <si>
    <t>SEC03146</t>
  </si>
  <si>
    <t>Delta Financial 3146</t>
  </si>
  <si>
    <t>SEC03147</t>
  </si>
  <si>
    <t>Nova Financial 3147</t>
  </si>
  <si>
    <t>SEC03148</t>
  </si>
  <si>
    <t>Harbor Group 3148</t>
  </si>
  <si>
    <t>SEC03149</t>
  </si>
  <si>
    <t>Harbor Holdings 3149</t>
  </si>
  <si>
    <t>SEC03150</t>
  </si>
  <si>
    <t>Vertex Fund 3150</t>
  </si>
  <si>
    <t>SEC03151</t>
  </si>
  <si>
    <t>Nova Financial 3151</t>
  </si>
  <si>
    <t>SEC03152</t>
  </si>
  <si>
    <t>Nova Markets 3152</t>
  </si>
  <si>
    <t>SEC03153</t>
  </si>
  <si>
    <t>Cedar Financial 3153</t>
  </si>
  <si>
    <t>SEC03154</t>
  </si>
  <si>
    <t>Sterling Industries 3154</t>
  </si>
  <si>
    <t>SEC03155</t>
  </si>
  <si>
    <t>Pioneer Technology 3155</t>
  </si>
  <si>
    <t>SEC03156</t>
  </si>
  <si>
    <t>Harbor Capital 3156</t>
  </si>
  <si>
    <t>SEC03157</t>
  </si>
  <si>
    <t>Pioneer Capital 3157</t>
  </si>
  <si>
    <t>SEC03158</t>
  </si>
  <si>
    <t>Pioneer Financial 3158</t>
  </si>
  <si>
    <t>SEC03159</t>
  </si>
  <si>
    <t>Sterling Holdings 3159</t>
  </si>
  <si>
    <t>SEC03160</t>
  </si>
  <si>
    <t>Cedar Energy 3160</t>
  </si>
  <si>
    <t>SEC03161</t>
  </si>
  <si>
    <t>Harbor Markets 3161</t>
  </si>
  <si>
    <t>SEC03162</t>
  </si>
  <si>
    <t>Liberty Fund 3162</t>
  </si>
  <si>
    <t>SEC03163</t>
  </si>
  <si>
    <t>Cedar Partners 3163</t>
  </si>
  <si>
    <t>SEC03164</t>
  </si>
  <si>
    <t>Vertex Holdings 3164</t>
  </si>
  <si>
    <t>SEC03165</t>
  </si>
  <si>
    <t>Cedar Group 3165</t>
  </si>
  <si>
    <t>SEC03166</t>
  </si>
  <si>
    <t>Atlas Partners 3166</t>
  </si>
  <si>
    <t>SEC03167</t>
  </si>
  <si>
    <t>Summit Technology 3167</t>
  </si>
  <si>
    <t>SEC03168</t>
  </si>
  <si>
    <t>Sterling Industries 3168</t>
  </si>
  <si>
    <t>SEC03169</t>
  </si>
  <si>
    <t>Atlas Industries 3169</t>
  </si>
  <si>
    <t>SEC03170</t>
  </si>
  <si>
    <t>Harbor Capital 3170</t>
  </si>
  <si>
    <t>SEC03171</t>
  </si>
  <si>
    <t>Vertex Markets 3171</t>
  </si>
  <si>
    <t>SEC03172</t>
  </si>
  <si>
    <t>Alpha Capital 3172</t>
  </si>
  <si>
    <t>SEC03173</t>
  </si>
  <si>
    <t>Liberty Energy 3173</t>
  </si>
  <si>
    <t>SEC03174</t>
  </si>
  <si>
    <t>Delta Technology 3174</t>
  </si>
  <si>
    <t>SEC03175</t>
  </si>
  <si>
    <t>Alpha Technology 3175</t>
  </si>
  <si>
    <t>SEC03176</t>
  </si>
  <si>
    <t>Vertex Fund 3176</t>
  </si>
  <si>
    <t>SEC03177</t>
  </si>
  <si>
    <t>Sterling Holdings 3177</t>
  </si>
  <si>
    <t>SEC03178</t>
  </si>
  <si>
    <t>Nova Industries 3178</t>
  </si>
  <si>
    <t>SEC03179</t>
  </si>
  <si>
    <t>Pioneer Technology 3179</t>
  </si>
  <si>
    <t>SEC03180</t>
  </si>
  <si>
    <t>Summit Markets 3180</t>
  </si>
  <si>
    <t>SEC03181</t>
  </si>
  <si>
    <t>Delta Group 3181</t>
  </si>
  <si>
    <t>SEC03182</t>
  </si>
  <si>
    <t>Atlas Technology 3182</t>
  </si>
  <si>
    <t>SEC03183</t>
  </si>
  <si>
    <t>Atlas Partners 3183</t>
  </si>
  <si>
    <t>SEC03184</t>
  </si>
  <si>
    <t>Pioneer Capital 3184</t>
  </si>
  <si>
    <t>SEC03185</t>
  </si>
  <si>
    <t>Alpha Partners 3185</t>
  </si>
  <si>
    <t>SEC03186</t>
  </si>
  <si>
    <t>Cedar Markets 3186</t>
  </si>
  <si>
    <t>SEC03187</t>
  </si>
  <si>
    <t>Alpha Markets 3187</t>
  </si>
  <si>
    <t>SEC03188</t>
  </si>
  <si>
    <t>Delta Capital 3188</t>
  </si>
  <si>
    <t>SEC03189</t>
  </si>
  <si>
    <t>Vertex Fund 3189</t>
  </si>
  <si>
    <t>SEC03190</t>
  </si>
  <si>
    <t>Vertex Group 3190</t>
  </si>
  <si>
    <t>SEC03191</t>
  </si>
  <si>
    <t>Liberty Industries 3191</t>
  </si>
  <si>
    <t>SEC03192</t>
  </si>
  <si>
    <t>Vertex Technology 3192</t>
  </si>
  <si>
    <t>SEC03193</t>
  </si>
  <si>
    <t>Sterling Fund 3193</t>
  </si>
  <si>
    <t>SEC03194</t>
  </si>
  <si>
    <t>Harbor Markets 3194</t>
  </si>
  <si>
    <t>SEC03195</t>
  </si>
  <si>
    <t>Orion Fund 3195</t>
  </si>
  <si>
    <t>SEC03196</t>
  </si>
  <si>
    <t>Delta Energy 3196</t>
  </si>
  <si>
    <t>SEC03197</t>
  </si>
  <si>
    <t>Orion Group 3197</t>
  </si>
  <si>
    <t>SEC03198</t>
  </si>
  <si>
    <t>Cedar Markets 3198</t>
  </si>
  <si>
    <t>SEC03199</t>
  </si>
  <si>
    <t>Delta Partners 3199</t>
  </si>
  <si>
    <t>SEC03200</t>
  </si>
  <si>
    <t>Alpha Fund 3200</t>
  </si>
  <si>
    <t>SEC03201</t>
  </si>
  <si>
    <t>Cedar Technology 3201</t>
  </si>
  <si>
    <t>SEC03202</t>
  </si>
  <si>
    <t>Nova Financial 3202</t>
  </si>
  <si>
    <t>SEC03203</t>
  </si>
  <si>
    <t>Delta Technology 3203</t>
  </si>
  <si>
    <t>SEC03204</t>
  </si>
  <si>
    <t>Nova Industries 3204</t>
  </si>
  <si>
    <t>SEC03205</t>
  </si>
  <si>
    <t>Liberty Partners 3205</t>
  </si>
  <si>
    <t>SEC03206</t>
  </si>
  <si>
    <t>Delta Energy 3206</t>
  </si>
  <si>
    <t>SEC03207</t>
  </si>
  <si>
    <t>Nova Partners 3207</t>
  </si>
  <si>
    <t>SEC03208</t>
  </si>
  <si>
    <t>Atlas Group 3208</t>
  </si>
  <si>
    <t>SEC03209</t>
  </si>
  <si>
    <t>Delta Capital 3209</t>
  </si>
  <si>
    <t>SEC03210</t>
  </si>
  <si>
    <t>Harbor Markets 3210</t>
  </si>
  <si>
    <t>SEC03211</t>
  </si>
  <si>
    <t>Nova Industries 3211</t>
  </si>
  <si>
    <t>SEC03212</t>
  </si>
  <si>
    <t>Alpha Technology 3212</t>
  </si>
  <si>
    <t>SEC03213</t>
  </si>
  <si>
    <t>Summit Energy 3213</t>
  </si>
  <si>
    <t>SEC03214</t>
  </si>
  <si>
    <t>Liberty Energy 3214</t>
  </si>
  <si>
    <t>SEC03215</t>
  </si>
  <si>
    <t>Liberty Group 3215</t>
  </si>
  <si>
    <t>SEC03216</t>
  </si>
  <si>
    <t>Liberty Financial 3216</t>
  </si>
  <si>
    <t>SEC03217</t>
  </si>
  <si>
    <t>Pioneer Holdings 3217</t>
  </si>
  <si>
    <t>SEC03218</t>
  </si>
  <si>
    <t>Harbor Capital 3218</t>
  </si>
  <si>
    <t>SEC03219</t>
  </si>
  <si>
    <t>Sterling Holdings 3219</t>
  </si>
  <si>
    <t>SEC03220</t>
  </si>
  <si>
    <t>Atlas Energy 3220</t>
  </si>
  <si>
    <t>SEC03221</t>
  </si>
  <si>
    <t>Alpha Energy 3221</t>
  </si>
  <si>
    <t>SEC03222</t>
  </si>
  <si>
    <t>Atlas Financial 3222</t>
  </si>
  <si>
    <t>SEC03223</t>
  </si>
  <si>
    <t>Atlas Industries 3223</t>
  </si>
  <si>
    <t>SEC03224</t>
  </si>
  <si>
    <t>Orion Industries 3224</t>
  </si>
  <si>
    <t>SEC03225</t>
  </si>
  <si>
    <t>Nova Markets 3225</t>
  </si>
  <si>
    <t>SEC03226</t>
  </si>
  <si>
    <t>Alpha Energy 3226</t>
  </si>
  <si>
    <t>SEC03227</t>
  </si>
  <si>
    <t>Sterling Holdings 3227</t>
  </si>
  <si>
    <t>SEC03228</t>
  </si>
  <si>
    <t>Summit Capital 3228</t>
  </si>
  <si>
    <t>SEC03229</t>
  </si>
  <si>
    <t>Vertex Fund 3229</t>
  </si>
  <si>
    <t>SEC03230</t>
  </si>
  <si>
    <t>Alpha Partners 3230</t>
  </si>
  <si>
    <t>SEC03231</t>
  </si>
  <si>
    <t>Orion Technology 3231</t>
  </si>
  <si>
    <t>SEC03232</t>
  </si>
  <si>
    <t>Summit Fund 3232</t>
  </si>
  <si>
    <t>SEC03233</t>
  </si>
  <si>
    <t>Summit Energy 3233</t>
  </si>
  <si>
    <t>SEC03234</t>
  </si>
  <si>
    <t>Cedar Holdings 3234</t>
  </si>
  <si>
    <t>SEC03235</t>
  </si>
  <si>
    <t>Alpha Partners 3235</t>
  </si>
  <si>
    <t>SEC03236</t>
  </si>
  <si>
    <t>Pioneer Financial 3236</t>
  </si>
  <si>
    <t>SEC03237</t>
  </si>
  <si>
    <t>Summit Industries 3237</t>
  </si>
  <si>
    <t>SEC03238</t>
  </si>
  <si>
    <t>Nova Partners 3238</t>
  </si>
  <si>
    <t>SEC03239</t>
  </si>
  <si>
    <t>Pioneer Holdings 3239</t>
  </si>
  <si>
    <t>SEC03240</t>
  </si>
  <si>
    <t>Pioneer Partners 3240</t>
  </si>
  <si>
    <t>SEC03241</t>
  </si>
  <si>
    <t>Atlas Capital 3241</t>
  </si>
  <si>
    <t>SEC03242</t>
  </si>
  <si>
    <t>Alpha Markets 3242</t>
  </si>
  <si>
    <t>SEC03243</t>
  </si>
  <si>
    <t>Vertex Technology 3243</t>
  </si>
  <si>
    <t>SEC03244</t>
  </si>
  <si>
    <t>Atlas Energy 3244</t>
  </si>
  <si>
    <t>SEC03245</t>
  </si>
  <si>
    <t>Liberty Partners 3245</t>
  </si>
  <si>
    <t>SEC03246</t>
  </si>
  <si>
    <t>Summit Group 3246</t>
  </si>
  <si>
    <t>SEC03247</t>
  </si>
  <si>
    <t>Vertex Capital 3247</t>
  </si>
  <si>
    <t>SEC03248</t>
  </si>
  <si>
    <t>Liberty Capital 3248</t>
  </si>
  <si>
    <t>SEC03249</t>
  </si>
  <si>
    <t>Orion Energy 3249</t>
  </si>
  <si>
    <t>SEC03250</t>
  </si>
  <si>
    <t>Alpha Group 3250</t>
  </si>
  <si>
    <t>SEC03251</t>
  </si>
  <si>
    <t>Sterling Fund 3251</t>
  </si>
  <si>
    <t>SEC03252</t>
  </si>
  <si>
    <t>Alpha Capital 3252</t>
  </si>
  <si>
    <t>SEC03253</t>
  </si>
  <si>
    <t>Atlas Fund 3253</t>
  </si>
  <si>
    <t>SEC03254</t>
  </si>
  <si>
    <t>Sterling Technology 3254</t>
  </si>
  <si>
    <t>SEC03255</t>
  </si>
  <si>
    <t>Alpha Industries 3255</t>
  </si>
  <si>
    <t>SEC03256</t>
  </si>
  <si>
    <t>Cedar Markets 3256</t>
  </si>
  <si>
    <t>SEC03257</t>
  </si>
  <si>
    <t>Nova Group 3257</t>
  </si>
  <si>
    <t>SEC03258</t>
  </si>
  <si>
    <t>Sterling Holdings 3258</t>
  </si>
  <si>
    <t>SEC03259</t>
  </si>
  <si>
    <t>Nova Partners 3259</t>
  </si>
  <si>
    <t>SEC03260</t>
  </si>
  <si>
    <t>Nova Capital 3260</t>
  </si>
  <si>
    <t>SEC03261</t>
  </si>
  <si>
    <t>Harbor Fund 3261</t>
  </si>
  <si>
    <t>SEC03262</t>
  </si>
  <si>
    <t>Summit Financial 3262</t>
  </si>
  <si>
    <t>SEC03263</t>
  </si>
  <si>
    <t>Alpha Markets 3263</t>
  </si>
  <si>
    <t>SEC03264</t>
  </si>
  <si>
    <t>Atlas Group 3264</t>
  </si>
  <si>
    <t>SEC03265</t>
  </si>
  <si>
    <t>Alpha Markets 3265</t>
  </si>
  <si>
    <t>SEC03266</t>
  </si>
  <si>
    <t>Orion Markets 3266</t>
  </si>
  <si>
    <t>SEC03267</t>
  </si>
  <si>
    <t>Nova Holdings 3267</t>
  </si>
  <si>
    <t>SEC03268</t>
  </si>
  <si>
    <t>Delta Energy 3268</t>
  </si>
  <si>
    <t>SEC03269</t>
  </si>
  <si>
    <t>Summit Fund 3269</t>
  </si>
  <si>
    <t>SEC03270</t>
  </si>
  <si>
    <t>Liberty Industries 3270</t>
  </si>
  <si>
    <t>SEC03271</t>
  </si>
  <si>
    <t>Cedar Capital 3271</t>
  </si>
  <si>
    <t>SEC03272</t>
  </si>
  <si>
    <t>Cedar Markets 3272</t>
  </si>
  <si>
    <t>SEC03273</t>
  </si>
  <si>
    <t>Cedar Energy 3273</t>
  </si>
  <si>
    <t>SEC03274</t>
  </si>
  <si>
    <t>Nova Technology 3274</t>
  </si>
  <si>
    <t>SEC03275</t>
  </si>
  <si>
    <t>Atlas Financial 3275</t>
  </si>
  <si>
    <t>SEC03276</t>
  </si>
  <si>
    <t>Sterling Industries 3276</t>
  </si>
  <si>
    <t>SEC03277</t>
  </si>
  <si>
    <t>Liberty Holdings 3277</t>
  </si>
  <si>
    <t>SEC03278</t>
  </si>
  <si>
    <t>Nova Markets 3278</t>
  </si>
  <si>
    <t>SEC03279</t>
  </si>
  <si>
    <t>Delta Markets 3279</t>
  </si>
  <si>
    <t>SEC03280</t>
  </si>
  <si>
    <t>Vertex Markets 3280</t>
  </si>
  <si>
    <t>SEC03281</t>
  </si>
  <si>
    <t>Nova Fund 3281</t>
  </si>
  <si>
    <t>SEC03282</t>
  </si>
  <si>
    <t>Cedar Industries 3282</t>
  </si>
  <si>
    <t>SEC03283</t>
  </si>
  <si>
    <t>Harbor Capital 3283</t>
  </si>
  <si>
    <t>SEC03284</t>
  </si>
  <si>
    <t>Cedar Industries 3284</t>
  </si>
  <si>
    <t>SEC03285</t>
  </si>
  <si>
    <t>Alpha Fund 3285</t>
  </si>
  <si>
    <t>SEC03286</t>
  </si>
  <si>
    <t>Nova Partners 3286</t>
  </si>
  <si>
    <t>SEC03287</t>
  </si>
  <si>
    <t>Orion Capital 3287</t>
  </si>
  <si>
    <t>SEC03288</t>
  </si>
  <si>
    <t>Alpha Technology 3288</t>
  </si>
  <si>
    <t>SEC03289</t>
  </si>
  <si>
    <t>Delta Technology 3289</t>
  </si>
  <si>
    <t>SEC03290</t>
  </si>
  <si>
    <t>Nova Energy 3290</t>
  </si>
  <si>
    <t>SEC03291</t>
  </si>
  <si>
    <t>Delta Capital 3291</t>
  </si>
  <si>
    <t>SEC03292</t>
  </si>
  <si>
    <t>Atlas Technology 3292</t>
  </si>
  <si>
    <t>SEC03293</t>
  </si>
  <si>
    <t>Summit Financial 3293</t>
  </si>
  <si>
    <t>SEC03294</t>
  </si>
  <si>
    <t>Sterling Holdings 3294</t>
  </si>
  <si>
    <t>SEC03295</t>
  </si>
  <si>
    <t>Summit Group 3295</t>
  </si>
  <si>
    <t>SEC03296</t>
  </si>
  <si>
    <t>Orion Industries 3296</t>
  </si>
  <si>
    <t>SEC03297</t>
  </si>
  <si>
    <t>Sterling Energy 3297</t>
  </si>
  <si>
    <t>SEC03298</t>
  </si>
  <si>
    <t>Liberty Holdings 3298</t>
  </si>
  <si>
    <t>SEC03299</t>
  </si>
  <si>
    <t>Delta Technology 3299</t>
  </si>
  <si>
    <t>SEC03300</t>
  </si>
  <si>
    <t>Sterling Fund 3300</t>
  </si>
  <si>
    <t>SEC03301</t>
  </si>
  <si>
    <t>Cedar Energy 3301</t>
  </si>
  <si>
    <t>SEC03302</t>
  </si>
  <si>
    <t>Orion Technology 3302</t>
  </si>
  <si>
    <t>SEC03303</t>
  </si>
  <si>
    <t>Delta Financial 3303</t>
  </si>
  <si>
    <t>SEC03304</t>
  </si>
  <si>
    <t>Atlas Technology 3304</t>
  </si>
  <si>
    <t>SEC03305</t>
  </si>
  <si>
    <t>Pioneer Holdings 3305</t>
  </si>
  <si>
    <t>SEC03306</t>
  </si>
  <si>
    <t>Sterling Fund 3306</t>
  </si>
  <si>
    <t>SEC03307</t>
  </si>
  <si>
    <t>Cedar Technology 3307</t>
  </si>
  <si>
    <t>SEC03308</t>
  </si>
  <si>
    <t>Liberty Holdings 3308</t>
  </si>
  <si>
    <t>SEC03309</t>
  </si>
  <si>
    <t>Atlas Fund 3309</t>
  </si>
  <si>
    <t>SEC03310</t>
  </si>
  <si>
    <t>Vertex Technology 3310</t>
  </si>
  <si>
    <t>SEC03311</t>
  </si>
  <si>
    <t>Atlas Capital 3311</t>
  </si>
  <si>
    <t>SEC03312</t>
  </si>
  <si>
    <t>Atlas Financial 3312</t>
  </si>
  <si>
    <t>SEC03313</t>
  </si>
  <si>
    <t>Nova Energy 3313</t>
  </si>
  <si>
    <t>SEC03314</t>
  </si>
  <si>
    <t>Alpha Capital 3314</t>
  </si>
  <si>
    <t>SEC03315</t>
  </si>
  <si>
    <t>Delta Industries 3315</t>
  </si>
  <si>
    <t>SEC03316</t>
  </si>
  <si>
    <t>Harbor Financial 3316</t>
  </si>
  <si>
    <t>SEC03317</t>
  </si>
  <si>
    <t>Atlas Energy 3317</t>
  </si>
  <si>
    <t>SEC03318</t>
  </si>
  <si>
    <t>Summit Technology 3318</t>
  </si>
  <si>
    <t>SEC03319</t>
  </si>
  <si>
    <t>Alpha Energy 3319</t>
  </si>
  <si>
    <t>SEC03320</t>
  </si>
  <si>
    <t>Pioneer Industries 3320</t>
  </si>
  <si>
    <t>SEC03321</t>
  </si>
  <si>
    <t>Harbor Markets 3321</t>
  </si>
  <si>
    <t>SEC03322</t>
  </si>
  <si>
    <t>Atlas Industries 3322</t>
  </si>
  <si>
    <t>SEC03323</t>
  </si>
  <si>
    <t>Nova Partners 3323</t>
  </si>
  <si>
    <t>SEC03324</t>
  </si>
  <si>
    <t>Orion Group 3324</t>
  </si>
  <si>
    <t>SEC03325</t>
  </si>
  <si>
    <t>Orion Group 3325</t>
  </si>
  <si>
    <t>SEC03326</t>
  </si>
  <si>
    <t>Harbor Industries 3326</t>
  </si>
  <si>
    <t>SEC03327</t>
  </si>
  <si>
    <t>Liberty Markets 3327</t>
  </si>
  <si>
    <t>SEC03328</t>
  </si>
  <si>
    <t>Harbor Partners 3328</t>
  </si>
  <si>
    <t>SEC03329</t>
  </si>
  <si>
    <t>Alpha Energy 3329</t>
  </si>
  <si>
    <t>SEC03330</t>
  </si>
  <si>
    <t>Liberty Group 3330</t>
  </si>
  <si>
    <t>SEC03331</t>
  </si>
  <si>
    <t>Harbor Fund 3331</t>
  </si>
  <si>
    <t>SEC03332</t>
  </si>
  <si>
    <t>Orion Energy 3332</t>
  </si>
  <si>
    <t>SEC03333</t>
  </si>
  <si>
    <t>Nova Group 3333</t>
  </si>
  <si>
    <t>SEC03334</t>
  </si>
  <si>
    <t>Pioneer Markets 3334</t>
  </si>
  <si>
    <t>SEC03335</t>
  </si>
  <si>
    <t>Summit Holdings 3335</t>
  </si>
  <si>
    <t>SEC03336</t>
  </si>
  <si>
    <t>Alpha Financial 3336</t>
  </si>
  <si>
    <t>SEC03337</t>
  </si>
  <si>
    <t>Summit Fund 3337</t>
  </si>
  <si>
    <t>SEC03338</t>
  </si>
  <si>
    <t>Vertex Capital 3338</t>
  </si>
  <si>
    <t>SEC03339</t>
  </si>
  <si>
    <t>Alpha Fund 3339</t>
  </si>
  <si>
    <t>SEC03340</t>
  </si>
  <si>
    <t>Orion Financial 3340</t>
  </si>
  <si>
    <t>SEC03341</t>
  </si>
  <si>
    <t>Atlas Industries 3341</t>
  </si>
  <si>
    <t>SEC03342</t>
  </si>
  <si>
    <t>Summit Industries 3342</t>
  </si>
  <si>
    <t>SEC03343</t>
  </si>
  <si>
    <t>Liberty Holdings 3343</t>
  </si>
  <si>
    <t>SEC03344</t>
  </si>
  <si>
    <t>Nova Capital 3344</t>
  </si>
  <si>
    <t>SEC03345</t>
  </si>
  <si>
    <t>Sterling Capital 3345</t>
  </si>
  <si>
    <t>SEC03346</t>
  </si>
  <si>
    <t>Alpha Holdings 3346</t>
  </si>
  <si>
    <t>SEC03347</t>
  </si>
  <si>
    <t>Atlas Capital 3347</t>
  </si>
  <si>
    <t>SEC03348</t>
  </si>
  <si>
    <t>Summit Group 3348</t>
  </si>
  <si>
    <t>SEC03349</t>
  </si>
  <si>
    <t>Summit Partners 3349</t>
  </si>
  <si>
    <t>SEC03350</t>
  </si>
  <si>
    <t>Liberty Fund 3350</t>
  </si>
  <si>
    <t>SEC03351</t>
  </si>
  <si>
    <t>Harbor Industries 3351</t>
  </si>
  <si>
    <t>SEC03352</t>
  </si>
  <si>
    <t>Sterling Industries 3352</t>
  </si>
  <si>
    <t>SEC03353</t>
  </si>
  <si>
    <t>Summit Industries 3353</t>
  </si>
  <si>
    <t>SEC03354</t>
  </si>
  <si>
    <t>Sterling Technology 3354</t>
  </si>
  <si>
    <t>SEC03355</t>
  </si>
  <si>
    <t>Pioneer Holdings 3355</t>
  </si>
  <si>
    <t>SEC03356</t>
  </si>
  <si>
    <t>Summit Technology 3356</t>
  </si>
  <si>
    <t>SEC03357</t>
  </si>
  <si>
    <t>Atlas Technology 3357</t>
  </si>
  <si>
    <t>SEC03358</t>
  </si>
  <si>
    <t>Nova Partners 3358</t>
  </si>
  <si>
    <t>SEC03359</t>
  </si>
  <si>
    <t>Pioneer Technology 3359</t>
  </si>
  <si>
    <t>SEC03360</t>
  </si>
  <si>
    <t>Alpha Fund 3360</t>
  </si>
  <si>
    <t>SEC03361</t>
  </si>
  <si>
    <t>Sterling Partners 3361</t>
  </si>
  <si>
    <t>SEC03362</t>
  </si>
  <si>
    <t>Atlas Holdings 3362</t>
  </si>
  <si>
    <t>SEC03363</t>
  </si>
  <si>
    <t>Pioneer Financial 3363</t>
  </si>
  <si>
    <t>SEC03364</t>
  </si>
  <si>
    <t>Nova Fund 3364</t>
  </si>
  <si>
    <t>SEC03365</t>
  </si>
  <si>
    <t>Pioneer Industries 3365</t>
  </si>
  <si>
    <t>SEC03366</t>
  </si>
  <si>
    <t>Vertex Holdings 3366</t>
  </si>
  <si>
    <t>SEC03367</t>
  </si>
  <si>
    <t>Atlas Partners 3367</t>
  </si>
  <si>
    <t>SEC03368</t>
  </si>
  <si>
    <t>Atlas Holdings 3368</t>
  </si>
  <si>
    <t>SEC03369</t>
  </si>
  <si>
    <t>Liberty Capital 3369</t>
  </si>
  <si>
    <t>SEC03370</t>
  </si>
  <si>
    <t>Atlas Fund 3370</t>
  </si>
  <si>
    <t>SEC03371</t>
  </si>
  <si>
    <t>Pioneer Industries 3371</t>
  </si>
  <si>
    <t>SEC03372</t>
  </si>
  <si>
    <t>Sterling Markets 3372</t>
  </si>
  <si>
    <t>SEC03373</t>
  </si>
  <si>
    <t>Harbor Technology 3373</t>
  </si>
  <si>
    <t>SEC03374</t>
  </si>
  <si>
    <t>Summit Group 3374</t>
  </si>
  <si>
    <t>SEC03375</t>
  </si>
  <si>
    <t>Summit Financial 3375</t>
  </si>
  <si>
    <t>SEC03376</t>
  </si>
  <si>
    <t>Liberty Partners 3376</t>
  </si>
  <si>
    <t>SEC03377</t>
  </si>
  <si>
    <t>Pioneer Capital 3377</t>
  </si>
  <si>
    <t>SEC03378</t>
  </si>
  <si>
    <t>Pioneer Capital 3378</t>
  </si>
  <si>
    <t>SEC03379</t>
  </si>
  <si>
    <t>Delta Group 3379</t>
  </si>
  <si>
    <t>SEC03380</t>
  </si>
  <si>
    <t>Vertex Industries 3380</t>
  </si>
  <si>
    <t>SEC03381</t>
  </si>
  <si>
    <t>Sterling Capital 3381</t>
  </si>
  <si>
    <t>SEC03382</t>
  </si>
  <si>
    <t>Atlas Capital 3382</t>
  </si>
  <si>
    <t>SEC03383</t>
  </si>
  <si>
    <t>Delta Group 3383</t>
  </si>
  <si>
    <t>SEC03384</t>
  </si>
  <si>
    <t>Orion Industries 3384</t>
  </si>
  <si>
    <t>SEC03385</t>
  </si>
  <si>
    <t>Alpha Financial 3385</t>
  </si>
  <si>
    <t>SEC03386</t>
  </si>
  <si>
    <t>Vertex Technology 3386</t>
  </si>
  <si>
    <t>SEC03387</t>
  </si>
  <si>
    <t>Alpha Financial 3387</t>
  </si>
  <si>
    <t>SEC03388</t>
  </si>
  <si>
    <t>Summit Energy 3388</t>
  </si>
  <si>
    <t>SEC03389</t>
  </si>
  <si>
    <t>Alpha Group 3389</t>
  </si>
  <si>
    <t>SEC03390</t>
  </si>
  <si>
    <t>Summit Group 3390</t>
  </si>
  <si>
    <t>SEC03391</t>
  </si>
  <si>
    <t>Liberty Partners 3391</t>
  </si>
  <si>
    <t>SEC03392</t>
  </si>
  <si>
    <t>Cedar Energy 3392</t>
  </si>
  <si>
    <t>SEC03393</t>
  </si>
  <si>
    <t>Vertex Industries 3393</t>
  </si>
  <si>
    <t>SEC03394</t>
  </si>
  <si>
    <t>Delta Partners 3394</t>
  </si>
  <si>
    <t>SEC03395</t>
  </si>
  <si>
    <t>Pioneer Technology 3395</t>
  </si>
  <si>
    <t>SEC03396</t>
  </si>
  <si>
    <t>Alpha Group 3396</t>
  </si>
  <si>
    <t>SEC03397</t>
  </si>
  <si>
    <t>Sterling Holdings 3397</t>
  </si>
  <si>
    <t>SEC03398</t>
  </si>
  <si>
    <t>Cedar Capital 3398</t>
  </si>
  <si>
    <t>SEC03399</t>
  </si>
  <si>
    <t>Delta Partners 3399</t>
  </si>
  <si>
    <t>SEC03400</t>
  </si>
  <si>
    <t>Atlas Energy 3400</t>
  </si>
  <si>
    <t>SEC03401</t>
  </si>
  <si>
    <t>Summit Financial 3401</t>
  </si>
  <si>
    <t>SEC03402</t>
  </si>
  <si>
    <t>Harbor Holdings 3402</t>
  </si>
  <si>
    <t>SEC03403</t>
  </si>
  <si>
    <t>Liberty Financial 3403</t>
  </si>
  <si>
    <t>SEC03404</t>
  </si>
  <si>
    <t>Liberty Group 3404</t>
  </si>
  <si>
    <t>SEC03405</t>
  </si>
  <si>
    <t>Cedar Holdings 3405</t>
  </si>
  <si>
    <t>SEC03406</t>
  </si>
  <si>
    <t>Alpha Industries 3406</t>
  </si>
  <si>
    <t>SEC03407</t>
  </si>
  <si>
    <t>Atlas Group 3407</t>
  </si>
  <si>
    <t>SEC03408</t>
  </si>
  <si>
    <t>Harbor Partners 3408</t>
  </si>
  <si>
    <t>SEC03409</t>
  </si>
  <si>
    <t>Summit Energy 3409</t>
  </si>
  <si>
    <t>SEC03410</t>
  </si>
  <si>
    <t>Sterling Capital 3410</t>
  </si>
  <si>
    <t>SEC03411</t>
  </si>
  <si>
    <t>Alpha Industries 3411</t>
  </si>
  <si>
    <t>SEC03412</t>
  </si>
  <si>
    <t>Sterling Capital 3412</t>
  </si>
  <si>
    <t>SEC03413</t>
  </si>
  <si>
    <t>Summit Holdings 3413</t>
  </si>
  <si>
    <t>SEC03414</t>
  </si>
  <si>
    <t>Summit Partners 3414</t>
  </si>
  <si>
    <t>SEC03415</t>
  </si>
  <si>
    <t>Orion Holdings 3415</t>
  </si>
  <si>
    <t>SEC03416</t>
  </si>
  <si>
    <t>Alpha Holdings 3416</t>
  </si>
  <si>
    <t>SEC03417</t>
  </si>
  <si>
    <t>Nova Capital 3417</t>
  </si>
  <si>
    <t>SEC03418</t>
  </si>
  <si>
    <t>Atlas Technology 3418</t>
  </si>
  <si>
    <t>SEC03419</t>
  </si>
  <si>
    <t>Delta Fund 3419</t>
  </si>
  <si>
    <t>SEC03420</t>
  </si>
  <si>
    <t>Summit Fund 3420</t>
  </si>
  <si>
    <t>SEC03421</t>
  </si>
  <si>
    <t>Harbor Partners 3421</t>
  </si>
  <si>
    <t>SEC03422</t>
  </si>
  <si>
    <t>Cedar Partners 3422</t>
  </si>
  <si>
    <t>SEC03423</t>
  </si>
  <si>
    <t>Nova Markets 3423</t>
  </si>
  <si>
    <t>SEC03424</t>
  </si>
  <si>
    <t>Nova Partners 3424</t>
  </si>
  <si>
    <t>SEC03425</t>
  </si>
  <si>
    <t>Summit Markets 3425</t>
  </si>
  <si>
    <t>SEC03426</t>
  </si>
  <si>
    <t>Vertex Energy 3426</t>
  </si>
  <si>
    <t>SEC03427</t>
  </si>
  <si>
    <t>Atlas Group 3427</t>
  </si>
  <si>
    <t>SEC03428</t>
  </si>
  <si>
    <t>Alpha Capital 3428</t>
  </si>
  <si>
    <t>SEC03429</t>
  </si>
  <si>
    <t>Harbor Capital 3429</t>
  </si>
  <si>
    <t>SEC03430</t>
  </si>
  <si>
    <t>Liberty Energy 3430</t>
  </si>
  <si>
    <t>SEC03431</t>
  </si>
  <si>
    <t>Vertex Financial 3431</t>
  </si>
  <si>
    <t>SEC03432</t>
  </si>
  <si>
    <t>Atlas Financial 3432</t>
  </si>
  <si>
    <t>SEC03433</t>
  </si>
  <si>
    <t>Harbor Technology 3433</t>
  </si>
  <si>
    <t>SEC03434</t>
  </si>
  <si>
    <t>Vertex Group 3434</t>
  </si>
  <si>
    <t>SEC03435</t>
  </si>
  <si>
    <t>Nova Industries 3435</t>
  </si>
  <si>
    <t>SEC03436</t>
  </si>
  <si>
    <t>Orion Holdings 3436</t>
  </si>
  <si>
    <t>SEC03437</t>
  </si>
  <si>
    <t>Atlas Fund 3437</t>
  </si>
  <si>
    <t>SEC03438</t>
  </si>
  <si>
    <t>Orion Group 3438</t>
  </si>
  <si>
    <t>SEC03439</t>
  </si>
  <si>
    <t>Delta Group 3439</t>
  </si>
  <si>
    <t>SEC03440</t>
  </si>
  <si>
    <t>Orion Industries 3440</t>
  </si>
  <si>
    <t>SEC03441</t>
  </si>
  <si>
    <t>Nova Industries 3441</t>
  </si>
  <si>
    <t>SEC03442</t>
  </si>
  <si>
    <t>Vertex Capital 3442</t>
  </si>
  <si>
    <t>SEC03443</t>
  </si>
  <si>
    <t>Sterling Industries 3443</t>
  </si>
  <si>
    <t>SEC03444</t>
  </si>
  <si>
    <t>Pioneer Financial 3444</t>
  </si>
  <si>
    <t>SEC03445</t>
  </si>
  <si>
    <t>Delta Energy 3445</t>
  </si>
  <si>
    <t>SEC03446</t>
  </si>
  <si>
    <t>Summit Technology 3446</t>
  </si>
  <si>
    <t>SEC03447</t>
  </si>
  <si>
    <t>Sterling Technology 3447</t>
  </si>
  <si>
    <t>SEC03448</t>
  </si>
  <si>
    <t>Orion Capital 3448</t>
  </si>
  <si>
    <t>SEC03449</t>
  </si>
  <si>
    <t>Vertex Financial 3449</t>
  </si>
  <si>
    <t>SEC03450</t>
  </si>
  <si>
    <t>Alpha Financial 3450</t>
  </si>
  <si>
    <t>SEC03451</t>
  </si>
  <si>
    <t>Summit Financial 3451</t>
  </si>
  <si>
    <t>SEC03452</t>
  </si>
  <si>
    <t>Cedar Financial 3452</t>
  </si>
  <si>
    <t>SEC03453</t>
  </si>
  <si>
    <t>Orion Group 3453</t>
  </si>
  <si>
    <t>SEC03454</t>
  </si>
  <si>
    <t>Atlas Financial 3454</t>
  </si>
  <si>
    <t>SEC03455</t>
  </si>
  <si>
    <t>Nova Group 3455</t>
  </si>
  <si>
    <t>SEC03456</t>
  </si>
  <si>
    <t>Delta Industries 3456</t>
  </si>
  <si>
    <t>SEC03457</t>
  </si>
  <si>
    <t>Vertex Group 3457</t>
  </si>
  <si>
    <t>SEC03458</t>
  </si>
  <si>
    <t>Atlas Capital 3458</t>
  </si>
  <si>
    <t>SEC03459</t>
  </si>
  <si>
    <t>Orion Fund 3459</t>
  </si>
  <si>
    <t>SEC03460</t>
  </si>
  <si>
    <t>Summit Group 3460</t>
  </si>
  <si>
    <t>SEC03461</t>
  </si>
  <si>
    <t>Delta Holdings 3461</t>
  </si>
  <si>
    <t>SEC03462</t>
  </si>
  <si>
    <t>Sterling Fund 3462</t>
  </si>
  <si>
    <t>SEC03463</t>
  </si>
  <si>
    <t>Harbor Markets 3463</t>
  </si>
  <si>
    <t>SEC03464</t>
  </si>
  <si>
    <t>Summit Partners 3464</t>
  </si>
  <si>
    <t>SEC03465</t>
  </si>
  <si>
    <t>Vertex Partners 3465</t>
  </si>
  <si>
    <t>SEC03466</t>
  </si>
  <si>
    <t>Cedar Holdings 3466</t>
  </si>
  <si>
    <t>SEC03467</t>
  </si>
  <si>
    <t>Atlas Fund 3467</t>
  </si>
  <si>
    <t>SEC03468</t>
  </si>
  <si>
    <t>Vertex Financial 3468</t>
  </si>
  <si>
    <t>SEC03469</t>
  </si>
  <si>
    <t>Pioneer Industries 3469</t>
  </si>
  <si>
    <t>SEC03470</t>
  </si>
  <si>
    <t>Alpha Energy 3470</t>
  </si>
  <si>
    <t>SEC03471</t>
  </si>
  <si>
    <t>Liberty Financial 3471</t>
  </si>
  <si>
    <t>SEC03472</t>
  </si>
  <si>
    <t>Summit Industries 3472</t>
  </si>
  <si>
    <t>SEC03473</t>
  </si>
  <si>
    <t>Pioneer Financial 3473</t>
  </si>
  <si>
    <t>SEC03474</t>
  </si>
  <si>
    <t>Cedar Financial 3474</t>
  </si>
  <si>
    <t>SEC03475</t>
  </si>
  <si>
    <t>Sterling Group 3475</t>
  </si>
  <si>
    <t>SEC03476</t>
  </si>
  <si>
    <t>Nova Capital 3476</t>
  </si>
  <si>
    <t>SEC03477</t>
  </si>
  <si>
    <t>Cedar Markets 3477</t>
  </si>
  <si>
    <t>SEC03478</t>
  </si>
  <si>
    <t>Vertex Fund 3478</t>
  </si>
  <si>
    <t>SEC03479</t>
  </si>
  <si>
    <t>Summit Group 3479</t>
  </si>
  <si>
    <t>SEC03480</t>
  </si>
  <si>
    <t>Sterling Technology 3480</t>
  </si>
  <si>
    <t>SEC03481</t>
  </si>
  <si>
    <t>Harbor Financial 3481</t>
  </si>
  <si>
    <t>SEC03482</t>
  </si>
  <si>
    <t>Nova Fund 3482</t>
  </si>
  <si>
    <t>SEC03483</t>
  </si>
  <si>
    <t>Orion Markets 3483</t>
  </si>
  <si>
    <t>SEC03484</t>
  </si>
  <si>
    <t>Cedar Financial 3484</t>
  </si>
  <si>
    <t>SEC03485</t>
  </si>
  <si>
    <t>Cedar Partners 3485</t>
  </si>
  <si>
    <t>SEC03486</t>
  </si>
  <si>
    <t>Delta Fund 3486</t>
  </si>
  <si>
    <t>SEC03487</t>
  </si>
  <si>
    <t>Harbor Industries 3487</t>
  </si>
  <si>
    <t>SEC03488</t>
  </si>
  <si>
    <t>Alpha Partners 3488</t>
  </si>
  <si>
    <t>SEC03489</t>
  </si>
  <si>
    <t>Atlas Group 3489</t>
  </si>
  <si>
    <t>SEC03490</t>
  </si>
  <si>
    <t>Harbor Holdings 3490</t>
  </si>
  <si>
    <t>SEC03491</t>
  </si>
  <si>
    <t>Orion Holdings 3491</t>
  </si>
  <si>
    <t>SEC03492</t>
  </si>
  <si>
    <t>Nova Markets 3492</t>
  </si>
  <si>
    <t>SEC03493</t>
  </si>
  <si>
    <t>Orion Capital 3493</t>
  </si>
  <si>
    <t>SEC03494</t>
  </si>
  <si>
    <t>Liberty Industries 3494</t>
  </si>
  <si>
    <t>SEC03495</t>
  </si>
  <si>
    <t>Atlas Holdings 3495</t>
  </si>
  <si>
    <t>SEC03496</t>
  </si>
  <si>
    <t>Pioneer Fund 3496</t>
  </si>
  <si>
    <t>SEC03497</t>
  </si>
  <si>
    <t>Cedar Fund 3497</t>
  </si>
  <si>
    <t>SEC03498</t>
  </si>
  <si>
    <t>Summit Partners 3498</t>
  </si>
  <si>
    <t>SEC03499</t>
  </si>
  <si>
    <t>Summit Partners 3499</t>
  </si>
  <si>
    <t>SEC03500</t>
  </si>
  <si>
    <t>Summit Financial 3500</t>
  </si>
  <si>
    <t>SEC03501</t>
  </si>
  <si>
    <t>Delta Industries 3501</t>
  </si>
  <si>
    <t>SEC03502</t>
  </si>
  <si>
    <t>Nova Fund 3502</t>
  </si>
  <si>
    <t>SEC03503</t>
  </si>
  <si>
    <t>Orion Financial 3503</t>
  </si>
  <si>
    <t>SEC03504</t>
  </si>
  <si>
    <t>Delta Financial 3504</t>
  </si>
  <si>
    <t>SEC03505</t>
  </si>
  <si>
    <t>Pioneer Energy 3505</t>
  </si>
  <si>
    <t>SEC03506</t>
  </si>
  <si>
    <t>Orion Partners 3506</t>
  </si>
  <si>
    <t>SEC03507</t>
  </si>
  <si>
    <t>Nova Group 3507</t>
  </si>
  <si>
    <t>SEC03508</t>
  </si>
  <si>
    <t>Harbor Fund 3508</t>
  </si>
  <si>
    <t>SEC03509</t>
  </si>
  <si>
    <t>Alpha Holdings 3509</t>
  </si>
  <si>
    <t>SEC03510</t>
  </si>
  <si>
    <t>Sterling Technology 3510</t>
  </si>
  <si>
    <t>SEC03511</t>
  </si>
  <si>
    <t>Delta Capital 3511</t>
  </si>
  <si>
    <t>SEC03512</t>
  </si>
  <si>
    <t>Summit Industries 3512</t>
  </si>
  <si>
    <t>SEC03513</t>
  </si>
  <si>
    <t>Orion Technology 3513</t>
  </si>
  <si>
    <t>SEC03514</t>
  </si>
  <si>
    <t>Harbor Financial 3514</t>
  </si>
  <si>
    <t>SEC03515</t>
  </si>
  <si>
    <t>Vertex Industries 3515</t>
  </si>
  <si>
    <t>SEC03516</t>
  </si>
  <si>
    <t>Orion Capital 3516</t>
  </si>
  <si>
    <t>SEC03517</t>
  </si>
  <si>
    <t>Nova Technology 3517</t>
  </si>
  <si>
    <t>SEC03518</t>
  </si>
  <si>
    <t>Liberty Energy 3518</t>
  </si>
  <si>
    <t>SEC03519</t>
  </si>
  <si>
    <t>Atlas Industries 3519</t>
  </si>
  <si>
    <t>SEC03520</t>
  </si>
  <si>
    <t>Atlas Markets 3520</t>
  </si>
  <si>
    <t>SEC03521</t>
  </si>
  <si>
    <t>Pioneer Capital 3521</t>
  </si>
  <si>
    <t>SEC03522</t>
  </si>
  <si>
    <t>Nova Energy 3522</t>
  </si>
  <si>
    <t>SEC03523</t>
  </si>
  <si>
    <t>Harbor Industries 3523</t>
  </si>
  <si>
    <t>SEC03524</t>
  </si>
  <si>
    <t>Nova Holdings 3524</t>
  </si>
  <si>
    <t>SEC03525</t>
  </si>
  <si>
    <t>Liberty Technology 3525</t>
  </si>
  <si>
    <t>SEC03526</t>
  </si>
  <si>
    <t>Alpha Industries 3526</t>
  </si>
  <si>
    <t>SEC03527</t>
  </si>
  <si>
    <t>Nova Industries 3527</t>
  </si>
  <si>
    <t>SEC03528</t>
  </si>
  <si>
    <t>Sterling Financial 3528</t>
  </si>
  <si>
    <t>SEC03529</t>
  </si>
  <si>
    <t>Summit Capital 3529</t>
  </si>
  <si>
    <t>SEC03530</t>
  </si>
  <si>
    <t>Delta Group 3530</t>
  </si>
  <si>
    <t>SEC03531</t>
  </si>
  <si>
    <t>Liberty Technology 3531</t>
  </si>
  <si>
    <t>SEC03532</t>
  </si>
  <si>
    <t>Atlas Energy 3532</t>
  </si>
  <si>
    <t>SEC03533</t>
  </si>
  <si>
    <t>Summit Group 3533</t>
  </si>
  <si>
    <t>SEC03534</t>
  </si>
  <si>
    <t>Vertex Fund 3534</t>
  </si>
  <si>
    <t>SEC03535</t>
  </si>
  <si>
    <t>Delta Markets 3535</t>
  </si>
  <si>
    <t>SEC03536</t>
  </si>
  <si>
    <t>Liberty Holdings 3536</t>
  </si>
  <si>
    <t>SEC03537</t>
  </si>
  <si>
    <t>Vertex Partners 3537</t>
  </si>
  <si>
    <t>SEC03538</t>
  </si>
  <si>
    <t>Harbor Fund 3538</t>
  </si>
  <si>
    <t>SEC03539</t>
  </si>
  <si>
    <t>Delta Fund 3539</t>
  </si>
  <si>
    <t>SEC03540</t>
  </si>
  <si>
    <t>Pioneer Capital 3540</t>
  </si>
  <si>
    <t>SEC03541</t>
  </si>
  <si>
    <t>Summit Technology 3541</t>
  </si>
  <si>
    <t>SEC03542</t>
  </si>
  <si>
    <t>Summit Markets 3542</t>
  </si>
  <si>
    <t>SEC03543</t>
  </si>
  <si>
    <t>Pioneer Fund 3543</t>
  </si>
  <si>
    <t>SEC03544</t>
  </si>
  <si>
    <t>Cedar Partners 3544</t>
  </si>
  <si>
    <t>SEC03545</t>
  </si>
  <si>
    <t>Vertex Group 3545</t>
  </si>
  <si>
    <t>SEC03546</t>
  </si>
  <si>
    <t>Atlas Technology 3546</t>
  </si>
  <si>
    <t>SEC03547</t>
  </si>
  <si>
    <t>Pioneer Fund 3547</t>
  </si>
  <si>
    <t>SEC03548</t>
  </si>
  <si>
    <t>Liberty Holdings 3548</t>
  </si>
  <si>
    <t>SEC03549</t>
  </si>
  <si>
    <t>Liberty Industries 3549</t>
  </si>
  <si>
    <t>SEC03550</t>
  </si>
  <si>
    <t>Vertex Fund 3550</t>
  </si>
  <si>
    <t>SEC03551</t>
  </si>
  <si>
    <t>Harbor Fund 3551</t>
  </si>
  <si>
    <t>SEC03552</t>
  </si>
  <si>
    <t>Nova Group 3552</t>
  </si>
  <si>
    <t>SEC03553</t>
  </si>
  <si>
    <t>Cedar Technology 3553</t>
  </si>
  <si>
    <t>SEC03554</t>
  </si>
  <si>
    <t>Atlas Industries 3554</t>
  </si>
  <si>
    <t>SEC03555</t>
  </si>
  <si>
    <t>Atlas Fund 3555</t>
  </si>
  <si>
    <t>SEC03556</t>
  </si>
  <si>
    <t>Liberty Partners 3556</t>
  </si>
  <si>
    <t>SEC03557</t>
  </si>
  <si>
    <t>Sterling Group 3557</t>
  </si>
  <si>
    <t>SEC03558</t>
  </si>
  <si>
    <t>Sterling Financial 3558</t>
  </si>
  <si>
    <t>SEC03559</t>
  </si>
  <si>
    <t>Harbor Holdings 3559</t>
  </si>
  <si>
    <t>SEC03560</t>
  </si>
  <si>
    <t>Delta Capital 3560</t>
  </si>
  <si>
    <t>SEC03561</t>
  </si>
  <si>
    <t>Pioneer Fund 3561</t>
  </si>
  <si>
    <t>SEC03562</t>
  </si>
  <si>
    <t>Summit Markets 3562</t>
  </si>
  <si>
    <t>SEC03563</t>
  </si>
  <si>
    <t>Liberty Financial 3563</t>
  </si>
  <si>
    <t>SEC03564</t>
  </si>
  <si>
    <t>Cedar Energy 3564</t>
  </si>
  <si>
    <t>SEC03565</t>
  </si>
  <si>
    <t>Sterling Fund 3565</t>
  </si>
  <si>
    <t>SEC03566</t>
  </si>
  <si>
    <t>Pioneer Holdings 3566</t>
  </si>
  <si>
    <t>SEC03567</t>
  </si>
  <si>
    <t>Alpha Group 3567</t>
  </si>
  <si>
    <t>SEC03568</t>
  </si>
  <si>
    <t>Vertex Technology 3568</t>
  </si>
  <si>
    <t>SEC03569</t>
  </si>
  <si>
    <t>Cedar Markets 3569</t>
  </si>
  <si>
    <t>SEC03570</t>
  </si>
  <si>
    <t>Liberty Technology 3570</t>
  </si>
  <si>
    <t>SEC03571</t>
  </si>
  <si>
    <t>Nova Industries 3571</t>
  </si>
  <si>
    <t>SEC03572</t>
  </si>
  <si>
    <t>Harbor Industries 3572</t>
  </si>
  <si>
    <t>SEC03573</t>
  </si>
  <si>
    <t>Summit Energy 3573</t>
  </si>
  <si>
    <t>SEC03574</t>
  </si>
  <si>
    <t>Sterling Group 3574</t>
  </si>
  <si>
    <t>SEC03575</t>
  </si>
  <si>
    <t>Vertex Industries 3575</t>
  </si>
  <si>
    <t>SEC03576</t>
  </si>
  <si>
    <t>Pioneer Partners 3576</t>
  </si>
  <si>
    <t>SEC03577</t>
  </si>
  <si>
    <t>Harbor Technology 3577</t>
  </si>
  <si>
    <t>SEC03578</t>
  </si>
  <si>
    <t>Sterling Technology 3578</t>
  </si>
  <si>
    <t>SEC03579</t>
  </si>
  <si>
    <t>Pioneer Capital 3579</t>
  </si>
  <si>
    <t>SEC03580</t>
  </si>
  <si>
    <t>Delta Fund 3580</t>
  </si>
  <si>
    <t>SEC03581</t>
  </si>
  <si>
    <t>Atlas Capital 3581</t>
  </si>
  <si>
    <t>SEC03582</t>
  </si>
  <si>
    <t>Nova Financial 3582</t>
  </si>
  <si>
    <t>SEC03583</t>
  </si>
  <si>
    <t>Liberty Financial 3583</t>
  </si>
  <si>
    <t>SEC03584</t>
  </si>
  <si>
    <t>Liberty Partners 3584</t>
  </si>
  <si>
    <t>SEC03585</t>
  </si>
  <si>
    <t>Liberty Group 3585</t>
  </si>
  <si>
    <t>SEC03586</t>
  </si>
  <si>
    <t>Pioneer Fund 3586</t>
  </si>
  <si>
    <t>SEC03587</t>
  </si>
  <si>
    <t>Delta Holdings 3587</t>
  </si>
  <si>
    <t>SEC03588</t>
  </si>
  <si>
    <t>Liberty Technology 3588</t>
  </si>
  <si>
    <t>SEC03589</t>
  </si>
  <si>
    <t>Vertex Capital 3589</t>
  </si>
  <si>
    <t>SEC03590</t>
  </si>
  <si>
    <t>Nova Industries 3590</t>
  </si>
  <si>
    <t>SEC03591</t>
  </si>
  <si>
    <t>Delta Partners 3591</t>
  </si>
  <si>
    <t>SEC03592</t>
  </si>
  <si>
    <t>Harbor Holdings 3592</t>
  </si>
  <si>
    <t>SEC03593</t>
  </si>
  <si>
    <t>Vertex Fund 3593</t>
  </si>
  <si>
    <t>SEC03594</t>
  </si>
  <si>
    <t>Vertex Fund 3594</t>
  </si>
  <si>
    <t>SEC03595</t>
  </si>
  <si>
    <t>Alpha Energy 3595</t>
  </si>
  <si>
    <t>SEC03596</t>
  </si>
  <si>
    <t>Vertex Energy 3596</t>
  </si>
  <si>
    <t>SEC03597</t>
  </si>
  <si>
    <t>Cedar Energy 3597</t>
  </si>
  <si>
    <t>SEC03598</t>
  </si>
  <si>
    <t>Atlas Technology 3598</t>
  </si>
  <si>
    <t>SEC03599</t>
  </si>
  <si>
    <t>Atlas Holdings 3599</t>
  </si>
  <si>
    <t>SEC03600</t>
  </si>
  <si>
    <t>Atlas Holdings 3600</t>
  </si>
  <si>
    <t>SEC03601</t>
  </si>
  <si>
    <t>Delta Partners 3601</t>
  </si>
  <si>
    <t>SEC03602</t>
  </si>
  <si>
    <t>Cedar Holdings 3602</t>
  </si>
  <si>
    <t>SEC03603</t>
  </si>
  <si>
    <t>Orion Capital 3603</t>
  </si>
  <si>
    <t>SEC03604</t>
  </si>
  <si>
    <t>Delta Holdings 3604</t>
  </si>
  <si>
    <t>SEC03605</t>
  </si>
  <si>
    <t>Delta Industries 3605</t>
  </si>
  <si>
    <t>SEC03606</t>
  </si>
  <si>
    <t>Alpha Holdings 3606</t>
  </si>
  <si>
    <t>SEC03607</t>
  </si>
  <si>
    <t>Atlas Financial 3607</t>
  </si>
  <si>
    <t>SEC03608</t>
  </si>
  <si>
    <t>Liberty Capital 3608</t>
  </si>
  <si>
    <t>SEC03609</t>
  </si>
  <si>
    <t>Orion Partners 3609</t>
  </si>
  <si>
    <t>SEC03610</t>
  </si>
  <si>
    <t>Atlas Financial 3610</t>
  </si>
  <si>
    <t>SEC03611</t>
  </si>
  <si>
    <t>Alpha Industries 3611</t>
  </si>
  <si>
    <t>SEC03612</t>
  </si>
  <si>
    <t>Summit Partners 3612</t>
  </si>
  <si>
    <t>SEC03613</t>
  </si>
  <si>
    <t>Delta Capital 3613</t>
  </si>
  <si>
    <t>SEC03614</t>
  </si>
  <si>
    <t>Delta Financial 3614</t>
  </si>
  <si>
    <t>SEC03615</t>
  </si>
  <si>
    <t>Liberty Technology 3615</t>
  </si>
  <si>
    <t>SEC03616</t>
  </si>
  <si>
    <t>Sterling Fund 3616</t>
  </si>
  <si>
    <t>SEC03617</t>
  </si>
  <si>
    <t>Pioneer Fund 3617</t>
  </si>
  <si>
    <t>SEC03618</t>
  </si>
  <si>
    <t>Atlas Capital 3618</t>
  </si>
  <si>
    <t>SEC03619</t>
  </si>
  <si>
    <t>Orion Fund 3619</t>
  </si>
  <si>
    <t>SEC03620</t>
  </si>
  <si>
    <t>Atlas Technology 3620</t>
  </si>
  <si>
    <t>SEC03621</t>
  </si>
  <si>
    <t>Liberty Partners 3621</t>
  </si>
  <si>
    <t>SEC03622</t>
  </si>
  <si>
    <t>Atlas Capital 3622</t>
  </si>
  <si>
    <t>SEC03623</t>
  </si>
  <si>
    <t>Cedar Capital 3623</t>
  </si>
  <si>
    <t>SEC03624</t>
  </si>
  <si>
    <t>Sterling Holdings 3624</t>
  </si>
  <si>
    <t>SEC03625</t>
  </si>
  <si>
    <t>Summit Energy 3625</t>
  </si>
  <si>
    <t>SEC03626</t>
  </si>
  <si>
    <t>Nova Fund 3626</t>
  </si>
  <si>
    <t>SEC03627</t>
  </si>
  <si>
    <t>Alpha Financial 3627</t>
  </si>
  <si>
    <t>SEC03628</t>
  </si>
  <si>
    <t>Harbor Fund 3628</t>
  </si>
  <si>
    <t>SEC03629</t>
  </si>
  <si>
    <t>Liberty Holdings 3629</t>
  </si>
  <si>
    <t>SEC03630</t>
  </si>
  <si>
    <t>Orion Partners 3630</t>
  </si>
  <si>
    <t>SEC03631</t>
  </si>
  <si>
    <t>Alpha Technology 3631</t>
  </si>
  <si>
    <t>SEC03632</t>
  </si>
  <si>
    <t>Summit Energy 3632</t>
  </si>
  <si>
    <t>SEC03633</t>
  </si>
  <si>
    <t>Atlas Capital 3633</t>
  </si>
  <si>
    <t>SEC03634</t>
  </si>
  <si>
    <t>Alpha Group 3634</t>
  </si>
  <si>
    <t>SEC03635</t>
  </si>
  <si>
    <t>Summit Financial 3635</t>
  </si>
  <si>
    <t>SEC03636</t>
  </si>
  <si>
    <t>Vertex Group 3636</t>
  </si>
  <si>
    <t>SEC03637</t>
  </si>
  <si>
    <t>Atlas Capital 3637</t>
  </si>
  <si>
    <t>SEC03638</t>
  </si>
  <si>
    <t>Summit Fund 3638</t>
  </si>
  <si>
    <t>SEC03639</t>
  </si>
  <si>
    <t>Orion Industries 3639</t>
  </si>
  <si>
    <t>SEC03640</t>
  </si>
  <si>
    <t>Nova Industries 3640</t>
  </si>
  <si>
    <t>SEC03641</t>
  </si>
  <si>
    <t>Orion Partners 3641</t>
  </si>
  <si>
    <t>SEC03642</t>
  </si>
  <si>
    <t>Cedar Markets 3642</t>
  </si>
  <si>
    <t>SEC03643</t>
  </si>
  <si>
    <t>Harbor Group 3643</t>
  </si>
  <si>
    <t>SEC03644</t>
  </si>
  <si>
    <t>Vertex Fund 3644</t>
  </si>
  <si>
    <t>SEC03645</t>
  </si>
  <si>
    <t>Harbor Capital 3645</t>
  </si>
  <si>
    <t>SEC03646</t>
  </si>
  <si>
    <t>Sterling Capital 3646</t>
  </si>
  <si>
    <t>SEC03647</t>
  </si>
  <si>
    <t>Summit Capital 3647</t>
  </si>
  <si>
    <t>SEC03648</t>
  </si>
  <si>
    <t>Alpha Industries 3648</t>
  </si>
  <si>
    <t>SEC03649</t>
  </si>
  <si>
    <t>Orion Technology 3649</t>
  </si>
  <si>
    <t>SEC03650</t>
  </si>
  <si>
    <t>Sterling Financial 3650</t>
  </si>
  <si>
    <t>SEC03651</t>
  </si>
  <si>
    <t>Alpha Markets 3651</t>
  </si>
  <si>
    <t>SEC03652</t>
  </si>
  <si>
    <t>Summit Partners 3652</t>
  </si>
  <si>
    <t>SEC03653</t>
  </si>
  <si>
    <t>Vertex Capital 3653</t>
  </si>
  <si>
    <t>SEC03654</t>
  </si>
  <si>
    <t>Summit Holdings 3654</t>
  </si>
  <si>
    <t>SEC03655</t>
  </si>
  <si>
    <t>Cedar Financial 3655</t>
  </si>
  <si>
    <t>SEC03656</t>
  </si>
  <si>
    <t>Liberty Technology 3656</t>
  </si>
  <si>
    <t>SEC03657</t>
  </si>
  <si>
    <t>Atlas Industries 3657</t>
  </si>
  <si>
    <t>SEC03658</t>
  </si>
  <si>
    <t>Summit Industries 3658</t>
  </si>
  <si>
    <t>SEC03659</t>
  </si>
  <si>
    <t>Orion Energy 3659</t>
  </si>
  <si>
    <t>SEC03660</t>
  </si>
  <si>
    <t>Cedar Holdings 3660</t>
  </si>
  <si>
    <t>SEC03661</t>
  </si>
  <si>
    <t>Delta Group 3661</t>
  </si>
  <si>
    <t>SEC03662</t>
  </si>
  <si>
    <t>Delta Capital 3662</t>
  </si>
  <si>
    <t>SEC03663</t>
  </si>
  <si>
    <t>Atlas Financial 3663</t>
  </si>
  <si>
    <t>SEC03664</t>
  </si>
  <si>
    <t>Sterling Energy 3664</t>
  </si>
  <si>
    <t>SEC03665</t>
  </si>
  <si>
    <t>Nova Markets 3665</t>
  </si>
  <si>
    <t>SEC03666</t>
  </si>
  <si>
    <t>Summit Partners 3666</t>
  </si>
  <si>
    <t>SEC03667</t>
  </si>
  <si>
    <t>Cedar Financial 3667</t>
  </si>
  <si>
    <t>SEC03668</t>
  </si>
  <si>
    <t>Pioneer Energy 3668</t>
  </si>
  <si>
    <t>SEC03669</t>
  </si>
  <si>
    <t>Harbor Technology 3669</t>
  </si>
  <si>
    <t>SEC03670</t>
  </si>
  <si>
    <t>Delta Technology 3670</t>
  </si>
  <si>
    <t>SEC03671</t>
  </si>
  <si>
    <t>Liberty Group 3671</t>
  </si>
  <si>
    <t>SEC03672</t>
  </si>
  <si>
    <t>Alpha Industries 3672</t>
  </si>
  <si>
    <t>SEC03673</t>
  </si>
  <si>
    <t>Pioneer Energy 3673</t>
  </si>
  <si>
    <t>SEC03674</t>
  </si>
  <si>
    <t>Nova Industries 3674</t>
  </si>
  <si>
    <t>SEC03675</t>
  </si>
  <si>
    <t>Atlas Fund 3675</t>
  </si>
  <si>
    <t>SEC03676</t>
  </si>
  <si>
    <t>Liberty Capital 3676</t>
  </si>
  <si>
    <t>SEC03677</t>
  </si>
  <si>
    <t>Liberty Capital 3677</t>
  </si>
  <si>
    <t>SEC03678</t>
  </si>
  <si>
    <t>Harbor Markets 3678</t>
  </si>
  <si>
    <t>SEC03679</t>
  </si>
  <si>
    <t>Sterling Fund 3679</t>
  </si>
  <si>
    <t>SEC03680</t>
  </si>
  <si>
    <t>Cedar Technology 3680</t>
  </si>
  <si>
    <t>SEC03681</t>
  </si>
  <si>
    <t>Sterling Markets 3681</t>
  </si>
  <si>
    <t>SEC03682</t>
  </si>
  <si>
    <t>Vertex Financial 3682</t>
  </si>
  <si>
    <t>SEC03683</t>
  </si>
  <si>
    <t>Delta Group 3683</t>
  </si>
  <si>
    <t>SEC03684</t>
  </si>
  <si>
    <t>Harbor Industries 3684</t>
  </si>
  <si>
    <t>SEC03685</t>
  </si>
  <si>
    <t>Harbor Group 3685</t>
  </si>
  <si>
    <t>SEC03686</t>
  </si>
  <si>
    <t>Delta Markets 3686</t>
  </si>
  <si>
    <t>SEC03687</t>
  </si>
  <si>
    <t>Atlas Partners 3687</t>
  </si>
  <si>
    <t>SEC03688</t>
  </si>
  <si>
    <t>Orion Technology 3688</t>
  </si>
  <si>
    <t>SEC03689</t>
  </si>
  <si>
    <t>Nova Partners 3689</t>
  </si>
  <si>
    <t>SEC03690</t>
  </si>
  <si>
    <t>Alpha Capital 3690</t>
  </si>
  <si>
    <t>SEC03691</t>
  </si>
  <si>
    <t>Summit Holdings 3691</t>
  </si>
  <si>
    <t>SEC03692</t>
  </si>
  <si>
    <t>Nova Fund 3692</t>
  </si>
  <si>
    <t>SEC03693</t>
  </si>
  <si>
    <t>Pioneer Fund 3693</t>
  </si>
  <si>
    <t>SEC03694</t>
  </si>
  <si>
    <t>Nova Capital 3694</t>
  </si>
  <si>
    <t>SEC03695</t>
  </si>
  <si>
    <t>Summit Technology 3695</t>
  </si>
  <si>
    <t>SEC03696</t>
  </si>
  <si>
    <t>Cedar Markets 3696</t>
  </si>
  <si>
    <t>SEC03697</t>
  </si>
  <si>
    <t>Cedar Technology 3697</t>
  </si>
  <si>
    <t>SEC03698</t>
  </si>
  <si>
    <t>Alpha Partners 3698</t>
  </si>
  <si>
    <t>SEC03699</t>
  </si>
  <si>
    <t>Summit Holdings 3699</t>
  </si>
  <si>
    <t>SEC03700</t>
  </si>
  <si>
    <t>Liberty Partners 3700</t>
  </si>
  <si>
    <t>SEC03701</t>
  </si>
  <si>
    <t>Alpha Technology 3701</t>
  </si>
  <si>
    <t>SEC03702</t>
  </si>
  <si>
    <t>Summit Holdings 3702</t>
  </si>
  <si>
    <t>SEC03703</t>
  </si>
  <si>
    <t>Liberty Financial 3703</t>
  </si>
  <si>
    <t>SEC03704</t>
  </si>
  <si>
    <t>Alpha Capital 3704</t>
  </si>
  <si>
    <t>SEC03705</t>
  </si>
  <si>
    <t>Liberty Energy 3705</t>
  </si>
  <si>
    <t>SEC03706</t>
  </si>
  <si>
    <t>Vertex Holdings 3706</t>
  </si>
  <si>
    <t>SEC03707</t>
  </si>
  <si>
    <t>Nova Partners 3707</t>
  </si>
  <si>
    <t>SEC03708</t>
  </si>
  <si>
    <t>Delta Holdings 3708</t>
  </si>
  <si>
    <t>SEC03709</t>
  </si>
  <si>
    <t>Summit Holdings 3709</t>
  </si>
  <si>
    <t>SEC03710</t>
  </si>
  <si>
    <t>Nova Fund 3710</t>
  </si>
  <si>
    <t>SEC03711</t>
  </si>
  <si>
    <t>Summit Markets 3711</t>
  </si>
  <si>
    <t>SEC03712</t>
  </si>
  <si>
    <t>Liberty Fund 3712</t>
  </si>
  <si>
    <t>SEC03713</t>
  </si>
  <si>
    <t>Sterling Partners 3713</t>
  </si>
  <si>
    <t>SEC03714</t>
  </si>
  <si>
    <t>Alpha Markets 3714</t>
  </si>
  <si>
    <t>SEC03715</t>
  </si>
  <si>
    <t>Cedar Fund 3715</t>
  </si>
  <si>
    <t>SEC03716</t>
  </si>
  <si>
    <t>Orion Financial 3716</t>
  </si>
  <si>
    <t>SEC03717</t>
  </si>
  <si>
    <t>Orion Financial 3717</t>
  </si>
  <si>
    <t>SEC03718</t>
  </si>
  <si>
    <t>Delta Group 3718</t>
  </si>
  <si>
    <t>SEC03719</t>
  </si>
  <si>
    <t>Liberty Holdings 3719</t>
  </si>
  <si>
    <t>SEC03720</t>
  </si>
  <si>
    <t>Alpha Partners 3720</t>
  </si>
  <si>
    <t>SEC03721</t>
  </si>
  <si>
    <t>Cedar Capital 3721</t>
  </si>
  <si>
    <t>SEC03722</t>
  </si>
  <si>
    <t>Alpha Partners 3722</t>
  </si>
  <si>
    <t>SEC03723</t>
  </si>
  <si>
    <t>Atlas Technology 3723</t>
  </si>
  <si>
    <t>SEC03724</t>
  </si>
  <si>
    <t>Orion Fund 3724</t>
  </si>
  <si>
    <t>SEC03725</t>
  </si>
  <si>
    <t>Sterling Fund 3725</t>
  </si>
  <si>
    <t>SEC03726</t>
  </si>
  <si>
    <t>Cedar Fund 3726</t>
  </si>
  <si>
    <t>SEC03727</t>
  </si>
  <si>
    <t>Vertex Partners 3727</t>
  </si>
  <si>
    <t>SEC03728</t>
  </si>
  <si>
    <t>Cedar Financial 3728</t>
  </si>
  <si>
    <t>SEC03729</t>
  </si>
  <si>
    <t>Orion Technology 3729</t>
  </si>
  <si>
    <t>SEC03730</t>
  </si>
  <si>
    <t>Vertex Fund 3730</t>
  </si>
  <si>
    <t>SEC03731</t>
  </si>
  <si>
    <t>Nova Fund 3731</t>
  </si>
  <si>
    <t>SEC03732</t>
  </si>
  <si>
    <t>Nova Holdings 3732</t>
  </si>
  <si>
    <t>SEC03733</t>
  </si>
  <si>
    <t>Vertex Technology 3733</t>
  </si>
  <si>
    <t>SEC03734</t>
  </si>
  <si>
    <t>Pioneer Partners 3734</t>
  </si>
  <si>
    <t>SEC03735</t>
  </si>
  <si>
    <t>Liberty Energy 3735</t>
  </si>
  <si>
    <t>SEC03736</t>
  </si>
  <si>
    <t>Cedar Energy 3736</t>
  </si>
  <si>
    <t>SEC03737</t>
  </si>
  <si>
    <t>Nova Holdings 3737</t>
  </si>
  <si>
    <t>SEC03738</t>
  </si>
  <si>
    <t>Liberty Markets 3738</t>
  </si>
  <si>
    <t>SEC03739</t>
  </si>
  <si>
    <t>Orion Group 3739</t>
  </si>
  <si>
    <t>SEC03740</t>
  </si>
  <si>
    <t>Vertex Holdings 3740</t>
  </si>
  <si>
    <t>SEC03741</t>
  </si>
  <si>
    <t>Orion Group 3741</t>
  </si>
  <si>
    <t>SEC03742</t>
  </si>
  <si>
    <t>Alpha Partners 3742</t>
  </si>
  <si>
    <t>SEC03743</t>
  </si>
  <si>
    <t>Pioneer Industries 3743</t>
  </si>
  <si>
    <t>SEC03744</t>
  </si>
  <si>
    <t>Nova Fund 3744</t>
  </si>
  <si>
    <t>SEC03745</t>
  </si>
  <si>
    <t>Sterling Markets 3745</t>
  </si>
  <si>
    <t>SEC03746</t>
  </si>
  <si>
    <t>Pioneer Fund 3746</t>
  </si>
  <si>
    <t>SEC03747</t>
  </si>
  <si>
    <t>Delta Industries 3747</t>
  </si>
  <si>
    <t>SEC03748</t>
  </si>
  <si>
    <t>Vertex Energy 3748</t>
  </si>
  <si>
    <t>SEC03749</t>
  </si>
  <si>
    <t>Harbor Partners 3749</t>
  </si>
  <si>
    <t>SEC03750</t>
  </si>
  <si>
    <t>Delta Partners 3750</t>
  </si>
  <si>
    <t>SEC03751</t>
  </si>
  <si>
    <t>Harbor Industries 3751</t>
  </si>
  <si>
    <t>SEC03752</t>
  </si>
  <si>
    <t>Atlas Technology 3752</t>
  </si>
  <si>
    <t>SEC03753</t>
  </si>
  <si>
    <t>Summit Technology 3753</t>
  </si>
  <si>
    <t>SEC03754</t>
  </si>
  <si>
    <t>Delta Industries 3754</t>
  </si>
  <si>
    <t>SEC03755</t>
  </si>
  <si>
    <t>Nova Markets 3755</t>
  </si>
  <si>
    <t>SEC03756</t>
  </si>
  <si>
    <t>Atlas Partners 3756</t>
  </si>
  <si>
    <t>SEC03757</t>
  </si>
  <si>
    <t>Nova Group 3757</t>
  </si>
  <si>
    <t>SEC03758</t>
  </si>
  <si>
    <t>Nova Industries 3758</t>
  </si>
  <si>
    <t>SEC03759</t>
  </si>
  <si>
    <t>Summit Technology 3759</t>
  </si>
  <si>
    <t>SEC03760</t>
  </si>
  <si>
    <t>Orion Capital 3760</t>
  </si>
  <si>
    <t>SEC03761</t>
  </si>
  <si>
    <t>Nova Fund 3761</t>
  </si>
  <si>
    <t>SEC03762</t>
  </si>
  <si>
    <t>Pioneer Holdings 3762</t>
  </si>
  <si>
    <t>SEC03763</t>
  </si>
  <si>
    <t>Summit Technology 3763</t>
  </si>
  <si>
    <t>SEC03764</t>
  </si>
  <si>
    <t>Alpha Holdings 3764</t>
  </si>
  <si>
    <t>SEC03765</t>
  </si>
  <si>
    <t>Delta Markets 3765</t>
  </si>
  <si>
    <t>SEC03766</t>
  </si>
  <si>
    <t>Nova Group 3766</t>
  </si>
  <si>
    <t>SEC03767</t>
  </si>
  <si>
    <t>Sterling Holdings 3767</t>
  </si>
  <si>
    <t>SEC03768</t>
  </si>
  <si>
    <t>Delta Financial 3768</t>
  </si>
  <si>
    <t>SEC03769</t>
  </si>
  <si>
    <t>Sterling Markets 3769</t>
  </si>
  <si>
    <t>SEC03770</t>
  </si>
  <si>
    <t>Delta Fund 3770</t>
  </si>
  <si>
    <t>SEC03771</t>
  </si>
  <si>
    <t>Vertex Financial 3771</t>
  </si>
  <si>
    <t>SEC03772</t>
  </si>
  <si>
    <t>Pioneer Holdings 3772</t>
  </si>
  <si>
    <t>SEC03773</t>
  </si>
  <si>
    <t>Cedar Industries 3773</t>
  </si>
  <si>
    <t>SEC03774</t>
  </si>
  <si>
    <t>Harbor Technology 3774</t>
  </si>
  <si>
    <t>SEC03775</t>
  </si>
  <si>
    <t>Atlas Markets 3775</t>
  </si>
  <si>
    <t>SEC03776</t>
  </si>
  <si>
    <t>Nova Markets 3776</t>
  </si>
  <si>
    <t>SEC03777</t>
  </si>
  <si>
    <t>Harbor Technology 3777</t>
  </si>
  <si>
    <t>SEC03778</t>
  </si>
  <si>
    <t>Alpha Holdings 3778</t>
  </si>
  <si>
    <t>SEC03779</t>
  </si>
  <si>
    <t>Liberty Holdings 3779</t>
  </si>
  <si>
    <t>SEC03780</t>
  </si>
  <si>
    <t>Pioneer Markets 3780</t>
  </si>
  <si>
    <t>SEC03781</t>
  </si>
  <si>
    <t>Pioneer Fund 3781</t>
  </si>
  <si>
    <t>SEC03782</t>
  </si>
  <si>
    <t>Sterling Partners 3782</t>
  </si>
  <si>
    <t>SEC03783</t>
  </si>
  <si>
    <t>Summit Markets 3783</t>
  </si>
  <si>
    <t>SEC03784</t>
  </si>
  <si>
    <t>Orion Partners 3784</t>
  </si>
  <si>
    <t>SEC03785</t>
  </si>
  <si>
    <t>Harbor Capital 3785</t>
  </si>
  <si>
    <t>SEC03786</t>
  </si>
  <si>
    <t>Vertex Fund 3786</t>
  </si>
  <si>
    <t>SEC03787</t>
  </si>
  <si>
    <t>Vertex Partners 3787</t>
  </si>
  <si>
    <t>SEC03788</t>
  </si>
  <si>
    <t>Sterling Holdings 3788</t>
  </si>
  <si>
    <t>SEC03789</t>
  </si>
  <si>
    <t>Atlas Partners 3789</t>
  </si>
  <si>
    <t>SEC03790</t>
  </si>
  <si>
    <t>Delta Group 3790</t>
  </si>
  <si>
    <t>SEC03791</t>
  </si>
  <si>
    <t>Atlas Fund 3791</t>
  </si>
  <si>
    <t>SEC03792</t>
  </si>
  <si>
    <t>Delta Holdings 3792</t>
  </si>
  <si>
    <t>SEC03793</t>
  </si>
  <si>
    <t>Atlas Energy 3793</t>
  </si>
  <si>
    <t>SEC03794</t>
  </si>
  <si>
    <t>Liberty Partners 3794</t>
  </si>
  <si>
    <t>SEC03795</t>
  </si>
  <si>
    <t>Pioneer Holdings 3795</t>
  </si>
  <si>
    <t>SEC03796</t>
  </si>
  <si>
    <t>Cedar Group 3796</t>
  </si>
  <si>
    <t>SEC03797</t>
  </si>
  <si>
    <t>Nova Financial 3797</t>
  </si>
  <si>
    <t>SEC03798</t>
  </si>
  <si>
    <t>Orion Partners 3798</t>
  </si>
  <si>
    <t>SEC03799</t>
  </si>
  <si>
    <t>Harbor Markets 3799</t>
  </si>
  <si>
    <t>SEC03800</t>
  </si>
  <si>
    <t>Sterling Capital 3800</t>
  </si>
  <si>
    <t>SEC03801</t>
  </si>
  <si>
    <t>Nova Group 3801</t>
  </si>
  <si>
    <t>SEC03802</t>
  </si>
  <si>
    <t>Delta Technology 3802</t>
  </si>
  <si>
    <t>SEC03803</t>
  </si>
  <si>
    <t>Alpha Capital 3803</t>
  </si>
  <si>
    <t>SEC03804</t>
  </si>
  <si>
    <t>Sterling Capital 3804</t>
  </si>
  <si>
    <t>SEC03805</t>
  </si>
  <si>
    <t>Alpha Partners 3805</t>
  </si>
  <si>
    <t>SEC03806</t>
  </si>
  <si>
    <t>Cedar Energy 3806</t>
  </si>
  <si>
    <t>SEC03807</t>
  </si>
  <si>
    <t>Delta Markets 3807</t>
  </si>
  <si>
    <t>SEC03808</t>
  </si>
  <si>
    <t>Delta Partners 3808</t>
  </si>
  <si>
    <t>SEC03809</t>
  </si>
  <si>
    <t>Orion Capital 3809</t>
  </si>
  <si>
    <t>SEC03810</t>
  </si>
  <si>
    <t>Delta Markets 3810</t>
  </si>
  <si>
    <t>SEC03811</t>
  </si>
  <si>
    <t>Pioneer Partners 3811</t>
  </si>
  <si>
    <t>SEC03812</t>
  </si>
  <si>
    <t>Orion Energy 3812</t>
  </si>
  <si>
    <t>SEC03813</t>
  </si>
  <si>
    <t>Liberty Holdings 3813</t>
  </si>
  <si>
    <t>SEC03814</t>
  </si>
  <si>
    <t>Summit Financial 3814</t>
  </si>
  <si>
    <t>SEC03815</t>
  </si>
  <si>
    <t>Nova Industries 3815</t>
  </si>
  <si>
    <t>SEC03816</t>
  </si>
  <si>
    <t>Orion Financial 3816</t>
  </si>
  <si>
    <t>SEC03817</t>
  </si>
  <si>
    <t>Summit Group 3817</t>
  </si>
  <si>
    <t>SEC03818</t>
  </si>
  <si>
    <t>Sterling Markets 3818</t>
  </si>
  <si>
    <t>SEC03819</t>
  </si>
  <si>
    <t>Liberty Energy 3819</t>
  </si>
  <si>
    <t>SEC03820</t>
  </si>
  <si>
    <t>Summit Markets 3820</t>
  </si>
  <si>
    <t>SEC03821</t>
  </si>
  <si>
    <t>Cedar Markets 3821</t>
  </si>
  <si>
    <t>SEC03822</t>
  </si>
  <si>
    <t>Nova Energy 3822</t>
  </si>
  <si>
    <t>SEC03823</t>
  </si>
  <si>
    <t>Pioneer Partners 3823</t>
  </si>
  <si>
    <t>SEC03824</t>
  </si>
  <si>
    <t>Harbor Markets 3824</t>
  </si>
  <si>
    <t>SEC03825</t>
  </si>
  <si>
    <t>Vertex Holdings 3825</t>
  </si>
  <si>
    <t>SEC03826</t>
  </si>
  <si>
    <t>Cedar Holdings 3826</t>
  </si>
  <si>
    <t>SEC03827</t>
  </si>
  <si>
    <t>Vertex Technology 3827</t>
  </si>
  <si>
    <t>SEC03828</t>
  </si>
  <si>
    <t>Harbor Holdings 3828</t>
  </si>
  <si>
    <t>SEC03829</t>
  </si>
  <si>
    <t>Harbor Partners 3829</t>
  </si>
  <si>
    <t>SEC03830</t>
  </si>
  <si>
    <t>Orion Energy 3830</t>
  </si>
  <si>
    <t>SEC03831</t>
  </si>
  <si>
    <t>Atlas Fund 3831</t>
  </si>
  <si>
    <t>SEC03832</t>
  </si>
  <si>
    <t>Delta Group 3832</t>
  </si>
  <si>
    <t>SEC03833</t>
  </si>
  <si>
    <t>Liberty Markets 3833</t>
  </si>
  <si>
    <t>SEC03834</t>
  </si>
  <si>
    <t>Orion Capital 3834</t>
  </si>
  <si>
    <t>SEC03835</t>
  </si>
  <si>
    <t>Atlas Capital 3835</t>
  </si>
  <si>
    <t>SEC03836</t>
  </si>
  <si>
    <t>Harbor Markets 3836</t>
  </si>
  <si>
    <t>SEC03837</t>
  </si>
  <si>
    <t>Harbor Energy 3837</t>
  </si>
  <si>
    <t>SEC03838</t>
  </si>
  <si>
    <t>Delta Technology 3838</t>
  </si>
  <si>
    <t>SEC03839</t>
  </si>
  <si>
    <t>Alpha Markets 3839</t>
  </si>
  <si>
    <t>SEC03840</t>
  </si>
  <si>
    <t>Pioneer Partners 3840</t>
  </si>
  <si>
    <t>SEC03841</t>
  </si>
  <si>
    <t>Sterling Technology 3841</t>
  </si>
  <si>
    <t>SEC03842</t>
  </si>
  <si>
    <t>Alpha Markets 3842</t>
  </si>
  <si>
    <t>SEC03843</t>
  </si>
  <si>
    <t>Liberty Energy 3843</t>
  </si>
  <si>
    <t>SEC03844</t>
  </si>
  <si>
    <t>Sterling Markets 3844</t>
  </si>
  <si>
    <t>SEC03845</t>
  </si>
  <si>
    <t>Liberty Technology 3845</t>
  </si>
  <si>
    <t>SEC03846</t>
  </si>
  <si>
    <t>Orion Energy 3846</t>
  </si>
  <si>
    <t>SEC03847</t>
  </si>
  <si>
    <t>Sterling Industries 3847</t>
  </si>
  <si>
    <t>SEC03848</t>
  </si>
  <si>
    <t>Atlas Capital 3848</t>
  </si>
  <si>
    <t>SEC03849</t>
  </si>
  <si>
    <t>Atlas Financial 3849</t>
  </si>
  <si>
    <t>SEC03850</t>
  </si>
  <si>
    <t>Liberty Group 3850</t>
  </si>
  <si>
    <t>SEC03851</t>
  </si>
  <si>
    <t>Delta Capital 3851</t>
  </si>
  <si>
    <t>SEC03852</t>
  </si>
  <si>
    <t>Pioneer Fund 3852</t>
  </si>
  <si>
    <t>SEC03853</t>
  </si>
  <si>
    <t>Cedar Technology 3853</t>
  </si>
  <si>
    <t>SEC03854</t>
  </si>
  <si>
    <t>Vertex Capital 3854</t>
  </si>
  <si>
    <t>SEC03855</t>
  </si>
  <si>
    <t>Vertex Industries 3855</t>
  </si>
  <si>
    <t>SEC03856</t>
  </si>
  <si>
    <t>Summit Holdings 3856</t>
  </si>
  <si>
    <t>SEC03857</t>
  </si>
  <si>
    <t>Cedar Industries 3857</t>
  </si>
  <si>
    <t>SEC03858</t>
  </si>
  <si>
    <t>Nova Capital 3858</t>
  </si>
  <si>
    <t>SEC03859</t>
  </si>
  <si>
    <t>Delta Industries 3859</t>
  </si>
  <si>
    <t>SEC03860</t>
  </si>
  <si>
    <t>Summit Capital 3860</t>
  </si>
  <si>
    <t>SEC03861</t>
  </si>
  <si>
    <t>Liberty Capital 3861</t>
  </si>
  <si>
    <t>SEC03862</t>
  </si>
  <si>
    <t>Delta Technology 3862</t>
  </si>
  <si>
    <t>SEC03863</t>
  </si>
  <si>
    <t>Atlas Partners 3863</t>
  </si>
  <si>
    <t>SEC03864</t>
  </si>
  <si>
    <t>Delta Group 3864</t>
  </si>
  <si>
    <t>SEC03865</t>
  </si>
  <si>
    <t>Harbor Industries 3865</t>
  </si>
  <si>
    <t>SEC03866</t>
  </si>
  <si>
    <t>Liberty Capital 3866</t>
  </si>
  <si>
    <t>SEC03867</t>
  </si>
  <si>
    <t>Alpha Energy 3867</t>
  </si>
  <si>
    <t>SEC03868</t>
  </si>
  <si>
    <t>Sterling Industries 3868</t>
  </si>
  <si>
    <t>SEC03869</t>
  </si>
  <si>
    <t>Vertex Holdings 3869</t>
  </si>
  <si>
    <t>SEC03870</t>
  </si>
  <si>
    <t>Orion Financial 3870</t>
  </si>
  <si>
    <t>SEC03871</t>
  </si>
  <si>
    <t>Cedar Holdings 3871</t>
  </si>
  <si>
    <t>SEC03872</t>
  </si>
  <si>
    <t>Summit Fund 3872</t>
  </si>
  <si>
    <t>SEC03873</t>
  </si>
  <si>
    <t>Summit Industries 3873</t>
  </si>
  <si>
    <t>SEC03874</t>
  </si>
  <si>
    <t>Vertex Industries 3874</t>
  </si>
  <si>
    <t>SEC03875</t>
  </si>
  <si>
    <t>Liberty Partners 3875</t>
  </si>
  <si>
    <t>SEC03876</t>
  </si>
  <si>
    <t>Delta Partners 3876</t>
  </si>
  <si>
    <t>SEC03877</t>
  </si>
  <si>
    <t>Sterling Partners 3877</t>
  </si>
  <si>
    <t>SEC03878</t>
  </si>
  <si>
    <t>Vertex Financial 3878</t>
  </si>
  <si>
    <t>SEC03879</t>
  </si>
  <si>
    <t>Sterling Technology 3879</t>
  </si>
  <si>
    <t>SEC03880</t>
  </si>
  <si>
    <t>Summit Financial 3880</t>
  </si>
  <si>
    <t>SEC03881</t>
  </si>
  <si>
    <t>Liberty Group 3881</t>
  </si>
  <si>
    <t>SEC03882</t>
  </si>
  <si>
    <t>Vertex Financial 3882</t>
  </si>
  <si>
    <t>SEC03883</t>
  </si>
  <si>
    <t>Sterling Industries 3883</t>
  </si>
  <si>
    <t>SEC03884</t>
  </si>
  <si>
    <t>Delta Markets 3884</t>
  </si>
  <si>
    <t>SEC03885</t>
  </si>
  <si>
    <t>Summit Partners 3885</t>
  </si>
  <si>
    <t>SEC03886</t>
  </si>
  <si>
    <t>Delta Financial 3886</t>
  </si>
  <si>
    <t>SEC03887</t>
  </si>
  <si>
    <t>Orion Financial 3887</t>
  </si>
  <si>
    <t>SEC03888</t>
  </si>
  <si>
    <t>Delta Industries 3888</t>
  </si>
  <si>
    <t>SEC03889</t>
  </si>
  <si>
    <t>Harbor Financial 3889</t>
  </si>
  <si>
    <t>SEC03890</t>
  </si>
  <si>
    <t>Harbor Industries 3890</t>
  </si>
  <si>
    <t>SEC03891</t>
  </si>
  <si>
    <t>Liberty Industries 3891</t>
  </si>
  <si>
    <t>SEC03892</t>
  </si>
  <si>
    <t>Delta Fund 3892</t>
  </si>
  <si>
    <t>SEC03893</t>
  </si>
  <si>
    <t>Delta Partners 3893</t>
  </si>
  <si>
    <t>SEC03894</t>
  </si>
  <si>
    <t>Nova Financial 3894</t>
  </si>
  <si>
    <t>SEC03895</t>
  </si>
  <si>
    <t>Harbor Energy 3895</t>
  </si>
  <si>
    <t>SEC03896</t>
  </si>
  <si>
    <t>Orion Technology 3896</t>
  </si>
  <si>
    <t>SEC03897</t>
  </si>
  <si>
    <t>Sterling Partners 3897</t>
  </si>
  <si>
    <t>SEC03898</t>
  </si>
  <si>
    <t>Pioneer Financial 3898</t>
  </si>
  <si>
    <t>SEC03899</t>
  </si>
  <si>
    <t>Summit Group 3899</t>
  </si>
  <si>
    <t>SEC03900</t>
  </si>
  <si>
    <t>Vertex Fund 3900</t>
  </si>
  <si>
    <t>SEC03901</t>
  </si>
  <si>
    <t>Vertex Markets 3901</t>
  </si>
  <si>
    <t>SEC03902</t>
  </si>
  <si>
    <t>Pioneer Financial 3902</t>
  </si>
  <si>
    <t>SEC03903</t>
  </si>
  <si>
    <t>Orion Industries 3903</t>
  </si>
  <si>
    <t>SEC03904</t>
  </si>
  <si>
    <t>Atlas Fund 3904</t>
  </si>
  <si>
    <t>SEC03905</t>
  </si>
  <si>
    <t>Sterling Financial 3905</t>
  </si>
  <si>
    <t>SEC03906</t>
  </si>
  <si>
    <t>Liberty Markets 3906</t>
  </si>
  <si>
    <t>SEC03907</t>
  </si>
  <si>
    <t>Alpha Markets 3907</t>
  </si>
  <si>
    <t>SEC03908</t>
  </si>
  <si>
    <t>Alpha Industries 3908</t>
  </si>
  <si>
    <t>SEC03909</t>
  </si>
  <si>
    <t>Pioneer Partners 3909</t>
  </si>
  <si>
    <t>SEC03910</t>
  </si>
  <si>
    <t>Nova Group 3910</t>
  </si>
  <si>
    <t>SEC03911</t>
  </si>
  <si>
    <t>Summit Technology 3911</t>
  </si>
  <si>
    <t>SEC03912</t>
  </si>
  <si>
    <t>Delta Industries 3912</t>
  </si>
  <si>
    <t>SEC03913</t>
  </si>
  <si>
    <t>Sterling Capital 3913</t>
  </si>
  <si>
    <t>SEC03914</t>
  </si>
  <si>
    <t>Summit Technology 3914</t>
  </si>
  <si>
    <t>SEC03915</t>
  </si>
  <si>
    <t>Delta Fund 3915</t>
  </si>
  <si>
    <t>SEC03916</t>
  </si>
  <si>
    <t>Liberty Holdings 3916</t>
  </si>
  <si>
    <t>SEC03917</t>
  </si>
  <si>
    <t>Pioneer Group 3917</t>
  </si>
  <si>
    <t>SEC03918</t>
  </si>
  <si>
    <t>Alpha Technology 3918</t>
  </si>
  <si>
    <t>SEC03919</t>
  </si>
  <si>
    <t>Atlas Partners 3919</t>
  </si>
  <si>
    <t>SEC03920</t>
  </si>
  <si>
    <t>Harbor Holdings 3920</t>
  </si>
  <si>
    <t>SEC03921</t>
  </si>
  <si>
    <t>Orion Partners 3921</t>
  </si>
  <si>
    <t>SEC03922</t>
  </si>
  <si>
    <t>Atlas Industries 3922</t>
  </si>
  <si>
    <t>SEC03923</t>
  </si>
  <si>
    <t>Pioneer Energy 3923</t>
  </si>
  <si>
    <t>SEC03924</t>
  </si>
  <si>
    <t>Harbor Partners 3924</t>
  </si>
  <si>
    <t>SEC03925</t>
  </si>
  <si>
    <t>Alpha Industries 3925</t>
  </si>
  <si>
    <t>SEC03926</t>
  </si>
  <si>
    <t>Orion Energy 3926</t>
  </si>
  <si>
    <t>SEC03927</t>
  </si>
  <si>
    <t>Summit Group 3927</t>
  </si>
  <si>
    <t>SEC03928</t>
  </si>
  <si>
    <t>Liberty Markets 3928</t>
  </si>
  <si>
    <t>SEC03929</t>
  </si>
  <si>
    <t>Harbor Partners 3929</t>
  </si>
  <si>
    <t>SEC03930</t>
  </si>
  <si>
    <t>Cedar Fund 3930</t>
  </si>
  <si>
    <t>SEC03931</t>
  </si>
  <si>
    <t>Sterling Technology 3931</t>
  </si>
  <si>
    <t>SEC03932</t>
  </si>
  <si>
    <t>Sterling Industries 3932</t>
  </si>
  <si>
    <t>SEC03933</t>
  </si>
  <si>
    <t>Delta Holdings 3933</t>
  </si>
  <si>
    <t>SEC03934</t>
  </si>
  <si>
    <t>Liberty Industries 3934</t>
  </si>
  <si>
    <t>SEC03935</t>
  </si>
  <si>
    <t>Pioneer Industries 3935</t>
  </si>
  <si>
    <t>SEC03936</t>
  </si>
  <si>
    <t>Alpha Partners 3936</t>
  </si>
  <si>
    <t>SEC03937</t>
  </si>
  <si>
    <t>Harbor Industries 3937</t>
  </si>
  <si>
    <t>SEC03938</t>
  </si>
  <si>
    <t>Alpha Holdings 3938</t>
  </si>
  <si>
    <t>SEC03939</t>
  </si>
  <si>
    <t>Vertex Fund 3939</t>
  </si>
  <si>
    <t>SEC03940</t>
  </si>
  <si>
    <t>Atlas Financial 3940</t>
  </si>
  <si>
    <t>SEC03941</t>
  </si>
  <si>
    <t>Pioneer Fund 3941</t>
  </si>
  <si>
    <t>SEC03942</t>
  </si>
  <si>
    <t>Pioneer Technology 3942</t>
  </si>
  <si>
    <t>SEC03943</t>
  </si>
  <si>
    <t>Vertex Fund 3943</t>
  </si>
  <si>
    <t>SEC03944</t>
  </si>
  <si>
    <t>Liberty Markets 3944</t>
  </si>
  <si>
    <t>SEC03945</t>
  </si>
  <si>
    <t>Nova Markets 3945</t>
  </si>
  <si>
    <t>SEC03946</t>
  </si>
  <si>
    <t>Nova Holdings 3946</t>
  </si>
  <si>
    <t>SEC03947</t>
  </si>
  <si>
    <t>Sterling Fund 3947</t>
  </si>
  <si>
    <t>SEC03948</t>
  </si>
  <si>
    <t>Sterling Markets 3948</t>
  </si>
  <si>
    <t>SEC03949</t>
  </si>
  <si>
    <t>Atlas Capital 3949</t>
  </si>
  <si>
    <t>SEC03950</t>
  </si>
  <si>
    <t>Cedar Markets 3950</t>
  </si>
  <si>
    <t>SEC03951</t>
  </si>
  <si>
    <t>Liberty Partners 3951</t>
  </si>
  <si>
    <t>SEC03952</t>
  </si>
  <si>
    <t>Orion Industries 3952</t>
  </si>
  <si>
    <t>SEC03953</t>
  </si>
  <si>
    <t>Atlas Markets 3953</t>
  </si>
  <si>
    <t>SEC03954</t>
  </si>
  <si>
    <t>Orion Technology 3954</t>
  </si>
  <si>
    <t>SEC03955</t>
  </si>
  <si>
    <t>Summit Markets 3955</t>
  </si>
  <si>
    <t>SEC03956</t>
  </si>
  <si>
    <t>Alpha Energy 3956</t>
  </si>
  <si>
    <t>SEC03957</t>
  </si>
  <si>
    <t>Harbor Group 3957</t>
  </si>
  <si>
    <t>SEC03958</t>
  </si>
  <si>
    <t>Atlas Markets 3958</t>
  </si>
  <si>
    <t>SEC03959</t>
  </si>
  <si>
    <t>Cedar Capital 3959</t>
  </si>
  <si>
    <t>SEC03960</t>
  </si>
  <si>
    <t>Nova Technology 3960</t>
  </si>
  <si>
    <t>SEC03961</t>
  </si>
  <si>
    <t>Vertex Capital 3961</t>
  </si>
  <si>
    <t>SEC03962</t>
  </si>
  <si>
    <t>Delta Industries 3962</t>
  </si>
  <si>
    <t>SEC03963</t>
  </si>
  <si>
    <t>Atlas Energy 3963</t>
  </si>
  <si>
    <t>SEC03964</t>
  </si>
  <si>
    <t>Orion Energy 3964</t>
  </si>
  <si>
    <t>SEC03965</t>
  </si>
  <si>
    <t>Vertex Holdings 3965</t>
  </si>
  <si>
    <t>SEC03966</t>
  </si>
  <si>
    <t>Cedar Holdings 3966</t>
  </si>
  <si>
    <t>SEC03967</t>
  </si>
  <si>
    <t>Delta Group 3967</t>
  </si>
  <si>
    <t>SEC03968</t>
  </si>
  <si>
    <t>Cedar Technology 3968</t>
  </si>
  <si>
    <t>SEC03969</t>
  </si>
  <si>
    <t>Delta Industries 3969</t>
  </si>
  <si>
    <t>SEC03970</t>
  </si>
  <si>
    <t>Cedar Industries 3970</t>
  </si>
  <si>
    <t>SEC03971</t>
  </si>
  <si>
    <t>Harbor Capital 3971</t>
  </si>
  <si>
    <t>SEC03972</t>
  </si>
  <si>
    <t>Cedar Industries 3972</t>
  </si>
  <si>
    <t>SEC03973</t>
  </si>
  <si>
    <t>Summit Financial 3973</t>
  </si>
  <si>
    <t>SEC03974</t>
  </si>
  <si>
    <t>Nova Group 3974</t>
  </si>
  <si>
    <t>SEC03975</t>
  </si>
  <si>
    <t>Orion Financial 3975</t>
  </si>
  <si>
    <t>SEC03976</t>
  </si>
  <si>
    <t>Nova Fund 3976</t>
  </si>
  <si>
    <t>SEC03977</t>
  </si>
  <si>
    <t>Orion Partners 3977</t>
  </si>
  <si>
    <t>SEC03978</t>
  </si>
  <si>
    <t>Orion Partners 3978</t>
  </si>
  <si>
    <t>SEC03979</t>
  </si>
  <si>
    <t>Nova Capital 3979</t>
  </si>
  <si>
    <t>SEC03980</t>
  </si>
  <si>
    <t>Orion Holdings 3980</t>
  </si>
  <si>
    <t>SEC03981</t>
  </si>
  <si>
    <t>Atlas Technology 3981</t>
  </si>
  <si>
    <t>SEC03982</t>
  </si>
  <si>
    <t>Cedar Fund 3982</t>
  </si>
  <si>
    <t>SEC03983</t>
  </si>
  <si>
    <t>Sterling Fund 3983</t>
  </si>
  <si>
    <t>SEC03984</t>
  </si>
  <si>
    <t>Atlas Industries 3984</t>
  </si>
  <si>
    <t>SEC03985</t>
  </si>
  <si>
    <t>Liberty Financial 3985</t>
  </si>
  <si>
    <t>SEC03986</t>
  </si>
  <si>
    <t>Liberty Industries 3986</t>
  </si>
  <si>
    <t>SEC03987</t>
  </si>
  <si>
    <t>Atlas Financial 3987</t>
  </si>
  <si>
    <t>SEC03988</t>
  </si>
  <si>
    <t>Delta Group 3988</t>
  </si>
  <si>
    <t>SEC03989</t>
  </si>
  <si>
    <t>Vertex Fund 3989</t>
  </si>
  <si>
    <t>SEC03990</t>
  </si>
  <si>
    <t>Pioneer Energy 3990</t>
  </si>
  <si>
    <t>SEC03991</t>
  </si>
  <si>
    <t>Cedar Fund 3991</t>
  </si>
  <si>
    <t>SEC03992</t>
  </si>
  <si>
    <t>Harbor Markets 3992</t>
  </si>
  <si>
    <t>SEC03993</t>
  </si>
  <si>
    <t>Summit Partners 3993</t>
  </si>
  <si>
    <t>SEC03994</t>
  </si>
  <si>
    <t>Summit Fund 3994</t>
  </si>
  <si>
    <t>SEC03995</t>
  </si>
  <si>
    <t>Summit Technology 3995</t>
  </si>
  <si>
    <t>SEC03996</t>
  </si>
  <si>
    <t>Atlas Markets 3996</t>
  </si>
  <si>
    <t>SEC03997</t>
  </si>
  <si>
    <t>Cedar Capital 3997</t>
  </si>
  <si>
    <t>SEC03998</t>
  </si>
  <si>
    <t>Sterling Markets 3998</t>
  </si>
  <si>
    <t>SEC03999</t>
  </si>
  <si>
    <t>Nova Partners 3999</t>
  </si>
  <si>
    <t>SEC04000</t>
  </si>
  <si>
    <t>Alpha Energy 4000</t>
  </si>
  <si>
    <t>SEC04001</t>
  </si>
  <si>
    <t>Nova Capital 4001</t>
  </si>
  <si>
    <t>SEC04002</t>
  </si>
  <si>
    <t>Nova Energy 4002</t>
  </si>
  <si>
    <t>SEC04003</t>
  </si>
  <si>
    <t>Liberty Financial 4003</t>
  </si>
  <si>
    <t>SEC04004</t>
  </si>
  <si>
    <t>Orion Capital 4004</t>
  </si>
  <si>
    <t>SEC04005</t>
  </si>
  <si>
    <t>Summit Energy 4005</t>
  </si>
  <si>
    <t>SEC04006</t>
  </si>
  <si>
    <t>Delta Energy 4006</t>
  </si>
  <si>
    <t>SEC04007</t>
  </si>
  <si>
    <t>Sterling Partners 4007</t>
  </si>
  <si>
    <t>SEC04008</t>
  </si>
  <si>
    <t>Nova Holdings 4008</t>
  </si>
  <si>
    <t>SEC04009</t>
  </si>
  <si>
    <t>Pioneer Technology 4009</t>
  </si>
  <si>
    <t>SEC04010</t>
  </si>
  <si>
    <t>Summit Energy 4010</t>
  </si>
  <si>
    <t>SEC04011</t>
  </si>
  <si>
    <t>Cedar Group 4011</t>
  </si>
  <si>
    <t>SEC04012</t>
  </si>
  <si>
    <t>Delta Fund 4012</t>
  </si>
  <si>
    <t>SEC04013</t>
  </si>
  <si>
    <t>Atlas Group 4013</t>
  </si>
  <si>
    <t>SEC04014</t>
  </si>
  <si>
    <t>Pioneer Holdings 4014</t>
  </si>
  <si>
    <t>SEC04015</t>
  </si>
  <si>
    <t>Alpha Holdings 4015</t>
  </si>
  <si>
    <t>SEC04016</t>
  </si>
  <si>
    <t>Atlas Group 4016</t>
  </si>
  <si>
    <t>SEC04017</t>
  </si>
  <si>
    <t>Atlas Markets 4017</t>
  </si>
  <si>
    <t>SEC04018</t>
  </si>
  <si>
    <t>Atlas Energy 4018</t>
  </si>
  <si>
    <t>SEC04019</t>
  </si>
  <si>
    <t>Cedar Capital 4019</t>
  </si>
  <si>
    <t>SEC04020</t>
  </si>
  <si>
    <t>Summit Partners 4020</t>
  </si>
  <si>
    <t>SEC04021</t>
  </si>
  <si>
    <t>Summit Fund 4021</t>
  </si>
  <si>
    <t>SEC04022</t>
  </si>
  <si>
    <t>Atlas Capital 4022</t>
  </si>
  <si>
    <t>SEC04023</t>
  </si>
  <si>
    <t>Nova Industries 4023</t>
  </si>
  <si>
    <t>SEC04024</t>
  </si>
  <si>
    <t>Cedar Capital 4024</t>
  </si>
  <si>
    <t>SEC04025</t>
  </si>
  <si>
    <t>Delta Markets 4025</t>
  </si>
  <si>
    <t>SEC04026</t>
  </si>
  <si>
    <t>Vertex Group 4026</t>
  </si>
  <si>
    <t>SEC04027</t>
  </si>
  <si>
    <t>Pioneer Group 4027</t>
  </si>
  <si>
    <t>SEC04028</t>
  </si>
  <si>
    <t>Sterling Capital 4028</t>
  </si>
  <si>
    <t>SEC04029</t>
  </si>
  <si>
    <t>Orion Partners 4029</t>
  </si>
  <si>
    <t>SEC04030</t>
  </si>
  <si>
    <t>Orion Financial 4030</t>
  </si>
  <si>
    <t>SEC04031</t>
  </si>
  <si>
    <t>Delta Fund 4031</t>
  </si>
  <si>
    <t>SEC04032</t>
  </si>
  <si>
    <t>Summit Technology 4032</t>
  </si>
  <si>
    <t>SEC04033</t>
  </si>
  <si>
    <t>Cedar Group 4033</t>
  </si>
  <si>
    <t>SEC04034</t>
  </si>
  <si>
    <t>Pioneer Partners 4034</t>
  </si>
  <si>
    <t>SEC04035</t>
  </si>
  <si>
    <t>Vertex Markets 4035</t>
  </si>
  <si>
    <t>SEC04036</t>
  </si>
  <si>
    <t>Delta Financial 4036</t>
  </si>
  <si>
    <t>SEC04037</t>
  </si>
  <si>
    <t>Delta Technology 4037</t>
  </si>
  <si>
    <t>SEC04038</t>
  </si>
  <si>
    <t>Liberty Energy 4038</t>
  </si>
  <si>
    <t>SEC04039</t>
  </si>
  <si>
    <t>Vertex Energy 4039</t>
  </si>
  <si>
    <t>SEC04040</t>
  </si>
  <si>
    <t>Summit Partners 4040</t>
  </si>
  <si>
    <t>SEC04041</t>
  </si>
  <si>
    <t>Vertex Technology 4041</t>
  </si>
  <si>
    <t>SEC04042</t>
  </si>
  <si>
    <t>Pioneer Markets 4042</t>
  </si>
  <si>
    <t>SEC04043</t>
  </si>
  <si>
    <t>Cedar Energy 4043</t>
  </si>
  <si>
    <t>SEC04044</t>
  </si>
  <si>
    <t>Nova Industries 4044</t>
  </si>
  <si>
    <t>SEC04045</t>
  </si>
  <si>
    <t>Summit Markets 4045</t>
  </si>
  <si>
    <t>SEC04046</t>
  </si>
  <si>
    <t>Liberty Group 4046</t>
  </si>
  <si>
    <t>SEC04047</t>
  </si>
  <si>
    <t>Delta Fund 4047</t>
  </si>
  <si>
    <t>SEC04048</t>
  </si>
  <si>
    <t>Orion Capital 4048</t>
  </si>
  <si>
    <t>SEC04049</t>
  </si>
  <si>
    <t>Orion Group 4049</t>
  </si>
  <si>
    <t>SEC04050</t>
  </si>
  <si>
    <t>Cedar Capital 4050</t>
  </si>
  <si>
    <t>SEC04051</t>
  </si>
  <si>
    <t>Vertex Capital 4051</t>
  </si>
  <si>
    <t>SEC04052</t>
  </si>
  <si>
    <t>Harbor Fund 4052</t>
  </si>
  <si>
    <t>SEC04053</t>
  </si>
  <si>
    <t>Vertex Partners 4053</t>
  </si>
  <si>
    <t>SEC04054</t>
  </si>
  <si>
    <t>Liberty Fund 4054</t>
  </si>
  <si>
    <t>SEC04055</t>
  </si>
  <si>
    <t>Delta Fund 4055</t>
  </si>
  <si>
    <t>SEC04056</t>
  </si>
  <si>
    <t>Sterling Group 4056</t>
  </si>
  <si>
    <t>SEC04057</t>
  </si>
  <si>
    <t>Delta Financial 4057</t>
  </si>
  <si>
    <t>SEC04058</t>
  </si>
  <si>
    <t>Cedar Markets 4058</t>
  </si>
  <si>
    <t>SEC04059</t>
  </si>
  <si>
    <t>Sterling Markets 4059</t>
  </si>
  <si>
    <t>SEC04060</t>
  </si>
  <si>
    <t>Orion Financial 4060</t>
  </si>
  <si>
    <t>SEC04061</t>
  </si>
  <si>
    <t>Atlas Capital 4061</t>
  </si>
  <si>
    <t>SEC04062</t>
  </si>
  <si>
    <t>Atlas Holdings 4062</t>
  </si>
  <si>
    <t>SEC04063</t>
  </si>
  <si>
    <t>Alpha Markets 4063</t>
  </si>
  <si>
    <t>SEC04064</t>
  </si>
  <si>
    <t>Delta Energy 4064</t>
  </si>
  <si>
    <t>SEC04065</t>
  </si>
  <si>
    <t>Atlas Holdings 4065</t>
  </si>
  <si>
    <t>SEC04066</t>
  </si>
  <si>
    <t>Vertex Technology 4066</t>
  </si>
  <si>
    <t>SEC04067</t>
  </si>
  <si>
    <t>Summit Energy 4067</t>
  </si>
  <si>
    <t>SEC04068</t>
  </si>
  <si>
    <t>Liberty Energy 4068</t>
  </si>
  <si>
    <t>SEC04069</t>
  </si>
  <si>
    <t>Harbor Partners 4069</t>
  </si>
  <si>
    <t>SEC04070</t>
  </si>
  <si>
    <t>Cedar Energy 4070</t>
  </si>
  <si>
    <t>SEC04071</t>
  </si>
  <si>
    <t>Nova Fund 4071</t>
  </si>
  <si>
    <t>SEC04072</t>
  </si>
  <si>
    <t>Orion Industries 4072</t>
  </si>
  <si>
    <t>SEC04073</t>
  </si>
  <si>
    <t>Orion Holdings 4073</t>
  </si>
  <si>
    <t>SEC04074</t>
  </si>
  <si>
    <t>Delta Group 4074</t>
  </si>
  <si>
    <t>SEC04075</t>
  </si>
  <si>
    <t>Nova Financial 4075</t>
  </si>
  <si>
    <t>SEC04076</t>
  </si>
  <si>
    <t>Sterling Holdings 4076</t>
  </si>
  <si>
    <t>SEC04077</t>
  </si>
  <si>
    <t>Delta Energy 4077</t>
  </si>
  <si>
    <t>SEC04078</t>
  </si>
  <si>
    <t>Cedar Group 4078</t>
  </si>
  <si>
    <t>SEC04079</t>
  </si>
  <si>
    <t>Nova Holdings 4079</t>
  </si>
  <si>
    <t>SEC04080</t>
  </si>
  <si>
    <t>Delta Financial 4080</t>
  </si>
  <si>
    <t>SEC04081</t>
  </si>
  <si>
    <t>Delta Capital 4081</t>
  </si>
  <si>
    <t>SEC04082</t>
  </si>
  <si>
    <t>Atlas Energy 4082</t>
  </si>
  <si>
    <t>SEC04083</t>
  </si>
  <si>
    <t>Summit Financial 4083</t>
  </si>
  <si>
    <t>SEC04084</t>
  </si>
  <si>
    <t>Cedar Capital 4084</t>
  </si>
  <si>
    <t>SEC04085</t>
  </si>
  <si>
    <t>Cedar Group 4085</t>
  </si>
  <si>
    <t>SEC04086</t>
  </si>
  <si>
    <t>Delta Industries 4086</t>
  </si>
  <si>
    <t>SEC04087</t>
  </si>
  <si>
    <t>Atlas Energy 4087</t>
  </si>
  <si>
    <t>SEC04088</t>
  </si>
  <si>
    <t>Liberty Holdings 4088</t>
  </si>
  <si>
    <t>SEC04089</t>
  </si>
  <si>
    <t>Harbor Financial 4089</t>
  </si>
  <si>
    <t>SEC04090</t>
  </si>
  <si>
    <t>Cedar Industries 4090</t>
  </si>
  <si>
    <t>SEC04091</t>
  </si>
  <si>
    <t>Liberty Technology 4091</t>
  </si>
  <si>
    <t>SEC04092</t>
  </si>
  <si>
    <t>Harbor Industries 4092</t>
  </si>
  <si>
    <t>SEC04093</t>
  </si>
  <si>
    <t>Alpha Markets 4093</t>
  </si>
  <si>
    <t>SEC04094</t>
  </si>
  <si>
    <t>Alpha Fund 4094</t>
  </si>
  <si>
    <t>SEC04095</t>
  </si>
  <si>
    <t>Summit Technology 4095</t>
  </si>
  <si>
    <t>SEC04096</t>
  </si>
  <si>
    <t>Delta Capital 4096</t>
  </si>
  <si>
    <t>SEC04097</t>
  </si>
  <si>
    <t>Orion Technology 4097</t>
  </si>
  <si>
    <t>SEC04098</t>
  </si>
  <si>
    <t>Harbor Technology 4098</t>
  </si>
  <si>
    <t>SEC04099</t>
  </si>
  <si>
    <t>Liberty Technology 4099</t>
  </si>
  <si>
    <t>SEC04100</t>
  </si>
  <si>
    <t>Harbor Capital 4100</t>
  </si>
  <si>
    <t>SEC04101</t>
  </si>
  <si>
    <t>Pioneer Fund 4101</t>
  </si>
  <si>
    <t>SEC04102</t>
  </si>
  <si>
    <t>Nova Fund 4102</t>
  </si>
  <si>
    <t>SEC04103</t>
  </si>
  <si>
    <t>Delta Markets 4103</t>
  </si>
  <si>
    <t>SEC04104</t>
  </si>
  <si>
    <t>Orion Technology 4104</t>
  </si>
  <si>
    <t>SEC04105</t>
  </si>
  <si>
    <t>Summit Technology 4105</t>
  </si>
  <si>
    <t>SEC04106</t>
  </si>
  <si>
    <t>Cedar Capital 4106</t>
  </si>
  <si>
    <t>SEC04107</t>
  </si>
  <si>
    <t>Cedar Group 4107</t>
  </si>
  <si>
    <t>SEC04108</t>
  </si>
  <si>
    <t>Pioneer Energy 4108</t>
  </si>
  <si>
    <t>SEC04109</t>
  </si>
  <si>
    <t>Vertex Industries 4109</t>
  </si>
  <si>
    <t>SEC04110</t>
  </si>
  <si>
    <t>Vertex Industries 4110</t>
  </si>
  <si>
    <t>SEC04111</t>
  </si>
  <si>
    <t>Liberty Technology 4111</t>
  </si>
  <si>
    <t>SEC04112</t>
  </si>
  <si>
    <t>Vertex Group 4112</t>
  </si>
  <si>
    <t>SEC04113</t>
  </si>
  <si>
    <t>Summit Partners 4113</t>
  </si>
  <si>
    <t>SEC04114</t>
  </si>
  <si>
    <t>Atlas Financial 4114</t>
  </si>
  <si>
    <t>SEC04115</t>
  </si>
  <si>
    <t>Pioneer Capital 4115</t>
  </si>
  <si>
    <t>SEC04116</t>
  </si>
  <si>
    <t>Harbor Fund 4116</t>
  </si>
  <si>
    <t>SEC04117</t>
  </si>
  <si>
    <t>Nova Industries 4117</t>
  </si>
  <si>
    <t>SEC04118</t>
  </si>
  <si>
    <t>Summit Holdings 4118</t>
  </si>
  <si>
    <t>SEC04119</t>
  </si>
  <si>
    <t>Harbor Markets 4119</t>
  </si>
  <si>
    <t>SEC04120</t>
  </si>
  <si>
    <t>Pioneer Industries 4120</t>
  </si>
  <si>
    <t>SEC04121</t>
  </si>
  <si>
    <t>Atlas Markets 4121</t>
  </si>
  <si>
    <t>SEC04122</t>
  </si>
  <si>
    <t>Pioneer Capital 4122</t>
  </si>
  <si>
    <t>SEC04123</t>
  </si>
  <si>
    <t>Alpha Group 4123</t>
  </si>
  <si>
    <t>SEC04124</t>
  </si>
  <si>
    <t>Vertex Partners 4124</t>
  </si>
  <si>
    <t>SEC04125</t>
  </si>
  <si>
    <t>Vertex Holdings 4125</t>
  </si>
  <si>
    <t>SEC04126</t>
  </si>
  <si>
    <t>Orion Holdings 4126</t>
  </si>
  <si>
    <t>SEC04127</t>
  </si>
  <si>
    <t>Vertex Capital 4127</t>
  </si>
  <si>
    <t>SEC04128</t>
  </si>
  <si>
    <t>Orion Financial 4128</t>
  </si>
  <si>
    <t>SEC04129</t>
  </si>
  <si>
    <t>Pioneer Technology 4129</t>
  </si>
  <si>
    <t>SEC04130</t>
  </si>
  <si>
    <t>Nova Fund 4130</t>
  </si>
  <si>
    <t>SEC04131</t>
  </si>
  <si>
    <t>Sterling Capital 4131</t>
  </si>
  <si>
    <t>SEC04132</t>
  </si>
  <si>
    <t>Delta Group 4132</t>
  </si>
  <si>
    <t>SEC04133</t>
  </si>
  <si>
    <t>Nova Markets 4133</t>
  </si>
  <si>
    <t>SEC04134</t>
  </si>
  <si>
    <t>Pioneer Partners 4134</t>
  </si>
  <si>
    <t>SEC04135</t>
  </si>
  <si>
    <t>Atlas Technology 4135</t>
  </si>
  <si>
    <t>SEC04136</t>
  </si>
  <si>
    <t>Orion Holdings 4136</t>
  </si>
  <si>
    <t>SEC04137</t>
  </si>
  <si>
    <t>Delta Financial 4137</t>
  </si>
  <si>
    <t>SEC04138</t>
  </si>
  <si>
    <t>Summit Fund 4138</t>
  </si>
  <si>
    <t>SEC04139</t>
  </si>
  <si>
    <t>Sterling Holdings 4139</t>
  </si>
  <si>
    <t>SEC04140</t>
  </si>
  <si>
    <t>Summit Financial 4140</t>
  </si>
  <si>
    <t>SEC04141</t>
  </si>
  <si>
    <t>Alpha Industries 4141</t>
  </si>
  <si>
    <t>SEC04142</t>
  </si>
  <si>
    <t>Delta Technology 4142</t>
  </si>
  <si>
    <t>SEC04143</t>
  </si>
  <si>
    <t>Orion Group 4143</t>
  </si>
  <si>
    <t>SEC04144</t>
  </si>
  <si>
    <t>Cedar Industries 4144</t>
  </si>
  <si>
    <t>SEC04145</t>
  </si>
  <si>
    <t>Alpha Industries 4145</t>
  </si>
  <si>
    <t>SEC04146</t>
  </si>
  <si>
    <t>Harbor Fund 4146</t>
  </si>
  <si>
    <t>SEC04147</t>
  </si>
  <si>
    <t>Alpha Group 4147</t>
  </si>
  <si>
    <t>SEC04148</t>
  </si>
  <si>
    <t>Summit Group 4148</t>
  </si>
  <si>
    <t>SEC04149</t>
  </si>
  <si>
    <t>Cedar Financial 4149</t>
  </si>
  <si>
    <t>SEC04150</t>
  </si>
  <si>
    <t>Atlas Group 4150</t>
  </si>
  <si>
    <t>SEC04151</t>
  </si>
  <si>
    <t>Alpha Industries 4151</t>
  </si>
  <si>
    <t>SEC04152</t>
  </si>
  <si>
    <t>Alpha Markets 4152</t>
  </si>
  <si>
    <t>SEC04153</t>
  </si>
  <si>
    <t>Pioneer Group 4153</t>
  </si>
  <si>
    <t>SEC04154</t>
  </si>
  <si>
    <t>Orion Markets 4154</t>
  </si>
  <si>
    <t>SEC04155</t>
  </si>
  <si>
    <t>Cedar Partners 4155</t>
  </si>
  <si>
    <t>SEC04156</t>
  </si>
  <si>
    <t>Atlas Markets 4156</t>
  </si>
  <si>
    <t>SEC04157</t>
  </si>
  <si>
    <t>Nova Technology 4157</t>
  </si>
  <si>
    <t>SEC04158</t>
  </si>
  <si>
    <t>Liberty Holdings 4158</t>
  </si>
  <si>
    <t>SEC04159</t>
  </si>
  <si>
    <t>Liberty Fund 4159</t>
  </si>
  <si>
    <t>SEC04160</t>
  </si>
  <si>
    <t>Orion Industries 4160</t>
  </si>
  <si>
    <t>SEC04161</t>
  </si>
  <si>
    <t>Vertex Capital 4161</t>
  </si>
  <si>
    <t>SEC04162</t>
  </si>
  <si>
    <t>Pioneer Group 4162</t>
  </si>
  <si>
    <t>SEC04163</t>
  </si>
  <si>
    <t>Cedar Partners 4163</t>
  </si>
  <si>
    <t>SEC04164</t>
  </si>
  <si>
    <t>Liberty Fund 4164</t>
  </si>
  <si>
    <t>SEC04165</t>
  </si>
  <si>
    <t>Delta Technology 4165</t>
  </si>
  <si>
    <t>SEC04166</t>
  </si>
  <si>
    <t>Atlas Financial 4166</t>
  </si>
  <si>
    <t>SEC04167</t>
  </si>
  <si>
    <t>Atlas Industries 4167</t>
  </si>
  <si>
    <t>SEC04168</t>
  </si>
  <si>
    <t>Alpha Energy 4168</t>
  </si>
  <si>
    <t>SEC04169</t>
  </si>
  <si>
    <t>Nova Energy 4169</t>
  </si>
  <si>
    <t>SEC04170</t>
  </si>
  <si>
    <t>Orion Financial 4170</t>
  </si>
  <si>
    <t>SEC04171</t>
  </si>
  <si>
    <t>Sterling Markets 4171</t>
  </si>
  <si>
    <t>SEC04172</t>
  </si>
  <si>
    <t>Delta Financial 4172</t>
  </si>
  <si>
    <t>SEC04173</t>
  </si>
  <si>
    <t>Orion Capital 4173</t>
  </si>
  <si>
    <t>SEC04174</t>
  </si>
  <si>
    <t>Cedar Technology 4174</t>
  </si>
  <si>
    <t>SEC04175</t>
  </si>
  <si>
    <t>Pioneer Financial 4175</t>
  </si>
  <si>
    <t>SEC04176</t>
  </si>
  <si>
    <t>Cedar Partners 4176</t>
  </si>
  <si>
    <t>SEC04177</t>
  </si>
  <si>
    <t>Vertex Markets 4177</t>
  </si>
  <si>
    <t>SEC04178</t>
  </si>
  <si>
    <t>Harbor Energy 4178</t>
  </si>
  <si>
    <t>SEC04179</t>
  </si>
  <si>
    <t>Sterling Industries 4179</t>
  </si>
  <si>
    <t>SEC04180</t>
  </si>
  <si>
    <t>Orion Technology 4180</t>
  </si>
  <si>
    <t>SEC04181</t>
  </si>
  <si>
    <t>Cedar Financial 4181</t>
  </si>
  <si>
    <t>SEC04182</t>
  </si>
  <si>
    <t>Harbor Fund 4182</t>
  </si>
  <si>
    <t>SEC04183</t>
  </si>
  <si>
    <t>Harbor Capital 4183</t>
  </si>
  <si>
    <t>SEC04184</t>
  </si>
  <si>
    <t>Delta Group 4184</t>
  </si>
  <si>
    <t>SEC04185</t>
  </si>
  <si>
    <t>Nova Holdings 4185</t>
  </si>
  <si>
    <t>SEC04186</t>
  </si>
  <si>
    <t>Alpha Capital 4186</t>
  </si>
  <si>
    <t>SEC04187</t>
  </si>
  <si>
    <t>Pioneer Capital 4187</t>
  </si>
  <si>
    <t>SEC04188</t>
  </si>
  <si>
    <t>Vertex Technology 4188</t>
  </si>
  <si>
    <t>SEC04189</t>
  </si>
  <si>
    <t>Summit Capital 4189</t>
  </si>
  <si>
    <t>SEC04190</t>
  </si>
  <si>
    <t>Nova Capital 4190</t>
  </si>
  <si>
    <t>SEC04191</t>
  </si>
  <si>
    <t>Pioneer Partners 4191</t>
  </si>
  <si>
    <t>SEC04192</t>
  </si>
  <si>
    <t>Vertex Holdings 4192</t>
  </si>
  <si>
    <t>SEC04193</t>
  </si>
  <si>
    <t>Nova Holdings 4193</t>
  </si>
  <si>
    <t>SEC04194</t>
  </si>
  <si>
    <t>Summit Markets 4194</t>
  </si>
  <si>
    <t>SEC04195</t>
  </si>
  <si>
    <t>Summit Group 4195</t>
  </si>
  <si>
    <t>SEC04196</t>
  </si>
  <si>
    <t>Delta Partners 4196</t>
  </si>
  <si>
    <t>SEC04197</t>
  </si>
  <si>
    <t>Vertex Holdings 4197</t>
  </si>
  <si>
    <t>SEC04198</t>
  </si>
  <si>
    <t>Sterling Holdings 4198</t>
  </si>
  <si>
    <t>SEC04199</t>
  </si>
  <si>
    <t>Alpha Capital 4199</t>
  </si>
  <si>
    <t>SEC04200</t>
  </si>
  <si>
    <t>Nova Financial 4200</t>
  </si>
  <si>
    <t>SEC04201</t>
  </si>
  <si>
    <t>Harbor Partners 4201</t>
  </si>
  <si>
    <t>SEC04202</t>
  </si>
  <si>
    <t>Harbor Industries 4202</t>
  </si>
  <si>
    <t>SEC04203</t>
  </si>
  <si>
    <t>Atlas Partners 4203</t>
  </si>
  <si>
    <t>SEC04204</t>
  </si>
  <si>
    <t>Sterling Holdings 4204</t>
  </si>
  <si>
    <t>SEC04205</t>
  </si>
  <si>
    <t>Nova Financial 4205</t>
  </si>
  <si>
    <t>SEC04206</t>
  </si>
  <si>
    <t>Liberty Industries 4206</t>
  </si>
  <si>
    <t>SEC04207</t>
  </si>
  <si>
    <t>Orion Fund 4207</t>
  </si>
  <si>
    <t>SEC04208</t>
  </si>
  <si>
    <t>Alpha Industries 4208</t>
  </si>
  <si>
    <t>SEC04209</t>
  </si>
  <si>
    <t>Liberty Group 4209</t>
  </si>
  <si>
    <t>SEC04210</t>
  </si>
  <si>
    <t>Vertex Partners 4210</t>
  </si>
  <si>
    <t>SEC04211</t>
  </si>
  <si>
    <t>Liberty Holdings 4211</t>
  </si>
  <si>
    <t>SEC04212</t>
  </si>
  <si>
    <t>Pioneer Fund 4212</t>
  </si>
  <si>
    <t>SEC04213</t>
  </si>
  <si>
    <t>Summit Capital 4213</t>
  </si>
  <si>
    <t>SEC04214</t>
  </si>
  <si>
    <t>Sterling Group 4214</t>
  </si>
  <si>
    <t>SEC04215</t>
  </si>
  <si>
    <t>Orion Fund 4215</t>
  </si>
  <si>
    <t>SEC04216</t>
  </si>
  <si>
    <t>Sterling Technology 4216</t>
  </si>
  <si>
    <t>SEC04217</t>
  </si>
  <si>
    <t>Pioneer Technology 4217</t>
  </si>
  <si>
    <t>SEC04218</t>
  </si>
  <si>
    <t>Harbor Markets 4218</t>
  </si>
  <si>
    <t>SEC04219</t>
  </si>
  <si>
    <t>Orion Technology 4219</t>
  </si>
  <si>
    <t>SEC04220</t>
  </si>
  <si>
    <t>Alpha Technology 4220</t>
  </si>
  <si>
    <t>SEC04221</t>
  </si>
  <si>
    <t>Nova Financial 4221</t>
  </si>
  <si>
    <t>SEC04222</t>
  </si>
  <si>
    <t>Alpha Markets 4222</t>
  </si>
  <si>
    <t>SEC04223</t>
  </si>
  <si>
    <t>Orion Group 4223</t>
  </si>
  <si>
    <t>SEC04224</t>
  </si>
  <si>
    <t>Cedar Partners 4224</t>
  </si>
  <si>
    <t>SEC04225</t>
  </si>
  <si>
    <t>Vertex Markets 4225</t>
  </si>
  <si>
    <t>SEC04226</t>
  </si>
  <si>
    <t>Alpha Group 4226</t>
  </si>
  <si>
    <t>SEC04227</t>
  </si>
  <si>
    <t>Summit Industries 4227</t>
  </si>
  <si>
    <t>SEC04228</t>
  </si>
  <si>
    <t>Sterling Group 4228</t>
  </si>
  <si>
    <t>SEC04229</t>
  </si>
  <si>
    <t>Sterling Capital 4229</t>
  </si>
  <si>
    <t>SEC04230</t>
  </si>
  <si>
    <t>Alpha Technology 4230</t>
  </si>
  <si>
    <t>SEC04231</t>
  </si>
  <si>
    <t>Delta Capital 4231</t>
  </si>
  <si>
    <t>SEC04232</t>
  </si>
  <si>
    <t>Delta Technology 4232</t>
  </si>
  <si>
    <t>SEC04233</t>
  </si>
  <si>
    <t>Orion Capital 4233</t>
  </si>
  <si>
    <t>SEC04234</t>
  </si>
  <si>
    <t>Pioneer Partners 4234</t>
  </si>
  <si>
    <t>SEC04235</t>
  </si>
  <si>
    <t>Vertex Markets 4235</t>
  </si>
  <si>
    <t>SEC04236</t>
  </si>
  <si>
    <t>Pioneer Group 4236</t>
  </si>
  <si>
    <t>SEC04237</t>
  </si>
  <si>
    <t>Liberty Holdings 4237</t>
  </si>
  <si>
    <t>SEC04238</t>
  </si>
  <si>
    <t>Pioneer Financial 4238</t>
  </si>
  <si>
    <t>SEC04239</t>
  </si>
  <si>
    <t>Pioneer Energy 4239</t>
  </si>
  <si>
    <t>SEC04240</t>
  </si>
  <si>
    <t>Cedar Technology 4240</t>
  </si>
  <si>
    <t>SEC04241</t>
  </si>
  <si>
    <t>Vertex Energy 4241</t>
  </si>
  <si>
    <t>SEC04242</t>
  </si>
  <si>
    <t>Summit Partners 4242</t>
  </si>
  <si>
    <t>SEC04243</t>
  </si>
  <si>
    <t>Alpha Capital 4243</t>
  </si>
  <si>
    <t>SEC04244</t>
  </si>
  <si>
    <t>Orion Industries 4244</t>
  </si>
  <si>
    <t>SEC04245</t>
  </si>
  <si>
    <t>Vertex Energy 4245</t>
  </si>
  <si>
    <t>SEC04246</t>
  </si>
  <si>
    <t>Sterling Group 4246</t>
  </si>
  <si>
    <t>SEC04247</t>
  </si>
  <si>
    <t>Atlas Group 4247</t>
  </si>
  <si>
    <t>SEC04248</t>
  </si>
  <si>
    <t>Summit Group 4248</t>
  </si>
  <si>
    <t>SEC04249</t>
  </si>
  <si>
    <t>Liberty Holdings 4249</t>
  </si>
  <si>
    <t>SEC04250</t>
  </si>
  <si>
    <t>Alpha Technology 4250</t>
  </si>
  <si>
    <t>SEC04251</t>
  </si>
  <si>
    <t>Alpha Financial 4251</t>
  </si>
  <si>
    <t>SEC04252</t>
  </si>
  <si>
    <t>Summit Holdings 4252</t>
  </si>
  <si>
    <t>SEC04253</t>
  </si>
  <si>
    <t>Delta Technology 4253</t>
  </si>
  <si>
    <t>SEC04254</t>
  </si>
  <si>
    <t>Cedar Energy 4254</t>
  </si>
  <si>
    <t>SEC04255</t>
  </si>
  <si>
    <t>Atlas Fund 4255</t>
  </si>
  <si>
    <t>SEC04256</t>
  </si>
  <si>
    <t>Nova Capital 4256</t>
  </si>
  <si>
    <t>SEC04257</t>
  </si>
  <si>
    <t>Pioneer Fund 4257</t>
  </si>
  <si>
    <t>SEC04258</t>
  </si>
  <si>
    <t>Cedar Markets 4258</t>
  </si>
  <si>
    <t>SEC04259</t>
  </si>
  <si>
    <t>Summit Partners 4259</t>
  </si>
  <si>
    <t>SEC04260</t>
  </si>
  <si>
    <t>Delta Markets 4260</t>
  </si>
  <si>
    <t>SEC04261</t>
  </si>
  <si>
    <t>Atlas Markets 4261</t>
  </si>
  <si>
    <t>SEC04262</t>
  </si>
  <si>
    <t>Cedar Holdings 4262</t>
  </si>
  <si>
    <t>SEC04263</t>
  </si>
  <si>
    <t>Cedar Capital 4263</t>
  </si>
  <si>
    <t>SEC04264</t>
  </si>
  <si>
    <t>Vertex Holdings 4264</t>
  </si>
  <si>
    <t>SEC04265</t>
  </si>
  <si>
    <t>Cedar Financial 4265</t>
  </si>
  <si>
    <t>SEC04266</t>
  </si>
  <si>
    <t>Cedar Group 4266</t>
  </si>
  <si>
    <t>SEC04267</t>
  </si>
  <si>
    <t>Nova Financial 4267</t>
  </si>
  <si>
    <t>SEC04268</t>
  </si>
  <si>
    <t>Pioneer Markets 4268</t>
  </si>
  <si>
    <t>SEC04269</t>
  </si>
  <si>
    <t>Sterling Industries 4269</t>
  </si>
  <si>
    <t>SEC04270</t>
  </si>
  <si>
    <t>Orion Technology 4270</t>
  </si>
  <si>
    <t>SEC04271</t>
  </si>
  <si>
    <t>Liberty Markets 4271</t>
  </si>
  <si>
    <t>SEC04272</t>
  </si>
  <si>
    <t>Alpha Partners 4272</t>
  </si>
  <si>
    <t>SEC04273</t>
  </si>
  <si>
    <t>Pioneer Group 4273</t>
  </si>
  <si>
    <t>SEC04274</t>
  </si>
  <si>
    <t>Orion Capital 4274</t>
  </si>
  <si>
    <t>SEC04275</t>
  </si>
  <si>
    <t>Nova Group 4275</t>
  </si>
  <si>
    <t>SEC04276</t>
  </si>
  <si>
    <t>Harbor Energy 4276</t>
  </si>
  <si>
    <t>SEC04277</t>
  </si>
  <si>
    <t>Sterling Group 4277</t>
  </si>
  <si>
    <t>SEC04278</t>
  </si>
  <si>
    <t>Sterling Financial 4278</t>
  </si>
  <si>
    <t>SEC04279</t>
  </si>
  <si>
    <t>Pioneer Technology 4279</t>
  </si>
  <si>
    <t>SEC04280</t>
  </si>
  <si>
    <t>Nova Markets 4280</t>
  </si>
  <si>
    <t>SEC04281</t>
  </si>
  <si>
    <t>Nova Partners 4281</t>
  </si>
  <si>
    <t>SEC04282</t>
  </si>
  <si>
    <t>Alpha Energy 4282</t>
  </si>
  <si>
    <t>SEC04283</t>
  </si>
  <si>
    <t>Liberty Partners 4283</t>
  </si>
  <si>
    <t>SEC04284</t>
  </si>
  <si>
    <t>Sterling Markets 4284</t>
  </si>
  <si>
    <t>SEC04285</t>
  </si>
  <si>
    <t>Sterling Partners 4285</t>
  </si>
  <si>
    <t>SEC04286</t>
  </si>
  <si>
    <t>Vertex Energy 4286</t>
  </si>
  <si>
    <t>SEC04287</t>
  </si>
  <si>
    <t>Vertex Energy 4287</t>
  </si>
  <si>
    <t>SEC04288</t>
  </si>
  <si>
    <t>Atlas Capital 4288</t>
  </si>
  <si>
    <t>SEC04289</t>
  </si>
  <si>
    <t>Delta Financial 4289</t>
  </si>
  <si>
    <t>SEC04290</t>
  </si>
  <si>
    <t>Alpha Capital 4290</t>
  </si>
  <si>
    <t>SEC04291</t>
  </si>
  <si>
    <t>Delta Holdings 4291</t>
  </si>
  <si>
    <t>SEC04292</t>
  </si>
  <si>
    <t>Nova Energy 4292</t>
  </si>
  <si>
    <t>SEC04293</t>
  </si>
  <si>
    <t>Nova Fund 4293</t>
  </si>
  <si>
    <t>SEC04294</t>
  </si>
  <si>
    <t>Atlas Group 4294</t>
  </si>
  <si>
    <t>SEC04295</t>
  </si>
  <si>
    <t>Vertex Capital 4295</t>
  </si>
  <si>
    <t>SEC04296</t>
  </si>
  <si>
    <t>Cedar Group 4296</t>
  </si>
  <si>
    <t>SEC04297</t>
  </si>
  <si>
    <t>Delta Partners 4297</t>
  </si>
  <si>
    <t>SEC04298</t>
  </si>
  <si>
    <t>Summit Financial 4298</t>
  </si>
  <si>
    <t>SEC04299</t>
  </si>
  <si>
    <t>Liberty Energy 4299</t>
  </si>
  <si>
    <t>SEC04300</t>
  </si>
  <si>
    <t>Summit Group 4300</t>
  </si>
  <si>
    <t>SEC04301</t>
  </si>
  <si>
    <t>Pioneer Energy 4301</t>
  </si>
  <si>
    <t>SEC04302</t>
  </si>
  <si>
    <t>Pioneer Financial 4302</t>
  </si>
  <si>
    <t>SEC04303</t>
  </si>
  <si>
    <t>Liberty Fund 4303</t>
  </si>
  <si>
    <t>SEC04304</t>
  </si>
  <si>
    <t>Alpha Capital 4304</t>
  </si>
  <si>
    <t>SEC04305</t>
  </si>
  <si>
    <t>Nova Capital 4305</t>
  </si>
  <si>
    <t>SEC04306</t>
  </si>
  <si>
    <t>Cedar Group 4306</t>
  </si>
  <si>
    <t>SEC04307</t>
  </si>
  <si>
    <t>Vertex Technology 4307</t>
  </si>
  <si>
    <t>SEC04308</t>
  </si>
  <si>
    <t>Sterling Group 4308</t>
  </si>
  <si>
    <t>SEC04309</t>
  </si>
  <si>
    <t>Harbor Partners 4309</t>
  </si>
  <si>
    <t>SEC04310</t>
  </si>
  <si>
    <t>Delta Technology 4310</t>
  </si>
  <si>
    <t>SEC04311</t>
  </si>
  <si>
    <t>Delta Financial 4311</t>
  </si>
  <si>
    <t>SEC04312</t>
  </si>
  <si>
    <t>Summit Holdings 4312</t>
  </si>
  <si>
    <t>SEC04313</t>
  </si>
  <si>
    <t>Cedar Technology 4313</t>
  </si>
  <si>
    <t>SEC04314</t>
  </si>
  <si>
    <t>Harbor Fund 4314</t>
  </si>
  <si>
    <t>SEC04315</t>
  </si>
  <si>
    <t>Liberty Capital 4315</t>
  </si>
  <si>
    <t>SEC04316</t>
  </si>
  <si>
    <t>Cedar Financial 4316</t>
  </si>
  <si>
    <t>SEC04317</t>
  </si>
  <si>
    <t>Delta Energy 4317</t>
  </si>
  <si>
    <t>SEC04318</t>
  </si>
  <si>
    <t>Harbor Capital 4318</t>
  </si>
  <si>
    <t>SEC04319</t>
  </si>
  <si>
    <t>Alpha Fund 4319</t>
  </si>
  <si>
    <t>SEC04320</t>
  </si>
  <si>
    <t>Alpha Industries 4320</t>
  </si>
  <si>
    <t>SEC04321</t>
  </si>
  <si>
    <t>Orion Industries 4321</t>
  </si>
  <si>
    <t>SEC04322</t>
  </si>
  <si>
    <t>Liberty Fund 4322</t>
  </si>
  <si>
    <t>SEC04323</t>
  </si>
  <si>
    <t>Sterling Group 4323</t>
  </si>
  <si>
    <t>SEC04324</t>
  </si>
  <si>
    <t>Atlas Capital 4324</t>
  </si>
  <si>
    <t>SEC04325</t>
  </si>
  <si>
    <t>Pioneer Group 4325</t>
  </si>
  <si>
    <t>SEC04326</t>
  </si>
  <si>
    <t>Delta Capital 4326</t>
  </si>
  <si>
    <t>SEC04327</t>
  </si>
  <si>
    <t>Cedar Industries 4327</t>
  </si>
  <si>
    <t>SEC04328</t>
  </si>
  <si>
    <t>Summit Technology 4328</t>
  </si>
  <si>
    <t>SEC04329</t>
  </si>
  <si>
    <t>Alpha Fund 4329</t>
  </si>
  <si>
    <t>SEC04330</t>
  </si>
  <si>
    <t>Vertex Holdings 4330</t>
  </si>
  <si>
    <t>SEC04331</t>
  </si>
  <si>
    <t>Delta Energy 4331</t>
  </si>
  <si>
    <t>SEC04332</t>
  </si>
  <si>
    <t>Sterling Markets 4332</t>
  </si>
  <si>
    <t>SEC04333</t>
  </si>
  <si>
    <t>Delta Markets 4333</t>
  </si>
  <si>
    <t>SEC04334</t>
  </si>
  <si>
    <t>Delta Partners 4334</t>
  </si>
  <si>
    <t>SEC04335</t>
  </si>
  <si>
    <t>Harbor Technology 4335</t>
  </si>
  <si>
    <t>SEC04336</t>
  </si>
  <si>
    <t>Harbor Industries 4336</t>
  </si>
  <si>
    <t>SEC04337</t>
  </si>
  <si>
    <t>Harbor Technology 4337</t>
  </si>
  <si>
    <t>SEC04338</t>
  </si>
  <si>
    <t>Pioneer Financial 4338</t>
  </si>
  <si>
    <t>SEC04339</t>
  </si>
  <si>
    <t>Nova Fund 4339</t>
  </si>
  <si>
    <t>SEC04340</t>
  </si>
  <si>
    <t>Orion Partners 4340</t>
  </si>
  <si>
    <t>SEC04341</t>
  </si>
  <si>
    <t>Harbor Capital 4341</t>
  </si>
  <si>
    <t>SEC04342</t>
  </si>
  <si>
    <t>Harbor Technology 4342</t>
  </si>
  <si>
    <t>SEC04343</t>
  </si>
  <si>
    <t>Vertex Holdings 4343</t>
  </si>
  <si>
    <t>SEC04344</t>
  </si>
  <si>
    <t>Sterling Financial 4344</t>
  </si>
  <si>
    <t>SEC04345</t>
  </si>
  <si>
    <t>Liberty Industries 4345</t>
  </si>
  <si>
    <t>SEC04346</t>
  </si>
  <si>
    <t>Atlas Markets 4346</t>
  </si>
  <si>
    <t>SEC04347</t>
  </si>
  <si>
    <t>Liberty Financial 4347</t>
  </si>
  <si>
    <t>SEC04348</t>
  </si>
  <si>
    <t>Atlas Energy 4348</t>
  </si>
  <si>
    <t>SEC04349</t>
  </si>
  <si>
    <t>Summit Industries 4349</t>
  </si>
  <si>
    <t>SEC04350</t>
  </si>
  <si>
    <t>Sterling Partners 4350</t>
  </si>
  <si>
    <t>SEC04351</t>
  </si>
  <si>
    <t>Pioneer Capital 4351</t>
  </si>
  <si>
    <t>SEC04352</t>
  </si>
  <si>
    <t>Cedar Industries 4352</t>
  </si>
  <si>
    <t>SEC04353</t>
  </si>
  <si>
    <t>Delta Technology 4353</t>
  </si>
  <si>
    <t>SEC04354</t>
  </si>
  <si>
    <t>Alpha Energy 4354</t>
  </si>
  <si>
    <t>SEC04355</t>
  </si>
  <si>
    <t>Summit Technology 4355</t>
  </si>
  <si>
    <t>SEC04356</t>
  </si>
  <si>
    <t>Pioneer Capital 4356</t>
  </si>
  <si>
    <t>SEC04357</t>
  </si>
  <si>
    <t>Orion Industries 4357</t>
  </si>
  <si>
    <t>SEC04358</t>
  </si>
  <si>
    <t>Pioneer Markets 4358</t>
  </si>
  <si>
    <t>SEC04359</t>
  </si>
  <si>
    <t>Orion Technology 4359</t>
  </si>
  <si>
    <t>SEC04360</t>
  </si>
  <si>
    <t>Vertex Partners 4360</t>
  </si>
  <si>
    <t>SEC04361</t>
  </si>
  <si>
    <t>Vertex Holdings 4361</t>
  </si>
  <si>
    <t>SEC04362</t>
  </si>
  <si>
    <t>Alpha Capital 4362</t>
  </si>
  <si>
    <t>SEC04363</t>
  </si>
  <si>
    <t>Liberty Industries 4363</t>
  </si>
  <si>
    <t>SEC04364</t>
  </si>
  <si>
    <t>Orion Industries 4364</t>
  </si>
  <si>
    <t>SEC04365</t>
  </si>
  <si>
    <t>Vertex Energy 4365</t>
  </si>
  <si>
    <t>SEC04366</t>
  </si>
  <si>
    <t>Harbor Energy 4366</t>
  </si>
  <si>
    <t>SEC04367</t>
  </si>
  <si>
    <t>Alpha Fund 4367</t>
  </si>
  <si>
    <t>SEC04368</t>
  </si>
  <si>
    <t>Pioneer Capital 4368</t>
  </si>
  <si>
    <t>SEC04369</t>
  </si>
  <si>
    <t>Orion Markets 4369</t>
  </si>
  <si>
    <t>SEC04370</t>
  </si>
  <si>
    <t>Summit Financial 4370</t>
  </si>
  <si>
    <t>SEC04371</t>
  </si>
  <si>
    <t>Orion Holdings 4371</t>
  </si>
  <si>
    <t>SEC04372</t>
  </si>
  <si>
    <t>Cedar Industries 4372</t>
  </si>
  <si>
    <t>SEC04373</t>
  </si>
  <si>
    <t>Pioneer Fund 4373</t>
  </si>
  <si>
    <t>SEC04374</t>
  </si>
  <si>
    <t>Vertex Markets 4374</t>
  </si>
  <si>
    <t>SEC04375</t>
  </si>
  <si>
    <t>Pioneer Fund 4375</t>
  </si>
  <si>
    <t>SEC04376</t>
  </si>
  <si>
    <t>Vertex Energy 4376</t>
  </si>
  <si>
    <t>SEC04377</t>
  </si>
  <si>
    <t>Harbor Markets 4377</t>
  </si>
  <si>
    <t>SEC04378</t>
  </si>
  <si>
    <t>Harbor Energy 4378</t>
  </si>
  <si>
    <t>SEC04379</t>
  </si>
  <si>
    <t>Cedar Fund 4379</t>
  </si>
  <si>
    <t>SEC04380</t>
  </si>
  <si>
    <t>Delta Markets 4380</t>
  </si>
  <si>
    <t>SEC04381</t>
  </si>
  <si>
    <t>Liberty Industries 4381</t>
  </si>
  <si>
    <t>SEC04382</t>
  </si>
  <si>
    <t>Sterling Technology 4382</t>
  </si>
  <si>
    <t>SEC04383</t>
  </si>
  <si>
    <t>Alpha Financial 4383</t>
  </si>
  <si>
    <t>SEC04384</t>
  </si>
  <si>
    <t>Nova Financial 4384</t>
  </si>
  <si>
    <t>SEC04385</t>
  </si>
  <si>
    <t>Summit Capital 4385</t>
  </si>
  <si>
    <t>SEC04386</t>
  </si>
  <si>
    <t>Sterling Technology 4386</t>
  </si>
  <si>
    <t>SEC04387</t>
  </si>
  <si>
    <t>Pioneer Holdings 4387</t>
  </si>
  <si>
    <t>SEC04388</t>
  </si>
  <si>
    <t>Nova Industries 4388</t>
  </si>
  <si>
    <t>SEC04389</t>
  </si>
  <si>
    <t>Orion Energy 4389</t>
  </si>
  <si>
    <t>SEC04390</t>
  </si>
  <si>
    <t>Harbor Industries 4390</t>
  </si>
  <si>
    <t>SEC04391</t>
  </si>
  <si>
    <t>Delta Fund 4391</t>
  </si>
  <si>
    <t>SEC04392</t>
  </si>
  <si>
    <t>Liberty Partners 4392</t>
  </si>
  <si>
    <t>SEC04393</t>
  </si>
  <si>
    <t>Cedar Partners 4393</t>
  </si>
  <si>
    <t>SEC04394</t>
  </si>
  <si>
    <t>Cedar Technology 4394</t>
  </si>
  <si>
    <t>SEC04395</t>
  </si>
  <si>
    <t>Delta Industries 4395</t>
  </si>
  <si>
    <t>SEC04396</t>
  </si>
  <si>
    <t>Alpha Group 4396</t>
  </si>
  <si>
    <t>SEC04397</t>
  </si>
  <si>
    <t>Vertex Partners 4397</t>
  </si>
  <si>
    <t>SEC04398</t>
  </si>
  <si>
    <t>Delta Holdings 4398</t>
  </si>
  <si>
    <t>SEC04399</t>
  </si>
  <si>
    <t>Liberty Fund 4399</t>
  </si>
  <si>
    <t>SEC04400</t>
  </si>
  <si>
    <t>Delta Fund 4400</t>
  </si>
  <si>
    <t>SEC04401</t>
  </si>
  <si>
    <t>Harbor Financial 4401</t>
  </si>
  <si>
    <t>SEC04402</t>
  </si>
  <si>
    <t>Cedar Capital 4402</t>
  </si>
  <si>
    <t>SEC04403</t>
  </si>
  <si>
    <t>Delta Technology 4403</t>
  </si>
  <si>
    <t>SEC04404</t>
  </si>
  <si>
    <t>Orion Capital 4404</t>
  </si>
  <si>
    <t>SEC04405</t>
  </si>
  <si>
    <t>Sterling Partners 4405</t>
  </si>
  <si>
    <t>SEC04406</t>
  </si>
  <si>
    <t>Sterling Markets 4406</t>
  </si>
  <si>
    <t>SEC04407</t>
  </si>
  <si>
    <t>Atlas Markets 4407</t>
  </si>
  <si>
    <t>SEC04408</t>
  </si>
  <si>
    <t>Alpha Industries 4408</t>
  </si>
  <si>
    <t>SEC04409</t>
  </si>
  <si>
    <t>Liberty Partners 4409</t>
  </si>
  <si>
    <t>SEC04410</t>
  </si>
  <si>
    <t>Vertex Holdings 4410</t>
  </si>
  <si>
    <t>SEC04411</t>
  </si>
  <si>
    <t>Vertex Technology 4411</t>
  </si>
  <si>
    <t>SEC04412</t>
  </si>
  <si>
    <t>Harbor Group 4412</t>
  </si>
  <si>
    <t>SEC04413</t>
  </si>
  <si>
    <t>Orion Financial 4413</t>
  </si>
  <si>
    <t>SEC04414</t>
  </si>
  <si>
    <t>Cedar Capital 4414</t>
  </si>
  <si>
    <t>SEC04415</t>
  </si>
  <si>
    <t>Atlas Industries 4415</t>
  </si>
  <si>
    <t>SEC04416</t>
  </si>
  <si>
    <t>Summit Markets 4416</t>
  </si>
  <si>
    <t>SEC04417</t>
  </si>
  <si>
    <t>Delta Technology 4417</t>
  </si>
  <si>
    <t>SEC04418</t>
  </si>
  <si>
    <t>Liberty Holdings 4418</t>
  </si>
  <si>
    <t>SEC04419</t>
  </si>
  <si>
    <t>Summit Group 4419</t>
  </si>
  <si>
    <t>SEC04420</t>
  </si>
  <si>
    <t>Liberty Financial 4420</t>
  </si>
  <si>
    <t>SEC04421</t>
  </si>
  <si>
    <t>Orion Holdings 4421</t>
  </si>
  <si>
    <t>SEC04422</t>
  </si>
  <si>
    <t>Nova Holdings 4422</t>
  </si>
  <si>
    <t>SEC04423</t>
  </si>
  <si>
    <t>Harbor Fund 4423</t>
  </si>
  <si>
    <t>SEC04424</t>
  </si>
  <si>
    <t>Orion Partners 4424</t>
  </si>
  <si>
    <t>SEC04425</t>
  </si>
  <si>
    <t>Vertex Markets 4425</t>
  </si>
  <si>
    <t>SEC04426</t>
  </si>
  <si>
    <t>Summit Fund 4426</t>
  </si>
  <si>
    <t>SEC04427</t>
  </si>
  <si>
    <t>Summit Industries 4427</t>
  </si>
  <si>
    <t>SEC04428</t>
  </si>
  <si>
    <t>Cedar Financial 4428</t>
  </si>
  <si>
    <t>SEC04429</t>
  </si>
  <si>
    <t>Vertex Financial 4429</t>
  </si>
  <si>
    <t>SEC04430</t>
  </si>
  <si>
    <t>Alpha Capital 4430</t>
  </si>
  <si>
    <t>SEC04431</t>
  </si>
  <si>
    <t>Delta Technology 4431</t>
  </si>
  <si>
    <t>SEC04432</t>
  </si>
  <si>
    <t>Sterling Industries 4432</t>
  </si>
  <si>
    <t>SEC04433</t>
  </si>
  <si>
    <t>Nova Financial 4433</t>
  </si>
  <si>
    <t>SEC04434</t>
  </si>
  <si>
    <t>Cedar Group 4434</t>
  </si>
  <si>
    <t>SEC04435</t>
  </si>
  <si>
    <t>Alpha Energy 4435</t>
  </si>
  <si>
    <t>SEC04436</t>
  </si>
  <si>
    <t>Orion Financial 4436</t>
  </si>
  <si>
    <t>SEC04437</t>
  </si>
  <si>
    <t>Vertex Markets 4437</t>
  </si>
  <si>
    <t>SEC04438</t>
  </si>
  <si>
    <t>Orion Industries 4438</t>
  </si>
  <si>
    <t>SEC04439</t>
  </si>
  <si>
    <t>Pioneer Holdings 4439</t>
  </si>
  <si>
    <t>SEC04440</t>
  </si>
  <si>
    <t>Harbor Technology 4440</t>
  </si>
  <si>
    <t>SEC04441</t>
  </si>
  <si>
    <t>Liberty Markets 4441</t>
  </si>
  <si>
    <t>SEC04442</t>
  </si>
  <si>
    <t>Pioneer Holdings 4442</t>
  </si>
  <si>
    <t>SEC04443</t>
  </si>
  <si>
    <t>Nova Financial 4443</t>
  </si>
  <si>
    <t>SEC04444</t>
  </si>
  <si>
    <t>Harbor Industries 4444</t>
  </si>
  <si>
    <t>SEC04445</t>
  </si>
  <si>
    <t>Harbor Capital 4445</t>
  </si>
  <si>
    <t>SEC04446</t>
  </si>
  <si>
    <t>Summit Industries 4446</t>
  </si>
  <si>
    <t>SEC04447</t>
  </si>
  <si>
    <t>Orion Partners 4447</t>
  </si>
  <si>
    <t>SEC04448</t>
  </si>
  <si>
    <t>Delta Capital 4448</t>
  </si>
  <si>
    <t>SEC04449</t>
  </si>
  <si>
    <t>Sterling Energy 4449</t>
  </si>
  <si>
    <t>SEC04450</t>
  </si>
  <si>
    <t>Harbor Fund 4450</t>
  </si>
  <si>
    <t>SEC04451</t>
  </si>
  <si>
    <t>Cedar Fund 4451</t>
  </si>
  <si>
    <t>SEC04452</t>
  </si>
  <si>
    <t>Pioneer Industries 4452</t>
  </si>
  <si>
    <t>SEC04453</t>
  </si>
  <si>
    <t>Vertex Fund 4453</t>
  </si>
  <si>
    <t>SEC04454</t>
  </si>
  <si>
    <t>Summit Holdings 4454</t>
  </si>
  <si>
    <t>SEC04455</t>
  </si>
  <si>
    <t>Nova Industries 4455</t>
  </si>
  <si>
    <t>SEC04456</t>
  </si>
  <si>
    <t>Alpha Energy 4456</t>
  </si>
  <si>
    <t>SEC04457</t>
  </si>
  <si>
    <t>Atlas Group 4457</t>
  </si>
  <si>
    <t>SEC04458</t>
  </si>
  <si>
    <t>Alpha Markets 4458</t>
  </si>
  <si>
    <t>SEC04459</t>
  </si>
  <si>
    <t>Liberty Partners 4459</t>
  </si>
  <si>
    <t>SEC04460</t>
  </si>
  <si>
    <t>Liberty Partners 4460</t>
  </si>
  <si>
    <t>SEC04461</t>
  </si>
  <si>
    <t>Pioneer Partners 4461</t>
  </si>
  <si>
    <t>SEC04462</t>
  </si>
  <si>
    <t>Summit Industries 4462</t>
  </si>
  <si>
    <t>SEC04463</t>
  </si>
  <si>
    <t>Vertex Technology 4463</t>
  </si>
  <si>
    <t>SEC04464</t>
  </si>
  <si>
    <t>Atlas Capital 4464</t>
  </si>
  <si>
    <t>SEC04465</t>
  </si>
  <si>
    <t>Atlas Technology 4465</t>
  </si>
  <si>
    <t>SEC04466</t>
  </si>
  <si>
    <t>Cedar Financial 4466</t>
  </si>
  <si>
    <t>SEC04467</t>
  </si>
  <si>
    <t>Atlas Partners 4467</t>
  </si>
  <si>
    <t>SEC04468</t>
  </si>
  <si>
    <t>Orion Technology 4468</t>
  </si>
  <si>
    <t>SEC04469</t>
  </si>
  <si>
    <t>Cedar Partners 4469</t>
  </si>
  <si>
    <t>SEC04470</t>
  </si>
  <si>
    <t>Harbor Industries 4470</t>
  </si>
  <si>
    <t>SEC04471</t>
  </si>
  <si>
    <t>Delta Group 4471</t>
  </si>
  <si>
    <t>SEC04472</t>
  </si>
  <si>
    <t>Atlas Markets 4472</t>
  </si>
  <si>
    <t>SEC04473</t>
  </si>
  <si>
    <t>Cedar Capital 4473</t>
  </si>
  <si>
    <t>SEC04474</t>
  </si>
  <si>
    <t>Delta Industries 4474</t>
  </si>
  <si>
    <t>SEC04475</t>
  </si>
  <si>
    <t>Atlas Technology 4475</t>
  </si>
  <si>
    <t>SEC04476</t>
  </si>
  <si>
    <t>Sterling Group 4476</t>
  </si>
  <si>
    <t>SEC04477</t>
  </si>
  <si>
    <t>Alpha Industries 4477</t>
  </si>
  <si>
    <t>SEC04478</t>
  </si>
  <si>
    <t>Liberty Financial 4478</t>
  </si>
  <si>
    <t>SEC04479</t>
  </si>
  <si>
    <t>Pioneer Markets 4479</t>
  </si>
  <si>
    <t>SEC04480</t>
  </si>
  <si>
    <t>Delta Holdings 4480</t>
  </si>
  <si>
    <t>SEC04481</t>
  </si>
  <si>
    <t>Harbor Capital 4481</t>
  </si>
  <si>
    <t>SEC04482</t>
  </si>
  <si>
    <t>Alpha Financial 4482</t>
  </si>
  <si>
    <t>SEC04483</t>
  </si>
  <si>
    <t>Harbor Technology 4483</t>
  </si>
  <si>
    <t>SEC04484</t>
  </si>
  <si>
    <t>Liberty Fund 4484</t>
  </si>
  <si>
    <t>SEC04485</t>
  </si>
  <si>
    <t>Liberty Group 4485</t>
  </si>
  <si>
    <t>SEC04486</t>
  </si>
  <si>
    <t>Delta Holdings 4486</t>
  </si>
  <si>
    <t>SEC04487</t>
  </si>
  <si>
    <t>Sterling Technology 4487</t>
  </si>
  <si>
    <t>SEC04488</t>
  </si>
  <si>
    <t>Delta Group 4488</t>
  </si>
  <si>
    <t>SEC04489</t>
  </si>
  <si>
    <t>Atlas Holdings 4489</t>
  </si>
  <si>
    <t>SEC04490</t>
  </si>
  <si>
    <t>Delta Energy 4490</t>
  </si>
  <si>
    <t>SEC04491</t>
  </si>
  <si>
    <t>Nova Markets 4491</t>
  </si>
  <si>
    <t>SEC04492</t>
  </si>
  <si>
    <t>Sterling Holdings 4492</t>
  </si>
  <si>
    <t>SEC04493</t>
  </si>
  <si>
    <t>Atlas Partners 4493</t>
  </si>
  <si>
    <t>SEC04494</t>
  </si>
  <si>
    <t>Cedar Holdings 4494</t>
  </si>
  <si>
    <t>SEC04495</t>
  </si>
  <si>
    <t>Cedar Markets 4495</t>
  </si>
  <si>
    <t>SEC04496</t>
  </si>
  <si>
    <t>Nova Markets 4496</t>
  </si>
  <si>
    <t>SEC04497</t>
  </si>
  <si>
    <t>Vertex Group 4497</t>
  </si>
  <si>
    <t>SEC04498</t>
  </si>
  <si>
    <t>Pioneer Technology 4498</t>
  </si>
  <si>
    <t>SEC04499</t>
  </si>
  <si>
    <t>Cedar Financial 4499</t>
  </si>
  <si>
    <t>SEC04500</t>
  </si>
  <si>
    <t>Vertex Group 4500</t>
  </si>
  <si>
    <t>SEC04501</t>
  </si>
  <si>
    <t>Harbor Financial 4501</t>
  </si>
  <si>
    <t>SEC04502</t>
  </si>
  <si>
    <t>Delta Partners 4502</t>
  </si>
  <si>
    <t>SEC04503</t>
  </si>
  <si>
    <t>Alpha Partners 4503</t>
  </si>
  <si>
    <t>SEC04504</t>
  </si>
  <si>
    <t>Delta Markets 4504</t>
  </si>
  <si>
    <t>SEC04505</t>
  </si>
  <si>
    <t>Alpha Financial 4505</t>
  </si>
  <si>
    <t>SEC04506</t>
  </si>
  <si>
    <t>Atlas Markets 4506</t>
  </si>
  <si>
    <t>SEC04507</t>
  </si>
  <si>
    <t>Pioneer Technology 4507</t>
  </si>
  <si>
    <t>SEC04508</t>
  </si>
  <si>
    <t>Pioneer Markets 4508</t>
  </si>
  <si>
    <t>SEC04509</t>
  </si>
  <si>
    <t>Alpha Industries 4509</t>
  </si>
  <si>
    <t>SEC04510</t>
  </si>
  <si>
    <t>Delta Technology 4510</t>
  </si>
  <si>
    <t>SEC04511</t>
  </si>
  <si>
    <t>Harbor Markets 4511</t>
  </si>
  <si>
    <t>SEC04512</t>
  </si>
  <si>
    <t>Vertex Partners 4512</t>
  </si>
  <si>
    <t>SEC04513</t>
  </si>
  <si>
    <t>Pioneer Industries 4513</t>
  </si>
  <si>
    <t>SEC04514</t>
  </si>
  <si>
    <t>Harbor Fund 4514</t>
  </si>
  <si>
    <t>SEC04515</t>
  </si>
  <si>
    <t>Harbor Technology 4515</t>
  </si>
  <si>
    <t>SEC04516</t>
  </si>
  <si>
    <t>Liberty Financial 4516</t>
  </si>
  <si>
    <t>SEC04517</t>
  </si>
  <si>
    <t>Sterling Group 4517</t>
  </si>
  <si>
    <t>SEC04518</t>
  </si>
  <si>
    <t>Harbor Industries 4518</t>
  </si>
  <si>
    <t>SEC04519</t>
  </si>
  <si>
    <t>Delta Partners 4519</t>
  </si>
  <si>
    <t>SEC04520</t>
  </si>
  <si>
    <t>Alpha Markets 4520</t>
  </si>
  <si>
    <t>SEC04521</t>
  </si>
  <si>
    <t>Orion Partners 4521</t>
  </si>
  <si>
    <t>SEC04522</t>
  </si>
  <si>
    <t>Nova Holdings 4522</t>
  </si>
  <si>
    <t>SEC04523</t>
  </si>
  <si>
    <t>Orion Industries 4523</t>
  </si>
  <si>
    <t>SEC04524</t>
  </si>
  <si>
    <t>Atlas Financial 4524</t>
  </si>
  <si>
    <t>SEC04525</t>
  </si>
  <si>
    <t>Atlas Energy 4525</t>
  </si>
  <si>
    <t>SEC04526</t>
  </si>
  <si>
    <t>Orion Fund 4526</t>
  </si>
  <si>
    <t>SEC04527</t>
  </si>
  <si>
    <t>Vertex Capital 4527</t>
  </si>
  <si>
    <t>SEC04528</t>
  </si>
  <si>
    <t>Pioneer Markets 4528</t>
  </si>
  <si>
    <t>SEC04529</t>
  </si>
  <si>
    <t>Summit Fund 4529</t>
  </si>
  <si>
    <t>SEC04530</t>
  </si>
  <si>
    <t>Alpha Markets 4530</t>
  </si>
  <si>
    <t>SEC04531</t>
  </si>
  <si>
    <t>Pioneer Markets 4531</t>
  </si>
  <si>
    <t>SEC04532</t>
  </si>
  <si>
    <t>Cedar Industries 4532</t>
  </si>
  <si>
    <t>SEC04533</t>
  </si>
  <si>
    <t>Vertex Fund 4533</t>
  </si>
  <si>
    <t>SEC04534</t>
  </si>
  <si>
    <t>Delta Energy 4534</t>
  </si>
  <si>
    <t>SEC04535</t>
  </si>
  <si>
    <t>Summit Energy 4535</t>
  </si>
  <si>
    <t>SEC04536</t>
  </si>
  <si>
    <t>Sterling Group 4536</t>
  </si>
  <si>
    <t>SEC04537</t>
  </si>
  <si>
    <t>Atlas Financial 4537</t>
  </si>
  <si>
    <t>SEC04538</t>
  </si>
  <si>
    <t>Summit Partners 4538</t>
  </si>
  <si>
    <t>SEC04539</t>
  </si>
  <si>
    <t>Liberty Technology 4539</t>
  </si>
  <si>
    <t>SEC04540</t>
  </si>
  <si>
    <t>Delta Industries 4540</t>
  </si>
  <si>
    <t>SEC04541</t>
  </si>
  <si>
    <t>Cedar Partners 4541</t>
  </si>
  <si>
    <t>SEC04542</t>
  </si>
  <si>
    <t>Vertex Energy 4542</t>
  </si>
  <si>
    <t>SEC04543</t>
  </si>
  <si>
    <t>Delta Fund 4543</t>
  </si>
  <si>
    <t>SEC04544</t>
  </si>
  <si>
    <t>Harbor Partners 4544</t>
  </si>
  <si>
    <t>SEC04545</t>
  </si>
  <si>
    <t>Atlas Partners 4545</t>
  </si>
  <si>
    <t>SEC04546</t>
  </si>
  <si>
    <t>Alpha Holdings 4546</t>
  </si>
  <si>
    <t>SEC04547</t>
  </si>
  <si>
    <t>Harbor Markets 4547</t>
  </si>
  <si>
    <t>SEC04548</t>
  </si>
  <si>
    <t>Delta Group 4548</t>
  </si>
  <si>
    <t>SEC04549</t>
  </si>
  <si>
    <t>Vertex Markets 4549</t>
  </si>
  <si>
    <t>SEC04550</t>
  </si>
  <si>
    <t>Nova Group 4550</t>
  </si>
  <si>
    <t>SEC04551</t>
  </si>
  <si>
    <t>Delta Holdings 4551</t>
  </si>
  <si>
    <t>SEC04552</t>
  </si>
  <si>
    <t>Orion Partners 4552</t>
  </si>
  <si>
    <t>SEC04553</t>
  </si>
  <si>
    <t>Nova Technology 4553</t>
  </si>
  <si>
    <t>SEC04554</t>
  </si>
  <si>
    <t>Vertex Capital 4554</t>
  </si>
  <si>
    <t>SEC04555</t>
  </si>
  <si>
    <t>Atlas Group 4555</t>
  </si>
  <si>
    <t>SEC04556</t>
  </si>
  <si>
    <t>Vertex Markets 4556</t>
  </si>
  <si>
    <t>SEC04557</t>
  </si>
  <si>
    <t>Orion Holdings 4557</t>
  </si>
  <si>
    <t>SEC04558</t>
  </si>
  <si>
    <t>Liberty Fund 4558</t>
  </si>
  <si>
    <t>SEC04559</t>
  </si>
  <si>
    <t>Nova Energy 4559</t>
  </si>
  <si>
    <t>SEC04560</t>
  </si>
  <si>
    <t>Alpha Partners 4560</t>
  </si>
  <si>
    <t>SEC04561</t>
  </si>
  <si>
    <t>Summit Capital 4561</t>
  </si>
  <si>
    <t>SEC04562</t>
  </si>
  <si>
    <t>Delta Energy 4562</t>
  </si>
  <si>
    <t>SEC04563</t>
  </si>
  <si>
    <t>Delta Group 4563</t>
  </si>
  <si>
    <t>SEC04564</t>
  </si>
  <si>
    <t>Sterling Technology 4564</t>
  </si>
  <si>
    <t>SEC04565</t>
  </si>
  <si>
    <t>Orion Fund 4565</t>
  </si>
  <si>
    <t>SEC04566</t>
  </si>
  <si>
    <t>Alpha Financial 4566</t>
  </si>
  <si>
    <t>SEC04567</t>
  </si>
  <si>
    <t>Pioneer Markets 4567</t>
  </si>
  <si>
    <t>SEC04568</t>
  </si>
  <si>
    <t>Liberty Fund 4568</t>
  </si>
  <si>
    <t>SEC04569</t>
  </si>
  <si>
    <t>Nova Technology 4569</t>
  </si>
  <si>
    <t>SEC04570</t>
  </si>
  <si>
    <t>Atlas Energy 4570</t>
  </si>
  <si>
    <t>SEC04571</t>
  </si>
  <si>
    <t>Cedar Holdings 4571</t>
  </si>
  <si>
    <t>SEC04572</t>
  </si>
  <si>
    <t>Pioneer Markets 4572</t>
  </si>
  <si>
    <t>SEC04573</t>
  </si>
  <si>
    <t>Alpha Partners 4573</t>
  </si>
  <si>
    <t>SEC04574</t>
  </si>
  <si>
    <t>Harbor Holdings 4574</t>
  </si>
  <si>
    <t>SEC04575</t>
  </si>
  <si>
    <t>Pioneer Holdings 4575</t>
  </si>
  <si>
    <t>SEC04576</t>
  </si>
  <si>
    <t>Harbor Fund 4576</t>
  </si>
  <si>
    <t>SEC04577</t>
  </si>
  <si>
    <t>Summit Fund 4577</t>
  </si>
  <si>
    <t>SEC04578</t>
  </si>
  <si>
    <t>Orion Energy 4578</t>
  </si>
  <si>
    <t>SEC04579</t>
  </si>
  <si>
    <t>Vertex Industries 4579</t>
  </si>
  <si>
    <t>SEC04580</t>
  </si>
  <si>
    <t>Sterling Technology 4580</t>
  </si>
  <si>
    <t>SEC04581</t>
  </si>
  <si>
    <t>Alpha Technology 4581</t>
  </si>
  <si>
    <t>SEC04582</t>
  </si>
  <si>
    <t>Atlas Capital 4582</t>
  </si>
  <si>
    <t>SEC04583</t>
  </si>
  <si>
    <t>Delta Technology 4583</t>
  </si>
  <si>
    <t>SEC04584</t>
  </si>
  <si>
    <t>Cedar Capital 4584</t>
  </si>
  <si>
    <t>SEC04585</t>
  </si>
  <si>
    <t>Nova Technology 4585</t>
  </si>
  <si>
    <t>SEC04586</t>
  </si>
  <si>
    <t>Orion Holdings 4586</t>
  </si>
  <si>
    <t>SEC04587</t>
  </si>
  <si>
    <t>Cedar Markets 4587</t>
  </si>
  <si>
    <t>SEC04588</t>
  </si>
  <si>
    <t>Harbor Partners 4588</t>
  </si>
  <si>
    <t>SEC04589</t>
  </si>
  <si>
    <t>Sterling Technology 4589</t>
  </si>
  <si>
    <t>SEC04590</t>
  </si>
  <si>
    <t>Nova Technology 4590</t>
  </si>
  <si>
    <t>SEC04591</t>
  </si>
  <si>
    <t>Alpha Financial 4591</t>
  </si>
  <si>
    <t>SEC04592</t>
  </si>
  <si>
    <t>Orion Industries 4592</t>
  </si>
  <si>
    <t>SEC04593</t>
  </si>
  <si>
    <t>Delta Capital 4593</t>
  </si>
  <si>
    <t>SEC04594</t>
  </si>
  <si>
    <t>Pioneer Technology 4594</t>
  </si>
  <si>
    <t>SEC04595</t>
  </si>
  <si>
    <t>Cedar Markets 4595</t>
  </si>
  <si>
    <t>SEC04596</t>
  </si>
  <si>
    <t>Orion Partners 4596</t>
  </si>
  <si>
    <t>SEC04597</t>
  </si>
  <si>
    <t>Nova Markets 4597</t>
  </si>
  <si>
    <t>SEC04598</t>
  </si>
  <si>
    <t>Delta Industries 4598</t>
  </si>
  <si>
    <t>SEC04599</t>
  </si>
  <si>
    <t>Nova Holdings 4599</t>
  </si>
  <si>
    <t>SEC04600</t>
  </si>
  <si>
    <t>Cedar Fund 4600</t>
  </si>
  <si>
    <t>SEC04601</t>
  </si>
  <si>
    <t>Summit Capital 4601</t>
  </si>
  <si>
    <t>SEC04602</t>
  </si>
  <si>
    <t>Delta Financial 4602</t>
  </si>
  <si>
    <t>SEC04603</t>
  </si>
  <si>
    <t>Alpha Fund 4603</t>
  </si>
  <si>
    <t>SEC04604</t>
  </si>
  <si>
    <t>Harbor Holdings 4604</t>
  </si>
  <si>
    <t>SEC04605</t>
  </si>
  <si>
    <t>Vertex Capital 4605</t>
  </si>
  <si>
    <t>SEC04606</t>
  </si>
  <si>
    <t>Delta Partners 4606</t>
  </si>
  <si>
    <t>SEC04607</t>
  </si>
  <si>
    <t>Pioneer Financial 4607</t>
  </si>
  <si>
    <t>SEC04608</t>
  </si>
  <si>
    <t>Pioneer Industries 4608</t>
  </si>
  <si>
    <t>SEC04609</t>
  </si>
  <si>
    <t>Delta Financial 4609</t>
  </si>
  <si>
    <t>SEC04610</t>
  </si>
  <si>
    <t>Atlas Markets 4610</t>
  </si>
  <si>
    <t>SEC04611</t>
  </si>
  <si>
    <t>Sterling Industries 4611</t>
  </si>
  <si>
    <t>SEC04612</t>
  </si>
  <si>
    <t>Harbor Group 4612</t>
  </si>
  <si>
    <t>SEC04613</t>
  </si>
  <si>
    <t>Atlas Energy 4613</t>
  </si>
  <si>
    <t>SEC04614</t>
  </si>
  <si>
    <t>Nova Group 4614</t>
  </si>
  <si>
    <t>SEC04615</t>
  </si>
  <si>
    <t>Orion Group 4615</t>
  </si>
  <si>
    <t>SEC04616</t>
  </si>
  <si>
    <t>Harbor Technology 4616</t>
  </si>
  <si>
    <t>SEC04617</t>
  </si>
  <si>
    <t>Delta Group 4617</t>
  </si>
  <si>
    <t>SEC04618</t>
  </si>
  <si>
    <t>Orion Capital 4618</t>
  </si>
  <si>
    <t>SEC04619</t>
  </si>
  <si>
    <t>Nova Technology 4619</t>
  </si>
  <si>
    <t>SEC04620</t>
  </si>
  <si>
    <t>Harbor Technology 4620</t>
  </si>
  <si>
    <t>SEC04621</t>
  </si>
  <si>
    <t>Harbor Partners 4621</t>
  </si>
  <si>
    <t>SEC04622</t>
  </si>
  <si>
    <t>Harbor Group 4622</t>
  </si>
  <si>
    <t>SEC04623</t>
  </si>
  <si>
    <t>Orion Group 4623</t>
  </si>
  <si>
    <t>SEC04624</t>
  </si>
  <si>
    <t>Sterling Markets 4624</t>
  </si>
  <si>
    <t>SEC04625</t>
  </si>
  <si>
    <t>Atlas Partners 4625</t>
  </si>
  <si>
    <t>SEC04626</t>
  </si>
  <si>
    <t>Delta Industries 4626</t>
  </si>
  <si>
    <t>SEC04627</t>
  </si>
  <si>
    <t>Delta Capital 4627</t>
  </si>
  <si>
    <t>SEC04628</t>
  </si>
  <si>
    <t>Liberty Financial 4628</t>
  </si>
  <si>
    <t>SEC04629</t>
  </si>
  <si>
    <t>Vertex Partners 4629</t>
  </si>
  <si>
    <t>SEC04630</t>
  </si>
  <si>
    <t>Liberty Partners 4630</t>
  </si>
  <si>
    <t>SEC04631</t>
  </si>
  <si>
    <t>Cedar Technology 4631</t>
  </si>
  <si>
    <t>SEC04632</t>
  </si>
  <si>
    <t>Delta Technology 4632</t>
  </si>
  <si>
    <t>SEC04633</t>
  </si>
  <si>
    <t>Delta Group 4633</t>
  </si>
  <si>
    <t>SEC04634</t>
  </si>
  <si>
    <t>Sterling Financial 4634</t>
  </si>
  <si>
    <t>SEC04635</t>
  </si>
  <si>
    <t>Alpha Fund 4635</t>
  </si>
  <si>
    <t>SEC04636</t>
  </si>
  <si>
    <t>Delta Markets 4636</t>
  </si>
  <si>
    <t>SEC04637</t>
  </si>
  <si>
    <t>Nova Group 4637</t>
  </si>
  <si>
    <t>SEC04638</t>
  </si>
  <si>
    <t>Nova Group 4638</t>
  </si>
  <si>
    <t>SEC04639</t>
  </si>
  <si>
    <t>Nova Capital 4639</t>
  </si>
  <si>
    <t>SEC04640</t>
  </si>
  <si>
    <t>Summit Technology 4640</t>
  </si>
  <si>
    <t>SEC04641</t>
  </si>
  <si>
    <t>Cedar Technology 4641</t>
  </si>
  <si>
    <t>SEC04642</t>
  </si>
  <si>
    <t>Harbor Industries 4642</t>
  </si>
  <si>
    <t>SEC04643</t>
  </si>
  <si>
    <t>Vertex Industries 4643</t>
  </si>
  <si>
    <t>SEC04644</t>
  </si>
  <si>
    <t>Vertex Group 4644</t>
  </si>
  <si>
    <t>SEC04645</t>
  </si>
  <si>
    <t>Atlas Group 4645</t>
  </si>
  <si>
    <t>SEC04646</t>
  </si>
  <si>
    <t>Alpha Holdings 4646</t>
  </si>
  <si>
    <t>SEC04647</t>
  </si>
  <si>
    <t>Orion Energy 4647</t>
  </si>
  <si>
    <t>SEC04648</t>
  </si>
  <si>
    <t>Orion Holdings 4648</t>
  </si>
  <si>
    <t>SEC04649</t>
  </si>
  <si>
    <t>Harbor Holdings 4649</t>
  </si>
  <si>
    <t>SEC04650</t>
  </si>
  <si>
    <t>Summit Industries 4650</t>
  </si>
  <si>
    <t>SEC04651</t>
  </si>
  <si>
    <t>Vertex Energy 4651</t>
  </si>
  <si>
    <t>SEC04652</t>
  </si>
  <si>
    <t>Atlas Financial 4652</t>
  </si>
  <si>
    <t>SEC04653</t>
  </si>
  <si>
    <t>Alpha Fund 4653</t>
  </si>
  <si>
    <t>SEC04654</t>
  </si>
  <si>
    <t>Cedar Technology 4654</t>
  </si>
  <si>
    <t>SEC04655</t>
  </si>
  <si>
    <t>Cedar Capital 4655</t>
  </si>
  <si>
    <t>SEC04656</t>
  </si>
  <si>
    <t>Summit Capital 4656</t>
  </si>
  <si>
    <t>SEC04657</t>
  </si>
  <si>
    <t>Harbor Capital 4657</t>
  </si>
  <si>
    <t>SEC04658</t>
  </si>
  <si>
    <t>Nova Markets 4658</t>
  </si>
  <si>
    <t>SEC04659</t>
  </si>
  <si>
    <t>Orion Energy 4659</t>
  </si>
  <si>
    <t>SEC04660</t>
  </si>
  <si>
    <t>Harbor Financial 4660</t>
  </si>
  <si>
    <t>SEC04661</t>
  </si>
  <si>
    <t>Alpha Technology 4661</t>
  </si>
  <si>
    <t>SEC04662</t>
  </si>
  <si>
    <t>Harbor Technology 4662</t>
  </si>
  <si>
    <t>SEC04663</t>
  </si>
  <si>
    <t>Sterling Fund 4663</t>
  </si>
  <si>
    <t>SEC04664</t>
  </si>
  <si>
    <t>Nova Energy 4664</t>
  </si>
  <si>
    <t>SEC04665</t>
  </si>
  <si>
    <t>Sterling Financial 4665</t>
  </si>
  <si>
    <t>SEC04666</t>
  </si>
  <si>
    <t>Cedar Group 4666</t>
  </si>
  <si>
    <t>SEC04667</t>
  </si>
  <si>
    <t>Orion Capital 4667</t>
  </si>
  <si>
    <t>SEC04668</t>
  </si>
  <si>
    <t>Liberty Industries 4668</t>
  </si>
  <si>
    <t>SEC04669</t>
  </si>
  <si>
    <t>Atlas Industries 4669</t>
  </si>
  <si>
    <t>SEC04670</t>
  </si>
  <si>
    <t>Atlas Financial 4670</t>
  </si>
  <si>
    <t>SEC04671</t>
  </si>
  <si>
    <t>Harbor Energy 4671</t>
  </si>
  <si>
    <t>SEC04672</t>
  </si>
  <si>
    <t>Pioneer Markets 4672</t>
  </si>
  <si>
    <t>SEC04673</t>
  </si>
  <si>
    <t>Alpha Partners 4673</t>
  </si>
  <si>
    <t>SEC04674</t>
  </si>
  <si>
    <t>Nova Financial 4674</t>
  </si>
  <si>
    <t>SEC04675</t>
  </si>
  <si>
    <t>Orion Partners 4675</t>
  </si>
  <si>
    <t>SEC04676</t>
  </si>
  <si>
    <t>Atlas Holdings 4676</t>
  </si>
  <si>
    <t>SEC04677</t>
  </si>
  <si>
    <t>Nova Fund 4677</t>
  </si>
  <si>
    <t>SEC04678</t>
  </si>
  <si>
    <t>Harbor Markets 4678</t>
  </si>
  <si>
    <t>SEC04679</t>
  </si>
  <si>
    <t>Summit Partners 4679</t>
  </si>
  <si>
    <t>SEC04680</t>
  </si>
  <si>
    <t>Alpha Holdings 4680</t>
  </si>
  <si>
    <t>SEC04681</t>
  </si>
  <si>
    <t>Harbor Energy 4681</t>
  </si>
  <si>
    <t>SEC04682</t>
  </si>
  <si>
    <t>Sterling Group 4682</t>
  </si>
  <si>
    <t>SEC04683</t>
  </si>
  <si>
    <t>Liberty Energy 4683</t>
  </si>
  <si>
    <t>SEC04684</t>
  </si>
  <si>
    <t>Cedar Capital 4684</t>
  </si>
  <si>
    <t>SEC04685</t>
  </si>
  <si>
    <t>Sterling Partners 4685</t>
  </si>
  <si>
    <t>SEC04686</t>
  </si>
  <si>
    <t>Harbor Technology 4686</t>
  </si>
  <si>
    <t>SEC04687</t>
  </si>
  <si>
    <t>Alpha Markets 4687</t>
  </si>
  <si>
    <t>SEC04688</t>
  </si>
  <si>
    <t>Cedar Capital 4688</t>
  </si>
  <si>
    <t>SEC04689</t>
  </si>
  <si>
    <t>Cedar Technology 4689</t>
  </si>
  <si>
    <t>SEC04690</t>
  </si>
  <si>
    <t>Harbor Capital 4690</t>
  </si>
  <si>
    <t>SEC04691</t>
  </si>
  <si>
    <t>Cedar Markets 4691</t>
  </si>
  <si>
    <t>SEC04692</t>
  </si>
  <si>
    <t>Nova Group 4692</t>
  </si>
  <si>
    <t>SEC04693</t>
  </si>
  <si>
    <t>Orion Holdings 4693</t>
  </si>
  <si>
    <t>SEC04694</t>
  </si>
  <si>
    <t>Pioneer Financial 4694</t>
  </si>
  <si>
    <t>SEC04695</t>
  </si>
  <si>
    <t>Nova Financial 4695</t>
  </si>
  <si>
    <t>SEC04696</t>
  </si>
  <si>
    <t>Cedar Fund 4696</t>
  </si>
  <si>
    <t>SEC04697</t>
  </si>
  <si>
    <t>Alpha Holdings 4697</t>
  </si>
  <si>
    <t>SEC04698</t>
  </si>
  <si>
    <t>Atlas Markets 4698</t>
  </si>
  <si>
    <t>SEC04699</t>
  </si>
  <si>
    <t>Summit Financial 4699</t>
  </si>
  <si>
    <t>SEC04700</t>
  </si>
  <si>
    <t>Liberty Industries 4700</t>
  </si>
  <si>
    <t>SEC04701</t>
  </si>
  <si>
    <t>Vertex Holdings 4701</t>
  </si>
  <si>
    <t>SEC04702</t>
  </si>
  <si>
    <t>Liberty Industries 4702</t>
  </si>
  <si>
    <t>SEC04703</t>
  </si>
  <si>
    <t>Alpha Technology 4703</t>
  </si>
  <si>
    <t>SEC04704</t>
  </si>
  <si>
    <t>Orion Capital 4704</t>
  </si>
  <si>
    <t>SEC04705</t>
  </si>
  <si>
    <t>Cedar Partners 4705</t>
  </si>
  <si>
    <t>SEC04706</t>
  </si>
  <si>
    <t>Alpha Fund 4706</t>
  </si>
  <si>
    <t>SEC04707</t>
  </si>
  <si>
    <t>Alpha Partners 4707</t>
  </si>
  <si>
    <t>SEC04708</t>
  </si>
  <si>
    <t>Vertex Technology 4708</t>
  </si>
  <si>
    <t>SEC04709</t>
  </si>
  <si>
    <t>Vertex Fund 4709</t>
  </si>
  <si>
    <t>SEC04710</t>
  </si>
  <si>
    <t>Harbor Industries 4710</t>
  </si>
  <si>
    <t>SEC04711</t>
  </si>
  <si>
    <t>Orion Partners 4711</t>
  </si>
  <si>
    <t>SEC04712</t>
  </si>
  <si>
    <t>Alpha Partners 4712</t>
  </si>
  <si>
    <t>SEC04713</t>
  </si>
  <si>
    <t>Cedar Fund 4713</t>
  </si>
  <si>
    <t>SEC04714</t>
  </si>
  <si>
    <t>Nova Group 4714</t>
  </si>
  <si>
    <t>SEC04715</t>
  </si>
  <si>
    <t>Pioneer Technology 4715</t>
  </si>
  <si>
    <t>SEC04716</t>
  </si>
  <si>
    <t>Alpha Industries 4716</t>
  </si>
  <si>
    <t>SEC04717</t>
  </si>
  <si>
    <t>Alpha Technology 4717</t>
  </si>
  <si>
    <t>SEC04718</t>
  </si>
  <si>
    <t>Delta Fund 4718</t>
  </si>
  <si>
    <t>SEC04719</t>
  </si>
  <si>
    <t>Nova Financial 4719</t>
  </si>
  <si>
    <t>SEC04720</t>
  </si>
  <si>
    <t>Delta Holdings 4720</t>
  </si>
  <si>
    <t>SEC04721</t>
  </si>
  <si>
    <t>Sterling Industries 4721</t>
  </si>
  <si>
    <t>SEC04722</t>
  </si>
  <si>
    <t>Pioneer Technology 4722</t>
  </si>
  <si>
    <t>SEC04723</t>
  </si>
  <si>
    <t>Alpha Financial 4723</t>
  </si>
  <si>
    <t>SEC04724</t>
  </si>
  <si>
    <t>Sterling Energy 4724</t>
  </si>
  <si>
    <t>SEC04725</t>
  </si>
  <si>
    <t>Sterling Capital 4725</t>
  </si>
  <si>
    <t>SEC04726</t>
  </si>
  <si>
    <t>Sterling Capital 4726</t>
  </si>
  <si>
    <t>SEC04727</t>
  </si>
  <si>
    <t>Pioneer Holdings 4727</t>
  </si>
  <si>
    <t>SEC04728</t>
  </si>
  <si>
    <t>Cedar Industries 4728</t>
  </si>
  <si>
    <t>SEC04729</t>
  </si>
  <si>
    <t>Liberty Industries 4729</t>
  </si>
  <si>
    <t>SEC04730</t>
  </si>
  <si>
    <t>Cedar Technology 4730</t>
  </si>
  <si>
    <t>SEC04731</t>
  </si>
  <si>
    <t>Vertex Markets 4731</t>
  </si>
  <si>
    <t>SEC04732</t>
  </si>
  <si>
    <t>Summit Industries 4732</t>
  </si>
  <si>
    <t>SEC04733</t>
  </si>
  <si>
    <t>Liberty Technology 4733</t>
  </si>
  <si>
    <t>SEC04734</t>
  </si>
  <si>
    <t>Liberty Markets 4734</t>
  </si>
  <si>
    <t>SEC04735</t>
  </si>
  <si>
    <t>Summit Financial 4735</t>
  </si>
  <si>
    <t>SEC04736</t>
  </si>
  <si>
    <t>Liberty Partners 4736</t>
  </si>
  <si>
    <t>SEC04737</t>
  </si>
  <si>
    <t>Delta Industries 4737</t>
  </si>
  <si>
    <t>SEC04738</t>
  </si>
  <si>
    <t>Atlas Technology 4738</t>
  </si>
  <si>
    <t>SEC04739</t>
  </si>
  <si>
    <t>Harbor Markets 4739</t>
  </si>
  <si>
    <t>SEC04740</t>
  </si>
  <si>
    <t>Delta Partners 4740</t>
  </si>
  <si>
    <t>SEC04741</t>
  </si>
  <si>
    <t>Orion Partners 4741</t>
  </si>
  <si>
    <t>SEC04742</t>
  </si>
  <si>
    <t>Nova Energy 4742</t>
  </si>
  <si>
    <t>SEC04743</t>
  </si>
  <si>
    <t>Pioneer Technology 4743</t>
  </si>
  <si>
    <t>SEC04744</t>
  </si>
  <si>
    <t>Sterling Industries 4744</t>
  </si>
  <si>
    <t>SEC04745</t>
  </si>
  <si>
    <t>Summit Partners 4745</t>
  </si>
  <si>
    <t>SEC04746</t>
  </si>
  <si>
    <t>Delta Financial 4746</t>
  </si>
  <si>
    <t>SEC04747</t>
  </si>
  <si>
    <t>Liberty Group 4747</t>
  </si>
  <si>
    <t>SEC04748</t>
  </si>
  <si>
    <t>Atlas Holdings 4748</t>
  </si>
  <si>
    <t>SEC04749</t>
  </si>
  <si>
    <t>Cedar Markets 4749</t>
  </si>
  <si>
    <t>SEC04750</t>
  </si>
  <si>
    <t>Orion Capital 4750</t>
  </si>
  <si>
    <t>SEC04751</t>
  </si>
  <si>
    <t>Orion Partners 4751</t>
  </si>
  <si>
    <t>SEC04752</t>
  </si>
  <si>
    <t>Delta Partners 4752</t>
  </si>
  <si>
    <t>SEC04753</t>
  </si>
  <si>
    <t>Pioneer Financial 4753</t>
  </si>
  <si>
    <t>SEC04754</t>
  </si>
  <si>
    <t>Delta Capital 4754</t>
  </si>
  <si>
    <t>SEC04755</t>
  </si>
  <si>
    <t>Summit Capital 4755</t>
  </si>
  <si>
    <t>SEC04756</t>
  </si>
  <si>
    <t>Orion Capital 4756</t>
  </si>
  <si>
    <t>SEC04757</t>
  </si>
  <si>
    <t>Nova Partners 4757</t>
  </si>
  <si>
    <t>SEC04758</t>
  </si>
  <si>
    <t>Delta Technology 4758</t>
  </si>
  <si>
    <t>SEC04759</t>
  </si>
  <si>
    <t>Summit Financial 4759</t>
  </si>
  <si>
    <t>SEC04760</t>
  </si>
  <si>
    <t>Nova Group 4760</t>
  </si>
  <si>
    <t>SEC04761</t>
  </si>
  <si>
    <t>Sterling Financial 4761</t>
  </si>
  <si>
    <t>SEC04762</t>
  </si>
  <si>
    <t>Orion Technology 4762</t>
  </si>
  <si>
    <t>SEC04763</t>
  </si>
  <si>
    <t>Atlas Energy 4763</t>
  </si>
  <si>
    <t>SEC04764</t>
  </si>
  <si>
    <t>Summit Financial 4764</t>
  </si>
  <si>
    <t>SEC04765</t>
  </si>
  <si>
    <t>Alpha Markets 4765</t>
  </si>
  <si>
    <t>SEC04766</t>
  </si>
  <si>
    <t>Atlas Capital 4766</t>
  </si>
  <si>
    <t>SEC04767</t>
  </si>
  <si>
    <t>Atlas Industries 4767</t>
  </si>
  <si>
    <t>SEC04768</t>
  </si>
  <si>
    <t>Atlas Financial 4768</t>
  </si>
  <si>
    <t>SEC04769</t>
  </si>
  <si>
    <t>Delta Partners 4769</t>
  </si>
  <si>
    <t>SEC04770</t>
  </si>
  <si>
    <t>Sterling Financial 4770</t>
  </si>
  <si>
    <t>SEC04771</t>
  </si>
  <si>
    <t>Cedar Industries 4771</t>
  </si>
  <si>
    <t>SEC04772</t>
  </si>
  <si>
    <t>Pioneer Industries 4772</t>
  </si>
  <si>
    <t>SEC04773</t>
  </si>
  <si>
    <t>Pioneer Industries 4773</t>
  </si>
  <si>
    <t>SEC04774</t>
  </si>
  <si>
    <t>Atlas Group 4774</t>
  </si>
  <si>
    <t>SEC04775</t>
  </si>
  <si>
    <t>Vertex Holdings 4775</t>
  </si>
  <si>
    <t>SEC04776</t>
  </si>
  <si>
    <t>Pioneer Markets 4776</t>
  </si>
  <si>
    <t>SEC04777</t>
  </si>
  <si>
    <t>Harbor Energy 4777</t>
  </si>
  <si>
    <t>SEC04778</t>
  </si>
  <si>
    <t>Vertex Group 4778</t>
  </si>
  <si>
    <t>SEC04779</t>
  </si>
  <si>
    <t>Cedar Financial 4779</t>
  </si>
  <si>
    <t>SEC04780</t>
  </si>
  <si>
    <t>Atlas Energy 4780</t>
  </si>
  <si>
    <t>SEC04781</t>
  </si>
  <si>
    <t>Nova Fund 4781</t>
  </si>
  <si>
    <t>SEC04782</t>
  </si>
  <si>
    <t>Delta Holdings 4782</t>
  </si>
  <si>
    <t>SEC04783</t>
  </si>
  <si>
    <t>Harbor Markets 4783</t>
  </si>
  <si>
    <t>SEC04784</t>
  </si>
  <si>
    <t>Summit Fund 4784</t>
  </si>
  <si>
    <t>SEC04785</t>
  </si>
  <si>
    <t>Summit Industries 4785</t>
  </si>
  <si>
    <t>SEC04786</t>
  </si>
  <si>
    <t>Orion Holdings 4786</t>
  </si>
  <si>
    <t>SEC04787</t>
  </si>
  <si>
    <t>Harbor Markets 4787</t>
  </si>
  <si>
    <t>SEC04788</t>
  </si>
  <si>
    <t>Delta Markets 4788</t>
  </si>
  <si>
    <t>SEC04789</t>
  </si>
  <si>
    <t>Orion Partners 4789</t>
  </si>
  <si>
    <t>SEC04790</t>
  </si>
  <si>
    <t>Atlas Fund 4790</t>
  </si>
  <si>
    <t>SEC04791</t>
  </si>
  <si>
    <t>Vertex Group 4791</t>
  </si>
  <si>
    <t>SEC04792</t>
  </si>
  <si>
    <t>Vertex Capital 4792</t>
  </si>
  <si>
    <t>SEC04793</t>
  </si>
  <si>
    <t>Sterling Capital 4793</t>
  </si>
  <si>
    <t>SEC04794</t>
  </si>
  <si>
    <t>Cedar Capital 4794</t>
  </si>
  <si>
    <t>SEC04795</t>
  </si>
  <si>
    <t>Liberty Group 4795</t>
  </si>
  <si>
    <t>SEC04796</t>
  </si>
  <si>
    <t>Atlas Fund 4796</t>
  </si>
  <si>
    <t>SEC04797</t>
  </si>
  <si>
    <t>Cedar Capital 4797</t>
  </si>
  <si>
    <t>SEC04798</t>
  </si>
  <si>
    <t>Orion Industries 4798</t>
  </si>
  <si>
    <t>SEC04799</t>
  </si>
  <si>
    <t>Harbor Markets 4799</t>
  </si>
  <si>
    <t>SEC04800</t>
  </si>
  <si>
    <t>Atlas Group 4800</t>
  </si>
  <si>
    <t>SEC04801</t>
  </si>
  <si>
    <t>Atlas Energy 4801</t>
  </si>
  <si>
    <t>SEC04802</t>
  </si>
  <si>
    <t>Alpha Financial 4802</t>
  </si>
  <si>
    <t>SEC04803</t>
  </si>
  <si>
    <t>Orion Holdings 4803</t>
  </si>
  <si>
    <t>SEC04804</t>
  </si>
  <si>
    <t>Delta Capital 4804</t>
  </si>
  <si>
    <t>SEC04805</t>
  </si>
  <si>
    <t>Pioneer Capital 4805</t>
  </si>
  <si>
    <t>SEC04806</t>
  </si>
  <si>
    <t>Vertex Capital 4806</t>
  </si>
  <si>
    <t>SEC04807</t>
  </si>
  <si>
    <t>Alpha Financial 4807</t>
  </si>
  <si>
    <t>SEC04808</t>
  </si>
  <si>
    <t>Delta Industries 4808</t>
  </si>
  <si>
    <t>SEC04809</t>
  </si>
  <si>
    <t>Delta Partners 4809</t>
  </si>
  <si>
    <t>SEC04810</t>
  </si>
  <si>
    <t>Pioneer Group 4810</t>
  </si>
  <si>
    <t>SEC04811</t>
  </si>
  <si>
    <t>Cedar Fund 4811</t>
  </si>
  <si>
    <t>SEC04812</t>
  </si>
  <si>
    <t>Liberty Energy 4812</t>
  </si>
  <si>
    <t>SEC04813</t>
  </si>
  <si>
    <t>Harbor Holdings 4813</t>
  </si>
  <si>
    <t>SEC04814</t>
  </si>
  <si>
    <t>Nova Partners 4814</t>
  </si>
  <si>
    <t>SEC04815</t>
  </si>
  <si>
    <t>Alpha Technology 4815</t>
  </si>
  <si>
    <t>SEC04816</t>
  </si>
  <si>
    <t>Atlas Holdings 4816</t>
  </si>
  <si>
    <t>SEC04817</t>
  </si>
  <si>
    <t>Pioneer Technology 4817</t>
  </si>
  <si>
    <t>SEC04818</t>
  </si>
  <si>
    <t>Sterling Financial 4818</t>
  </si>
  <si>
    <t>SEC04819</t>
  </si>
  <si>
    <t>Delta Group 4819</t>
  </si>
  <si>
    <t>SEC04820</t>
  </si>
  <si>
    <t>Pioneer Capital 4820</t>
  </si>
  <si>
    <t>SEC04821</t>
  </si>
  <si>
    <t>Liberty Energy 4821</t>
  </si>
  <si>
    <t>SEC04822</t>
  </si>
  <si>
    <t>Alpha Energy 4822</t>
  </si>
  <si>
    <t>SEC04823</t>
  </si>
  <si>
    <t>Liberty Group 4823</t>
  </si>
  <si>
    <t>SEC04824</t>
  </si>
  <si>
    <t>Liberty Group 4824</t>
  </si>
  <si>
    <t>SEC04825</t>
  </si>
  <si>
    <t>Vertex Industries 4825</t>
  </si>
  <si>
    <t>SEC04826</t>
  </si>
  <si>
    <t>Atlas Technology 4826</t>
  </si>
  <si>
    <t>SEC04827</t>
  </si>
  <si>
    <t>Summit Industries 4827</t>
  </si>
  <si>
    <t>SEC04828</t>
  </si>
  <si>
    <t>Delta Fund 4828</t>
  </si>
  <si>
    <t>SEC04829</t>
  </si>
  <si>
    <t>Alpha Financial 4829</t>
  </si>
  <si>
    <t>SEC04830</t>
  </si>
  <si>
    <t>Pioneer Capital 4830</t>
  </si>
  <si>
    <t>SEC04831</t>
  </si>
  <si>
    <t>Orion Group 4831</t>
  </si>
  <si>
    <t>SEC04832</t>
  </si>
  <si>
    <t>Harbor Energy 4832</t>
  </si>
  <si>
    <t>SEC04833</t>
  </si>
  <si>
    <t>Harbor Markets 4833</t>
  </si>
  <si>
    <t>SEC04834</t>
  </si>
  <si>
    <t>Vertex Capital 4834</t>
  </si>
  <si>
    <t>SEC04835</t>
  </si>
  <si>
    <t>Nova Technology 4835</t>
  </si>
  <si>
    <t>SEC04836</t>
  </si>
  <si>
    <t>Alpha Industries 4836</t>
  </si>
  <si>
    <t>SEC04837</t>
  </si>
  <si>
    <t>Orion Fund 4837</t>
  </si>
  <si>
    <t>SEC04838</t>
  </si>
  <si>
    <t>Atlas Holdings 4838</t>
  </si>
  <si>
    <t>SEC04839</t>
  </si>
  <si>
    <t>Cedar Capital 4839</t>
  </si>
  <si>
    <t>SEC04840</t>
  </si>
  <si>
    <t>Harbor Capital 4840</t>
  </si>
  <si>
    <t>SEC04841</t>
  </si>
  <si>
    <t>Vertex Technology 4841</t>
  </si>
  <si>
    <t>SEC04842</t>
  </si>
  <si>
    <t>Summit Markets 4842</t>
  </si>
  <si>
    <t>SEC04843</t>
  </si>
  <si>
    <t>Liberty Markets 4843</t>
  </si>
  <si>
    <t>SEC04844</t>
  </si>
  <si>
    <t>Orion Industries 4844</t>
  </si>
  <si>
    <t>SEC04845</t>
  </si>
  <si>
    <t>Nova Holdings 4845</t>
  </si>
  <si>
    <t>SEC04846</t>
  </si>
  <si>
    <t>Harbor Holdings 4846</t>
  </si>
  <si>
    <t>SEC04847</t>
  </si>
  <si>
    <t>Pioneer Group 4847</t>
  </si>
  <si>
    <t>SEC04848</t>
  </si>
  <si>
    <t>Orion Partners 4848</t>
  </si>
  <si>
    <t>SEC04849</t>
  </si>
  <si>
    <t>Alpha Group 4849</t>
  </si>
  <si>
    <t>SEC04850</t>
  </si>
  <si>
    <t>Alpha Financial 4850</t>
  </si>
  <si>
    <t>SEC04851</t>
  </si>
  <si>
    <t>Harbor Fund 4851</t>
  </si>
  <si>
    <t>SEC04852</t>
  </si>
  <si>
    <t>Pioneer Energy 4852</t>
  </si>
  <si>
    <t>SEC04853</t>
  </si>
  <si>
    <t>Summit Financial 4853</t>
  </si>
  <si>
    <t>SEC04854</t>
  </si>
  <si>
    <t>Alpha Group 4854</t>
  </si>
  <si>
    <t>SEC04855</t>
  </si>
  <si>
    <t>Sterling Energy 4855</t>
  </si>
  <si>
    <t>SEC04856</t>
  </si>
  <si>
    <t>Sterling Fund 4856</t>
  </si>
  <si>
    <t>SEC04857</t>
  </si>
  <si>
    <t>Sterling Fund 4857</t>
  </si>
  <si>
    <t>SEC04858</t>
  </si>
  <si>
    <t>Nova Group 4858</t>
  </si>
  <si>
    <t>SEC04859</t>
  </si>
  <si>
    <t>Atlas Industries 4859</t>
  </si>
  <si>
    <t>SEC04860</t>
  </si>
  <si>
    <t>Orion Capital 4860</t>
  </si>
  <si>
    <t>SEC04861</t>
  </si>
  <si>
    <t>Harbor Holdings 4861</t>
  </si>
  <si>
    <t>SEC04862</t>
  </si>
  <si>
    <t>Vertex Energy 4862</t>
  </si>
  <si>
    <t>SEC04863</t>
  </si>
  <si>
    <t>Summit Fund 4863</t>
  </si>
  <si>
    <t>SEC04864</t>
  </si>
  <si>
    <t>Alpha Energy 4864</t>
  </si>
  <si>
    <t>SEC04865</t>
  </si>
  <si>
    <t>Liberty Energy 4865</t>
  </si>
  <si>
    <t>SEC04866</t>
  </si>
  <si>
    <t>Sterling Markets 4866</t>
  </si>
  <si>
    <t>SEC04867</t>
  </si>
  <si>
    <t>Cedar Group 4867</t>
  </si>
  <si>
    <t>SEC04868</t>
  </si>
  <si>
    <t>Alpha Capital 4868</t>
  </si>
  <si>
    <t>SEC04869</t>
  </si>
  <si>
    <t>Delta Financial 4869</t>
  </si>
  <si>
    <t>SEC04870</t>
  </si>
  <si>
    <t>Pioneer Industries 4870</t>
  </si>
  <si>
    <t>SEC04871</t>
  </si>
  <si>
    <t>Orion Group 4871</t>
  </si>
  <si>
    <t>SEC04872</t>
  </si>
  <si>
    <t>Delta Fund 4872</t>
  </si>
  <si>
    <t>SEC04873</t>
  </si>
  <si>
    <t>Harbor Energy 4873</t>
  </si>
  <si>
    <t>SEC04874</t>
  </si>
  <si>
    <t>Atlas Technology 4874</t>
  </si>
  <si>
    <t>SEC04875</t>
  </si>
  <si>
    <t>Summit Technology 4875</t>
  </si>
  <si>
    <t>SEC04876</t>
  </si>
  <si>
    <t>Cedar Group 4876</t>
  </si>
  <si>
    <t>SEC04877</t>
  </si>
  <si>
    <t>Orion Industries 4877</t>
  </si>
  <si>
    <t>SEC04878</t>
  </si>
  <si>
    <t>Sterling Financial 4878</t>
  </si>
  <si>
    <t>SEC04879</t>
  </si>
  <si>
    <t>Vertex Capital 4879</t>
  </si>
  <si>
    <t>SEC04880</t>
  </si>
  <si>
    <t>Cedar Technology 4880</t>
  </si>
  <si>
    <t>SEC04881</t>
  </si>
  <si>
    <t>Pioneer Fund 4881</t>
  </si>
  <si>
    <t>SEC04882</t>
  </si>
  <si>
    <t>Alpha Industries 4882</t>
  </si>
  <si>
    <t>SEC04883</t>
  </si>
  <si>
    <t>Liberty Technology 4883</t>
  </si>
  <si>
    <t>SEC04884</t>
  </si>
  <si>
    <t>Pioneer Holdings 4884</t>
  </si>
  <si>
    <t>SEC04885</t>
  </si>
  <si>
    <t>Sterling Industries 4885</t>
  </si>
  <si>
    <t>SEC04886</t>
  </si>
  <si>
    <t>Cedar Industries 4886</t>
  </si>
  <si>
    <t>SEC04887</t>
  </si>
  <si>
    <t>Orion Markets 4887</t>
  </si>
  <si>
    <t>SEC04888</t>
  </si>
  <si>
    <t>Orion Fund 4888</t>
  </si>
  <si>
    <t>SEC04889</t>
  </si>
  <si>
    <t>Harbor Technology 4889</t>
  </si>
  <si>
    <t>SEC04890</t>
  </si>
  <si>
    <t>Harbor Technology 4890</t>
  </si>
  <si>
    <t>SEC04891</t>
  </si>
  <si>
    <t>Vertex Holdings 4891</t>
  </si>
  <si>
    <t>SEC04892</t>
  </si>
  <si>
    <t>Alpha Energy 4892</t>
  </si>
  <si>
    <t>SEC04893</t>
  </si>
  <si>
    <t>Sterling Markets 4893</t>
  </si>
  <si>
    <t>SEC04894</t>
  </si>
  <si>
    <t>Harbor Industries 4894</t>
  </si>
  <si>
    <t>SEC04895</t>
  </si>
  <si>
    <t>Harbor Group 4895</t>
  </si>
  <si>
    <t>SEC04896</t>
  </si>
  <si>
    <t>Liberty Fund 4896</t>
  </si>
  <si>
    <t>SEC04897</t>
  </si>
  <si>
    <t>Sterling Capital 4897</t>
  </si>
  <si>
    <t>SEC04898</t>
  </si>
  <si>
    <t>Atlas Financial 4898</t>
  </si>
  <si>
    <t>SEC04899</t>
  </si>
  <si>
    <t>Cedar Group 4899</t>
  </si>
  <si>
    <t>SEC04900</t>
  </si>
  <si>
    <t>Delta Fund 4900</t>
  </si>
  <si>
    <t>SEC04901</t>
  </si>
  <si>
    <t>Delta Group 4901</t>
  </si>
  <si>
    <t>SEC04902</t>
  </si>
  <si>
    <t>Orion Energy 4902</t>
  </si>
  <si>
    <t>SEC04903</t>
  </si>
  <si>
    <t>Sterling Group 4903</t>
  </si>
  <si>
    <t>SEC04904</t>
  </si>
  <si>
    <t>Atlas Group 4904</t>
  </si>
  <si>
    <t>SEC04905</t>
  </si>
  <si>
    <t>Vertex Capital 4905</t>
  </si>
  <si>
    <t>SEC04906</t>
  </si>
  <si>
    <t>Harbor Partners 4906</t>
  </si>
  <si>
    <t>SEC04907</t>
  </si>
  <si>
    <t>Pioneer Industries 4907</t>
  </si>
  <si>
    <t>SEC04908</t>
  </si>
  <si>
    <t>Sterling Group 4908</t>
  </si>
  <si>
    <t>SEC04909</t>
  </si>
  <si>
    <t>Vertex Partners 4909</t>
  </si>
  <si>
    <t>SEC04910</t>
  </si>
  <si>
    <t>Delta Financial 4910</t>
  </si>
  <si>
    <t>SEC04911</t>
  </si>
  <si>
    <t>Atlas Industries 4911</t>
  </si>
  <si>
    <t>SEC04912</t>
  </si>
  <si>
    <t>Summit Technology 4912</t>
  </si>
  <si>
    <t>SEC04913</t>
  </si>
  <si>
    <t>Nova Fund 4913</t>
  </si>
  <si>
    <t>SEC04914</t>
  </si>
  <si>
    <t>Pioneer Industries 4914</t>
  </si>
  <si>
    <t>SEC04915</t>
  </si>
  <si>
    <t>Pioneer Financial 4915</t>
  </si>
  <si>
    <t>SEC04916</t>
  </si>
  <si>
    <t>Vertex Markets 4916</t>
  </si>
  <si>
    <t>SEC04917</t>
  </si>
  <si>
    <t>Liberty Energy 4917</t>
  </si>
  <si>
    <t>SEC04918</t>
  </si>
  <si>
    <t>Nova Energy 4918</t>
  </si>
  <si>
    <t>SEC04919</t>
  </si>
  <si>
    <t>Pioneer Markets 4919</t>
  </si>
  <si>
    <t>SEC04920</t>
  </si>
  <si>
    <t>Orion Group 4920</t>
  </si>
  <si>
    <t>SEC04921</t>
  </si>
  <si>
    <t>Cedar Partners 4921</t>
  </si>
  <si>
    <t>SEC04922</t>
  </si>
  <si>
    <t>Cedar Capital 4922</t>
  </si>
  <si>
    <t>SEC04923</t>
  </si>
  <si>
    <t>Summit Partners 4923</t>
  </si>
  <si>
    <t>SEC04924</t>
  </si>
  <si>
    <t>Delta Capital 4924</t>
  </si>
  <si>
    <t>SEC04925</t>
  </si>
  <si>
    <t>Orion Holdings 4925</t>
  </si>
  <si>
    <t>SEC04926</t>
  </si>
  <si>
    <t>Cedar Financial 4926</t>
  </si>
  <si>
    <t>SEC04927</t>
  </si>
  <si>
    <t>Nova Partners 4927</t>
  </si>
  <si>
    <t>SEC04928</t>
  </si>
  <si>
    <t>Summit Markets 4928</t>
  </si>
  <si>
    <t>SEC04929</t>
  </si>
  <si>
    <t>Harbor Group 4929</t>
  </si>
  <si>
    <t>SEC04930</t>
  </si>
  <si>
    <t>Cedar Markets 4930</t>
  </si>
  <si>
    <t>SEC04931</t>
  </si>
  <si>
    <t>Harbor Fund 4931</t>
  </si>
  <si>
    <t>SEC04932</t>
  </si>
  <si>
    <t>Cedar Industries 4932</t>
  </si>
  <si>
    <t>SEC04933</t>
  </si>
  <si>
    <t>Harbor Markets 4933</t>
  </si>
  <si>
    <t>SEC04934</t>
  </si>
  <si>
    <t>Cedar Holdings 4934</t>
  </si>
  <si>
    <t>SEC04935</t>
  </si>
  <si>
    <t>Summit Energy 4935</t>
  </si>
  <si>
    <t>SEC04936</t>
  </si>
  <si>
    <t>Nova Technology 4936</t>
  </si>
  <si>
    <t>SEC04937</t>
  </si>
  <si>
    <t>Sterling Holdings 4937</t>
  </si>
  <si>
    <t>SEC04938</t>
  </si>
  <si>
    <t>Summit Partners 4938</t>
  </si>
  <si>
    <t>SEC04939</t>
  </si>
  <si>
    <t>Pioneer Holdings 4939</t>
  </si>
  <si>
    <t>SEC04940</t>
  </si>
  <si>
    <t>Alpha Energy 4940</t>
  </si>
  <si>
    <t>SEC04941</t>
  </si>
  <si>
    <t>Nova Markets 4941</t>
  </si>
  <si>
    <t>SEC04942</t>
  </si>
  <si>
    <t>Pioneer Financial 4942</t>
  </si>
  <si>
    <t>SEC04943</t>
  </si>
  <si>
    <t>Vertex Capital 4943</t>
  </si>
  <si>
    <t>SEC04944</t>
  </si>
  <si>
    <t>Vertex Markets 4944</t>
  </si>
  <si>
    <t>SEC04945</t>
  </si>
  <si>
    <t>Delta Capital 4945</t>
  </si>
  <si>
    <t>SEC04946</t>
  </si>
  <si>
    <t>Sterling Group 4946</t>
  </si>
  <si>
    <t>SEC04947</t>
  </si>
  <si>
    <t>Alpha Markets 4947</t>
  </si>
  <si>
    <t>SEC04948</t>
  </si>
  <si>
    <t>Pioneer Markets 4948</t>
  </si>
  <si>
    <t>SEC04949</t>
  </si>
  <si>
    <t>Liberty Capital 4949</t>
  </si>
  <si>
    <t>SEC04950</t>
  </si>
  <si>
    <t>Atlas Technology 4950</t>
  </si>
  <si>
    <t>SEC04951</t>
  </si>
  <si>
    <t>Pioneer Fund 4951</t>
  </si>
  <si>
    <t>SEC04952</t>
  </si>
  <si>
    <t>Orion Holdings 4952</t>
  </si>
  <si>
    <t>SEC04953</t>
  </si>
  <si>
    <t>Orion Industries 4953</t>
  </si>
  <si>
    <t>SEC04954</t>
  </si>
  <si>
    <t>Nova Technology 4954</t>
  </si>
  <si>
    <t>SEC04955</t>
  </si>
  <si>
    <t>Sterling Industries 4955</t>
  </si>
  <si>
    <t>SEC04956</t>
  </si>
  <si>
    <t>Atlas Partners 4956</t>
  </si>
  <si>
    <t>SEC04957</t>
  </si>
  <si>
    <t>Atlas Technology 4957</t>
  </si>
  <si>
    <t>SEC04958</t>
  </si>
  <si>
    <t>Alpha Partners 4958</t>
  </si>
  <si>
    <t>SEC04959</t>
  </si>
  <si>
    <t>Summit Technology 4959</t>
  </si>
  <si>
    <t>SEC04960</t>
  </si>
  <si>
    <t>Sterling Financial 4960</t>
  </si>
  <si>
    <t>SEC04961</t>
  </si>
  <si>
    <t>Harbor Technology 4961</t>
  </si>
  <si>
    <t>SEC04962</t>
  </si>
  <si>
    <t>Atlas Technology 4962</t>
  </si>
  <si>
    <t>SEC04963</t>
  </si>
  <si>
    <t>Delta Fund 4963</t>
  </si>
  <si>
    <t>SEC04964</t>
  </si>
  <si>
    <t>Pioneer Partners 4964</t>
  </si>
  <si>
    <t>SEC04965</t>
  </si>
  <si>
    <t>Delta Holdings 4965</t>
  </si>
  <si>
    <t>SEC04966</t>
  </si>
  <si>
    <t>Delta Group 4966</t>
  </si>
  <si>
    <t>SEC04967</t>
  </si>
  <si>
    <t>Vertex Capital 4967</t>
  </si>
  <si>
    <t>SEC04968</t>
  </si>
  <si>
    <t>Pioneer Holdings 4968</t>
  </si>
  <si>
    <t>SEC04969</t>
  </si>
  <si>
    <t>Cedar Holdings 4969</t>
  </si>
  <si>
    <t>SEC04970</t>
  </si>
  <si>
    <t>Harbor Markets 4970</t>
  </si>
  <si>
    <t>SEC04971</t>
  </si>
  <si>
    <t>Atlas Capital 4971</t>
  </si>
  <si>
    <t>SEC04972</t>
  </si>
  <si>
    <t>Pioneer Energy 4972</t>
  </si>
  <si>
    <t>SEC04973</t>
  </si>
  <si>
    <t>Pioneer Capital 4973</t>
  </si>
  <si>
    <t>SEC04974</t>
  </si>
  <si>
    <t>Vertex Partners 4974</t>
  </si>
  <si>
    <t>SEC04975</t>
  </si>
  <si>
    <t>Alpha Markets 4975</t>
  </si>
  <si>
    <t>SEC04976</t>
  </si>
  <si>
    <t>Nova Fund 4976</t>
  </si>
  <si>
    <t>SEC04977</t>
  </si>
  <si>
    <t>Orion Capital 4977</t>
  </si>
  <si>
    <t>SEC04978</t>
  </si>
  <si>
    <t>Sterling Fund 4978</t>
  </si>
  <si>
    <t>SEC04979</t>
  </si>
  <si>
    <t>Summit Industries 4979</t>
  </si>
  <si>
    <t>SEC04980</t>
  </si>
  <si>
    <t>Nova Holdings 4980</t>
  </si>
  <si>
    <t>SEC04981</t>
  </si>
  <si>
    <t>Sterling Partners 4981</t>
  </si>
  <si>
    <t>SEC04982</t>
  </si>
  <si>
    <t>Orion Energy 4982</t>
  </si>
  <si>
    <t>SEC04983</t>
  </si>
  <si>
    <t>Alpha Energy 4983</t>
  </si>
  <si>
    <t>SEC04984</t>
  </si>
  <si>
    <t>Alpha Technology 4984</t>
  </si>
  <si>
    <t>SEC04985</t>
  </si>
  <si>
    <t>Pioneer Industries 4985</t>
  </si>
  <si>
    <t>SEC04986</t>
  </si>
  <si>
    <t>Summit Fund 4986</t>
  </si>
  <si>
    <t>SEC04987</t>
  </si>
  <si>
    <t>Sterling Energy 4987</t>
  </si>
  <si>
    <t>SEC04988</t>
  </si>
  <si>
    <t>Harbor Partners 4988</t>
  </si>
  <si>
    <t>SEC04989</t>
  </si>
  <si>
    <t>Orion Industries 4989</t>
  </si>
  <si>
    <t>SEC04990</t>
  </si>
  <si>
    <t>Pioneer Technology 4990</t>
  </si>
  <si>
    <t>SEC04991</t>
  </si>
  <si>
    <t>Alpha Fund 4991</t>
  </si>
  <si>
    <t>SEC04992</t>
  </si>
  <si>
    <t>Sterling Group 4992</t>
  </si>
  <si>
    <t>SEC04993</t>
  </si>
  <si>
    <t>Cedar Capital 4993</t>
  </si>
  <si>
    <t>SEC04994</t>
  </si>
  <si>
    <t>Liberty Fund 4994</t>
  </si>
  <si>
    <t>SEC04995</t>
  </si>
  <si>
    <t>Summit Industries 4995</t>
  </si>
  <si>
    <t>SEC04996</t>
  </si>
  <si>
    <t>Pioneer Holdings 4996</t>
  </si>
  <si>
    <t>SEC04997</t>
  </si>
  <si>
    <t>Harbor Partners 4997</t>
  </si>
  <si>
    <t>SEC04998</t>
  </si>
  <si>
    <t>Pioneer Capital 4998</t>
  </si>
  <si>
    <t>SEC04999</t>
  </si>
  <si>
    <t>Orion Group 4999</t>
  </si>
  <si>
    <t>SEC05000</t>
  </si>
  <si>
    <t>Sterling Holdings 5000</t>
  </si>
  <si>
    <t>SECURITY PRICING &amp; VALUATION EXCEPTION ANALYSIS</t>
  </si>
  <si>
    <t>Purpose</t>
  </si>
  <si>
    <t>Practice portfolio project using fully fictional data. No employer/confidential data.</t>
  </si>
  <si>
    <t>Business Scenario</t>
  </si>
  <si>
    <t>Review a 5,000-security portfolio before NAV and identify records requiring pricing investigation.</t>
  </si>
  <si>
    <t>Your first task</t>
  </si>
  <si>
    <t>Open the Pricing Data sheet. Review the columns and use the filters to inspect records.</t>
  </si>
  <si>
    <t>Next step</t>
  </si>
  <si>
    <t>We will build the exception rules and formulas together rather than treating the finished logic as a black box.</t>
  </si>
  <si>
    <t>Fields included</t>
  </si>
  <si>
    <t>Security ID, Security Name, Asset Class, Currency, Prior Price, Current Price, Vendor Price, Price Age (Days), Volume, Market Value ($mm).</t>
  </si>
  <si>
    <t>daily change%</t>
  </si>
  <si>
    <t>vendor difference%</t>
  </si>
  <si>
    <t>exceptions statuts</t>
  </si>
  <si>
    <t>PRIORITY</t>
  </si>
  <si>
    <t>Security Pricing &amp; Valuation Dashboard</t>
  </si>
  <si>
    <t>Total Securities Reviewed</t>
  </si>
  <si>
    <t>Total Exceptions</t>
  </si>
  <si>
    <t>Exception Rate</t>
  </si>
  <si>
    <t>High Priority Exceptions</t>
  </si>
  <si>
    <t>Medium Priority Exceptions</t>
  </si>
  <si>
    <t>Low Priority Exceptions</t>
  </si>
  <si>
    <t>Unclassified Exceptions</t>
  </si>
  <si>
    <t>Exception Type</t>
  </si>
  <si>
    <t>MISSING</t>
  </si>
  <si>
    <t>STALE</t>
  </si>
  <si>
    <t>LARGE MOVE</t>
  </si>
  <si>
    <t>VENDOR DIFFERENCE</t>
  </si>
  <si>
    <t>Count</t>
  </si>
  <si>
    <t>Key Insights</t>
  </si>
  <si>
    <t>• 822 of 5,000 securities were flagged for review, representing a 16.44% exception rate.</t>
  </si>
  <si>
    <t>• Stale prices were the largest exception category, with 467 cases.</t>
  </si>
  <si>
    <t>• 307 exceptions were classified as high priority, representing 37% of all exceptions.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</si>
</sst>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00;[Red]\(\$#,##0.0000\);\-"/>
    <numFmt numFmtId="165" formatCode="#,##0;[Red]\(#,##0\);\-"/>
    <numFmt numFmtId="166" formatCode="\$#,##0.00;[Red]\(\$#,##0.00\);\-"/>
  </numFmts>
  <fonts count="6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1" fillId="2" borderId="0" xfId="0" applyFont="1" applyFill="1" applyAlignment="1">
      <alignment horizontal="left" vertical="center" wrapText="1"/>
    </xf>
    <xf numFmtId="10" fontId="0" fillId="0" borderId="0" xfId="0" applyNumberFormat="1"/>
    <xf numFmtId="0" fontId="0" fillId="0" borderId="0" xfId="0" applyNumberFormat="1"/>
    <xf numFmtId="0" fontId="5" fillId="0" borderId="0" xfId="0" applyFont="1" applyAlignment="1">
      <alignment horizontal="center"/>
    </xf>
    <xf numFmtId="0" fontId="2" fillId="0" borderId="0" xfId="0" applyFont="1"/>
    <xf numFmtId="0" fontId="2" fillId="4" borderId="0" xfId="0" applyFont="1" applyFill="1"/>
    <xf numFmtId="0" fontId="0" fillId="4" borderId="0" xfId="0" applyFill="1"/>
    <xf numFmtId="10" fontId="0" fillId="4" borderId="0" xfId="0" applyNumberFormat="1" applyFill="1"/>
  </cellXfs>
  <cellStyles count="1">
    <cellStyle name="Normal" xfId="0" builtinId="0"/>
  </cellStyles>
  <dxfs count="13"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4CCCC"/>
        </patternFill>
      </fill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Exception Priority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Dashboard!$A$6:$A$8</c:f>
              <c:strCache>
                <c:ptCount val="3"/>
                <c:pt idx="0">
                  <c:v>High Priority Exceptions</c:v>
                </c:pt>
                <c:pt idx="1">
                  <c:v>Medium Priority Exceptions</c:v>
                </c:pt>
                <c:pt idx="2">
                  <c:v>Low Priority Exceptions</c:v>
                </c:pt>
              </c:strCache>
            </c:strRef>
          </c:cat>
          <c:val>
            <c:numRef>
              <c:f>Dashboard!$B$6:$B$8</c:f>
              <c:numCache>
                <c:formatCode>General</c:formatCode>
                <c:ptCount val="3"/>
                <c:pt idx="0">
                  <c:v>307</c:v>
                </c:pt>
                <c:pt idx="1">
                  <c:v>160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1-46AD-88FC-F42804036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Exception Priority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Dashboard!$A$6:$A$8</c:f>
              <c:strCache>
                <c:ptCount val="3"/>
                <c:pt idx="0">
                  <c:v>High Priority Exceptions</c:v>
                </c:pt>
                <c:pt idx="1">
                  <c:v>Medium Priority Exceptions</c:v>
                </c:pt>
                <c:pt idx="2">
                  <c:v>Low Priority Exceptions</c:v>
                </c:pt>
              </c:strCache>
            </c:strRef>
          </c:cat>
          <c:val>
            <c:numRef>
              <c:f>Dashboard!$B$6:$B$8</c:f>
              <c:numCache>
                <c:formatCode>General</c:formatCode>
                <c:ptCount val="3"/>
                <c:pt idx="0">
                  <c:v>307</c:v>
                </c:pt>
                <c:pt idx="1">
                  <c:v>160</c:v>
                </c:pt>
                <c:pt idx="2">
                  <c:v>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FE-4B8C-A027-C6524F29733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5358705161854769E-2"/>
          <c:y val="0.19486111111111112"/>
          <c:w val="0.8901968503937007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Dashboard!$B$12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Dashboard!$A$13:$A$16</c:f>
              <c:strCache>
                <c:ptCount val="4"/>
                <c:pt idx="0">
                  <c:v>MISSING</c:v>
                </c:pt>
                <c:pt idx="1">
                  <c:v>STALE</c:v>
                </c:pt>
                <c:pt idx="2">
                  <c:v>LARGE MOVE</c:v>
                </c:pt>
                <c:pt idx="3">
                  <c:v>VENDOR DIFFERENCE</c:v>
                </c:pt>
              </c:strCache>
            </c:strRef>
          </c:cat>
          <c:val>
            <c:numRef>
              <c:f>Dashboard!$B$13:$B$16</c:f>
              <c:numCache>
                <c:formatCode>General</c:formatCode>
                <c:ptCount val="4"/>
                <c:pt idx="0">
                  <c:v>58</c:v>
                </c:pt>
                <c:pt idx="1">
                  <c:v>467</c:v>
                </c:pt>
                <c:pt idx="2">
                  <c:v>145</c:v>
                </c:pt>
                <c:pt idx="3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C-4154-BB64-669B93149B3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90721856"/>
        <c:axId val="1013234096"/>
      </c:barChart>
      <c:catAx>
        <c:axId val="1090721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234096"/>
        <c:crosses val="autoZero"/>
        <c:auto val="1"/>
        <c:lblAlgn val="ctr"/>
        <c:lblOffset val="100"/>
        <c:noMultiLvlLbl val="0"/>
      </c:catAx>
      <c:valAx>
        <c:axId val="10132340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072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404812</xdr:colOff>
      <xdr:row>3</xdr:row>
      <xdr:rowOff>123825</xdr:rowOff>
    </xdr:from>
    <xdr:to>
      <xdr:col>9</xdr:col>
      <xdr:colOff>176212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AA95D-165E-BDA1-97C9-8E7F510F9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404812</xdr:colOff>
      <xdr:row>3</xdr:row>
      <xdr:rowOff>123825</xdr:rowOff>
    </xdr:from>
    <xdr:to>
      <xdr:col>9</xdr:col>
      <xdr:colOff>176212</xdr:colOff>
      <xdr:row>18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C3213EC-AA38-7E71-555D-1887B1288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138112</xdr:colOff>
      <xdr:row>3</xdr:row>
      <xdr:rowOff>76200</xdr:rowOff>
    </xdr:from>
    <xdr:to>
      <xdr:col>16</xdr:col>
      <xdr:colOff>595312</xdr:colOff>
      <xdr:row>18</xdr:row>
      <xdr:rowOff>104775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925D70-1E53-F807-EA15-EEFE20B865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cingDataTable" displayName="PricingDataTable" ref="A1:N5001" totalsRowShown="0">
  <tableColumns count="14">
    <tableColumn id="1" xr3:uid="{00000000-0010-0000-0000-000001000000}" name="Security ID"/>
    <tableColumn id="2" xr3:uid="{00000000-0010-0000-0000-000002000000}" name="Security Name"/>
    <tableColumn id="3" xr3:uid="{00000000-0010-0000-0000-000003000000}" name="Asset Class"/>
    <tableColumn id="4" xr3:uid="{00000000-0010-0000-0000-000004000000}" name="Currency"/>
    <tableColumn id="5" xr3:uid="{00000000-0010-0000-0000-000005000000}" name="Prior Price ($)"/>
    <tableColumn id="6" xr3:uid="{00000000-0010-0000-0000-000006000000}" name="Current Price ($)"/>
    <tableColumn id="7" xr3:uid="{00000000-0010-0000-0000-000007000000}" name="Vendor Price ($)"/>
    <tableColumn id="8" xr3:uid="{00000000-0010-0000-0000-000008000000}" name="Price Age (Days)"/>
    <tableColumn id="9" xr3:uid="{00000000-0010-0000-0000-000009000000}" name="Volume"/>
    <tableColumn id="10" xr3:uid="{00000000-0010-0000-0000-00000A000000}" name="Market Value ($mm)"/>
    <tableColumn id="11" xr3:uid="{19ED3458-09F0-44F4-B9F5-A0197E8222BF}" name="daily change%" dataDxfId="12">
      <calculatedColumnFormula>(PricingDataTable[[#This Row],[Current Price ($)]]-PricingDataTable[[#This Row],[Prior Price ($)]])/PricingDataTable[[#This Row],[Prior Price ($)]]</calculatedColumnFormula>
    </tableColumn>
    <tableColumn id="12" xr3:uid="{CB903634-B701-49FE-A0BD-0F7E2B85FC36}" name="vendor difference%" dataDxfId="11">
      <calculatedColumnFormula>(PricingDataTable[[#This Row],[Vendor Price ($)]]-PricingDataTable[[#This Row],[Current Price ($)]])/PricingDataTable[[#This Row],[Current Price ($)]]</calculatedColumnFormula>
    </tableColumn>
    <tableColumn id="13" xr3:uid="{8094FD40-8D18-411A-A0BC-E5DDFB34880A}" name="exceptions statuts" dataDxfId="10">
      <calculatedColumnFormula>IF(OR(F2="",F2=0),"MISSING",IF(H2&gt;=3,"STALE",IF(ABS(K2)&gt;=5%,"LARGE MOVE",IF(ABS(L2)&gt;=2%,"VENDOR DIFFERENCE","PASS"))))</calculatedColumnFormula>
    </tableColumn>
    <tableColumn id="14" xr3:uid="{9F02F423-E85C-4948-9141-532EBBA179A3}" name="PRIORITY" dataDxfId="0">
      <calculatedColumnFormula>IF(M2="PASS","NONE",IF(M2="MISSING","HIGH",IF(OR(ABS(K2)&gt;=10%,ABS(L2)&gt;=5%),"HIGH",IF(OR(ABS(K2)&gt;=7%,ABS(L2)&gt;=3%,H2&gt;=5),"MEDIUM","LOW"))))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1"/>
  <sheetViews>
    <sheetView topLeftCell="E1" workbookViewId="0">
      <selection activeCell="N3" sqref="N3"/>
    </sheetView>
  </sheetViews>
  <sheetFormatPr defaultRowHeight="14.25"/>
  <cols>
    <col min="1" max="1" width="14" customWidth="1"/>
    <col min="2" max="2" width="28" customWidth="1"/>
    <col min="3" max="3" width="20" customWidth="1"/>
    <col min="4" max="4" width="11" customWidth="1"/>
    <col min="5" max="8" width="16" customWidth="1"/>
    <col min="9" max="9" width="14" customWidth="1"/>
    <col min="10" max="10" width="20" customWidth="1"/>
    <col min="11" max="11" width="13.625" bestFit="1" customWidth="1"/>
    <col min="12" max="12" width="18.75" bestFit="1" customWidth="1"/>
    <col min="13" max="13" width="17.375" bestFit="1" customWidth="1"/>
  </cols>
  <sheetData>
    <row r="1" spans="1:14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t="s">
        <v>10031</v>
      </c>
      <c r="L1" t="s">
        <v>10032</v>
      </c>
      <c r="M1" t="s">
        <v>10033</v>
      </c>
      <c r="N1" t="s">
        <v>10034</v>
      </c>
    </row>
    <row r="2" spans="1:14">
      <c r="A2" s="4" t="s">
        <v>10</v>
      </c>
      <c r="B2" s="4" t="s">
        <v>11</v>
      </c>
      <c r="C2" s="4" t="s">
        <v>12</v>
      </c>
      <c r="D2" s="4" t="s">
        <v>13</v>
      </c>
      <c r="E2" s="5">
        <v>88.751499999999993</v>
      </c>
      <c r="F2" s="5">
        <v>89.042900000000003</v>
      </c>
      <c r="G2" s="5">
        <v>89.472899999999996</v>
      </c>
      <c r="H2" s="4">
        <v>0</v>
      </c>
      <c r="I2" s="6">
        <v>1835068</v>
      </c>
      <c r="J2" s="7">
        <v>209.55</v>
      </c>
      <c r="K2" s="9">
        <f>(PricingDataTable[[#This Row],[Current Price ($)]]-PricingDataTable[[#This Row],[Prior Price ($)]])/PricingDataTable[[#This Row],[Prior Price ($)]]</f>
        <v>3.2833247888769219E-3</v>
      </c>
      <c r="L2" s="9">
        <f>(PricingDataTable[[#This Row],[Vendor Price ($)]]-PricingDataTable[[#This Row],[Current Price ($)]])/PricingDataTable[[#This Row],[Current Price ($)]]</f>
        <v>4.8291329235682192E-3</v>
      </c>
      <c r="M2" t="str">
        <f t="shared" ref="M2:M65" si="0">IF(OR(F2="",F2=0),"MISSING",IF(H2&gt;=3,"STALE",IF(ABS(K2)&gt;=5%,"LARGE MOVE",IF(ABS(L2)&gt;=2%,"VENDOR DIFFERENCE","PASS"))))</f>
        <v>PASS</v>
      </c>
      <c r="N2" s="10" t="str">
        <f>IF(M2="PASS","NONE",IF(M2="MISSING","HIGH",IF(OR(ABS(K2)&gt;=10%,ABS(L2)&gt;=5%),"HIGH",IF(OR(ABS(K2)&gt;=7%,ABS(L2)&gt;=3%,H2&gt;=5),"MEDIUM","LOW"))))</f>
        <v>NONE</v>
      </c>
    </row>
    <row r="3" spans="1:14">
      <c r="A3" s="4" t="s">
        <v>14</v>
      </c>
      <c r="B3" s="4" t="s">
        <v>15</v>
      </c>
      <c r="C3" s="4" t="s">
        <v>16</v>
      </c>
      <c r="D3" s="4" t="s">
        <v>13</v>
      </c>
      <c r="E3" s="5">
        <v>110.06619999999999</v>
      </c>
      <c r="F3" s="5">
        <v>108.8043</v>
      </c>
      <c r="G3" s="5">
        <v>108.977</v>
      </c>
      <c r="H3" s="4">
        <v>1</v>
      </c>
      <c r="I3" s="6">
        <v>2331953</v>
      </c>
      <c r="J3" s="7">
        <v>140.1</v>
      </c>
      <c r="K3" s="9">
        <f>(PricingDataTable[[#This Row],[Current Price ($)]]-PricingDataTable[[#This Row],[Prior Price ($)]])/PricingDataTable[[#This Row],[Prior Price ($)]]</f>
        <v>-1.1464918385480713E-2</v>
      </c>
      <c r="L3" s="9">
        <f>(PricingDataTable[[#This Row],[Vendor Price ($)]]-PricingDataTable[[#This Row],[Current Price ($)]])/PricingDataTable[[#This Row],[Current Price ($)]]</f>
        <v>1.587253444946625E-3</v>
      </c>
      <c r="M3" t="str">
        <f t="shared" si="0"/>
        <v>PASS</v>
      </c>
      <c r="N3" s="10" t="str">
        <f t="shared" ref="N2:N65" si="1">IF(M3="PASS","NONE",IF(M3="MISSING","HIGH",IF(OR(ABS(K3)&gt;=10%,ABS(L3)&gt;=5%),"HIGH",IF(OR(ABS(K3)&gt;=7%,ABS(L3)&gt;=3%,H3&gt;=5),"MEDIUM","LOW"))))</f>
        <v>NONE</v>
      </c>
    </row>
    <row r="4" spans="1:14">
      <c r="A4" s="4" t="s">
        <v>17</v>
      </c>
      <c r="B4" s="4" t="s">
        <v>18</v>
      </c>
      <c r="C4" s="4" t="s">
        <v>19</v>
      </c>
      <c r="D4" s="4" t="s">
        <v>13</v>
      </c>
      <c r="E4" s="5">
        <v>297.84309999999999</v>
      </c>
      <c r="F4" s="5">
        <v>292.68779999999998</v>
      </c>
      <c r="G4" s="5">
        <v>291.72160000000002</v>
      </c>
      <c r="H4" s="4">
        <v>4</v>
      </c>
      <c r="I4" s="6">
        <v>3034614</v>
      </c>
      <c r="J4" s="7">
        <v>519.70000000000005</v>
      </c>
      <c r="K4" s="9">
        <f>(PricingDataTable[[#This Row],[Current Price ($)]]-PricingDataTable[[#This Row],[Prior Price ($)]])/PricingDataTable[[#This Row],[Prior Price ($)]]</f>
        <v>-1.7308777675225685E-2</v>
      </c>
      <c r="L4" s="9">
        <f>(PricingDataTable[[#This Row],[Vendor Price ($)]]-PricingDataTable[[#This Row],[Current Price ($)]])/PricingDataTable[[#This Row],[Current Price ($)]]</f>
        <v>-3.301128369545837E-3</v>
      </c>
      <c r="M4" t="str">
        <f t="shared" si="0"/>
        <v>STALE</v>
      </c>
      <c r="N4" s="10" t="str">
        <f t="shared" si="1"/>
        <v>LOW</v>
      </c>
    </row>
    <row r="5" spans="1:14">
      <c r="A5" s="4" t="s">
        <v>20</v>
      </c>
      <c r="B5" s="4" t="s">
        <v>21</v>
      </c>
      <c r="C5" s="4" t="s">
        <v>19</v>
      </c>
      <c r="D5" s="4" t="s">
        <v>13</v>
      </c>
      <c r="E5" s="5">
        <v>106.97069999999999</v>
      </c>
      <c r="F5" s="5">
        <v>107.7902</v>
      </c>
      <c r="G5" s="5">
        <v>107.9033</v>
      </c>
      <c r="H5" s="4">
        <v>0</v>
      </c>
      <c r="I5" s="6">
        <v>1758472</v>
      </c>
      <c r="J5" s="7">
        <v>603.22</v>
      </c>
      <c r="K5" s="9">
        <f>(PricingDataTable[[#This Row],[Current Price ($)]]-PricingDataTable[[#This Row],[Prior Price ($)]])/PricingDataTable[[#This Row],[Prior Price ($)]]</f>
        <v>7.66097632342319E-3</v>
      </c>
      <c r="L5" s="9">
        <f>(PricingDataTable[[#This Row],[Vendor Price ($)]]-PricingDataTable[[#This Row],[Current Price ($)]])/PricingDataTable[[#This Row],[Current Price ($)]]</f>
        <v>1.0492605079126197E-3</v>
      </c>
      <c r="M5" t="str">
        <f t="shared" si="0"/>
        <v>PASS</v>
      </c>
      <c r="N5" s="10" t="str">
        <f t="shared" si="1"/>
        <v>NONE</v>
      </c>
    </row>
    <row r="6" spans="1:14">
      <c r="A6" s="4" t="s">
        <v>22</v>
      </c>
      <c r="B6" s="4" t="s">
        <v>23</v>
      </c>
      <c r="C6" s="4" t="s">
        <v>12</v>
      </c>
      <c r="D6" s="4" t="s">
        <v>13</v>
      </c>
      <c r="E6" s="5">
        <v>111.4563</v>
      </c>
      <c r="F6" s="5">
        <v>112.1327</v>
      </c>
      <c r="G6" s="5">
        <v>112.4139</v>
      </c>
      <c r="H6" s="4">
        <v>0</v>
      </c>
      <c r="I6" s="6">
        <v>470241</v>
      </c>
      <c r="J6" s="7">
        <v>206.3</v>
      </c>
      <c r="K6" s="9">
        <f>(PricingDataTable[[#This Row],[Current Price ($)]]-PricingDataTable[[#This Row],[Prior Price ($)]])/PricingDataTable[[#This Row],[Prior Price ($)]]</f>
        <v>6.0687462260993865E-3</v>
      </c>
      <c r="L6" s="9">
        <f>(PricingDataTable[[#This Row],[Vendor Price ($)]]-PricingDataTable[[#This Row],[Current Price ($)]])/PricingDataTable[[#This Row],[Current Price ($)]]</f>
        <v>2.5077430580017993E-3</v>
      </c>
      <c r="M6" t="str">
        <f t="shared" si="0"/>
        <v>PASS</v>
      </c>
      <c r="N6" s="10" t="str">
        <f t="shared" si="1"/>
        <v>NONE</v>
      </c>
    </row>
    <row r="7" spans="1:14">
      <c r="A7" s="4" t="s">
        <v>24</v>
      </c>
      <c r="B7" s="4" t="s">
        <v>25</v>
      </c>
      <c r="C7" s="4" t="s">
        <v>16</v>
      </c>
      <c r="D7" s="4" t="s">
        <v>13</v>
      </c>
      <c r="E7" s="5">
        <v>120.6568</v>
      </c>
      <c r="F7" s="5">
        <v>118.55549999999999</v>
      </c>
      <c r="G7" s="5">
        <v>118.3237</v>
      </c>
      <c r="H7" s="4">
        <v>2</v>
      </c>
      <c r="I7" s="6">
        <v>1172304</v>
      </c>
      <c r="J7" s="7">
        <v>222.12</v>
      </c>
      <c r="K7" s="9">
        <f>(PricingDataTable[[#This Row],[Current Price ($)]]-PricingDataTable[[#This Row],[Prior Price ($)]])/PricingDataTable[[#This Row],[Prior Price ($)]]</f>
        <v>-1.7415512428640648E-2</v>
      </c>
      <c r="L7" s="9">
        <f>(PricingDataTable[[#This Row],[Vendor Price ($)]]-PricingDataTable[[#This Row],[Current Price ($)]])/PricingDataTable[[#This Row],[Current Price ($)]]</f>
        <v>-1.9552024157461498E-3</v>
      </c>
      <c r="M7" t="str">
        <f t="shared" si="0"/>
        <v>PASS</v>
      </c>
      <c r="N7" s="10" t="str">
        <f t="shared" si="1"/>
        <v>NONE</v>
      </c>
    </row>
    <row r="8" spans="1:14">
      <c r="A8" s="4" t="s">
        <v>26</v>
      </c>
      <c r="B8" s="4" t="s">
        <v>27</v>
      </c>
      <c r="C8" s="4" t="s">
        <v>19</v>
      </c>
      <c r="D8" s="4" t="s">
        <v>13</v>
      </c>
      <c r="E8" s="5">
        <v>315.05540000000002</v>
      </c>
      <c r="F8" s="5">
        <v>312.90899999999999</v>
      </c>
      <c r="G8" s="5">
        <v>313.29930000000002</v>
      </c>
      <c r="H8" s="4">
        <v>0</v>
      </c>
      <c r="I8" s="6">
        <v>1343026</v>
      </c>
      <c r="J8" s="7">
        <v>712.91</v>
      </c>
      <c r="K8" s="9">
        <f>(PricingDataTable[[#This Row],[Current Price ($)]]-PricingDataTable[[#This Row],[Prior Price ($)]])/PricingDataTable[[#This Row],[Prior Price ($)]]</f>
        <v>-6.8127700715494106E-3</v>
      </c>
      <c r="L8" s="9">
        <f>(PricingDataTable[[#This Row],[Vendor Price ($)]]-PricingDataTable[[#This Row],[Current Price ($)]])/PricingDataTable[[#This Row],[Current Price ($)]]</f>
        <v>1.2473274977709964E-3</v>
      </c>
      <c r="M8" t="str">
        <f t="shared" si="0"/>
        <v>PASS</v>
      </c>
      <c r="N8" s="10" t="str">
        <f t="shared" si="1"/>
        <v>NONE</v>
      </c>
    </row>
    <row r="9" spans="1:14">
      <c r="A9" s="4" t="s">
        <v>28</v>
      </c>
      <c r="B9" s="4" t="s">
        <v>29</v>
      </c>
      <c r="C9" s="4" t="s">
        <v>19</v>
      </c>
      <c r="D9" s="4" t="s">
        <v>13</v>
      </c>
      <c r="E9" s="5">
        <v>348.67349999999999</v>
      </c>
      <c r="F9" s="5">
        <v>337.72129999999999</v>
      </c>
      <c r="G9" s="5">
        <v>306.91590000000002</v>
      </c>
      <c r="H9" s="4">
        <v>0</v>
      </c>
      <c r="I9" s="6">
        <v>936767</v>
      </c>
      <c r="J9" s="7">
        <v>264.29000000000002</v>
      </c>
      <c r="K9" s="9">
        <f>(PricingDataTable[[#This Row],[Current Price ($)]]-PricingDataTable[[#This Row],[Prior Price ($)]])/PricingDataTable[[#This Row],[Prior Price ($)]]</f>
        <v>-3.1411047871432743E-2</v>
      </c>
      <c r="L9" s="9">
        <f>(PricingDataTable[[#This Row],[Vendor Price ($)]]-PricingDataTable[[#This Row],[Current Price ($)]])/PricingDataTable[[#This Row],[Current Price ($)]]</f>
        <v>-9.1215448951546624E-2</v>
      </c>
      <c r="M9" t="str">
        <f t="shared" si="0"/>
        <v>VENDOR DIFFERENCE</v>
      </c>
      <c r="N9" s="10" t="str">
        <f t="shared" si="1"/>
        <v>HIGH</v>
      </c>
    </row>
    <row r="10" spans="1:14">
      <c r="A10" s="4" t="s">
        <v>30</v>
      </c>
      <c r="B10" s="4" t="s">
        <v>31</v>
      </c>
      <c r="C10" s="4" t="s">
        <v>19</v>
      </c>
      <c r="D10" s="4" t="s">
        <v>32</v>
      </c>
      <c r="E10" s="5">
        <v>254.13079999999999</v>
      </c>
      <c r="F10" s="5">
        <v>259.21730000000002</v>
      </c>
      <c r="G10" s="5">
        <v>258.98579999999998</v>
      </c>
      <c r="H10" s="4">
        <v>0</v>
      </c>
      <c r="I10" s="6">
        <v>1669587</v>
      </c>
      <c r="J10" s="7">
        <v>137.72</v>
      </c>
      <c r="K10" s="9">
        <f>(PricingDataTable[[#This Row],[Current Price ($)]]-PricingDataTable[[#This Row],[Prior Price ($)]])/PricingDataTable[[#This Row],[Prior Price ($)]]</f>
        <v>2.0015283468198381E-2</v>
      </c>
      <c r="L10" s="9">
        <f>(PricingDataTable[[#This Row],[Vendor Price ($)]]-PricingDataTable[[#This Row],[Current Price ($)]])/PricingDataTable[[#This Row],[Current Price ($)]]</f>
        <v>-8.9307310893231096E-4</v>
      </c>
      <c r="M10" t="str">
        <f t="shared" si="0"/>
        <v>PASS</v>
      </c>
      <c r="N10" s="10" t="str">
        <f t="shared" si="1"/>
        <v>NONE</v>
      </c>
    </row>
    <row r="11" spans="1:14">
      <c r="A11" s="4" t="s">
        <v>33</v>
      </c>
      <c r="B11" s="4" t="s">
        <v>34</v>
      </c>
      <c r="C11" s="4" t="s">
        <v>35</v>
      </c>
      <c r="D11" s="4" t="s">
        <v>36</v>
      </c>
      <c r="E11" s="5">
        <v>165.49180000000001</v>
      </c>
      <c r="F11" s="5">
        <v>163.6223</v>
      </c>
      <c r="G11" s="5">
        <v>163.2912</v>
      </c>
      <c r="H11" s="4">
        <v>5</v>
      </c>
      <c r="I11" s="6">
        <v>2021577</v>
      </c>
      <c r="J11" s="7">
        <v>790.23</v>
      </c>
      <c r="K11" s="9">
        <f>(PricingDataTable[[#This Row],[Current Price ($)]]-PricingDataTable[[#This Row],[Prior Price ($)]])/PricingDataTable[[#This Row],[Prior Price ($)]]</f>
        <v>-1.1296632219844224E-2</v>
      </c>
      <c r="L11" s="9">
        <f>(PricingDataTable[[#This Row],[Vendor Price ($)]]-PricingDataTable[[#This Row],[Current Price ($)]])/PricingDataTable[[#This Row],[Current Price ($)]]</f>
        <v>-2.0235628028697321E-3</v>
      </c>
      <c r="M11" t="str">
        <f t="shared" si="0"/>
        <v>STALE</v>
      </c>
      <c r="N11" s="10" t="str">
        <f t="shared" si="1"/>
        <v>MEDIUM</v>
      </c>
    </row>
    <row r="12" spans="1:14">
      <c r="A12" s="4" t="s">
        <v>37</v>
      </c>
      <c r="B12" s="4" t="s">
        <v>38</v>
      </c>
      <c r="C12" s="4" t="s">
        <v>39</v>
      </c>
      <c r="D12" s="4" t="s">
        <v>32</v>
      </c>
      <c r="E12" s="5">
        <v>342.47070000000002</v>
      </c>
      <c r="F12" s="5">
        <v>340.38479999999998</v>
      </c>
      <c r="G12" s="5">
        <v>340.27679999999998</v>
      </c>
      <c r="H12" s="4">
        <v>0</v>
      </c>
      <c r="I12" s="6">
        <v>1777692</v>
      </c>
      <c r="J12" s="7">
        <v>836.04</v>
      </c>
      <c r="K12" s="9">
        <f>(PricingDataTable[[#This Row],[Current Price ($)]]-PricingDataTable[[#This Row],[Prior Price ($)]])/PricingDataTable[[#This Row],[Prior Price ($)]]</f>
        <v>-6.0907400253511837E-3</v>
      </c>
      <c r="L12" s="9">
        <f>(PricingDataTable[[#This Row],[Vendor Price ($)]]-PricingDataTable[[#This Row],[Current Price ($)]])/PricingDataTable[[#This Row],[Current Price ($)]]</f>
        <v>-3.1728796350484538E-4</v>
      </c>
      <c r="M12" t="str">
        <f t="shared" si="0"/>
        <v>PASS</v>
      </c>
      <c r="N12" s="10" t="str">
        <f t="shared" si="1"/>
        <v>NONE</v>
      </c>
    </row>
    <row r="13" spans="1:14">
      <c r="A13" s="4" t="s">
        <v>40</v>
      </c>
      <c r="B13" s="4" t="s">
        <v>41</v>
      </c>
      <c r="C13" s="4" t="s">
        <v>12</v>
      </c>
      <c r="D13" s="4" t="s">
        <v>13</v>
      </c>
      <c r="E13" s="5">
        <v>108.5843</v>
      </c>
      <c r="F13" s="5">
        <v>106.6285</v>
      </c>
      <c r="G13" s="5">
        <v>107.1183</v>
      </c>
      <c r="H13" s="4">
        <v>0</v>
      </c>
      <c r="I13" s="6">
        <v>4937193</v>
      </c>
      <c r="J13" s="7">
        <v>198.35</v>
      </c>
      <c r="K13" s="9">
        <f>(PricingDataTable[[#This Row],[Current Price ($)]]-PricingDataTable[[#This Row],[Prior Price ($)]])/PricingDataTable[[#This Row],[Prior Price ($)]]</f>
        <v>-1.8011812020706459E-2</v>
      </c>
      <c r="L13" s="9">
        <f>(PricingDataTable[[#This Row],[Vendor Price ($)]]-PricingDataTable[[#This Row],[Current Price ($)]])/PricingDataTable[[#This Row],[Current Price ($)]]</f>
        <v>4.5935186183806622E-3</v>
      </c>
      <c r="M13" t="str">
        <f t="shared" si="0"/>
        <v>PASS</v>
      </c>
      <c r="N13" s="10" t="str">
        <f t="shared" si="1"/>
        <v>NONE</v>
      </c>
    </row>
    <row r="14" spans="1:14">
      <c r="A14" s="4" t="s">
        <v>42</v>
      </c>
      <c r="B14" s="4" t="s">
        <v>43</v>
      </c>
      <c r="C14" s="4" t="s">
        <v>19</v>
      </c>
      <c r="D14" s="4" t="s">
        <v>36</v>
      </c>
      <c r="E14" s="5">
        <v>301.99529999999999</v>
      </c>
      <c r="F14" s="5">
        <v>304.40679999999998</v>
      </c>
      <c r="G14" s="5">
        <v>304.6968</v>
      </c>
      <c r="H14" s="4">
        <v>0</v>
      </c>
      <c r="I14" s="6">
        <v>3966051</v>
      </c>
      <c r="J14" s="7">
        <v>218.85</v>
      </c>
      <c r="K14" s="9">
        <f>(PricingDataTable[[#This Row],[Current Price ($)]]-PricingDataTable[[#This Row],[Prior Price ($)]])/PricingDataTable[[#This Row],[Prior Price ($)]]</f>
        <v>7.9852236110958992E-3</v>
      </c>
      <c r="L14" s="9">
        <f>(PricingDataTable[[#This Row],[Vendor Price ($)]]-PricingDataTable[[#This Row],[Current Price ($)]])/PricingDataTable[[#This Row],[Current Price ($)]]</f>
        <v>9.5267254213775938E-4</v>
      </c>
      <c r="M14" t="str">
        <f t="shared" si="0"/>
        <v>PASS</v>
      </c>
      <c r="N14" s="10" t="str">
        <f t="shared" si="1"/>
        <v>NONE</v>
      </c>
    </row>
    <row r="15" spans="1:14">
      <c r="A15" s="4" t="s">
        <v>44</v>
      </c>
      <c r="B15" s="4" t="s">
        <v>45</v>
      </c>
      <c r="C15" s="4" t="s">
        <v>19</v>
      </c>
      <c r="D15" s="4" t="s">
        <v>13</v>
      </c>
      <c r="E15" s="5">
        <v>155.4195</v>
      </c>
      <c r="F15" s="5">
        <v>153.56379999999999</v>
      </c>
      <c r="G15" s="5">
        <v>153.80250000000001</v>
      </c>
      <c r="H15" s="4">
        <v>5</v>
      </c>
      <c r="I15" s="6">
        <v>2847276</v>
      </c>
      <c r="J15" s="7">
        <v>720.57</v>
      </c>
      <c r="K15" s="9">
        <f>(PricingDataTable[[#This Row],[Current Price ($)]]-PricingDataTable[[#This Row],[Prior Price ($)]])/PricingDataTable[[#This Row],[Prior Price ($)]]</f>
        <v>-1.193994318602243E-2</v>
      </c>
      <c r="L15" s="9">
        <f>(PricingDataTable[[#This Row],[Vendor Price ($)]]-PricingDataTable[[#This Row],[Current Price ($)]])/PricingDataTable[[#This Row],[Current Price ($)]]</f>
        <v>1.5544027954506388E-3</v>
      </c>
      <c r="M15" t="str">
        <f t="shared" si="0"/>
        <v>STALE</v>
      </c>
      <c r="N15" s="10" t="str">
        <f t="shared" si="1"/>
        <v>MEDIUM</v>
      </c>
    </row>
    <row r="16" spans="1:14">
      <c r="A16" s="4" t="s">
        <v>46</v>
      </c>
      <c r="B16" s="4" t="s">
        <v>47</v>
      </c>
      <c r="C16" s="4" t="s">
        <v>19</v>
      </c>
      <c r="D16" s="4" t="s">
        <v>13</v>
      </c>
      <c r="E16" s="5">
        <v>55.942300000000003</v>
      </c>
      <c r="F16" s="5">
        <v>56.246000000000002</v>
      </c>
      <c r="G16" s="5">
        <v>56.417900000000003</v>
      </c>
      <c r="H16" s="4">
        <v>1</v>
      </c>
      <c r="I16" s="6">
        <v>4535780</v>
      </c>
      <c r="J16" s="7">
        <v>752.46</v>
      </c>
      <c r="K16" s="9">
        <f>(PricingDataTable[[#This Row],[Current Price ($)]]-PricingDataTable[[#This Row],[Prior Price ($)]])/PricingDataTable[[#This Row],[Prior Price ($)]]</f>
        <v>5.4288078967078433E-3</v>
      </c>
      <c r="L16" s="9">
        <f>(PricingDataTable[[#This Row],[Vendor Price ($)]]-PricingDataTable[[#This Row],[Current Price ($)]])/PricingDataTable[[#This Row],[Current Price ($)]]</f>
        <v>3.0562173310102196E-3</v>
      </c>
      <c r="M16" t="str">
        <f t="shared" si="0"/>
        <v>PASS</v>
      </c>
      <c r="N16" s="10" t="str">
        <f t="shared" si="1"/>
        <v>NONE</v>
      </c>
    </row>
    <row r="17" spans="1:14">
      <c r="A17" s="4" t="s">
        <v>48</v>
      </c>
      <c r="B17" s="4" t="s">
        <v>49</v>
      </c>
      <c r="C17" s="4" t="s">
        <v>19</v>
      </c>
      <c r="D17" s="4" t="s">
        <v>13</v>
      </c>
      <c r="E17" s="5">
        <v>81.101600000000005</v>
      </c>
      <c r="F17" s="5">
        <v>80.826599999999999</v>
      </c>
      <c r="G17" s="5">
        <v>80.875699999999995</v>
      </c>
      <c r="H17" s="4">
        <v>0</v>
      </c>
      <c r="I17" s="6">
        <v>3549443</v>
      </c>
      <c r="J17" s="7">
        <v>626.99</v>
      </c>
      <c r="K17" s="9">
        <f>(PricingDataTable[[#This Row],[Current Price ($)]]-PricingDataTable[[#This Row],[Prior Price ($)]])/PricingDataTable[[#This Row],[Prior Price ($)]]</f>
        <v>-3.3908085660456226E-3</v>
      </c>
      <c r="L17" s="9">
        <f>(PricingDataTable[[#This Row],[Vendor Price ($)]]-PricingDataTable[[#This Row],[Current Price ($)]])/PricingDataTable[[#This Row],[Current Price ($)]]</f>
        <v>6.0747328231047337E-4</v>
      </c>
      <c r="M17" t="str">
        <f t="shared" si="0"/>
        <v>PASS</v>
      </c>
      <c r="N17" s="10" t="str">
        <f t="shared" si="1"/>
        <v>NONE</v>
      </c>
    </row>
    <row r="18" spans="1:14">
      <c r="A18" s="4" t="s">
        <v>50</v>
      </c>
      <c r="B18" s="4" t="s">
        <v>51</v>
      </c>
      <c r="C18" s="4" t="s">
        <v>12</v>
      </c>
      <c r="D18" s="4" t="s">
        <v>13</v>
      </c>
      <c r="E18" s="5">
        <v>84.494900000000001</v>
      </c>
      <c r="F18" s="5">
        <v>84.565799999999996</v>
      </c>
      <c r="G18" s="5">
        <v>84.652100000000004</v>
      </c>
      <c r="H18" s="4">
        <v>0</v>
      </c>
      <c r="I18" s="6">
        <v>4456408</v>
      </c>
      <c r="J18" s="7">
        <v>141.86000000000001</v>
      </c>
      <c r="K18" s="9">
        <f>(PricingDataTable[[#This Row],[Current Price ($)]]-PricingDataTable[[#This Row],[Prior Price ($)]])/PricingDataTable[[#This Row],[Prior Price ($)]]</f>
        <v>8.3910389857843053E-4</v>
      </c>
      <c r="L18" s="9">
        <f>(PricingDataTable[[#This Row],[Vendor Price ($)]]-PricingDataTable[[#This Row],[Current Price ($)]])/PricingDataTable[[#This Row],[Current Price ($)]]</f>
        <v>1.0205071080745228E-3</v>
      </c>
      <c r="M18" t="str">
        <f t="shared" si="0"/>
        <v>PASS</v>
      </c>
      <c r="N18" s="10" t="str">
        <f t="shared" si="1"/>
        <v>NONE</v>
      </c>
    </row>
    <row r="19" spans="1:14">
      <c r="A19" s="4" t="s">
        <v>52</v>
      </c>
      <c r="B19" s="4" t="s">
        <v>53</v>
      </c>
      <c r="C19" s="4" t="s">
        <v>39</v>
      </c>
      <c r="D19" s="4" t="s">
        <v>13</v>
      </c>
      <c r="E19" s="5">
        <v>31.242599999999999</v>
      </c>
      <c r="F19" s="5">
        <v>31.489000000000001</v>
      </c>
      <c r="G19" s="5">
        <v>31.415700000000001</v>
      </c>
      <c r="H19" s="4">
        <v>0</v>
      </c>
      <c r="I19" s="6">
        <v>4897198</v>
      </c>
      <c r="J19" s="7">
        <v>508.79</v>
      </c>
      <c r="K19" s="9">
        <f>(PricingDataTable[[#This Row],[Current Price ($)]]-PricingDataTable[[#This Row],[Prior Price ($)]])/PricingDataTable[[#This Row],[Prior Price ($)]]</f>
        <v>7.8866675628789309E-3</v>
      </c>
      <c r="L19" s="9">
        <f>(PricingDataTable[[#This Row],[Vendor Price ($)]]-PricingDataTable[[#This Row],[Current Price ($)]])/PricingDataTable[[#This Row],[Current Price ($)]]</f>
        <v>-2.3277970084791418E-3</v>
      </c>
      <c r="M19" t="str">
        <f t="shared" si="0"/>
        <v>PASS</v>
      </c>
      <c r="N19" s="10" t="str">
        <f t="shared" si="1"/>
        <v>NONE</v>
      </c>
    </row>
    <row r="20" spans="1:14">
      <c r="A20" s="4" t="s">
        <v>54</v>
      </c>
      <c r="B20" s="4" t="s">
        <v>55</v>
      </c>
      <c r="C20" s="4" t="s">
        <v>19</v>
      </c>
      <c r="D20" s="4" t="s">
        <v>13</v>
      </c>
      <c r="E20" s="5">
        <v>89.630600000000001</v>
      </c>
      <c r="F20" s="5">
        <v>88.357299999999995</v>
      </c>
      <c r="G20" s="5">
        <v>88.598299999999995</v>
      </c>
      <c r="H20" s="4">
        <v>1</v>
      </c>
      <c r="I20" s="6">
        <v>4723732</v>
      </c>
      <c r="J20" s="7">
        <v>896.49</v>
      </c>
      <c r="K20" s="9">
        <f>(PricingDataTable[[#This Row],[Current Price ($)]]-PricingDataTable[[#This Row],[Prior Price ($)]])/PricingDataTable[[#This Row],[Prior Price ($)]]</f>
        <v>-1.4206085867996042E-2</v>
      </c>
      <c r="L20" s="9">
        <f>(PricingDataTable[[#This Row],[Vendor Price ($)]]-PricingDataTable[[#This Row],[Current Price ($)]])/PricingDataTable[[#This Row],[Current Price ($)]]</f>
        <v>2.7275618426547627E-3</v>
      </c>
      <c r="M20" t="str">
        <f t="shared" si="0"/>
        <v>PASS</v>
      </c>
      <c r="N20" s="10" t="str">
        <f t="shared" si="1"/>
        <v>NONE</v>
      </c>
    </row>
    <row r="21" spans="1:14">
      <c r="A21" s="4" t="s">
        <v>56</v>
      </c>
      <c r="B21" s="4" t="s">
        <v>57</v>
      </c>
      <c r="C21" s="4" t="s">
        <v>19</v>
      </c>
      <c r="D21" s="4" t="s">
        <v>13</v>
      </c>
      <c r="E21" s="5">
        <v>327.17469999999997</v>
      </c>
      <c r="F21" s="5">
        <v>333.08980000000003</v>
      </c>
      <c r="G21" s="5">
        <v>331.69130000000001</v>
      </c>
      <c r="H21" s="4">
        <v>1</v>
      </c>
      <c r="I21" s="6">
        <v>4438076</v>
      </c>
      <c r="J21" s="7">
        <v>7.24</v>
      </c>
      <c r="K21" s="9">
        <f>(PricingDataTable[[#This Row],[Current Price ($)]]-PricingDataTable[[#This Row],[Prior Price ($)]])/PricingDataTable[[#This Row],[Prior Price ($)]]</f>
        <v>1.8079331928783162E-2</v>
      </c>
      <c r="L21" s="9">
        <f>(PricingDataTable[[#This Row],[Vendor Price ($)]]-PricingDataTable[[#This Row],[Current Price ($)]])/PricingDataTable[[#This Row],[Current Price ($)]]</f>
        <v>-4.1985674733961012E-3</v>
      </c>
      <c r="M21" t="str">
        <f t="shared" si="0"/>
        <v>PASS</v>
      </c>
      <c r="N21" s="10" t="str">
        <f t="shared" si="1"/>
        <v>NONE</v>
      </c>
    </row>
    <row r="22" spans="1:14">
      <c r="A22" s="4" t="s">
        <v>58</v>
      </c>
      <c r="B22" s="4" t="s">
        <v>59</v>
      </c>
      <c r="C22" s="4" t="s">
        <v>35</v>
      </c>
      <c r="D22" s="4" t="s">
        <v>13</v>
      </c>
      <c r="E22" s="5">
        <v>158.3066</v>
      </c>
      <c r="F22" s="5">
        <v>157.94450000000001</v>
      </c>
      <c r="G22" s="5">
        <v>158.93539999999999</v>
      </c>
      <c r="H22" s="4">
        <v>0</v>
      </c>
      <c r="I22" s="6">
        <v>2215457</v>
      </c>
      <c r="J22" s="7">
        <v>454.97</v>
      </c>
      <c r="K22" s="9">
        <f>(PricingDataTable[[#This Row],[Current Price ($)]]-PricingDataTable[[#This Row],[Prior Price ($)]])/PricingDataTable[[#This Row],[Prior Price ($)]]</f>
        <v>-2.2873335666358705E-3</v>
      </c>
      <c r="L22" s="9">
        <f>(PricingDataTable[[#This Row],[Vendor Price ($)]]-PricingDataTable[[#This Row],[Current Price ($)]])/PricingDataTable[[#This Row],[Current Price ($)]]</f>
        <v>6.2737227317189396E-3</v>
      </c>
      <c r="M22" t="str">
        <f t="shared" si="0"/>
        <v>PASS</v>
      </c>
      <c r="N22" s="10" t="str">
        <f t="shared" si="1"/>
        <v>NONE</v>
      </c>
    </row>
    <row r="23" spans="1:14">
      <c r="A23" s="4" t="s">
        <v>60</v>
      </c>
      <c r="B23" s="4" t="s">
        <v>61</v>
      </c>
      <c r="C23" s="4" t="s">
        <v>19</v>
      </c>
      <c r="D23" s="4" t="s">
        <v>13</v>
      </c>
      <c r="E23" s="5">
        <v>102.6246</v>
      </c>
      <c r="F23" s="5">
        <v>104.739</v>
      </c>
      <c r="G23" s="5">
        <v>104.751</v>
      </c>
      <c r="H23" s="4">
        <v>1</v>
      </c>
      <c r="I23" s="6">
        <v>82115</v>
      </c>
      <c r="J23" s="7">
        <v>100.86</v>
      </c>
      <c r="K23" s="9">
        <f>(PricingDataTable[[#This Row],[Current Price ($)]]-PricingDataTable[[#This Row],[Prior Price ($)]])/PricingDataTable[[#This Row],[Prior Price ($)]]</f>
        <v>2.0603247174654064E-2</v>
      </c>
      <c r="L23" s="9">
        <f>(PricingDataTable[[#This Row],[Vendor Price ($)]]-PricingDataTable[[#This Row],[Current Price ($)]])/PricingDataTable[[#This Row],[Current Price ($)]]</f>
        <v>1.1457050382379491E-4</v>
      </c>
      <c r="M23" t="str">
        <f t="shared" si="0"/>
        <v>PASS</v>
      </c>
      <c r="N23" s="10" t="str">
        <f t="shared" si="1"/>
        <v>NONE</v>
      </c>
    </row>
    <row r="24" spans="1:14">
      <c r="A24" s="4" t="s">
        <v>62</v>
      </c>
      <c r="B24" s="4" t="s">
        <v>63</v>
      </c>
      <c r="C24" s="4" t="s">
        <v>16</v>
      </c>
      <c r="D24" s="4" t="s">
        <v>64</v>
      </c>
      <c r="E24" s="5">
        <v>104.1255</v>
      </c>
      <c r="F24" s="5">
        <v>104.5153</v>
      </c>
      <c r="G24" s="5">
        <v>104.64660000000001</v>
      </c>
      <c r="H24" s="4">
        <v>1</v>
      </c>
      <c r="I24" s="6">
        <v>1763249</v>
      </c>
      <c r="J24" s="7">
        <v>613.91999999999996</v>
      </c>
      <c r="K24" s="9">
        <f>(PricingDataTable[[#This Row],[Current Price ($)]]-PricingDataTable[[#This Row],[Prior Price ($)]])/PricingDataTable[[#This Row],[Prior Price ($)]]</f>
        <v>3.7435594546964377E-3</v>
      </c>
      <c r="L24" s="9">
        <f>(PricingDataTable[[#This Row],[Vendor Price ($)]]-PricingDataTable[[#This Row],[Current Price ($)]])/PricingDataTable[[#This Row],[Current Price ($)]]</f>
        <v>1.2562753969993885E-3</v>
      </c>
      <c r="M24" t="str">
        <f t="shared" si="0"/>
        <v>PASS</v>
      </c>
      <c r="N24" s="10" t="str">
        <f t="shared" si="1"/>
        <v>NONE</v>
      </c>
    </row>
    <row r="25" spans="1:14">
      <c r="A25" s="4" t="s">
        <v>65</v>
      </c>
      <c r="B25" s="4" t="s">
        <v>66</v>
      </c>
      <c r="C25" s="4" t="s">
        <v>16</v>
      </c>
      <c r="D25" s="4" t="s">
        <v>13</v>
      </c>
      <c r="E25" s="5">
        <v>118.73560000000001</v>
      </c>
      <c r="F25" s="5">
        <v>121.0744</v>
      </c>
      <c r="G25" s="5">
        <v>120.9755</v>
      </c>
      <c r="H25" s="4">
        <v>0</v>
      </c>
      <c r="I25" s="6">
        <v>3459576</v>
      </c>
      <c r="J25" s="7">
        <v>22.5</v>
      </c>
      <c r="K25" s="9">
        <f>(PricingDataTable[[#This Row],[Current Price ($)]]-PricingDataTable[[#This Row],[Prior Price ($)]])/PricingDataTable[[#This Row],[Prior Price ($)]]</f>
        <v>1.9697546481425889E-2</v>
      </c>
      <c r="L25" s="9">
        <f>(PricingDataTable[[#This Row],[Vendor Price ($)]]-PricingDataTable[[#This Row],[Current Price ($)]])/PricingDataTable[[#This Row],[Current Price ($)]]</f>
        <v>-8.1685310850188346E-4</v>
      </c>
      <c r="M25" t="str">
        <f t="shared" si="0"/>
        <v>PASS</v>
      </c>
      <c r="N25" s="10" t="str">
        <f t="shared" si="1"/>
        <v>NONE</v>
      </c>
    </row>
    <row r="26" spans="1:14">
      <c r="A26" s="4" t="s">
        <v>67</v>
      </c>
      <c r="B26" s="4" t="s">
        <v>68</v>
      </c>
      <c r="C26" s="4" t="s">
        <v>39</v>
      </c>
      <c r="D26" s="4" t="s">
        <v>13</v>
      </c>
      <c r="E26" s="5">
        <v>237.10820000000001</v>
      </c>
      <c r="F26" s="5">
        <v>236.9068</v>
      </c>
      <c r="G26" s="5">
        <v>236.3723</v>
      </c>
      <c r="H26" s="4">
        <v>0</v>
      </c>
      <c r="I26" s="6">
        <v>1675138</v>
      </c>
      <c r="J26" s="7">
        <v>734.96</v>
      </c>
      <c r="K26" s="9">
        <f>(PricingDataTable[[#This Row],[Current Price ($)]]-PricingDataTable[[#This Row],[Prior Price ($)]])/PricingDataTable[[#This Row],[Prior Price ($)]]</f>
        <v>-8.4940124382036001E-4</v>
      </c>
      <c r="L26" s="9">
        <f>(PricingDataTable[[#This Row],[Vendor Price ($)]]-PricingDataTable[[#This Row],[Current Price ($)]])/PricingDataTable[[#This Row],[Current Price ($)]]</f>
        <v>-2.2561614947312967E-3</v>
      </c>
      <c r="M26" t="str">
        <f t="shared" si="0"/>
        <v>PASS</v>
      </c>
      <c r="N26" s="10" t="str">
        <f t="shared" si="1"/>
        <v>NONE</v>
      </c>
    </row>
    <row r="27" spans="1:14">
      <c r="A27" s="4" t="s">
        <v>69</v>
      </c>
      <c r="B27" s="4" t="s">
        <v>70</v>
      </c>
      <c r="C27" s="4" t="s">
        <v>19</v>
      </c>
      <c r="D27" s="4" t="s">
        <v>32</v>
      </c>
      <c r="E27" s="5">
        <v>85.837699999999998</v>
      </c>
      <c r="F27" s="5">
        <v>86.504999999999995</v>
      </c>
      <c r="G27" s="5">
        <v>86.530199999999994</v>
      </c>
      <c r="H27" s="4">
        <v>4</v>
      </c>
      <c r="I27" s="6">
        <v>3353745</v>
      </c>
      <c r="J27" s="7">
        <v>611.63</v>
      </c>
      <c r="K27" s="9">
        <f>(PricingDataTable[[#This Row],[Current Price ($)]]-PricingDataTable[[#This Row],[Prior Price ($)]])/PricingDataTable[[#This Row],[Prior Price ($)]]</f>
        <v>7.7739734405744484E-3</v>
      </c>
      <c r="L27" s="9">
        <f>(PricingDataTable[[#This Row],[Vendor Price ($)]]-PricingDataTable[[#This Row],[Current Price ($)]])/PricingDataTable[[#This Row],[Current Price ($)]]</f>
        <v>2.9131264088778816E-4</v>
      </c>
      <c r="M27" t="str">
        <f t="shared" si="0"/>
        <v>STALE</v>
      </c>
      <c r="N27" s="10" t="str">
        <f t="shared" si="1"/>
        <v>LOW</v>
      </c>
    </row>
    <row r="28" spans="1:14">
      <c r="A28" s="4" t="s">
        <v>71</v>
      </c>
      <c r="B28" s="4" t="s">
        <v>72</v>
      </c>
      <c r="C28" s="4" t="s">
        <v>35</v>
      </c>
      <c r="D28" s="4" t="s">
        <v>13</v>
      </c>
      <c r="E28" s="5">
        <v>174.7313</v>
      </c>
      <c r="F28" s="5">
        <v>177.06309999999999</v>
      </c>
      <c r="G28" s="5">
        <v>178.28960000000001</v>
      </c>
      <c r="H28" s="4">
        <v>0</v>
      </c>
      <c r="I28" s="6">
        <v>4291127</v>
      </c>
      <c r="J28" s="7">
        <v>104.26</v>
      </c>
      <c r="K28" s="9">
        <f>(PricingDataTable[[#This Row],[Current Price ($)]]-PricingDataTable[[#This Row],[Prior Price ($)]])/PricingDataTable[[#This Row],[Prior Price ($)]]</f>
        <v>1.3345061817773845E-2</v>
      </c>
      <c r="L28" s="9">
        <f>(PricingDataTable[[#This Row],[Vendor Price ($)]]-PricingDataTable[[#This Row],[Current Price ($)]])/PricingDataTable[[#This Row],[Current Price ($)]]</f>
        <v>6.9269091075442359E-3</v>
      </c>
      <c r="M28" t="str">
        <f t="shared" si="0"/>
        <v>PASS</v>
      </c>
      <c r="N28" s="10" t="str">
        <f t="shared" si="1"/>
        <v>NONE</v>
      </c>
    </row>
    <row r="29" spans="1:14">
      <c r="A29" s="4" t="s">
        <v>73</v>
      </c>
      <c r="B29" s="4" t="s">
        <v>74</v>
      </c>
      <c r="C29" s="4" t="s">
        <v>19</v>
      </c>
      <c r="D29" s="4" t="s">
        <v>13</v>
      </c>
      <c r="E29" s="5">
        <v>8.5784000000000002</v>
      </c>
      <c r="F29" s="5">
        <v>8.6927000000000003</v>
      </c>
      <c r="G29" s="5">
        <v>8.6781000000000006</v>
      </c>
      <c r="H29" s="4">
        <v>1</v>
      </c>
      <c r="I29" s="6">
        <v>2770918</v>
      </c>
      <c r="J29" s="7">
        <v>560.91999999999996</v>
      </c>
      <c r="K29" s="9">
        <f>(PricingDataTable[[#This Row],[Current Price ($)]]-PricingDataTable[[#This Row],[Prior Price ($)]])/PricingDataTable[[#This Row],[Prior Price ($)]]</f>
        <v>1.3324163014081888E-2</v>
      </c>
      <c r="L29" s="9">
        <f>(PricingDataTable[[#This Row],[Vendor Price ($)]]-PricingDataTable[[#This Row],[Current Price ($)]])/PricingDataTable[[#This Row],[Current Price ($)]]</f>
        <v>-1.6795702140876511E-3</v>
      </c>
      <c r="M29" t="str">
        <f t="shared" si="0"/>
        <v>PASS</v>
      </c>
      <c r="N29" s="10" t="str">
        <f t="shared" si="1"/>
        <v>NONE</v>
      </c>
    </row>
    <row r="30" spans="1:14">
      <c r="A30" s="4" t="s">
        <v>75</v>
      </c>
      <c r="B30" s="4" t="s">
        <v>76</v>
      </c>
      <c r="C30" s="4" t="s">
        <v>12</v>
      </c>
      <c r="D30" s="4" t="s">
        <v>13</v>
      </c>
      <c r="E30" s="5">
        <v>90.464200000000005</v>
      </c>
      <c r="F30" s="5">
        <v>89.540199999999999</v>
      </c>
      <c r="G30" s="5">
        <v>89.688500000000005</v>
      </c>
      <c r="H30" s="4">
        <v>0</v>
      </c>
      <c r="I30" s="6">
        <v>1460847</v>
      </c>
      <c r="J30" s="7">
        <v>554.04</v>
      </c>
      <c r="K30" s="9">
        <f>(PricingDataTable[[#This Row],[Current Price ($)]]-PricingDataTable[[#This Row],[Prior Price ($)]])/PricingDataTable[[#This Row],[Prior Price ($)]]</f>
        <v>-1.0213985200775627E-2</v>
      </c>
      <c r="L30" s="9">
        <f>(PricingDataTable[[#This Row],[Vendor Price ($)]]-PricingDataTable[[#This Row],[Current Price ($)]])/PricingDataTable[[#This Row],[Current Price ($)]]</f>
        <v>1.6562393204393791E-3</v>
      </c>
      <c r="M30" t="str">
        <f t="shared" si="0"/>
        <v>PASS</v>
      </c>
      <c r="N30" s="10" t="str">
        <f t="shared" si="1"/>
        <v>NONE</v>
      </c>
    </row>
    <row r="31" spans="1:14">
      <c r="A31" s="4" t="s">
        <v>77</v>
      </c>
      <c r="B31" s="4" t="s">
        <v>78</v>
      </c>
      <c r="C31" s="4" t="s">
        <v>16</v>
      </c>
      <c r="D31" s="4" t="s">
        <v>13</v>
      </c>
      <c r="E31" s="5">
        <v>89.345699999999994</v>
      </c>
      <c r="F31" s="5">
        <v>88.068299999999994</v>
      </c>
      <c r="G31" s="5">
        <v>88.216700000000003</v>
      </c>
      <c r="H31" s="4">
        <v>0</v>
      </c>
      <c r="I31" s="6">
        <v>1424474</v>
      </c>
      <c r="J31" s="7">
        <v>593.03</v>
      </c>
      <c r="K31" s="9">
        <f>(PricingDataTable[[#This Row],[Current Price ($)]]-PricingDataTable[[#This Row],[Prior Price ($)]])/PricingDataTable[[#This Row],[Prior Price ($)]]</f>
        <v>-1.4297274519087098E-2</v>
      </c>
      <c r="L31" s="9">
        <f>(PricingDataTable[[#This Row],[Vendor Price ($)]]-PricingDataTable[[#This Row],[Current Price ($)]])/PricingDataTable[[#This Row],[Current Price ($)]]</f>
        <v>1.6850558032800614E-3</v>
      </c>
      <c r="M31" t="str">
        <f t="shared" si="0"/>
        <v>PASS</v>
      </c>
      <c r="N31" s="10" t="str">
        <f t="shared" si="1"/>
        <v>NONE</v>
      </c>
    </row>
    <row r="32" spans="1:14">
      <c r="A32" s="4" t="s">
        <v>79</v>
      </c>
      <c r="B32" s="4" t="s">
        <v>80</v>
      </c>
      <c r="C32" s="4" t="s">
        <v>12</v>
      </c>
      <c r="D32" s="4" t="s">
        <v>13</v>
      </c>
      <c r="E32" s="5">
        <v>79.669399999999996</v>
      </c>
      <c r="F32" s="5">
        <v>80.337299999999999</v>
      </c>
      <c r="G32" s="5">
        <v>80.284899999999993</v>
      </c>
      <c r="H32" s="4">
        <v>0</v>
      </c>
      <c r="I32" s="6">
        <v>611927</v>
      </c>
      <c r="J32" s="7">
        <v>409.98</v>
      </c>
      <c r="K32" s="9">
        <f>(PricingDataTable[[#This Row],[Current Price ($)]]-PricingDataTable[[#This Row],[Prior Price ($)]])/PricingDataTable[[#This Row],[Prior Price ($)]]</f>
        <v>8.3833943772640817E-3</v>
      </c>
      <c r="L32" s="9">
        <f>(PricingDataTable[[#This Row],[Vendor Price ($)]]-PricingDataTable[[#This Row],[Current Price ($)]])/PricingDataTable[[#This Row],[Current Price ($)]]</f>
        <v>-6.5224995114356314E-4</v>
      </c>
      <c r="M32" t="str">
        <f t="shared" si="0"/>
        <v>PASS</v>
      </c>
      <c r="N32" s="10" t="str">
        <f t="shared" si="1"/>
        <v>NONE</v>
      </c>
    </row>
    <row r="33" spans="1:14">
      <c r="A33" s="4" t="s">
        <v>81</v>
      </c>
      <c r="B33" s="4" t="s">
        <v>82</v>
      </c>
      <c r="C33" s="4" t="s">
        <v>19</v>
      </c>
      <c r="D33" s="4" t="s">
        <v>13</v>
      </c>
      <c r="E33" s="5">
        <v>177.077</v>
      </c>
      <c r="F33" s="5">
        <v>144.9076</v>
      </c>
      <c r="G33" s="5">
        <v>145.54230000000001</v>
      </c>
      <c r="H33" s="4">
        <v>1</v>
      </c>
      <c r="I33" s="6">
        <v>4676858</v>
      </c>
      <c r="J33" s="7">
        <v>224.43</v>
      </c>
      <c r="K33" s="9">
        <f>(PricingDataTable[[#This Row],[Current Price ($)]]-PricingDataTable[[#This Row],[Prior Price ($)]])/PricingDataTable[[#This Row],[Prior Price ($)]]</f>
        <v>-0.1816689914556944</v>
      </c>
      <c r="L33" s="9">
        <f>(PricingDataTable[[#This Row],[Vendor Price ($)]]-PricingDataTable[[#This Row],[Current Price ($)]])/PricingDataTable[[#This Row],[Current Price ($)]]</f>
        <v>4.3800325172731408E-3</v>
      </c>
      <c r="M33" t="str">
        <f t="shared" si="0"/>
        <v>LARGE MOVE</v>
      </c>
      <c r="N33" s="10" t="str">
        <f t="shared" si="1"/>
        <v>HIGH</v>
      </c>
    </row>
    <row r="34" spans="1:14">
      <c r="A34" s="4" t="s">
        <v>83</v>
      </c>
      <c r="B34" s="4" t="s">
        <v>84</v>
      </c>
      <c r="C34" s="4" t="s">
        <v>19</v>
      </c>
      <c r="D34" s="4" t="s">
        <v>13</v>
      </c>
      <c r="E34" s="5">
        <v>189.64709999999999</v>
      </c>
      <c r="F34" s="5">
        <v>187.79339999999999</v>
      </c>
      <c r="G34" s="5">
        <v>187.61529999999999</v>
      </c>
      <c r="H34" s="4">
        <v>1</v>
      </c>
      <c r="I34" s="6">
        <v>4596883</v>
      </c>
      <c r="J34" s="7">
        <v>401.43</v>
      </c>
      <c r="K34" s="9">
        <f>(PricingDataTable[[#This Row],[Current Price ($)]]-PricingDataTable[[#This Row],[Prior Price ($)]])/PricingDataTable[[#This Row],[Prior Price ($)]]</f>
        <v>-9.7744705824660827E-3</v>
      </c>
      <c r="L34" s="9">
        <f>(PricingDataTable[[#This Row],[Vendor Price ($)]]-PricingDataTable[[#This Row],[Current Price ($)]])/PricingDataTable[[#This Row],[Current Price ($)]]</f>
        <v>-9.4838263751548561E-4</v>
      </c>
      <c r="M34" t="str">
        <f t="shared" si="0"/>
        <v>PASS</v>
      </c>
      <c r="N34" s="10" t="str">
        <f t="shared" si="1"/>
        <v>NONE</v>
      </c>
    </row>
    <row r="35" spans="1:14">
      <c r="A35" s="4" t="s">
        <v>85</v>
      </c>
      <c r="B35" s="4" t="s">
        <v>86</v>
      </c>
      <c r="C35" s="4" t="s">
        <v>16</v>
      </c>
      <c r="D35" s="4" t="s">
        <v>32</v>
      </c>
      <c r="E35" s="5">
        <v>116.9931</v>
      </c>
      <c r="F35" s="5">
        <v>116.5774</v>
      </c>
      <c r="G35" s="5">
        <v>117.175</v>
      </c>
      <c r="H35" s="4">
        <v>0</v>
      </c>
      <c r="I35" s="6">
        <v>2818293</v>
      </c>
      <c r="J35" s="7">
        <v>287.87</v>
      </c>
      <c r="K35" s="9">
        <f>(PricingDataTable[[#This Row],[Current Price ($)]]-PricingDataTable[[#This Row],[Prior Price ($)]])/PricingDataTable[[#This Row],[Prior Price ($)]]</f>
        <v>-3.553201000742788E-3</v>
      </c>
      <c r="L35" s="9">
        <f>(PricingDataTable[[#This Row],[Vendor Price ($)]]-PricingDataTable[[#This Row],[Current Price ($)]])/PricingDataTable[[#This Row],[Current Price ($)]]</f>
        <v>5.1262079957178656E-3</v>
      </c>
      <c r="M35" t="str">
        <f t="shared" si="0"/>
        <v>PASS</v>
      </c>
      <c r="N35" s="10" t="str">
        <f t="shared" si="1"/>
        <v>NONE</v>
      </c>
    </row>
    <row r="36" spans="1:14">
      <c r="A36" s="4" t="s">
        <v>87</v>
      </c>
      <c r="B36" s="4" t="s">
        <v>88</v>
      </c>
      <c r="C36" s="4" t="s">
        <v>19</v>
      </c>
      <c r="D36" s="4" t="s">
        <v>13</v>
      </c>
      <c r="E36" s="5">
        <v>245.33080000000001</v>
      </c>
      <c r="F36" s="5">
        <v>245.04079999999999</v>
      </c>
      <c r="G36" s="5">
        <v>244.78290000000001</v>
      </c>
      <c r="H36" s="4">
        <v>0</v>
      </c>
      <c r="I36" s="6">
        <v>4900613</v>
      </c>
      <c r="J36" s="7">
        <v>851.47</v>
      </c>
      <c r="K36" s="9">
        <f>(PricingDataTable[[#This Row],[Current Price ($)]]-PricingDataTable[[#This Row],[Prior Price ($)]])/PricingDataTable[[#This Row],[Prior Price ($)]]</f>
        <v>-1.1820774236256533E-3</v>
      </c>
      <c r="L36" s="9">
        <f>(PricingDataTable[[#This Row],[Vendor Price ($)]]-PricingDataTable[[#This Row],[Current Price ($)]])/PricingDataTable[[#This Row],[Current Price ($)]]</f>
        <v>-1.0524777914534152E-3</v>
      </c>
      <c r="M36" t="str">
        <f t="shared" si="0"/>
        <v>PASS</v>
      </c>
      <c r="N36" s="10" t="str">
        <f t="shared" si="1"/>
        <v>NONE</v>
      </c>
    </row>
    <row r="37" spans="1:14">
      <c r="A37" s="4" t="s">
        <v>89</v>
      </c>
      <c r="B37" s="4" t="s">
        <v>90</v>
      </c>
      <c r="C37" s="4" t="s">
        <v>16</v>
      </c>
      <c r="D37" s="4" t="s">
        <v>13</v>
      </c>
      <c r="E37" s="5">
        <v>92.587900000000005</v>
      </c>
      <c r="F37" s="5">
        <v>92.635499999999993</v>
      </c>
      <c r="G37" s="5">
        <v>92.090999999999994</v>
      </c>
      <c r="H37" s="4">
        <v>1</v>
      </c>
      <c r="I37" s="6">
        <v>1851012</v>
      </c>
      <c r="J37" s="7">
        <v>439.51</v>
      </c>
      <c r="K37" s="9">
        <f>(PricingDataTable[[#This Row],[Current Price ($)]]-PricingDataTable[[#This Row],[Prior Price ($)]])/PricingDataTable[[#This Row],[Prior Price ($)]]</f>
        <v>5.1410605489473824E-4</v>
      </c>
      <c r="L37" s="9">
        <f>(PricingDataTable[[#This Row],[Vendor Price ($)]]-PricingDataTable[[#This Row],[Current Price ($)]])/PricingDataTable[[#This Row],[Current Price ($)]]</f>
        <v>-5.8778761921725407E-3</v>
      </c>
      <c r="M37" t="str">
        <f t="shared" si="0"/>
        <v>PASS</v>
      </c>
      <c r="N37" s="10" t="str">
        <f t="shared" si="1"/>
        <v>NONE</v>
      </c>
    </row>
    <row r="38" spans="1:14">
      <c r="A38" s="4" t="s">
        <v>91</v>
      </c>
      <c r="B38" s="4" t="s">
        <v>92</v>
      </c>
      <c r="C38" s="4" t="s">
        <v>16</v>
      </c>
      <c r="D38" s="4" t="s">
        <v>13</v>
      </c>
      <c r="E38" s="5">
        <v>108.44370000000001</v>
      </c>
      <c r="F38" s="5">
        <v>109.0659</v>
      </c>
      <c r="G38" s="5">
        <v>108.5646</v>
      </c>
      <c r="H38" s="4">
        <v>5</v>
      </c>
      <c r="I38" s="6">
        <v>4966156</v>
      </c>
      <c r="J38" s="7">
        <v>508.04</v>
      </c>
      <c r="K38" s="9">
        <f>(PricingDataTable[[#This Row],[Current Price ($)]]-PricingDataTable[[#This Row],[Prior Price ($)]])/PricingDataTable[[#This Row],[Prior Price ($)]]</f>
        <v>5.7375393867969485E-3</v>
      </c>
      <c r="L38" s="9">
        <f>(PricingDataTable[[#This Row],[Vendor Price ($)]]-PricingDataTable[[#This Row],[Current Price ($)]])/PricingDataTable[[#This Row],[Current Price ($)]]</f>
        <v>-4.596303702623831E-3</v>
      </c>
      <c r="M38" t="str">
        <f t="shared" si="0"/>
        <v>STALE</v>
      </c>
      <c r="N38" s="10" t="str">
        <f t="shared" si="1"/>
        <v>MEDIUM</v>
      </c>
    </row>
    <row r="39" spans="1:14">
      <c r="A39" s="4" t="s">
        <v>93</v>
      </c>
      <c r="B39" s="4" t="s">
        <v>94</v>
      </c>
      <c r="C39" s="4" t="s">
        <v>12</v>
      </c>
      <c r="D39" s="4" t="s">
        <v>13</v>
      </c>
      <c r="E39" s="5">
        <v>98.084900000000005</v>
      </c>
      <c r="F39" s="5">
        <v>99.177199999999999</v>
      </c>
      <c r="G39" s="5">
        <v>99.267399999999995</v>
      </c>
      <c r="H39" s="4">
        <v>1</v>
      </c>
      <c r="I39" s="6">
        <v>3537342</v>
      </c>
      <c r="J39" s="7">
        <v>227.19</v>
      </c>
      <c r="K39" s="9">
        <f>(PricingDataTable[[#This Row],[Current Price ($)]]-PricingDataTable[[#This Row],[Prior Price ($)]])/PricingDataTable[[#This Row],[Prior Price ($)]]</f>
        <v>1.1136270720569573E-2</v>
      </c>
      <c r="L39" s="9">
        <f>(PricingDataTable[[#This Row],[Vendor Price ($)]]-PricingDataTable[[#This Row],[Current Price ($)]])/PricingDataTable[[#This Row],[Current Price ($)]]</f>
        <v>9.0948322799994194E-4</v>
      </c>
      <c r="M39" t="str">
        <f t="shared" si="0"/>
        <v>PASS</v>
      </c>
      <c r="N39" s="10" t="str">
        <f t="shared" si="1"/>
        <v>NONE</v>
      </c>
    </row>
    <row r="40" spans="1:14">
      <c r="A40" s="4" t="s">
        <v>95</v>
      </c>
      <c r="B40" s="4" t="s">
        <v>96</v>
      </c>
      <c r="C40" s="4" t="s">
        <v>19</v>
      </c>
      <c r="D40" s="4" t="s">
        <v>13</v>
      </c>
      <c r="E40" s="5">
        <v>349.96850000000001</v>
      </c>
      <c r="F40" s="5">
        <v>346.39210000000003</v>
      </c>
      <c r="G40" s="5">
        <v>347.61079999999998</v>
      </c>
      <c r="H40" s="4">
        <v>1</v>
      </c>
      <c r="I40" s="6">
        <v>171959</v>
      </c>
      <c r="J40" s="7">
        <v>559.28</v>
      </c>
      <c r="K40" s="9">
        <f>(PricingDataTable[[#This Row],[Current Price ($)]]-PricingDataTable[[#This Row],[Prior Price ($)]])/PricingDataTable[[#This Row],[Prior Price ($)]]</f>
        <v>-1.0219205442775502E-2</v>
      </c>
      <c r="L40" s="9">
        <f>(PricingDataTable[[#This Row],[Vendor Price ($)]]-PricingDataTable[[#This Row],[Current Price ($)]])/PricingDataTable[[#This Row],[Current Price ($)]]</f>
        <v>3.518267304594867E-3</v>
      </c>
      <c r="M40" t="str">
        <f t="shared" si="0"/>
        <v>PASS</v>
      </c>
      <c r="N40" s="10" t="str">
        <f t="shared" si="1"/>
        <v>NONE</v>
      </c>
    </row>
    <row r="41" spans="1:14">
      <c r="A41" s="4" t="s">
        <v>97</v>
      </c>
      <c r="B41" s="4" t="s">
        <v>98</v>
      </c>
      <c r="C41" s="4" t="s">
        <v>16</v>
      </c>
      <c r="D41" s="4" t="s">
        <v>13</v>
      </c>
      <c r="E41" s="5">
        <v>122.3879</v>
      </c>
      <c r="F41" s="5">
        <v>121.28489999999999</v>
      </c>
      <c r="G41" s="5">
        <v>121.3459</v>
      </c>
      <c r="H41" s="4">
        <v>4</v>
      </c>
      <c r="I41" s="6">
        <v>1374767</v>
      </c>
      <c r="J41" s="7">
        <v>868.26</v>
      </c>
      <c r="K41" s="9">
        <f>(PricingDataTable[[#This Row],[Current Price ($)]]-PricingDataTable[[#This Row],[Prior Price ($)]])/PricingDataTable[[#This Row],[Prior Price ($)]]</f>
        <v>-9.012328833160865E-3</v>
      </c>
      <c r="L41" s="9">
        <f>(PricingDataTable[[#This Row],[Vendor Price ($)]]-PricingDataTable[[#This Row],[Current Price ($)]])/PricingDataTable[[#This Row],[Current Price ($)]]</f>
        <v>5.0294801743668873E-4</v>
      </c>
      <c r="M41" t="str">
        <f t="shared" si="0"/>
        <v>STALE</v>
      </c>
      <c r="N41" s="10" t="str">
        <f t="shared" si="1"/>
        <v>LOW</v>
      </c>
    </row>
    <row r="42" spans="1:14">
      <c r="A42" s="4" t="s">
        <v>99</v>
      </c>
      <c r="B42" s="4" t="s">
        <v>100</v>
      </c>
      <c r="C42" s="4" t="s">
        <v>19</v>
      </c>
      <c r="D42" s="4" t="s">
        <v>13</v>
      </c>
      <c r="E42" s="5">
        <v>239.65280000000001</v>
      </c>
      <c r="F42" s="5">
        <v>242.4444</v>
      </c>
      <c r="G42" s="5">
        <v>242.25450000000001</v>
      </c>
      <c r="H42" s="4">
        <v>1</v>
      </c>
      <c r="I42" s="6">
        <v>2530858</v>
      </c>
      <c r="J42" s="7">
        <v>765.29</v>
      </c>
      <c r="K42" s="9">
        <f>(PricingDataTable[[#This Row],[Current Price ($)]]-PricingDataTable[[#This Row],[Prior Price ($)]])/PricingDataTable[[#This Row],[Prior Price ($)]]</f>
        <v>1.1648518189647641E-2</v>
      </c>
      <c r="L42" s="9">
        <f>(PricingDataTable[[#This Row],[Vendor Price ($)]]-PricingDataTable[[#This Row],[Current Price ($)]])/PricingDataTable[[#This Row],[Current Price ($)]]</f>
        <v>-7.8327237090233641E-4</v>
      </c>
      <c r="M42" t="str">
        <f t="shared" si="0"/>
        <v>PASS</v>
      </c>
      <c r="N42" s="10" t="str">
        <f t="shared" si="1"/>
        <v>NONE</v>
      </c>
    </row>
    <row r="43" spans="1:14">
      <c r="A43" s="4" t="s">
        <v>101</v>
      </c>
      <c r="B43" s="4" t="s">
        <v>102</v>
      </c>
      <c r="C43" s="4" t="s">
        <v>39</v>
      </c>
      <c r="D43" s="4" t="s">
        <v>13</v>
      </c>
      <c r="E43" s="5">
        <v>22.0456</v>
      </c>
      <c r="F43" s="5">
        <v>21.6645</v>
      </c>
      <c r="G43" s="5">
        <v>21.6449</v>
      </c>
      <c r="H43" s="4">
        <v>0</v>
      </c>
      <c r="I43" s="6">
        <v>3637657</v>
      </c>
      <c r="J43" s="7">
        <v>864.72</v>
      </c>
      <c r="K43" s="9">
        <f>(PricingDataTable[[#This Row],[Current Price ($)]]-PricingDataTable[[#This Row],[Prior Price ($)]])/PricingDataTable[[#This Row],[Prior Price ($)]]</f>
        <v>-1.7286896251406177E-2</v>
      </c>
      <c r="L43" s="9">
        <f>(PricingDataTable[[#This Row],[Vendor Price ($)]]-PricingDataTable[[#This Row],[Current Price ($)]])/PricingDataTable[[#This Row],[Current Price ($)]]</f>
        <v>-9.0470585520092809E-4</v>
      </c>
      <c r="M43" t="str">
        <f t="shared" si="0"/>
        <v>PASS</v>
      </c>
      <c r="N43" s="10" t="str">
        <f t="shared" si="1"/>
        <v>NONE</v>
      </c>
    </row>
    <row r="44" spans="1:14">
      <c r="A44" s="4" t="s">
        <v>103</v>
      </c>
      <c r="B44" s="4" t="s">
        <v>104</v>
      </c>
      <c r="C44" s="4" t="s">
        <v>12</v>
      </c>
      <c r="D44" s="4" t="s">
        <v>13</v>
      </c>
      <c r="E44" s="5">
        <v>111.68980000000001</v>
      </c>
      <c r="F44" s="5">
        <v>112.72839999999999</v>
      </c>
      <c r="G44" s="5">
        <v>112.67059999999999</v>
      </c>
      <c r="H44" s="4">
        <v>0</v>
      </c>
      <c r="I44" s="6">
        <v>2252464</v>
      </c>
      <c r="J44" s="7">
        <v>290.20999999999998</v>
      </c>
      <c r="K44" s="9">
        <f>(PricingDataTable[[#This Row],[Current Price ($)]]-PricingDataTable[[#This Row],[Prior Price ($)]])/PricingDataTable[[#This Row],[Prior Price ($)]]</f>
        <v>9.2989691090859528E-3</v>
      </c>
      <c r="L44" s="9">
        <f>(PricingDataTable[[#This Row],[Vendor Price ($)]]-PricingDataTable[[#This Row],[Current Price ($)]])/PricingDataTable[[#This Row],[Current Price ($)]]</f>
        <v>-5.1273680811579246E-4</v>
      </c>
      <c r="M44" t="str">
        <f t="shared" si="0"/>
        <v>PASS</v>
      </c>
      <c r="N44" s="10" t="str">
        <f t="shared" si="1"/>
        <v>NONE</v>
      </c>
    </row>
    <row r="45" spans="1:14">
      <c r="A45" s="4" t="s">
        <v>105</v>
      </c>
      <c r="B45" s="4" t="s">
        <v>106</v>
      </c>
      <c r="C45" s="4" t="s">
        <v>19</v>
      </c>
      <c r="D45" s="4" t="s">
        <v>13</v>
      </c>
      <c r="E45" s="5">
        <v>264.66289999999998</v>
      </c>
      <c r="F45" s="5">
        <v>260.39240000000001</v>
      </c>
      <c r="G45" s="5">
        <v>259.89940000000001</v>
      </c>
      <c r="H45" s="4">
        <v>0</v>
      </c>
      <c r="I45" s="6">
        <v>2168217</v>
      </c>
      <c r="J45" s="7">
        <v>306.44</v>
      </c>
      <c r="K45" s="9">
        <f>(PricingDataTable[[#This Row],[Current Price ($)]]-PricingDataTable[[#This Row],[Prior Price ($)]])/PricingDataTable[[#This Row],[Prior Price ($)]]</f>
        <v>-1.6135620066129293E-2</v>
      </c>
      <c r="L45" s="9">
        <f>(PricingDataTable[[#This Row],[Vendor Price ($)]]-PricingDataTable[[#This Row],[Current Price ($)]])/PricingDataTable[[#This Row],[Current Price ($)]]</f>
        <v>-1.8932964249340418E-3</v>
      </c>
      <c r="M45" t="str">
        <f t="shared" si="0"/>
        <v>PASS</v>
      </c>
      <c r="N45" s="10" t="str">
        <f t="shared" si="1"/>
        <v>NONE</v>
      </c>
    </row>
    <row r="46" spans="1:14">
      <c r="A46" s="4" t="s">
        <v>107</v>
      </c>
      <c r="B46" s="4" t="s">
        <v>108</v>
      </c>
      <c r="C46" s="4" t="s">
        <v>16</v>
      </c>
      <c r="D46" s="4" t="s">
        <v>13</v>
      </c>
      <c r="E46" s="5">
        <v>84.552800000000005</v>
      </c>
      <c r="F46" s="5">
        <v>84.609099999999998</v>
      </c>
      <c r="G46" s="5">
        <v>84.867900000000006</v>
      </c>
      <c r="H46" s="4">
        <v>0</v>
      </c>
      <c r="I46" s="6">
        <v>145646</v>
      </c>
      <c r="J46" s="7">
        <v>83.93</v>
      </c>
      <c r="K46" s="9">
        <f>(PricingDataTable[[#This Row],[Current Price ($)]]-PricingDataTable[[#This Row],[Prior Price ($)]])/PricingDataTable[[#This Row],[Prior Price ($)]]</f>
        <v>6.6585612776860292E-4</v>
      </c>
      <c r="L46" s="9">
        <f>(PricingDataTable[[#This Row],[Vendor Price ($)]]-PricingDataTable[[#This Row],[Current Price ($)]])/PricingDataTable[[#This Row],[Current Price ($)]]</f>
        <v>3.0587726379314745E-3</v>
      </c>
      <c r="M46" t="str">
        <f t="shared" si="0"/>
        <v>PASS</v>
      </c>
      <c r="N46" s="10" t="str">
        <f t="shared" si="1"/>
        <v>NONE</v>
      </c>
    </row>
    <row r="47" spans="1:14">
      <c r="A47" s="4" t="s">
        <v>109</v>
      </c>
      <c r="B47" s="4" t="s">
        <v>110</v>
      </c>
      <c r="C47" s="4" t="s">
        <v>12</v>
      </c>
      <c r="D47" s="4" t="s">
        <v>13</v>
      </c>
      <c r="E47" s="5">
        <v>104.0778</v>
      </c>
      <c r="F47" s="5">
        <v>102.56270000000001</v>
      </c>
      <c r="G47" s="5">
        <v>102.626</v>
      </c>
      <c r="H47" s="4">
        <v>0</v>
      </c>
      <c r="I47" s="6">
        <v>2109926</v>
      </c>
      <c r="J47" s="7">
        <v>207.64</v>
      </c>
      <c r="K47" s="9">
        <f>(PricingDataTable[[#This Row],[Current Price ($)]]-PricingDataTable[[#This Row],[Prior Price ($)]])/PricingDataTable[[#This Row],[Prior Price ($)]]</f>
        <v>-1.4557379191335615E-2</v>
      </c>
      <c r="L47" s="9">
        <f>(PricingDataTable[[#This Row],[Vendor Price ($)]]-PricingDataTable[[#This Row],[Current Price ($)]])/PricingDataTable[[#This Row],[Current Price ($)]]</f>
        <v>6.1718343998352356E-4</v>
      </c>
      <c r="M47" t="str">
        <f t="shared" si="0"/>
        <v>PASS</v>
      </c>
      <c r="N47" s="10" t="str">
        <f t="shared" si="1"/>
        <v>NONE</v>
      </c>
    </row>
    <row r="48" spans="1:14">
      <c r="A48" s="4" t="s">
        <v>111</v>
      </c>
      <c r="B48" s="4" t="s">
        <v>112</v>
      </c>
      <c r="C48" s="4" t="s">
        <v>19</v>
      </c>
      <c r="D48" s="4" t="s">
        <v>32</v>
      </c>
      <c r="E48" s="5">
        <v>333.20010000000002</v>
      </c>
      <c r="F48" s="5">
        <v>332.24279999999999</v>
      </c>
      <c r="G48" s="5">
        <v>331.63819999999998</v>
      </c>
      <c r="H48" s="4">
        <v>0</v>
      </c>
      <c r="I48" s="6">
        <v>844274</v>
      </c>
      <c r="J48" s="7">
        <v>749.4</v>
      </c>
      <c r="K48" s="9">
        <f>(PricingDataTable[[#This Row],[Current Price ($)]]-PricingDataTable[[#This Row],[Prior Price ($)]])/PricingDataTable[[#This Row],[Prior Price ($)]]</f>
        <v>-2.8730483574285598E-3</v>
      </c>
      <c r="L48" s="9">
        <f>(PricingDataTable[[#This Row],[Vendor Price ($)]]-PricingDataTable[[#This Row],[Current Price ($)]])/PricingDataTable[[#This Row],[Current Price ($)]]</f>
        <v>-1.8197535055688339E-3</v>
      </c>
      <c r="M48" t="str">
        <f t="shared" si="0"/>
        <v>PASS</v>
      </c>
      <c r="N48" s="10" t="str">
        <f t="shared" si="1"/>
        <v>NONE</v>
      </c>
    </row>
    <row r="49" spans="1:14">
      <c r="A49" s="4" t="s">
        <v>113</v>
      </c>
      <c r="B49" s="4" t="s">
        <v>114</v>
      </c>
      <c r="C49" s="4" t="s">
        <v>16</v>
      </c>
      <c r="D49" s="4" t="s">
        <v>13</v>
      </c>
      <c r="E49" s="5">
        <v>110.40089999999999</v>
      </c>
      <c r="F49" s="5">
        <v>110.684</v>
      </c>
      <c r="G49" s="5">
        <v>110.7564</v>
      </c>
      <c r="H49" s="4">
        <v>3</v>
      </c>
      <c r="I49" s="6">
        <v>861567</v>
      </c>
      <c r="J49" s="7">
        <v>785.47</v>
      </c>
      <c r="K49" s="9">
        <f>(PricingDataTable[[#This Row],[Current Price ($)]]-PricingDataTable[[#This Row],[Prior Price ($)]])/PricingDataTable[[#This Row],[Prior Price ($)]]</f>
        <v>2.5642906896592745E-3</v>
      </c>
      <c r="L49" s="9">
        <f>(PricingDataTable[[#This Row],[Vendor Price ($)]]-PricingDataTable[[#This Row],[Current Price ($)]])/PricingDataTable[[#This Row],[Current Price ($)]]</f>
        <v>6.541144158144068E-4</v>
      </c>
      <c r="M49" t="str">
        <f t="shared" si="0"/>
        <v>STALE</v>
      </c>
      <c r="N49" s="10" t="str">
        <f t="shared" si="1"/>
        <v>LOW</v>
      </c>
    </row>
    <row r="50" spans="1:14">
      <c r="A50" s="4" t="s">
        <v>115</v>
      </c>
      <c r="B50" s="4" t="s">
        <v>116</v>
      </c>
      <c r="C50" s="4" t="s">
        <v>16</v>
      </c>
      <c r="D50" s="4" t="s">
        <v>13</v>
      </c>
      <c r="E50" s="5">
        <v>84.218199999999996</v>
      </c>
      <c r="F50" s="5">
        <v>86.498900000000006</v>
      </c>
      <c r="G50" s="5">
        <v>86.694699999999997</v>
      </c>
      <c r="H50" s="4">
        <v>0</v>
      </c>
      <c r="I50" s="6">
        <v>450705</v>
      </c>
      <c r="J50" s="7">
        <v>136.72</v>
      </c>
      <c r="K50" s="9">
        <f>(PricingDataTable[[#This Row],[Current Price ($)]]-PricingDataTable[[#This Row],[Prior Price ($)]])/PricingDataTable[[#This Row],[Prior Price ($)]]</f>
        <v>2.7080844758021548E-2</v>
      </c>
      <c r="L50" s="9">
        <f>(PricingDataTable[[#This Row],[Vendor Price ($)]]-PricingDataTable[[#This Row],[Current Price ($)]])/PricingDataTable[[#This Row],[Current Price ($)]]</f>
        <v>2.2636126008537833E-3</v>
      </c>
      <c r="M50" t="str">
        <f t="shared" si="0"/>
        <v>PASS</v>
      </c>
      <c r="N50" s="10" t="str">
        <f t="shared" si="1"/>
        <v>NONE</v>
      </c>
    </row>
    <row r="51" spans="1:14">
      <c r="A51" s="4" t="s">
        <v>117</v>
      </c>
      <c r="B51" s="4" t="s">
        <v>118</v>
      </c>
      <c r="C51" s="4" t="s">
        <v>19</v>
      </c>
      <c r="D51" s="4" t="s">
        <v>13</v>
      </c>
      <c r="E51" s="5">
        <v>198.86099999999999</v>
      </c>
      <c r="F51" s="5">
        <v>196.0831</v>
      </c>
      <c r="G51" s="5">
        <v>196.4813</v>
      </c>
      <c r="H51" s="4">
        <v>0</v>
      </c>
      <c r="I51" s="6">
        <v>4937906</v>
      </c>
      <c r="J51" s="7">
        <v>891.03</v>
      </c>
      <c r="K51" s="9">
        <f>(PricingDataTable[[#This Row],[Current Price ($)]]-PricingDataTable[[#This Row],[Prior Price ($)]])/PricingDataTable[[#This Row],[Prior Price ($)]]</f>
        <v>-1.3969053761169805E-2</v>
      </c>
      <c r="L51" s="9">
        <f>(PricingDataTable[[#This Row],[Vendor Price ($)]]-PricingDataTable[[#This Row],[Current Price ($)]])/PricingDataTable[[#This Row],[Current Price ($)]]</f>
        <v>2.0307716473270915E-3</v>
      </c>
      <c r="M51" t="str">
        <f t="shared" si="0"/>
        <v>PASS</v>
      </c>
      <c r="N51" s="10" t="str">
        <f t="shared" si="1"/>
        <v>NONE</v>
      </c>
    </row>
    <row r="52" spans="1:14">
      <c r="A52" s="4" t="s">
        <v>119</v>
      </c>
      <c r="B52" s="4" t="s">
        <v>120</v>
      </c>
      <c r="C52" s="4" t="s">
        <v>12</v>
      </c>
      <c r="D52" s="4" t="s">
        <v>13</v>
      </c>
      <c r="E52" s="5">
        <v>112.00449999999999</v>
      </c>
      <c r="F52" s="5">
        <v>112.8725</v>
      </c>
      <c r="G52" s="5">
        <v>112.7978</v>
      </c>
      <c r="H52" s="4">
        <v>0</v>
      </c>
      <c r="I52" s="6">
        <v>23445</v>
      </c>
      <c r="J52" s="7">
        <v>367.78</v>
      </c>
      <c r="K52" s="9">
        <f>(PricingDataTable[[#This Row],[Current Price ($)]]-PricingDataTable[[#This Row],[Prior Price ($)]])/PricingDataTable[[#This Row],[Prior Price ($)]]</f>
        <v>7.7496886285819697E-3</v>
      </c>
      <c r="L52" s="9">
        <f>(PricingDataTable[[#This Row],[Vendor Price ($)]]-PricingDataTable[[#This Row],[Current Price ($)]])/PricingDataTable[[#This Row],[Current Price ($)]]</f>
        <v>-6.6180867793312885E-4</v>
      </c>
      <c r="M52" t="str">
        <f t="shared" si="0"/>
        <v>PASS</v>
      </c>
      <c r="N52" s="10" t="str">
        <f t="shared" si="1"/>
        <v>NONE</v>
      </c>
    </row>
    <row r="53" spans="1:14">
      <c r="A53" s="4" t="s">
        <v>121</v>
      </c>
      <c r="B53" s="4" t="s">
        <v>122</v>
      </c>
      <c r="C53" s="4" t="s">
        <v>16</v>
      </c>
      <c r="D53" s="4" t="s">
        <v>13</v>
      </c>
      <c r="E53" s="5">
        <v>89.405199999999994</v>
      </c>
      <c r="F53" s="5">
        <v>88.971299999999999</v>
      </c>
      <c r="G53" s="5">
        <v>89.489000000000004</v>
      </c>
      <c r="H53" s="4">
        <v>0</v>
      </c>
      <c r="I53" s="6">
        <v>1660427</v>
      </c>
      <c r="J53" s="7">
        <v>382.74</v>
      </c>
      <c r="K53" s="9">
        <f>(PricingDataTable[[#This Row],[Current Price ($)]]-PricingDataTable[[#This Row],[Prior Price ($)]])/PricingDataTable[[#This Row],[Prior Price ($)]]</f>
        <v>-4.8531852733397409E-3</v>
      </c>
      <c r="L53" s="9">
        <f>(PricingDataTable[[#This Row],[Vendor Price ($)]]-PricingDataTable[[#This Row],[Current Price ($)]])/PricingDataTable[[#This Row],[Current Price ($)]]</f>
        <v>5.8187303096617106E-3</v>
      </c>
      <c r="M53" t="str">
        <f t="shared" si="0"/>
        <v>PASS</v>
      </c>
      <c r="N53" s="10" t="str">
        <f t="shared" si="1"/>
        <v>NONE</v>
      </c>
    </row>
    <row r="54" spans="1:14">
      <c r="A54" s="4" t="s">
        <v>123</v>
      </c>
      <c r="B54" s="4" t="s">
        <v>124</v>
      </c>
      <c r="C54" s="4" t="s">
        <v>12</v>
      </c>
      <c r="D54" s="4" t="s">
        <v>36</v>
      </c>
      <c r="E54" s="5">
        <v>116.33159999999999</v>
      </c>
      <c r="F54" s="5">
        <v>117.08920000000001</v>
      </c>
      <c r="G54" s="5">
        <v>117.181</v>
      </c>
      <c r="H54" s="4">
        <v>0</v>
      </c>
      <c r="I54" s="6">
        <v>2551901</v>
      </c>
      <c r="J54" s="7">
        <v>629.82000000000005</v>
      </c>
      <c r="K54" s="9">
        <f>(PricingDataTable[[#This Row],[Current Price ($)]]-PricingDataTable[[#This Row],[Prior Price ($)]])/PricingDataTable[[#This Row],[Prior Price ($)]]</f>
        <v>6.5124179500669699E-3</v>
      </c>
      <c r="L54" s="9">
        <f>(PricingDataTable[[#This Row],[Vendor Price ($)]]-PricingDataTable[[#This Row],[Current Price ($)]])/PricingDataTable[[#This Row],[Current Price ($)]]</f>
        <v>7.840176549160137E-4</v>
      </c>
      <c r="M54" t="str">
        <f t="shared" si="0"/>
        <v>PASS</v>
      </c>
      <c r="N54" s="10" t="str">
        <f t="shared" si="1"/>
        <v>NONE</v>
      </c>
    </row>
    <row r="55" spans="1:14">
      <c r="A55" s="4" t="s">
        <v>125</v>
      </c>
      <c r="B55" s="4" t="s">
        <v>126</v>
      </c>
      <c r="C55" s="4" t="s">
        <v>16</v>
      </c>
      <c r="D55" s="4" t="s">
        <v>13</v>
      </c>
      <c r="E55" s="5">
        <v>104.90179999999999</v>
      </c>
      <c r="F55" s="5">
        <v>106.4768</v>
      </c>
      <c r="G55" s="5">
        <v>106.1437</v>
      </c>
      <c r="H55" s="4">
        <v>0</v>
      </c>
      <c r="I55" s="6">
        <v>4926144</v>
      </c>
      <c r="J55" s="7">
        <v>855.72</v>
      </c>
      <c r="K55" s="9">
        <f>(PricingDataTable[[#This Row],[Current Price ($)]]-PricingDataTable[[#This Row],[Prior Price ($)]])/PricingDataTable[[#This Row],[Prior Price ($)]]</f>
        <v>1.5014041703764882E-2</v>
      </c>
      <c r="L55" s="9">
        <f>(PricingDataTable[[#This Row],[Vendor Price ($)]]-PricingDataTable[[#This Row],[Current Price ($)]])/PricingDataTable[[#This Row],[Current Price ($)]]</f>
        <v>-3.1283810182124346E-3</v>
      </c>
      <c r="M55" t="str">
        <f t="shared" si="0"/>
        <v>PASS</v>
      </c>
      <c r="N55" s="10" t="str">
        <f t="shared" si="1"/>
        <v>NONE</v>
      </c>
    </row>
    <row r="56" spans="1:14">
      <c r="A56" s="4" t="s">
        <v>127</v>
      </c>
      <c r="B56" s="4" t="s">
        <v>128</v>
      </c>
      <c r="C56" s="4" t="s">
        <v>12</v>
      </c>
      <c r="D56" s="4" t="s">
        <v>32</v>
      </c>
      <c r="E56" s="5">
        <v>83.759500000000003</v>
      </c>
      <c r="F56" s="5">
        <v>82.681100000000001</v>
      </c>
      <c r="G56" s="5">
        <v>82.649299999999997</v>
      </c>
      <c r="H56" s="4">
        <v>0</v>
      </c>
      <c r="I56" s="6">
        <v>3943732</v>
      </c>
      <c r="J56" s="7">
        <v>313.3</v>
      </c>
      <c r="K56" s="9">
        <f>(PricingDataTable[[#This Row],[Current Price ($)]]-PricingDataTable[[#This Row],[Prior Price ($)]])/PricingDataTable[[#This Row],[Prior Price ($)]]</f>
        <v>-1.2874957467511172E-2</v>
      </c>
      <c r="L56" s="9">
        <f>(PricingDataTable[[#This Row],[Vendor Price ($)]]-PricingDataTable[[#This Row],[Current Price ($)]])/PricingDataTable[[#This Row],[Current Price ($)]]</f>
        <v>-3.8461026764283548E-4</v>
      </c>
      <c r="M56" t="str">
        <f t="shared" si="0"/>
        <v>PASS</v>
      </c>
      <c r="N56" s="10" t="str">
        <f t="shared" si="1"/>
        <v>NONE</v>
      </c>
    </row>
    <row r="57" spans="1:14">
      <c r="A57" s="4" t="s">
        <v>129</v>
      </c>
      <c r="B57" s="4" t="s">
        <v>130</v>
      </c>
      <c r="C57" s="4" t="s">
        <v>12</v>
      </c>
      <c r="D57" s="4" t="s">
        <v>64</v>
      </c>
      <c r="E57" s="5">
        <v>91.490200000000002</v>
      </c>
      <c r="F57" s="5">
        <v>91.176400000000001</v>
      </c>
      <c r="G57" s="5">
        <v>90.9649</v>
      </c>
      <c r="H57" s="4">
        <v>0</v>
      </c>
      <c r="I57" s="6">
        <v>2712817</v>
      </c>
      <c r="J57" s="7">
        <v>104.51</v>
      </c>
      <c r="K57" s="9">
        <f>(PricingDataTable[[#This Row],[Current Price ($)]]-PricingDataTable[[#This Row],[Prior Price ($)]])/PricingDataTable[[#This Row],[Prior Price ($)]]</f>
        <v>-3.4298755495124123E-3</v>
      </c>
      <c r="L57" s="9">
        <f>(PricingDataTable[[#This Row],[Vendor Price ($)]]-PricingDataTable[[#This Row],[Current Price ($)]])/PricingDataTable[[#This Row],[Current Price ($)]]</f>
        <v>-2.3196792152355315E-3</v>
      </c>
      <c r="M57" t="str">
        <f t="shared" si="0"/>
        <v>PASS</v>
      </c>
      <c r="N57" s="10" t="str">
        <f t="shared" si="1"/>
        <v>NONE</v>
      </c>
    </row>
    <row r="58" spans="1:14">
      <c r="A58" s="4" t="s">
        <v>131</v>
      </c>
      <c r="B58" s="4" t="s">
        <v>132</v>
      </c>
      <c r="C58" s="4" t="s">
        <v>39</v>
      </c>
      <c r="D58" s="4" t="s">
        <v>13</v>
      </c>
      <c r="E58" s="5">
        <v>305.32369999999997</v>
      </c>
      <c r="F58" s="5">
        <v>304.1352</v>
      </c>
      <c r="G58" s="5">
        <v>304.20729999999998</v>
      </c>
      <c r="H58" s="4">
        <v>0</v>
      </c>
      <c r="I58" s="6">
        <v>2241230</v>
      </c>
      <c r="J58" s="7">
        <v>494.39</v>
      </c>
      <c r="K58" s="9">
        <f>(PricingDataTable[[#This Row],[Current Price ($)]]-PricingDataTable[[#This Row],[Prior Price ($)]])/PricingDataTable[[#This Row],[Prior Price ($)]]</f>
        <v>-3.892590060974554E-3</v>
      </c>
      <c r="L58" s="9">
        <f>(PricingDataTable[[#This Row],[Vendor Price ($)]]-PricingDataTable[[#This Row],[Current Price ($)]])/PricingDataTable[[#This Row],[Current Price ($)]]</f>
        <v>2.3706562081593195E-4</v>
      </c>
      <c r="M58" t="str">
        <f t="shared" si="0"/>
        <v>PASS</v>
      </c>
      <c r="N58" s="10" t="str">
        <f t="shared" si="1"/>
        <v>NONE</v>
      </c>
    </row>
    <row r="59" spans="1:14">
      <c r="A59" s="4" t="s">
        <v>133</v>
      </c>
      <c r="B59" s="4" t="s">
        <v>134</v>
      </c>
      <c r="C59" s="4" t="s">
        <v>35</v>
      </c>
      <c r="D59" s="4" t="s">
        <v>13</v>
      </c>
      <c r="E59" s="5">
        <v>7.1387999999999998</v>
      </c>
      <c r="F59" s="5">
        <v>7.0336999999999996</v>
      </c>
      <c r="G59" s="5">
        <v>7.0061</v>
      </c>
      <c r="H59" s="4">
        <v>0</v>
      </c>
      <c r="I59" s="6">
        <v>952780</v>
      </c>
      <c r="J59" s="7">
        <v>415.41</v>
      </c>
      <c r="K59" s="9">
        <f>(PricingDataTable[[#This Row],[Current Price ($)]]-PricingDataTable[[#This Row],[Prior Price ($)]])/PricingDataTable[[#This Row],[Prior Price ($)]]</f>
        <v>-1.4722362301787443E-2</v>
      </c>
      <c r="L59" s="9">
        <f>(PricingDataTable[[#This Row],[Vendor Price ($)]]-PricingDataTable[[#This Row],[Current Price ($)]])/PricingDataTable[[#This Row],[Current Price ($)]]</f>
        <v>-3.9239660491632604E-3</v>
      </c>
      <c r="M59" t="str">
        <f t="shared" si="0"/>
        <v>PASS</v>
      </c>
      <c r="N59" s="10" t="str">
        <f t="shared" si="1"/>
        <v>NONE</v>
      </c>
    </row>
    <row r="60" spans="1:14">
      <c r="A60" s="4" t="s">
        <v>135</v>
      </c>
      <c r="B60" s="4" t="s">
        <v>136</v>
      </c>
      <c r="C60" s="4" t="s">
        <v>16</v>
      </c>
      <c r="D60" s="4" t="s">
        <v>13</v>
      </c>
      <c r="E60" s="5">
        <v>100.4436</v>
      </c>
      <c r="F60" s="5">
        <v>100.1082</v>
      </c>
      <c r="G60" s="5">
        <v>100.67189999999999</v>
      </c>
      <c r="H60" s="4">
        <v>0</v>
      </c>
      <c r="I60" s="6">
        <v>4264433</v>
      </c>
      <c r="J60" s="7">
        <v>671.71</v>
      </c>
      <c r="K60" s="9">
        <f>(PricingDataTable[[#This Row],[Current Price ($)]]-PricingDataTable[[#This Row],[Prior Price ($)]])/PricingDataTable[[#This Row],[Prior Price ($)]]</f>
        <v>-3.3391873648495971E-3</v>
      </c>
      <c r="L60" s="9">
        <f>(PricingDataTable[[#This Row],[Vendor Price ($)]]-PricingDataTable[[#This Row],[Current Price ($)]])/PricingDataTable[[#This Row],[Current Price ($)]]</f>
        <v>5.6309073582383583E-3</v>
      </c>
      <c r="M60" t="str">
        <f t="shared" si="0"/>
        <v>PASS</v>
      </c>
      <c r="N60" s="10" t="str">
        <f t="shared" si="1"/>
        <v>NONE</v>
      </c>
    </row>
    <row r="61" spans="1:14">
      <c r="A61" s="4" t="s">
        <v>137</v>
      </c>
      <c r="B61" s="4" t="s">
        <v>138</v>
      </c>
      <c r="C61" s="4" t="s">
        <v>19</v>
      </c>
      <c r="D61" s="4" t="s">
        <v>32</v>
      </c>
      <c r="E61" s="5">
        <v>149.91030000000001</v>
      </c>
      <c r="F61" s="5">
        <v>151.87190000000001</v>
      </c>
      <c r="G61" s="5">
        <v>151.6541</v>
      </c>
      <c r="H61" s="4">
        <v>0</v>
      </c>
      <c r="I61" s="6">
        <v>4108400</v>
      </c>
      <c r="J61" s="7">
        <v>778.76</v>
      </c>
      <c r="K61" s="9">
        <f>(PricingDataTable[[#This Row],[Current Price ($)]]-PricingDataTable[[#This Row],[Prior Price ($)]])/PricingDataTable[[#This Row],[Prior Price ($)]]</f>
        <v>1.3085158257971628E-2</v>
      </c>
      <c r="L61" s="9">
        <f>(PricingDataTable[[#This Row],[Vendor Price ($)]]-PricingDataTable[[#This Row],[Current Price ($)]])/PricingDataTable[[#This Row],[Current Price ($)]]</f>
        <v>-1.4341033463070594E-3</v>
      </c>
      <c r="M61" t="str">
        <f t="shared" si="0"/>
        <v>PASS</v>
      </c>
      <c r="N61" s="10" t="str">
        <f t="shared" si="1"/>
        <v>NONE</v>
      </c>
    </row>
    <row r="62" spans="1:14">
      <c r="A62" s="4" t="s">
        <v>139</v>
      </c>
      <c r="B62" s="4" t="s">
        <v>140</v>
      </c>
      <c r="C62" s="4" t="s">
        <v>16</v>
      </c>
      <c r="D62" s="4" t="s">
        <v>13</v>
      </c>
      <c r="E62" s="5">
        <v>113.14360000000001</v>
      </c>
      <c r="F62" s="5">
        <v>110.8815</v>
      </c>
      <c r="G62" s="5">
        <v>111.42059999999999</v>
      </c>
      <c r="H62" s="4">
        <v>0</v>
      </c>
      <c r="I62" s="6">
        <v>3446831</v>
      </c>
      <c r="J62" s="7">
        <v>39.47</v>
      </c>
      <c r="K62" s="9">
        <f>(PricingDataTable[[#This Row],[Current Price ($)]]-PricingDataTable[[#This Row],[Prior Price ($)]])/PricingDataTable[[#This Row],[Prior Price ($)]]</f>
        <v>-1.9993176812475505E-2</v>
      </c>
      <c r="L62" s="9">
        <f>(PricingDataTable[[#This Row],[Vendor Price ($)]]-PricingDataTable[[#This Row],[Current Price ($)]])/PricingDataTable[[#This Row],[Current Price ($)]]</f>
        <v>4.8619472139174759E-3</v>
      </c>
      <c r="M62" t="str">
        <f t="shared" si="0"/>
        <v>PASS</v>
      </c>
      <c r="N62" s="10" t="str">
        <f t="shared" si="1"/>
        <v>NONE</v>
      </c>
    </row>
    <row r="63" spans="1:14">
      <c r="A63" s="4" t="s">
        <v>141</v>
      </c>
      <c r="B63" s="4" t="s">
        <v>142</v>
      </c>
      <c r="C63" s="4" t="s">
        <v>12</v>
      </c>
      <c r="D63" s="4" t="s">
        <v>32</v>
      </c>
      <c r="E63" s="5">
        <v>94.303899999999999</v>
      </c>
      <c r="F63" s="5">
        <v>93.221000000000004</v>
      </c>
      <c r="G63" s="5">
        <v>92.776899999999998</v>
      </c>
      <c r="H63" s="4">
        <v>0</v>
      </c>
      <c r="I63" s="6">
        <v>842919</v>
      </c>
      <c r="J63" s="7">
        <v>786.8</v>
      </c>
      <c r="K63" s="9">
        <f>(PricingDataTable[[#This Row],[Current Price ($)]]-PricingDataTable[[#This Row],[Prior Price ($)]])/PricingDataTable[[#This Row],[Prior Price ($)]]</f>
        <v>-1.1483088186172524E-2</v>
      </c>
      <c r="L63" s="9">
        <f>(PricingDataTable[[#This Row],[Vendor Price ($)]]-PricingDataTable[[#This Row],[Current Price ($)]])/PricingDataTable[[#This Row],[Current Price ($)]]</f>
        <v>-4.7639480374594345E-3</v>
      </c>
      <c r="M63" t="str">
        <f t="shared" si="0"/>
        <v>PASS</v>
      </c>
      <c r="N63" s="10" t="str">
        <f t="shared" si="1"/>
        <v>NONE</v>
      </c>
    </row>
    <row r="64" spans="1:14">
      <c r="A64" s="4" t="s">
        <v>143</v>
      </c>
      <c r="B64" s="4" t="s">
        <v>144</v>
      </c>
      <c r="C64" s="4" t="s">
        <v>16</v>
      </c>
      <c r="D64" s="4" t="s">
        <v>13</v>
      </c>
      <c r="E64" s="5">
        <v>111.12220000000001</v>
      </c>
      <c r="F64" s="5">
        <v>109.4803</v>
      </c>
      <c r="G64" s="5">
        <v>109.73699999999999</v>
      </c>
      <c r="H64" s="4">
        <v>4</v>
      </c>
      <c r="I64" s="6">
        <v>674733</v>
      </c>
      <c r="J64" s="7">
        <v>766.62</v>
      </c>
      <c r="K64" s="9">
        <f>(PricingDataTable[[#This Row],[Current Price ($)]]-PricingDataTable[[#This Row],[Prior Price ($)]])/PricingDataTable[[#This Row],[Prior Price ($)]]</f>
        <v>-1.4775625392585881E-2</v>
      </c>
      <c r="L64" s="9">
        <f>(PricingDataTable[[#This Row],[Vendor Price ($)]]-PricingDataTable[[#This Row],[Current Price ($)]])/PricingDataTable[[#This Row],[Current Price ($)]]</f>
        <v>2.3447140718466705E-3</v>
      </c>
      <c r="M64" t="str">
        <f t="shared" si="0"/>
        <v>STALE</v>
      </c>
      <c r="N64" s="10" t="str">
        <f t="shared" si="1"/>
        <v>LOW</v>
      </c>
    </row>
    <row r="65" spans="1:14">
      <c r="A65" s="4" t="s">
        <v>145</v>
      </c>
      <c r="B65" s="4" t="s">
        <v>146</v>
      </c>
      <c r="C65" s="4" t="s">
        <v>16</v>
      </c>
      <c r="D65" s="4" t="s">
        <v>13</v>
      </c>
      <c r="E65" s="5">
        <v>110.9359</v>
      </c>
      <c r="F65" s="5">
        <v>111.0954</v>
      </c>
      <c r="G65" s="5">
        <v>110.42019999999999</v>
      </c>
      <c r="H65" s="4">
        <v>0</v>
      </c>
      <c r="I65" s="6">
        <v>759156</v>
      </c>
      <c r="J65" s="7">
        <v>390.69</v>
      </c>
      <c r="K65" s="9">
        <f>(PricingDataTable[[#This Row],[Current Price ($)]]-PricingDataTable[[#This Row],[Prior Price ($)]])/PricingDataTable[[#This Row],[Prior Price ($)]]</f>
        <v>1.4377672151214729E-3</v>
      </c>
      <c r="L65" s="9">
        <f>(PricingDataTable[[#This Row],[Vendor Price ($)]]-PricingDataTable[[#This Row],[Current Price ($)]])/PricingDataTable[[#This Row],[Current Price ($)]]</f>
        <v>-6.0776593810365131E-3</v>
      </c>
      <c r="M65" t="str">
        <f t="shared" si="0"/>
        <v>PASS</v>
      </c>
      <c r="N65" s="10" t="str">
        <f t="shared" si="1"/>
        <v>NONE</v>
      </c>
    </row>
    <row r="66" spans="1:14">
      <c r="A66" s="4" t="s">
        <v>147</v>
      </c>
      <c r="B66" s="4" t="s">
        <v>148</v>
      </c>
      <c r="C66" s="4" t="s">
        <v>16</v>
      </c>
      <c r="D66" s="4" t="s">
        <v>13</v>
      </c>
      <c r="E66" s="5">
        <v>120.1712</v>
      </c>
      <c r="F66" s="5">
        <v>122.63639999999999</v>
      </c>
      <c r="G66" s="5">
        <v>122.82340000000001</v>
      </c>
      <c r="H66" s="4">
        <v>0</v>
      </c>
      <c r="I66" s="6">
        <v>1511426</v>
      </c>
      <c r="J66" s="7">
        <v>153.15</v>
      </c>
      <c r="K66" s="9">
        <f>(PricingDataTable[[#This Row],[Current Price ($)]]-PricingDataTable[[#This Row],[Prior Price ($)]])/PricingDataTable[[#This Row],[Prior Price ($)]]</f>
        <v>2.0514066598319697E-2</v>
      </c>
      <c r="L66" s="9">
        <f>(PricingDataTable[[#This Row],[Vendor Price ($)]]-PricingDataTable[[#This Row],[Current Price ($)]])/PricingDataTable[[#This Row],[Current Price ($)]]</f>
        <v>1.5248327576479074E-3</v>
      </c>
      <c r="M66" t="str">
        <f t="shared" ref="M66:M129" si="2">IF(OR(F66="",F66=0),"MISSING",IF(H66&gt;=3,"STALE",IF(ABS(K66)&gt;=5%,"LARGE MOVE",IF(ABS(L66)&gt;=2%,"VENDOR DIFFERENCE","PASS"))))</f>
        <v>PASS</v>
      </c>
      <c r="N66" s="10" t="str">
        <f t="shared" ref="N66:N129" si="3">IF(M66="PASS","NONE",IF(M66="MISSING","HIGH",IF(OR(ABS(K66)&gt;=10%,ABS(L66)&gt;=5%),"HIGH",IF(OR(ABS(K66)&gt;=7%,ABS(L66)&gt;=3%,H66&gt;=5),"MEDIUM","LOW"))))</f>
        <v>NONE</v>
      </c>
    </row>
    <row r="67" spans="1:14">
      <c r="A67" s="4" t="s">
        <v>149</v>
      </c>
      <c r="B67" s="4" t="s">
        <v>150</v>
      </c>
      <c r="C67" s="4" t="s">
        <v>39</v>
      </c>
      <c r="D67" s="4" t="s">
        <v>13</v>
      </c>
      <c r="E67" s="5">
        <v>90.363799999999998</v>
      </c>
      <c r="F67" s="5">
        <v>0</v>
      </c>
      <c r="G67" s="5">
        <v>90.799400000000006</v>
      </c>
      <c r="H67" s="4">
        <v>0</v>
      </c>
      <c r="I67" s="6">
        <v>2413829</v>
      </c>
      <c r="J67" s="7">
        <v>609.91</v>
      </c>
      <c r="K67" s="9">
        <f>(PricingDataTable[[#This Row],[Current Price ($)]]-PricingDataTable[[#This Row],[Prior Price ($)]])/PricingDataTable[[#This Row],[Prior Price ($)]]</f>
        <v>-1</v>
      </c>
      <c r="L67" s="9" t="e">
        <f>(PricingDataTable[[#This Row],[Vendor Price ($)]]-PricingDataTable[[#This Row],[Current Price ($)]])/PricingDataTable[[#This Row],[Current Price ($)]]</f>
        <v>#DIV/0!</v>
      </c>
      <c r="M67" t="str">
        <f t="shared" si="2"/>
        <v>MISSING</v>
      </c>
      <c r="N67" s="10" t="str">
        <f t="shared" si="3"/>
        <v>HIGH</v>
      </c>
    </row>
    <row r="68" spans="1:14">
      <c r="A68" s="4" t="s">
        <v>151</v>
      </c>
      <c r="B68" s="4" t="s">
        <v>152</v>
      </c>
      <c r="C68" s="4" t="s">
        <v>16</v>
      </c>
      <c r="D68" s="4" t="s">
        <v>13</v>
      </c>
      <c r="E68" s="5">
        <v>104.37860000000001</v>
      </c>
      <c r="F68" s="5">
        <v>103.53279999999999</v>
      </c>
      <c r="G68" s="5">
        <v>103.28270000000001</v>
      </c>
      <c r="H68" s="4">
        <v>0</v>
      </c>
      <c r="I68" s="6">
        <v>1990825</v>
      </c>
      <c r="J68" s="7">
        <v>343.35</v>
      </c>
      <c r="K68" s="9">
        <f>(PricingDataTable[[#This Row],[Current Price ($)]]-PricingDataTable[[#This Row],[Prior Price ($)]])/PricingDataTable[[#This Row],[Prior Price ($)]]</f>
        <v>-8.1031935664974547E-3</v>
      </c>
      <c r="L68" s="9">
        <f>(PricingDataTable[[#This Row],[Vendor Price ($)]]-PricingDataTable[[#This Row],[Current Price ($)]])/PricingDataTable[[#This Row],[Current Price ($)]]</f>
        <v>-2.4156595784136925E-3</v>
      </c>
      <c r="M68" t="str">
        <f t="shared" si="2"/>
        <v>PASS</v>
      </c>
      <c r="N68" s="10" t="str">
        <f t="shared" si="3"/>
        <v>NONE</v>
      </c>
    </row>
    <row r="69" spans="1:14">
      <c r="A69" s="4" t="s">
        <v>153</v>
      </c>
      <c r="B69" s="4" t="s">
        <v>154</v>
      </c>
      <c r="C69" s="4" t="s">
        <v>19</v>
      </c>
      <c r="D69" s="4" t="s">
        <v>13</v>
      </c>
      <c r="E69" s="5">
        <v>15.503299999999999</v>
      </c>
      <c r="F69" s="5">
        <v>12.418200000000001</v>
      </c>
      <c r="G69" s="5">
        <v>12.385400000000001</v>
      </c>
      <c r="H69" s="4">
        <v>1</v>
      </c>
      <c r="I69" s="6">
        <v>1931372</v>
      </c>
      <c r="J69" s="7">
        <v>546.44000000000005</v>
      </c>
      <c r="K69" s="9">
        <f>(PricingDataTable[[#This Row],[Current Price ($)]]-PricingDataTable[[#This Row],[Prior Price ($)]])/PricingDataTable[[#This Row],[Prior Price ($)]]</f>
        <v>-0.19899634271413177</v>
      </c>
      <c r="L69" s="9">
        <f>(PricingDataTable[[#This Row],[Vendor Price ($)]]-PricingDataTable[[#This Row],[Current Price ($)]])/PricingDataTable[[#This Row],[Current Price ($)]]</f>
        <v>-2.6412845662012159E-3</v>
      </c>
      <c r="M69" t="str">
        <f t="shared" si="2"/>
        <v>LARGE MOVE</v>
      </c>
      <c r="N69" s="10" t="str">
        <f t="shared" si="3"/>
        <v>HIGH</v>
      </c>
    </row>
    <row r="70" spans="1:14">
      <c r="A70" s="4" t="s">
        <v>155</v>
      </c>
      <c r="B70" s="4" t="s">
        <v>156</v>
      </c>
      <c r="C70" s="4" t="s">
        <v>12</v>
      </c>
      <c r="D70" s="4" t="s">
        <v>13</v>
      </c>
      <c r="E70" s="5">
        <v>108.8882</v>
      </c>
      <c r="F70" s="5">
        <v>108.54</v>
      </c>
      <c r="G70" s="5">
        <v>108.0702</v>
      </c>
      <c r="H70" s="4">
        <v>2</v>
      </c>
      <c r="I70" s="6">
        <v>3698892</v>
      </c>
      <c r="J70" s="7">
        <v>30.22</v>
      </c>
      <c r="K70" s="9">
        <f>(PricingDataTable[[#This Row],[Current Price ($)]]-PricingDataTable[[#This Row],[Prior Price ($)]])/PricingDataTable[[#This Row],[Prior Price ($)]]</f>
        <v>-3.1977753328642721E-3</v>
      </c>
      <c r="L70" s="9">
        <f>(PricingDataTable[[#This Row],[Vendor Price ($)]]-PricingDataTable[[#This Row],[Current Price ($)]])/PricingDataTable[[#This Row],[Current Price ($)]]</f>
        <v>-4.3283582089552828E-3</v>
      </c>
      <c r="M70" t="str">
        <f t="shared" si="2"/>
        <v>PASS</v>
      </c>
      <c r="N70" s="10" t="str">
        <f t="shared" si="3"/>
        <v>NONE</v>
      </c>
    </row>
    <row r="71" spans="1:14">
      <c r="A71" s="4" t="s">
        <v>157</v>
      </c>
      <c r="B71" s="4" t="s">
        <v>158</v>
      </c>
      <c r="C71" s="4" t="s">
        <v>19</v>
      </c>
      <c r="D71" s="4" t="s">
        <v>13</v>
      </c>
      <c r="E71" s="5">
        <v>263.63850000000002</v>
      </c>
      <c r="F71" s="5">
        <v>264.39710000000002</v>
      </c>
      <c r="G71" s="5">
        <v>264.77420000000001</v>
      </c>
      <c r="H71" s="4">
        <v>0</v>
      </c>
      <c r="I71" s="6">
        <v>2156621</v>
      </c>
      <c r="J71" s="7">
        <v>822.66</v>
      </c>
      <c r="K71" s="9">
        <f>(PricingDataTable[[#This Row],[Current Price ($)]]-PricingDataTable[[#This Row],[Prior Price ($)]])/PricingDataTable[[#This Row],[Prior Price ($)]]</f>
        <v>2.8774249587977521E-3</v>
      </c>
      <c r="L71" s="9">
        <f>(PricingDataTable[[#This Row],[Vendor Price ($)]]-PricingDataTable[[#This Row],[Current Price ($)]])/PricingDataTable[[#This Row],[Current Price ($)]]</f>
        <v>1.4262637525146245E-3</v>
      </c>
      <c r="M71" t="str">
        <f t="shared" si="2"/>
        <v>PASS</v>
      </c>
      <c r="N71" s="10" t="str">
        <f t="shared" si="3"/>
        <v>NONE</v>
      </c>
    </row>
    <row r="72" spans="1:14">
      <c r="A72" s="4" t="s">
        <v>159</v>
      </c>
      <c r="B72" s="4" t="s">
        <v>160</v>
      </c>
      <c r="C72" s="4" t="s">
        <v>39</v>
      </c>
      <c r="D72" s="4" t="s">
        <v>13</v>
      </c>
      <c r="E72" s="5">
        <v>47.387999999999998</v>
      </c>
      <c r="F72" s="5">
        <v>47.692799999999998</v>
      </c>
      <c r="G72" s="5">
        <v>47.674599999999998</v>
      </c>
      <c r="H72" s="4">
        <v>1</v>
      </c>
      <c r="I72" s="6">
        <v>4676077</v>
      </c>
      <c r="J72" s="7">
        <v>329.32</v>
      </c>
      <c r="K72" s="9">
        <f>(PricingDataTable[[#This Row],[Current Price ($)]]-PricingDataTable[[#This Row],[Prior Price ($)]])/PricingDataTable[[#This Row],[Prior Price ($)]]</f>
        <v>6.4320081033172995E-3</v>
      </c>
      <c r="L72" s="9">
        <f>(PricingDataTable[[#This Row],[Vendor Price ($)]]-PricingDataTable[[#This Row],[Current Price ($)]])/PricingDataTable[[#This Row],[Current Price ($)]]</f>
        <v>-3.8160896403650484E-4</v>
      </c>
      <c r="M72" t="str">
        <f t="shared" si="2"/>
        <v>PASS</v>
      </c>
      <c r="N72" s="10" t="str">
        <f t="shared" si="3"/>
        <v>NONE</v>
      </c>
    </row>
    <row r="73" spans="1:14">
      <c r="A73" s="4" t="s">
        <v>161</v>
      </c>
      <c r="B73" s="4" t="s">
        <v>162</v>
      </c>
      <c r="C73" s="4" t="s">
        <v>19</v>
      </c>
      <c r="D73" s="4" t="s">
        <v>13</v>
      </c>
      <c r="E73" s="5">
        <v>134.05629999999999</v>
      </c>
      <c r="F73" s="5">
        <v>134.04849999999999</v>
      </c>
      <c r="G73" s="5">
        <v>133.73490000000001</v>
      </c>
      <c r="H73" s="4">
        <v>0</v>
      </c>
      <c r="I73" s="6">
        <v>4710426</v>
      </c>
      <c r="J73" s="7">
        <v>295.33999999999997</v>
      </c>
      <c r="K73" s="9">
        <f>(PricingDataTable[[#This Row],[Current Price ($)]]-PricingDataTable[[#This Row],[Prior Price ($)]])/PricingDataTable[[#This Row],[Prior Price ($)]]</f>
        <v>-5.818450904584968E-5</v>
      </c>
      <c r="L73" s="9">
        <f>(PricingDataTable[[#This Row],[Vendor Price ($)]]-PricingDataTable[[#This Row],[Current Price ($)]])/PricingDataTable[[#This Row],[Current Price ($)]]</f>
        <v>-2.3394517655921528E-3</v>
      </c>
      <c r="M73" t="str">
        <f t="shared" si="2"/>
        <v>PASS</v>
      </c>
      <c r="N73" s="10" t="str">
        <f t="shared" si="3"/>
        <v>NONE</v>
      </c>
    </row>
    <row r="74" spans="1:14">
      <c r="A74" s="4" t="s">
        <v>163</v>
      </c>
      <c r="B74" s="4" t="s">
        <v>164</v>
      </c>
      <c r="C74" s="4" t="s">
        <v>12</v>
      </c>
      <c r="D74" s="4" t="s">
        <v>13</v>
      </c>
      <c r="E74" s="5">
        <v>98.213399999999993</v>
      </c>
      <c r="F74" s="5">
        <v>97.697199999999995</v>
      </c>
      <c r="G74" s="5">
        <v>97.2928</v>
      </c>
      <c r="H74" s="4">
        <v>0</v>
      </c>
      <c r="I74" s="6">
        <v>1970645</v>
      </c>
      <c r="J74" s="7">
        <v>798.56</v>
      </c>
      <c r="K74" s="9">
        <f>(PricingDataTable[[#This Row],[Current Price ($)]]-PricingDataTable[[#This Row],[Prior Price ($)]])/PricingDataTable[[#This Row],[Prior Price ($)]]</f>
        <v>-5.2559019441338738E-3</v>
      </c>
      <c r="L74" s="9">
        <f>(PricingDataTable[[#This Row],[Vendor Price ($)]]-PricingDataTable[[#This Row],[Current Price ($)]])/PricingDataTable[[#This Row],[Current Price ($)]]</f>
        <v>-4.1393202671109863E-3</v>
      </c>
      <c r="M74" t="str">
        <f t="shared" si="2"/>
        <v>PASS</v>
      </c>
      <c r="N74" s="10" t="str">
        <f t="shared" si="3"/>
        <v>NONE</v>
      </c>
    </row>
    <row r="75" spans="1:14">
      <c r="A75" s="4" t="s">
        <v>165</v>
      </c>
      <c r="B75" s="4" t="s">
        <v>166</v>
      </c>
      <c r="C75" s="4" t="s">
        <v>16</v>
      </c>
      <c r="D75" s="4" t="s">
        <v>13</v>
      </c>
      <c r="E75" s="5">
        <v>112.157</v>
      </c>
      <c r="F75" s="5">
        <v>113.4798</v>
      </c>
      <c r="G75" s="5">
        <v>113.3617</v>
      </c>
      <c r="H75" s="4">
        <v>0</v>
      </c>
      <c r="I75" s="6">
        <v>3424524</v>
      </c>
      <c r="J75" s="7">
        <v>845.16</v>
      </c>
      <c r="K75" s="9">
        <f>(PricingDataTable[[#This Row],[Current Price ($)]]-PricingDataTable[[#This Row],[Prior Price ($)]])/PricingDataTable[[#This Row],[Prior Price ($)]]</f>
        <v>1.1794181370757072E-2</v>
      </c>
      <c r="L75" s="9">
        <f>(PricingDataTable[[#This Row],[Vendor Price ($)]]-PricingDataTable[[#This Row],[Current Price ($)]])/PricingDataTable[[#This Row],[Current Price ($)]]</f>
        <v>-1.0407138539193612E-3</v>
      </c>
      <c r="M75" t="str">
        <f t="shared" si="2"/>
        <v>PASS</v>
      </c>
      <c r="N75" s="10" t="str">
        <f t="shared" si="3"/>
        <v>NONE</v>
      </c>
    </row>
    <row r="76" spans="1:14">
      <c r="A76" s="4" t="s">
        <v>167</v>
      </c>
      <c r="B76" s="4" t="s">
        <v>168</v>
      </c>
      <c r="C76" s="4" t="s">
        <v>12</v>
      </c>
      <c r="D76" s="4" t="s">
        <v>13</v>
      </c>
      <c r="E76" s="5">
        <v>97.234800000000007</v>
      </c>
      <c r="F76" s="5">
        <v>97.331299999999999</v>
      </c>
      <c r="G76" s="5">
        <v>97.607399999999998</v>
      </c>
      <c r="H76" s="4">
        <v>2</v>
      </c>
      <c r="I76" s="6">
        <v>2315261</v>
      </c>
      <c r="J76" s="7">
        <v>170.99</v>
      </c>
      <c r="K76" s="9">
        <f>(PricingDataTable[[#This Row],[Current Price ($)]]-PricingDataTable[[#This Row],[Prior Price ($)]])/PricingDataTable[[#This Row],[Prior Price ($)]]</f>
        <v>9.9244303479815673E-4</v>
      </c>
      <c r="L76" s="9">
        <f>(PricingDataTable[[#This Row],[Vendor Price ($)]]-PricingDataTable[[#This Row],[Current Price ($)]])/PricingDataTable[[#This Row],[Current Price ($)]]</f>
        <v>2.8367030955098677E-3</v>
      </c>
      <c r="M76" t="str">
        <f t="shared" si="2"/>
        <v>PASS</v>
      </c>
      <c r="N76" s="10" t="str">
        <f t="shared" si="3"/>
        <v>NONE</v>
      </c>
    </row>
    <row r="77" spans="1:14">
      <c r="A77" s="4" t="s">
        <v>169</v>
      </c>
      <c r="B77" s="4" t="s">
        <v>170</v>
      </c>
      <c r="C77" s="4" t="s">
        <v>19</v>
      </c>
      <c r="D77" s="4" t="s">
        <v>13</v>
      </c>
      <c r="E77" s="5">
        <v>226.70660000000001</v>
      </c>
      <c r="F77" s="5">
        <v>227.56870000000001</v>
      </c>
      <c r="G77" s="5">
        <v>227.52889999999999</v>
      </c>
      <c r="H77" s="4">
        <v>1</v>
      </c>
      <c r="I77" s="6">
        <v>4650031</v>
      </c>
      <c r="J77" s="7">
        <v>186.6</v>
      </c>
      <c r="K77" s="9">
        <f>(PricingDataTable[[#This Row],[Current Price ($)]]-PricingDataTable[[#This Row],[Prior Price ($)]])/PricingDataTable[[#This Row],[Prior Price ($)]]</f>
        <v>3.8027124044910827E-3</v>
      </c>
      <c r="L77" s="9">
        <f>(PricingDataTable[[#This Row],[Vendor Price ($)]]-PricingDataTable[[#This Row],[Current Price ($)]])/PricingDataTable[[#This Row],[Current Price ($)]]</f>
        <v>-1.7489224133201896E-4</v>
      </c>
      <c r="M77" t="str">
        <f t="shared" si="2"/>
        <v>PASS</v>
      </c>
      <c r="N77" s="10" t="str">
        <f t="shared" si="3"/>
        <v>NONE</v>
      </c>
    </row>
    <row r="78" spans="1:14">
      <c r="A78" s="4" t="s">
        <v>171</v>
      </c>
      <c r="B78" s="4" t="s">
        <v>172</v>
      </c>
      <c r="C78" s="4" t="s">
        <v>19</v>
      </c>
      <c r="D78" s="4" t="s">
        <v>13</v>
      </c>
      <c r="E78" s="5">
        <v>315.98160000000001</v>
      </c>
      <c r="F78" s="5">
        <v>323.4778</v>
      </c>
      <c r="G78" s="5">
        <v>323.512</v>
      </c>
      <c r="H78" s="4">
        <v>0</v>
      </c>
      <c r="I78" s="6">
        <v>217259</v>
      </c>
      <c r="J78" s="7">
        <v>118.8</v>
      </c>
      <c r="K78" s="9">
        <f>(PricingDataTable[[#This Row],[Current Price ($)]]-PricingDataTable[[#This Row],[Prior Price ($)]])/PricingDataTable[[#This Row],[Prior Price ($)]]</f>
        <v>2.3723533269025751E-2</v>
      </c>
      <c r="L78" s="9">
        <f>(PricingDataTable[[#This Row],[Vendor Price ($)]]-PricingDataTable[[#This Row],[Current Price ($)]])/PricingDataTable[[#This Row],[Current Price ($)]]</f>
        <v>1.0572595708267601E-4</v>
      </c>
      <c r="M78" t="str">
        <f t="shared" si="2"/>
        <v>PASS</v>
      </c>
      <c r="N78" s="10" t="str">
        <f t="shared" si="3"/>
        <v>NONE</v>
      </c>
    </row>
    <row r="79" spans="1:14">
      <c r="A79" s="4" t="s">
        <v>173</v>
      </c>
      <c r="B79" s="4" t="s">
        <v>174</v>
      </c>
      <c r="C79" s="4" t="s">
        <v>12</v>
      </c>
      <c r="D79" s="4" t="s">
        <v>13</v>
      </c>
      <c r="E79" s="5">
        <v>88.2684</v>
      </c>
      <c r="F79" s="5">
        <v>89.042599999999993</v>
      </c>
      <c r="G79" s="5">
        <v>89.2423</v>
      </c>
      <c r="H79" s="4">
        <v>0</v>
      </c>
      <c r="I79" s="6">
        <v>3792696</v>
      </c>
      <c r="J79" s="7">
        <v>453.55</v>
      </c>
      <c r="K79" s="9">
        <f>(PricingDataTable[[#This Row],[Current Price ($)]]-PricingDataTable[[#This Row],[Prior Price ($)]])/PricingDataTable[[#This Row],[Prior Price ($)]]</f>
        <v>8.7709757965477256E-3</v>
      </c>
      <c r="L79" s="9">
        <f>(PricingDataTable[[#This Row],[Vendor Price ($)]]-PricingDataTable[[#This Row],[Current Price ($)]])/PricingDataTable[[#This Row],[Current Price ($)]]</f>
        <v>2.2427467302168526E-3</v>
      </c>
      <c r="M79" t="str">
        <f t="shared" si="2"/>
        <v>PASS</v>
      </c>
      <c r="N79" s="10" t="str">
        <f t="shared" si="3"/>
        <v>NONE</v>
      </c>
    </row>
    <row r="80" spans="1:14">
      <c r="A80" s="4" t="s">
        <v>175</v>
      </c>
      <c r="B80" s="4" t="s">
        <v>176</v>
      </c>
      <c r="C80" s="4" t="s">
        <v>12</v>
      </c>
      <c r="D80" s="4" t="s">
        <v>36</v>
      </c>
      <c r="E80" s="5">
        <v>107.9452</v>
      </c>
      <c r="F80" s="5">
        <v>128.298</v>
      </c>
      <c r="G80" s="5">
        <v>128.8219</v>
      </c>
      <c r="H80" s="4">
        <v>0</v>
      </c>
      <c r="I80" s="6">
        <v>678719</v>
      </c>
      <c r="J80" s="7">
        <v>290.04000000000002</v>
      </c>
      <c r="K80" s="9">
        <f>(PricingDataTable[[#This Row],[Current Price ($)]]-PricingDataTable[[#This Row],[Prior Price ($)]])/PricingDataTable[[#This Row],[Prior Price ($)]]</f>
        <v>0.18854752226129556</v>
      </c>
      <c r="L80" s="9">
        <f>(PricingDataTable[[#This Row],[Vendor Price ($)]]-PricingDataTable[[#This Row],[Current Price ($)]])/PricingDataTable[[#This Row],[Current Price ($)]]</f>
        <v>4.0834619401705213E-3</v>
      </c>
      <c r="M80" t="str">
        <f t="shared" si="2"/>
        <v>LARGE MOVE</v>
      </c>
      <c r="N80" s="10" t="str">
        <f t="shared" si="3"/>
        <v>HIGH</v>
      </c>
    </row>
    <row r="81" spans="1:14">
      <c r="A81" s="4" t="s">
        <v>177</v>
      </c>
      <c r="B81" s="4" t="s">
        <v>178</v>
      </c>
      <c r="C81" s="4" t="s">
        <v>19</v>
      </c>
      <c r="D81" s="4" t="s">
        <v>13</v>
      </c>
      <c r="E81" s="5">
        <v>208.19470000000001</v>
      </c>
      <c r="F81" s="5">
        <v>207.61840000000001</v>
      </c>
      <c r="G81" s="5">
        <v>207.0256</v>
      </c>
      <c r="H81" s="4">
        <v>0</v>
      </c>
      <c r="I81" s="6">
        <v>960774</v>
      </c>
      <c r="J81" s="7">
        <v>767.54</v>
      </c>
      <c r="K81" s="9">
        <f>(PricingDataTable[[#This Row],[Current Price ($)]]-PricingDataTable[[#This Row],[Prior Price ($)]])/PricingDataTable[[#This Row],[Prior Price ($)]]</f>
        <v>-2.7680819924810925E-3</v>
      </c>
      <c r="L81" s="9">
        <f>(PricingDataTable[[#This Row],[Vendor Price ($)]]-PricingDataTable[[#This Row],[Current Price ($)]])/PricingDataTable[[#This Row],[Current Price ($)]]</f>
        <v>-2.8552382640460146E-3</v>
      </c>
      <c r="M81" t="str">
        <f t="shared" si="2"/>
        <v>PASS</v>
      </c>
      <c r="N81" s="10" t="str">
        <f t="shared" si="3"/>
        <v>NONE</v>
      </c>
    </row>
    <row r="82" spans="1:14">
      <c r="A82" s="4" t="s">
        <v>179</v>
      </c>
      <c r="B82" s="4" t="s">
        <v>180</v>
      </c>
      <c r="C82" s="4" t="s">
        <v>12</v>
      </c>
      <c r="D82" s="4" t="s">
        <v>13</v>
      </c>
      <c r="E82" s="5">
        <v>97.577699999999993</v>
      </c>
      <c r="F82" s="5">
        <v>97.721299999999999</v>
      </c>
      <c r="G82" s="5">
        <v>97.985600000000005</v>
      </c>
      <c r="H82" s="4">
        <v>0</v>
      </c>
      <c r="I82" s="6">
        <v>3140864</v>
      </c>
      <c r="J82" s="7">
        <v>858.24</v>
      </c>
      <c r="K82" s="9">
        <f>(PricingDataTable[[#This Row],[Current Price ($)]]-PricingDataTable[[#This Row],[Prior Price ($)]])/PricingDataTable[[#This Row],[Prior Price ($)]]</f>
        <v>1.4716477227891865E-3</v>
      </c>
      <c r="L82" s="9">
        <f>(PricingDataTable[[#This Row],[Vendor Price ($)]]-PricingDataTable[[#This Row],[Current Price ($)]])/PricingDataTable[[#This Row],[Current Price ($)]]</f>
        <v>2.704630413226244E-3</v>
      </c>
      <c r="M82" t="str">
        <f t="shared" si="2"/>
        <v>PASS</v>
      </c>
      <c r="N82" s="10" t="str">
        <f t="shared" si="3"/>
        <v>NONE</v>
      </c>
    </row>
    <row r="83" spans="1:14">
      <c r="A83" s="4" t="s">
        <v>181</v>
      </c>
      <c r="B83" s="4" t="s">
        <v>182</v>
      </c>
      <c r="C83" s="4" t="s">
        <v>19</v>
      </c>
      <c r="D83" s="4" t="s">
        <v>64</v>
      </c>
      <c r="E83" s="5">
        <v>39.884700000000002</v>
      </c>
      <c r="F83" s="5">
        <v>40.529000000000003</v>
      </c>
      <c r="G83" s="5">
        <v>40.642600000000002</v>
      </c>
      <c r="H83" s="4">
        <v>0</v>
      </c>
      <c r="I83" s="6">
        <v>1026350</v>
      </c>
      <c r="J83" s="7">
        <v>369.85</v>
      </c>
      <c r="K83" s="9">
        <f>(PricingDataTable[[#This Row],[Current Price ($)]]-PricingDataTable[[#This Row],[Prior Price ($)]])/PricingDataTable[[#This Row],[Prior Price ($)]]</f>
        <v>1.6154064089738702E-2</v>
      </c>
      <c r="L83" s="9">
        <f>(PricingDataTable[[#This Row],[Vendor Price ($)]]-PricingDataTable[[#This Row],[Current Price ($)]])/PricingDataTable[[#This Row],[Current Price ($)]]</f>
        <v>2.802931234424687E-3</v>
      </c>
      <c r="M83" t="str">
        <f t="shared" si="2"/>
        <v>PASS</v>
      </c>
      <c r="N83" s="10" t="str">
        <f t="shared" si="3"/>
        <v>NONE</v>
      </c>
    </row>
    <row r="84" spans="1:14">
      <c r="A84" s="4" t="s">
        <v>183</v>
      </c>
      <c r="B84" s="4" t="s">
        <v>184</v>
      </c>
      <c r="C84" s="4" t="s">
        <v>39</v>
      </c>
      <c r="D84" s="4" t="s">
        <v>32</v>
      </c>
      <c r="E84" s="5">
        <v>339.19229999999999</v>
      </c>
      <c r="F84" s="5">
        <v>336.13260000000002</v>
      </c>
      <c r="G84" s="5">
        <v>335.5788</v>
      </c>
      <c r="H84" s="4">
        <v>0</v>
      </c>
      <c r="I84" s="6">
        <v>4667293</v>
      </c>
      <c r="J84" s="7">
        <v>330.93</v>
      </c>
      <c r="K84" s="9">
        <f>(PricingDataTable[[#This Row],[Current Price ($)]]-PricingDataTable[[#This Row],[Prior Price ($)]])/PricingDataTable[[#This Row],[Prior Price ($)]]</f>
        <v>-9.0205467517982096E-3</v>
      </c>
      <c r="L84" s="9">
        <f>(PricingDataTable[[#This Row],[Vendor Price ($)]]-PricingDataTable[[#This Row],[Current Price ($)]])/PricingDataTable[[#This Row],[Current Price ($)]]</f>
        <v>-1.6475640863160069E-3</v>
      </c>
      <c r="M84" t="str">
        <f t="shared" si="2"/>
        <v>PASS</v>
      </c>
      <c r="N84" s="10" t="str">
        <f t="shared" si="3"/>
        <v>NONE</v>
      </c>
    </row>
    <row r="85" spans="1:14">
      <c r="A85" s="4" t="s">
        <v>185</v>
      </c>
      <c r="B85" s="4" t="s">
        <v>186</v>
      </c>
      <c r="C85" s="4" t="s">
        <v>19</v>
      </c>
      <c r="D85" s="4" t="s">
        <v>13</v>
      </c>
      <c r="E85" s="5">
        <v>199.8503</v>
      </c>
      <c r="F85" s="5">
        <v>200.2158</v>
      </c>
      <c r="G85" s="5">
        <v>199.38329999999999</v>
      </c>
      <c r="H85" s="4">
        <v>0</v>
      </c>
      <c r="I85" s="6">
        <v>243876</v>
      </c>
      <c r="J85" s="7">
        <v>162.54</v>
      </c>
      <c r="K85" s="9">
        <f>(PricingDataTable[[#This Row],[Current Price ($)]]-PricingDataTable[[#This Row],[Prior Price ($)]])/PricingDataTable[[#This Row],[Prior Price ($)]]</f>
        <v>1.8288689083779072E-3</v>
      </c>
      <c r="L85" s="9">
        <f>(PricingDataTable[[#This Row],[Vendor Price ($)]]-PricingDataTable[[#This Row],[Current Price ($)]])/PricingDataTable[[#This Row],[Current Price ($)]]</f>
        <v>-4.1580135034298502E-3</v>
      </c>
      <c r="M85" t="str">
        <f t="shared" si="2"/>
        <v>PASS</v>
      </c>
      <c r="N85" s="10" t="str">
        <f t="shared" si="3"/>
        <v>NONE</v>
      </c>
    </row>
    <row r="86" spans="1:14">
      <c r="A86" s="4" t="s">
        <v>187</v>
      </c>
      <c r="B86" s="4" t="s">
        <v>188</v>
      </c>
      <c r="C86" s="4" t="s">
        <v>35</v>
      </c>
      <c r="D86" s="4" t="s">
        <v>13</v>
      </c>
      <c r="E86" s="5">
        <v>34.290199999999999</v>
      </c>
      <c r="F86" s="5">
        <v>34.664499999999997</v>
      </c>
      <c r="G86" s="5">
        <v>34.783700000000003</v>
      </c>
      <c r="H86" s="4">
        <v>4</v>
      </c>
      <c r="I86" s="6">
        <v>3156747</v>
      </c>
      <c r="J86" s="7">
        <v>377.97</v>
      </c>
      <c r="K86" s="9">
        <f>(PricingDataTable[[#This Row],[Current Price ($)]]-PricingDataTable[[#This Row],[Prior Price ($)]])/PricingDataTable[[#This Row],[Prior Price ($)]]</f>
        <v>1.0915655201777712E-2</v>
      </c>
      <c r="L86" s="9">
        <f>(PricingDataTable[[#This Row],[Vendor Price ($)]]-PricingDataTable[[#This Row],[Current Price ($)]])/PricingDataTable[[#This Row],[Current Price ($)]]</f>
        <v>3.4386764557402076E-3</v>
      </c>
      <c r="M86" t="str">
        <f t="shared" si="2"/>
        <v>STALE</v>
      </c>
      <c r="N86" s="10" t="str">
        <f t="shared" si="3"/>
        <v>LOW</v>
      </c>
    </row>
    <row r="87" spans="1:14">
      <c r="A87" s="4" t="s">
        <v>189</v>
      </c>
      <c r="B87" s="4" t="s">
        <v>190</v>
      </c>
      <c r="C87" s="4" t="s">
        <v>16</v>
      </c>
      <c r="D87" s="4" t="s">
        <v>32</v>
      </c>
      <c r="E87" s="5">
        <v>113.84180000000001</v>
      </c>
      <c r="F87" s="5">
        <v>113.3173</v>
      </c>
      <c r="G87" s="5">
        <v>113.2582</v>
      </c>
      <c r="H87" s="4">
        <v>0</v>
      </c>
      <c r="I87" s="6">
        <v>3557893</v>
      </c>
      <c r="J87" s="7">
        <v>437.2</v>
      </c>
      <c r="K87" s="9">
        <f>(PricingDataTable[[#This Row],[Current Price ($)]]-PricingDataTable[[#This Row],[Prior Price ($)]])/PricingDataTable[[#This Row],[Prior Price ($)]]</f>
        <v>-4.6072707915721925E-3</v>
      </c>
      <c r="L87" s="9">
        <f>(PricingDataTable[[#This Row],[Vendor Price ($)]]-PricingDataTable[[#This Row],[Current Price ($)]])/PricingDataTable[[#This Row],[Current Price ($)]]</f>
        <v>-5.215443714243175E-4</v>
      </c>
      <c r="M87" t="str">
        <f t="shared" si="2"/>
        <v>PASS</v>
      </c>
      <c r="N87" s="10" t="str">
        <f t="shared" si="3"/>
        <v>NONE</v>
      </c>
    </row>
    <row r="88" spans="1:14">
      <c r="A88" s="4" t="s">
        <v>191</v>
      </c>
      <c r="B88" s="4" t="s">
        <v>192</v>
      </c>
      <c r="C88" s="4" t="s">
        <v>19</v>
      </c>
      <c r="D88" s="4" t="s">
        <v>32</v>
      </c>
      <c r="E88" s="5">
        <v>46.925600000000003</v>
      </c>
      <c r="F88" s="5">
        <v>46.509900000000002</v>
      </c>
      <c r="G88" s="5">
        <v>46.558399999999999</v>
      </c>
      <c r="H88" s="4">
        <v>0</v>
      </c>
      <c r="I88" s="6">
        <v>460544</v>
      </c>
      <c r="J88" s="7">
        <v>7.12</v>
      </c>
      <c r="K88" s="9">
        <f>(PricingDataTable[[#This Row],[Current Price ($)]]-PricingDataTable[[#This Row],[Prior Price ($)]])/PricingDataTable[[#This Row],[Prior Price ($)]]</f>
        <v>-8.8587039909985392E-3</v>
      </c>
      <c r="L88" s="9">
        <f>(PricingDataTable[[#This Row],[Vendor Price ($)]]-PricingDataTable[[#This Row],[Current Price ($)]])/PricingDataTable[[#This Row],[Current Price ($)]]</f>
        <v>1.0427887396016139E-3</v>
      </c>
      <c r="M88" t="str">
        <f t="shared" si="2"/>
        <v>PASS</v>
      </c>
      <c r="N88" s="10" t="str">
        <f t="shared" si="3"/>
        <v>NONE</v>
      </c>
    </row>
    <row r="89" spans="1:14">
      <c r="A89" s="4" t="s">
        <v>193</v>
      </c>
      <c r="B89" s="4" t="s">
        <v>194</v>
      </c>
      <c r="C89" s="4" t="s">
        <v>39</v>
      </c>
      <c r="D89" s="4" t="s">
        <v>32</v>
      </c>
      <c r="E89" s="5">
        <v>106.9909</v>
      </c>
      <c r="F89" s="5">
        <v>108.08880000000001</v>
      </c>
      <c r="G89" s="5">
        <v>108.3492</v>
      </c>
      <c r="H89" s="4">
        <v>0</v>
      </c>
      <c r="I89" s="6">
        <v>2971969</v>
      </c>
      <c r="J89" s="7">
        <v>65.05</v>
      </c>
      <c r="K89" s="9">
        <f>(PricingDataTable[[#This Row],[Current Price ($)]]-PricingDataTable[[#This Row],[Prior Price ($)]])/PricingDataTable[[#This Row],[Prior Price ($)]]</f>
        <v>1.0261620380798834E-2</v>
      </c>
      <c r="L89" s="9">
        <f>(PricingDataTable[[#This Row],[Vendor Price ($)]]-PricingDataTable[[#This Row],[Current Price ($)]])/PricingDataTable[[#This Row],[Current Price ($)]]</f>
        <v>2.4091302706662483E-3</v>
      </c>
      <c r="M89" t="str">
        <f t="shared" si="2"/>
        <v>PASS</v>
      </c>
      <c r="N89" s="10" t="str">
        <f t="shared" si="3"/>
        <v>NONE</v>
      </c>
    </row>
    <row r="90" spans="1:14">
      <c r="A90" s="4" t="s">
        <v>195</v>
      </c>
      <c r="B90" s="4" t="s">
        <v>196</v>
      </c>
      <c r="C90" s="4" t="s">
        <v>16</v>
      </c>
      <c r="D90" s="4" t="s">
        <v>13</v>
      </c>
      <c r="E90" s="5">
        <v>78.893100000000004</v>
      </c>
      <c r="F90" s="5">
        <v>78.506200000000007</v>
      </c>
      <c r="G90" s="5">
        <v>78.7363</v>
      </c>
      <c r="H90" s="4">
        <v>0</v>
      </c>
      <c r="I90" s="6">
        <v>1442776</v>
      </c>
      <c r="J90" s="7">
        <v>721.23</v>
      </c>
      <c r="K90" s="9">
        <f>(PricingDataTable[[#This Row],[Current Price ($)]]-PricingDataTable[[#This Row],[Prior Price ($)]])/PricingDataTable[[#This Row],[Prior Price ($)]]</f>
        <v>-4.904104414707967E-3</v>
      </c>
      <c r="L90" s="9">
        <f>(PricingDataTable[[#This Row],[Vendor Price ($)]]-PricingDataTable[[#This Row],[Current Price ($)]])/PricingDataTable[[#This Row],[Current Price ($)]]</f>
        <v>2.9309786997713948E-3</v>
      </c>
      <c r="M90" t="str">
        <f t="shared" si="2"/>
        <v>PASS</v>
      </c>
      <c r="N90" s="10" t="str">
        <f t="shared" si="3"/>
        <v>NONE</v>
      </c>
    </row>
    <row r="91" spans="1:14">
      <c r="A91" s="4" t="s">
        <v>197</v>
      </c>
      <c r="B91" s="4" t="s">
        <v>198</v>
      </c>
      <c r="C91" s="4" t="s">
        <v>39</v>
      </c>
      <c r="D91" s="4" t="s">
        <v>36</v>
      </c>
      <c r="E91" s="5">
        <v>38.1404</v>
      </c>
      <c r="F91" s="5">
        <v>38.331600000000002</v>
      </c>
      <c r="G91" s="5">
        <v>38.260399999999997</v>
      </c>
      <c r="H91" s="4">
        <v>0</v>
      </c>
      <c r="I91" s="6">
        <v>2794982</v>
      </c>
      <c r="J91" s="7">
        <v>701.25</v>
      </c>
      <c r="K91" s="9">
        <f>(PricingDataTable[[#This Row],[Current Price ($)]]-PricingDataTable[[#This Row],[Prior Price ($)]])/PricingDataTable[[#This Row],[Prior Price ($)]]</f>
        <v>5.0130570209017747E-3</v>
      </c>
      <c r="L91" s="9">
        <f>(PricingDataTable[[#This Row],[Vendor Price ($)]]-PricingDataTable[[#This Row],[Current Price ($)]])/PricingDataTable[[#This Row],[Current Price ($)]]</f>
        <v>-1.857475294535177E-3</v>
      </c>
      <c r="M91" t="str">
        <f t="shared" si="2"/>
        <v>PASS</v>
      </c>
      <c r="N91" s="10" t="str">
        <f t="shared" si="3"/>
        <v>NONE</v>
      </c>
    </row>
    <row r="92" spans="1:14">
      <c r="A92" s="4" t="s">
        <v>199</v>
      </c>
      <c r="B92" s="4" t="s">
        <v>200</v>
      </c>
      <c r="C92" s="4" t="s">
        <v>12</v>
      </c>
      <c r="D92" s="4" t="s">
        <v>13</v>
      </c>
      <c r="E92" s="5">
        <v>84.6952</v>
      </c>
      <c r="F92" s="5">
        <v>84.850300000000004</v>
      </c>
      <c r="G92" s="5">
        <v>84.616699999999994</v>
      </c>
      <c r="H92" s="4">
        <v>0</v>
      </c>
      <c r="I92" s="6">
        <v>1456415</v>
      </c>
      <c r="J92" s="7">
        <v>542.24</v>
      </c>
      <c r="K92" s="9">
        <f>(PricingDataTable[[#This Row],[Current Price ($)]]-PricingDataTable[[#This Row],[Prior Price ($)]])/PricingDataTable[[#This Row],[Prior Price ($)]]</f>
        <v>1.8312726104903756E-3</v>
      </c>
      <c r="L92" s="9">
        <f>(PricingDataTable[[#This Row],[Vendor Price ($)]]-PricingDataTable[[#This Row],[Current Price ($)]])/PricingDataTable[[#This Row],[Current Price ($)]]</f>
        <v>-2.7530839608110964E-3</v>
      </c>
      <c r="M92" t="str">
        <f t="shared" si="2"/>
        <v>PASS</v>
      </c>
      <c r="N92" s="10" t="str">
        <f t="shared" si="3"/>
        <v>NONE</v>
      </c>
    </row>
    <row r="93" spans="1:14">
      <c r="A93" s="4" t="s">
        <v>201</v>
      </c>
      <c r="B93" s="4" t="s">
        <v>202</v>
      </c>
      <c r="C93" s="4" t="s">
        <v>19</v>
      </c>
      <c r="D93" s="4" t="s">
        <v>32</v>
      </c>
      <c r="E93" s="5">
        <v>176.988</v>
      </c>
      <c r="F93" s="5">
        <v>177.0882</v>
      </c>
      <c r="G93" s="5">
        <v>176.19120000000001</v>
      </c>
      <c r="H93" s="4">
        <v>0</v>
      </c>
      <c r="I93" s="6">
        <v>2652965</v>
      </c>
      <c r="J93" s="7">
        <v>136.03</v>
      </c>
      <c r="K93" s="9">
        <f>(PricingDataTable[[#This Row],[Current Price ($)]]-PricingDataTable[[#This Row],[Prior Price ($)]])/PricingDataTable[[#This Row],[Prior Price ($)]]</f>
        <v>5.6614007729338125E-4</v>
      </c>
      <c r="L93" s="9">
        <f>(PricingDataTable[[#This Row],[Vendor Price ($)]]-PricingDataTable[[#This Row],[Current Price ($)]])/PricingDataTable[[#This Row],[Current Price ($)]]</f>
        <v>-5.0652725590976215E-3</v>
      </c>
      <c r="M93" t="str">
        <f t="shared" si="2"/>
        <v>PASS</v>
      </c>
      <c r="N93" s="10" t="str">
        <f t="shared" si="3"/>
        <v>NONE</v>
      </c>
    </row>
    <row r="94" spans="1:14">
      <c r="A94" s="4" t="s">
        <v>203</v>
      </c>
      <c r="B94" s="4" t="s">
        <v>204</v>
      </c>
      <c r="C94" s="4" t="s">
        <v>16</v>
      </c>
      <c r="D94" s="4" t="s">
        <v>13</v>
      </c>
      <c r="E94" s="5">
        <v>88.733699999999999</v>
      </c>
      <c r="F94" s="5">
        <v>89.922600000000003</v>
      </c>
      <c r="G94" s="5">
        <v>90.033500000000004</v>
      </c>
      <c r="H94" s="4">
        <v>0</v>
      </c>
      <c r="I94" s="6">
        <v>758461</v>
      </c>
      <c r="J94" s="7">
        <v>553.58000000000004</v>
      </c>
      <c r="K94" s="9">
        <f>(PricingDataTable[[#This Row],[Current Price ($)]]-PricingDataTable[[#This Row],[Prior Price ($)]])/PricingDataTable[[#This Row],[Prior Price ($)]]</f>
        <v>1.3398517136105041E-2</v>
      </c>
      <c r="L94" s="9">
        <f>(PricingDataTable[[#This Row],[Vendor Price ($)]]-PricingDataTable[[#This Row],[Current Price ($)]])/PricingDataTable[[#This Row],[Current Price ($)]]</f>
        <v>1.2332828454693356E-3</v>
      </c>
      <c r="M94" t="str">
        <f t="shared" si="2"/>
        <v>PASS</v>
      </c>
      <c r="N94" s="10" t="str">
        <f t="shared" si="3"/>
        <v>NONE</v>
      </c>
    </row>
    <row r="95" spans="1:14">
      <c r="A95" s="4" t="s">
        <v>205</v>
      </c>
      <c r="B95" s="4" t="s">
        <v>206</v>
      </c>
      <c r="C95" s="4" t="s">
        <v>16</v>
      </c>
      <c r="D95" s="4" t="s">
        <v>13</v>
      </c>
      <c r="E95" s="5">
        <v>114.5909</v>
      </c>
      <c r="F95" s="5">
        <v>115.78360000000001</v>
      </c>
      <c r="G95" s="5">
        <v>115.55249999999999</v>
      </c>
      <c r="H95" s="4">
        <v>0</v>
      </c>
      <c r="I95" s="6">
        <v>520034</v>
      </c>
      <c r="J95" s="7">
        <v>405.58</v>
      </c>
      <c r="K95" s="9">
        <f>(PricingDataTable[[#This Row],[Current Price ($)]]-PricingDataTable[[#This Row],[Prior Price ($)]])/PricingDataTable[[#This Row],[Prior Price ($)]]</f>
        <v>1.040833085349711E-2</v>
      </c>
      <c r="L95" s="9">
        <f>(PricingDataTable[[#This Row],[Vendor Price ($)]]-PricingDataTable[[#This Row],[Current Price ($)]])/PricingDataTable[[#This Row],[Current Price ($)]]</f>
        <v>-1.9959648862188776E-3</v>
      </c>
      <c r="M95" t="str">
        <f t="shared" si="2"/>
        <v>PASS</v>
      </c>
      <c r="N95" s="10" t="str">
        <f t="shared" si="3"/>
        <v>NONE</v>
      </c>
    </row>
    <row r="96" spans="1:14">
      <c r="A96" s="4" t="s">
        <v>207</v>
      </c>
      <c r="B96" s="4" t="s">
        <v>208</v>
      </c>
      <c r="C96" s="4" t="s">
        <v>16</v>
      </c>
      <c r="D96" s="4" t="s">
        <v>13</v>
      </c>
      <c r="E96" s="5">
        <v>87.387200000000007</v>
      </c>
      <c r="F96" s="5">
        <v>86.344099999999997</v>
      </c>
      <c r="G96" s="5">
        <v>86.450400000000002</v>
      </c>
      <c r="H96" s="4">
        <v>0</v>
      </c>
      <c r="I96" s="6">
        <v>2839429</v>
      </c>
      <c r="J96" s="7">
        <v>611.07000000000005</v>
      </c>
      <c r="K96" s="9">
        <f>(PricingDataTable[[#This Row],[Current Price ($)]]-PricingDataTable[[#This Row],[Prior Price ($)]])/PricingDataTable[[#This Row],[Prior Price ($)]]</f>
        <v>-1.1936530750499039E-2</v>
      </c>
      <c r="L96" s="9">
        <f>(PricingDataTable[[#This Row],[Vendor Price ($)]]-PricingDataTable[[#This Row],[Current Price ($)]])/PricingDataTable[[#This Row],[Current Price ($)]]</f>
        <v>1.2311205977015743E-3</v>
      </c>
      <c r="M96" t="str">
        <f t="shared" si="2"/>
        <v>PASS</v>
      </c>
      <c r="N96" s="10" t="str">
        <f t="shared" si="3"/>
        <v>NONE</v>
      </c>
    </row>
    <row r="97" spans="1:14">
      <c r="A97" s="4" t="s">
        <v>209</v>
      </c>
      <c r="B97" s="4" t="s">
        <v>210</v>
      </c>
      <c r="C97" s="4" t="s">
        <v>19</v>
      </c>
      <c r="D97" s="4" t="s">
        <v>13</v>
      </c>
      <c r="E97" s="5">
        <v>240.00569999999999</v>
      </c>
      <c r="F97" s="5">
        <v>239.0222</v>
      </c>
      <c r="G97" s="5">
        <v>240.14599999999999</v>
      </c>
      <c r="H97" s="4">
        <v>2</v>
      </c>
      <c r="I97" s="6">
        <v>1187387</v>
      </c>
      <c r="J97" s="7">
        <v>825.09</v>
      </c>
      <c r="K97" s="9">
        <f>(PricingDataTable[[#This Row],[Current Price ($)]]-PricingDataTable[[#This Row],[Prior Price ($)]])/PricingDataTable[[#This Row],[Prior Price ($)]]</f>
        <v>-4.0978193434572279E-3</v>
      </c>
      <c r="L97" s="9">
        <f>(PricingDataTable[[#This Row],[Vendor Price ($)]]-PricingDataTable[[#This Row],[Current Price ($)]])/PricingDataTable[[#This Row],[Current Price ($)]]</f>
        <v>4.7016553274130549E-3</v>
      </c>
      <c r="M97" t="str">
        <f t="shared" si="2"/>
        <v>PASS</v>
      </c>
      <c r="N97" s="10" t="str">
        <f t="shared" si="3"/>
        <v>NONE</v>
      </c>
    </row>
    <row r="98" spans="1:14">
      <c r="A98" s="4" t="s">
        <v>211</v>
      </c>
      <c r="B98" s="4" t="s">
        <v>212</v>
      </c>
      <c r="C98" s="4" t="s">
        <v>19</v>
      </c>
      <c r="D98" s="4" t="s">
        <v>13</v>
      </c>
      <c r="E98" s="5">
        <v>36.9739</v>
      </c>
      <c r="F98" s="5">
        <v>36.379800000000003</v>
      </c>
      <c r="G98" s="5">
        <v>36.323099999999997</v>
      </c>
      <c r="H98" s="4">
        <v>1</v>
      </c>
      <c r="I98" s="6">
        <v>4416707</v>
      </c>
      <c r="J98" s="7">
        <v>84.29</v>
      </c>
      <c r="K98" s="9">
        <f>(PricingDataTable[[#This Row],[Current Price ($)]]-PricingDataTable[[#This Row],[Prior Price ($)]])/PricingDataTable[[#This Row],[Prior Price ($)]]</f>
        <v>-1.6068091275196757E-2</v>
      </c>
      <c r="L98" s="9">
        <f>(PricingDataTable[[#This Row],[Vendor Price ($)]]-PricingDataTable[[#This Row],[Current Price ($)]])/PricingDataTable[[#This Row],[Current Price ($)]]</f>
        <v>-1.5585572213153015E-3</v>
      </c>
      <c r="M98" t="str">
        <f t="shared" si="2"/>
        <v>PASS</v>
      </c>
      <c r="N98" s="10" t="str">
        <f t="shared" si="3"/>
        <v>NONE</v>
      </c>
    </row>
    <row r="99" spans="1:14">
      <c r="A99" s="4" t="s">
        <v>213</v>
      </c>
      <c r="B99" s="4" t="s">
        <v>214</v>
      </c>
      <c r="C99" s="4" t="s">
        <v>16</v>
      </c>
      <c r="D99" s="4" t="s">
        <v>13</v>
      </c>
      <c r="E99" s="5">
        <v>90.443299999999994</v>
      </c>
      <c r="F99" s="5">
        <v>91.389499999999998</v>
      </c>
      <c r="G99" s="5">
        <v>91.313699999999997</v>
      </c>
      <c r="H99" s="4">
        <v>5</v>
      </c>
      <c r="I99" s="6">
        <v>849430</v>
      </c>
      <c r="J99" s="7">
        <v>457.02</v>
      </c>
      <c r="K99" s="9">
        <f>(PricingDataTable[[#This Row],[Current Price ($)]]-PricingDataTable[[#This Row],[Prior Price ($)]])/PricingDataTable[[#This Row],[Prior Price ($)]]</f>
        <v>1.0461803140752323E-2</v>
      </c>
      <c r="L99" s="9">
        <f>(PricingDataTable[[#This Row],[Vendor Price ($)]]-PricingDataTable[[#This Row],[Current Price ($)]])/PricingDataTable[[#This Row],[Current Price ($)]]</f>
        <v>-8.2941694614809122E-4</v>
      </c>
      <c r="M99" t="str">
        <f t="shared" si="2"/>
        <v>STALE</v>
      </c>
      <c r="N99" s="10" t="str">
        <f t="shared" si="3"/>
        <v>MEDIUM</v>
      </c>
    </row>
    <row r="100" spans="1:14">
      <c r="A100" s="4" t="s">
        <v>215</v>
      </c>
      <c r="B100" s="4" t="s">
        <v>216</v>
      </c>
      <c r="C100" s="4" t="s">
        <v>19</v>
      </c>
      <c r="D100" s="4" t="s">
        <v>13</v>
      </c>
      <c r="E100" s="5">
        <v>270.0772</v>
      </c>
      <c r="F100" s="5">
        <v>272.21929999999998</v>
      </c>
      <c r="G100" s="5">
        <v>272.80169999999998</v>
      </c>
      <c r="H100" s="4">
        <v>1</v>
      </c>
      <c r="I100" s="6">
        <v>3672470</v>
      </c>
      <c r="J100" s="7">
        <v>39.51</v>
      </c>
      <c r="K100" s="9">
        <f>(PricingDataTable[[#This Row],[Current Price ($)]]-PricingDataTable[[#This Row],[Prior Price ($)]])/PricingDataTable[[#This Row],[Prior Price ($)]]</f>
        <v>7.9314359005498089E-3</v>
      </c>
      <c r="L100" s="9">
        <f>(PricingDataTable[[#This Row],[Vendor Price ($)]]-PricingDataTable[[#This Row],[Current Price ($)]])/PricingDataTable[[#This Row],[Current Price ($)]]</f>
        <v>2.1394515377859209E-3</v>
      </c>
      <c r="M100" t="str">
        <f t="shared" si="2"/>
        <v>PASS</v>
      </c>
      <c r="N100" s="10" t="str">
        <f t="shared" si="3"/>
        <v>NONE</v>
      </c>
    </row>
    <row r="101" spans="1:14">
      <c r="A101" s="4" t="s">
        <v>217</v>
      </c>
      <c r="B101" s="4" t="s">
        <v>218</v>
      </c>
      <c r="C101" s="4" t="s">
        <v>35</v>
      </c>
      <c r="D101" s="4" t="s">
        <v>13</v>
      </c>
      <c r="E101" s="5">
        <v>135.9256</v>
      </c>
      <c r="F101" s="5">
        <v>136.17670000000001</v>
      </c>
      <c r="G101" s="5">
        <v>135.88509999999999</v>
      </c>
      <c r="H101" s="4">
        <v>1</v>
      </c>
      <c r="I101" s="6">
        <v>4786024</v>
      </c>
      <c r="J101" s="7">
        <v>886</v>
      </c>
      <c r="K101" s="9">
        <f>(PricingDataTable[[#This Row],[Current Price ($)]]-PricingDataTable[[#This Row],[Prior Price ($)]])/PricingDataTable[[#This Row],[Prior Price ($)]]</f>
        <v>1.8473341298475643E-3</v>
      </c>
      <c r="L101" s="9">
        <f>(PricingDataTable[[#This Row],[Vendor Price ($)]]-PricingDataTable[[#This Row],[Current Price ($)]])/PricingDataTable[[#This Row],[Current Price ($)]]</f>
        <v>-2.1413354854392616E-3</v>
      </c>
      <c r="M101" t="str">
        <f t="shared" si="2"/>
        <v>PASS</v>
      </c>
      <c r="N101" s="10" t="str">
        <f t="shared" si="3"/>
        <v>NONE</v>
      </c>
    </row>
    <row r="102" spans="1:14">
      <c r="A102" s="4" t="s">
        <v>219</v>
      </c>
      <c r="B102" s="4" t="s">
        <v>220</v>
      </c>
      <c r="C102" s="4" t="s">
        <v>39</v>
      </c>
      <c r="D102" s="4" t="s">
        <v>13</v>
      </c>
      <c r="E102" s="5">
        <v>151.18199999999999</v>
      </c>
      <c r="F102" s="5">
        <v>151.8176</v>
      </c>
      <c r="G102" s="5">
        <v>152.0763</v>
      </c>
      <c r="H102" s="4">
        <v>0</v>
      </c>
      <c r="I102" s="6">
        <v>861585</v>
      </c>
      <c r="J102" s="7">
        <v>640.32000000000005</v>
      </c>
      <c r="K102" s="9">
        <f>(PricingDataTable[[#This Row],[Current Price ($)]]-PricingDataTable[[#This Row],[Prior Price ($)]])/PricingDataTable[[#This Row],[Prior Price ($)]]</f>
        <v>4.2042042042042763E-3</v>
      </c>
      <c r="L102" s="9">
        <f>(PricingDataTable[[#This Row],[Vendor Price ($)]]-PricingDataTable[[#This Row],[Current Price ($)]])/PricingDataTable[[#This Row],[Current Price ($)]]</f>
        <v>1.7040185064182585E-3</v>
      </c>
      <c r="M102" t="str">
        <f t="shared" si="2"/>
        <v>PASS</v>
      </c>
      <c r="N102" s="10" t="str">
        <f t="shared" si="3"/>
        <v>NONE</v>
      </c>
    </row>
    <row r="103" spans="1:14">
      <c r="A103" s="4" t="s">
        <v>221</v>
      </c>
      <c r="B103" s="4" t="s">
        <v>222</v>
      </c>
      <c r="C103" s="4" t="s">
        <v>19</v>
      </c>
      <c r="D103" s="4" t="s">
        <v>32</v>
      </c>
      <c r="E103" s="5">
        <v>101.2946</v>
      </c>
      <c r="F103" s="5">
        <v>101.863</v>
      </c>
      <c r="G103" s="5">
        <v>101.7663</v>
      </c>
      <c r="H103" s="4">
        <v>0</v>
      </c>
      <c r="I103" s="6">
        <v>224725</v>
      </c>
      <c r="J103" s="7">
        <v>373.52</v>
      </c>
      <c r="K103" s="9">
        <f>(PricingDataTable[[#This Row],[Current Price ($)]]-PricingDataTable[[#This Row],[Prior Price ($)]])/PricingDataTable[[#This Row],[Prior Price ($)]]</f>
        <v>5.6113553930811407E-3</v>
      </c>
      <c r="L103" s="9">
        <f>(PricingDataTable[[#This Row],[Vendor Price ($)]]-PricingDataTable[[#This Row],[Current Price ($)]])/PricingDataTable[[#This Row],[Current Price ($)]]</f>
        <v>-9.493142750556969E-4</v>
      </c>
      <c r="M103" t="str">
        <f t="shared" si="2"/>
        <v>PASS</v>
      </c>
      <c r="N103" s="10" t="str">
        <f t="shared" si="3"/>
        <v>NONE</v>
      </c>
    </row>
    <row r="104" spans="1:14">
      <c r="A104" s="4" t="s">
        <v>223</v>
      </c>
      <c r="B104" s="4" t="s">
        <v>224</v>
      </c>
      <c r="C104" s="4" t="s">
        <v>16</v>
      </c>
      <c r="D104" s="4" t="s">
        <v>13</v>
      </c>
      <c r="E104" s="5">
        <v>79.080299999999994</v>
      </c>
      <c r="F104" s="5">
        <v>79.212699999999998</v>
      </c>
      <c r="G104" s="5">
        <v>79.418199999999999</v>
      </c>
      <c r="H104" s="4">
        <v>0</v>
      </c>
      <c r="I104" s="6">
        <v>3964239</v>
      </c>
      <c r="J104" s="7">
        <v>626.53</v>
      </c>
      <c r="K104" s="9">
        <f>(PricingDataTable[[#This Row],[Current Price ($)]]-PricingDataTable[[#This Row],[Prior Price ($)]])/PricingDataTable[[#This Row],[Prior Price ($)]]</f>
        <v>1.6742475686106918E-3</v>
      </c>
      <c r="L104" s="9">
        <f>(PricingDataTable[[#This Row],[Vendor Price ($)]]-PricingDataTable[[#This Row],[Current Price ($)]])/PricingDataTable[[#This Row],[Current Price ($)]]</f>
        <v>2.5942809675721279E-3</v>
      </c>
      <c r="M104" t="str">
        <f t="shared" si="2"/>
        <v>PASS</v>
      </c>
      <c r="N104" s="10" t="str">
        <f t="shared" si="3"/>
        <v>NONE</v>
      </c>
    </row>
    <row r="105" spans="1:14">
      <c r="A105" s="4" t="s">
        <v>225</v>
      </c>
      <c r="B105" s="4" t="s">
        <v>226</v>
      </c>
      <c r="C105" s="4" t="s">
        <v>16</v>
      </c>
      <c r="D105" s="4" t="s">
        <v>13</v>
      </c>
      <c r="E105" s="5">
        <v>78.961299999999994</v>
      </c>
      <c r="F105" s="5">
        <v>78.894400000000005</v>
      </c>
      <c r="G105" s="5">
        <v>79.343299999999999</v>
      </c>
      <c r="H105" s="4">
        <v>0</v>
      </c>
      <c r="I105" s="6">
        <v>2527239</v>
      </c>
      <c r="J105" s="7">
        <v>109.84</v>
      </c>
      <c r="K105" s="9">
        <f>(PricingDataTable[[#This Row],[Current Price ($)]]-PricingDataTable[[#This Row],[Prior Price ($)]])/PricingDataTable[[#This Row],[Prior Price ($)]]</f>
        <v>-8.4725048853032754E-4</v>
      </c>
      <c r="L105" s="9">
        <f>(PricingDataTable[[#This Row],[Vendor Price ($)]]-PricingDataTable[[#This Row],[Current Price ($)]])/PricingDataTable[[#This Row],[Current Price ($)]]</f>
        <v>5.6898841996389444E-3</v>
      </c>
      <c r="M105" t="str">
        <f t="shared" si="2"/>
        <v>PASS</v>
      </c>
      <c r="N105" s="10" t="str">
        <f t="shared" si="3"/>
        <v>NONE</v>
      </c>
    </row>
    <row r="106" spans="1:14">
      <c r="A106" s="4" t="s">
        <v>227</v>
      </c>
      <c r="B106" s="4" t="s">
        <v>228</v>
      </c>
      <c r="C106" s="4" t="s">
        <v>12</v>
      </c>
      <c r="D106" s="4" t="s">
        <v>13</v>
      </c>
      <c r="E106" s="5">
        <v>78.1404</v>
      </c>
      <c r="F106" s="5">
        <v>78.712299999999999</v>
      </c>
      <c r="G106" s="5">
        <v>78.474500000000006</v>
      </c>
      <c r="H106" s="4">
        <v>0</v>
      </c>
      <c r="I106" s="6">
        <v>14122</v>
      </c>
      <c r="J106" s="7">
        <v>553.41</v>
      </c>
      <c r="K106" s="9">
        <f>(PricingDataTable[[#This Row],[Current Price ($)]]-PricingDataTable[[#This Row],[Prior Price ($)]])/PricingDataTable[[#This Row],[Prior Price ($)]]</f>
        <v>7.3188773029060437E-3</v>
      </c>
      <c r="L106" s="9">
        <f>(PricingDataTable[[#This Row],[Vendor Price ($)]]-PricingDataTable[[#This Row],[Current Price ($)]])/PricingDataTable[[#This Row],[Current Price ($)]]</f>
        <v>-3.0211288451740441E-3</v>
      </c>
      <c r="M106" t="str">
        <f t="shared" si="2"/>
        <v>PASS</v>
      </c>
      <c r="N106" s="10" t="str">
        <f t="shared" si="3"/>
        <v>NONE</v>
      </c>
    </row>
    <row r="107" spans="1:14">
      <c r="A107" s="4" t="s">
        <v>229</v>
      </c>
      <c r="B107" s="4" t="s">
        <v>230</v>
      </c>
      <c r="C107" s="4" t="s">
        <v>16</v>
      </c>
      <c r="D107" s="4" t="s">
        <v>13</v>
      </c>
      <c r="E107" s="5">
        <v>79.280699999999996</v>
      </c>
      <c r="F107" s="5">
        <v>79.632400000000004</v>
      </c>
      <c r="G107" s="5">
        <v>79.618200000000002</v>
      </c>
      <c r="H107" s="4">
        <v>5</v>
      </c>
      <c r="I107" s="6">
        <v>3944778</v>
      </c>
      <c r="J107" s="7">
        <v>39.369999999999997</v>
      </c>
      <c r="K107" s="9">
        <f>(PricingDataTable[[#This Row],[Current Price ($)]]-PricingDataTable[[#This Row],[Prior Price ($)]])/PricingDataTable[[#This Row],[Prior Price ($)]]</f>
        <v>4.4361364115100919E-3</v>
      </c>
      <c r="L107" s="9">
        <f>(PricingDataTable[[#This Row],[Vendor Price ($)]]-PricingDataTable[[#This Row],[Current Price ($)]])/PricingDataTable[[#This Row],[Current Price ($)]]</f>
        <v>-1.783193775398259E-4</v>
      </c>
      <c r="M107" t="str">
        <f t="shared" si="2"/>
        <v>STALE</v>
      </c>
      <c r="N107" s="10" t="str">
        <f t="shared" si="3"/>
        <v>MEDIUM</v>
      </c>
    </row>
    <row r="108" spans="1:14">
      <c r="A108" s="4" t="s">
        <v>231</v>
      </c>
      <c r="B108" s="4" t="s">
        <v>232</v>
      </c>
      <c r="C108" s="4" t="s">
        <v>19</v>
      </c>
      <c r="D108" s="4" t="s">
        <v>13</v>
      </c>
      <c r="E108" s="5">
        <v>277.67380000000003</v>
      </c>
      <c r="F108" s="5">
        <v>274.63600000000002</v>
      </c>
      <c r="G108" s="5">
        <v>275.74419999999998</v>
      </c>
      <c r="H108" s="4">
        <v>1</v>
      </c>
      <c r="I108" s="6">
        <v>4581295</v>
      </c>
      <c r="J108" s="7">
        <v>304.82</v>
      </c>
      <c r="K108" s="9">
        <f>(PricingDataTable[[#This Row],[Current Price ($)]]-PricingDataTable[[#This Row],[Prior Price ($)]])/PricingDataTable[[#This Row],[Prior Price ($)]]</f>
        <v>-1.0940175126353311E-2</v>
      </c>
      <c r="L108" s="9">
        <f>(PricingDataTable[[#This Row],[Vendor Price ($)]]-PricingDataTable[[#This Row],[Current Price ($)]])/PricingDataTable[[#This Row],[Current Price ($)]]</f>
        <v>4.0351592653547017E-3</v>
      </c>
      <c r="M108" t="str">
        <f t="shared" si="2"/>
        <v>PASS</v>
      </c>
      <c r="N108" s="10" t="str">
        <f t="shared" si="3"/>
        <v>NONE</v>
      </c>
    </row>
    <row r="109" spans="1:14">
      <c r="A109" s="4" t="s">
        <v>233</v>
      </c>
      <c r="B109" s="4" t="s">
        <v>234</v>
      </c>
      <c r="C109" s="4" t="s">
        <v>39</v>
      </c>
      <c r="D109" s="4" t="s">
        <v>13</v>
      </c>
      <c r="E109" s="5">
        <v>343.4402</v>
      </c>
      <c r="F109" s="5">
        <v>340.8494</v>
      </c>
      <c r="G109" s="5">
        <v>340.9366</v>
      </c>
      <c r="H109" s="4">
        <v>3</v>
      </c>
      <c r="I109" s="6">
        <v>1674274</v>
      </c>
      <c r="J109" s="7">
        <v>797.23</v>
      </c>
      <c r="K109" s="9">
        <f>(PricingDataTable[[#This Row],[Current Price ($)]]-PricingDataTable[[#This Row],[Prior Price ($)]])/PricingDataTable[[#This Row],[Prior Price ($)]]</f>
        <v>-7.5436713582160784E-3</v>
      </c>
      <c r="L109" s="9">
        <f>(PricingDataTable[[#This Row],[Vendor Price ($)]]-PricingDataTable[[#This Row],[Current Price ($)]])/PricingDataTable[[#This Row],[Current Price ($)]]</f>
        <v>2.5583146104994088E-4</v>
      </c>
      <c r="M109" t="str">
        <f t="shared" si="2"/>
        <v>STALE</v>
      </c>
      <c r="N109" s="10" t="str">
        <f t="shared" si="3"/>
        <v>LOW</v>
      </c>
    </row>
    <row r="110" spans="1:14">
      <c r="A110" s="4" t="s">
        <v>235</v>
      </c>
      <c r="B110" s="4" t="s">
        <v>236</v>
      </c>
      <c r="C110" s="4" t="s">
        <v>16</v>
      </c>
      <c r="D110" s="4" t="s">
        <v>237</v>
      </c>
      <c r="E110" s="5">
        <v>102.1515</v>
      </c>
      <c r="F110" s="5">
        <v>102.1088</v>
      </c>
      <c r="G110" s="5">
        <v>102.6212</v>
      </c>
      <c r="H110" s="4">
        <v>1</v>
      </c>
      <c r="I110" s="6">
        <v>1045172</v>
      </c>
      <c r="J110" s="7">
        <v>719.45</v>
      </c>
      <c r="K110" s="9">
        <f>(PricingDataTable[[#This Row],[Current Price ($)]]-PricingDataTable[[#This Row],[Prior Price ($)]])/PricingDataTable[[#This Row],[Prior Price ($)]]</f>
        <v>-4.1800658825368601E-4</v>
      </c>
      <c r="L110" s="9">
        <f>(PricingDataTable[[#This Row],[Vendor Price ($)]]-PricingDataTable[[#This Row],[Current Price ($)]])/PricingDataTable[[#This Row],[Current Price ($)]]</f>
        <v>5.0181766899620745E-3</v>
      </c>
      <c r="M110" t="str">
        <f t="shared" si="2"/>
        <v>PASS</v>
      </c>
      <c r="N110" s="10" t="str">
        <f t="shared" si="3"/>
        <v>NONE</v>
      </c>
    </row>
    <row r="111" spans="1:14">
      <c r="A111" s="4" t="s">
        <v>238</v>
      </c>
      <c r="B111" s="4" t="s">
        <v>239</v>
      </c>
      <c r="C111" s="4" t="s">
        <v>39</v>
      </c>
      <c r="D111" s="4" t="s">
        <v>36</v>
      </c>
      <c r="E111" s="5">
        <v>140.23249999999999</v>
      </c>
      <c r="F111" s="5">
        <v>142.17619999999999</v>
      </c>
      <c r="G111" s="5">
        <v>142.0941</v>
      </c>
      <c r="H111" s="4">
        <v>0</v>
      </c>
      <c r="I111" s="6">
        <v>663087</v>
      </c>
      <c r="J111" s="7">
        <v>387.66</v>
      </c>
      <c r="K111" s="9">
        <f>(PricingDataTable[[#This Row],[Current Price ($)]]-PricingDataTable[[#This Row],[Prior Price ($)]])/PricingDataTable[[#This Row],[Prior Price ($)]]</f>
        <v>1.3860553010179574E-2</v>
      </c>
      <c r="L111" s="9">
        <f>(PricingDataTable[[#This Row],[Vendor Price ($)]]-PricingDataTable[[#This Row],[Current Price ($)]])/PricingDataTable[[#This Row],[Current Price ($)]]</f>
        <v>-5.7745248501505145E-4</v>
      </c>
      <c r="M111" t="str">
        <f t="shared" si="2"/>
        <v>PASS</v>
      </c>
      <c r="N111" s="10" t="str">
        <f t="shared" si="3"/>
        <v>NONE</v>
      </c>
    </row>
    <row r="112" spans="1:14">
      <c r="A112" s="4" t="s">
        <v>240</v>
      </c>
      <c r="B112" s="4" t="s">
        <v>241</v>
      </c>
      <c r="C112" s="4" t="s">
        <v>19</v>
      </c>
      <c r="D112" s="4" t="s">
        <v>13</v>
      </c>
      <c r="E112" s="5">
        <v>120.1486</v>
      </c>
      <c r="F112" s="5">
        <v>119.7054</v>
      </c>
      <c r="G112" s="5">
        <v>120.07980000000001</v>
      </c>
      <c r="H112" s="4">
        <v>0</v>
      </c>
      <c r="I112" s="6">
        <v>2958481</v>
      </c>
      <c r="J112" s="7">
        <v>553.44000000000005</v>
      </c>
      <c r="K112" s="9">
        <f>(PricingDataTable[[#This Row],[Current Price ($)]]-PricingDataTable[[#This Row],[Prior Price ($)]])/PricingDataTable[[#This Row],[Prior Price ($)]]</f>
        <v>-3.6887654121646402E-3</v>
      </c>
      <c r="L112" s="9">
        <f>(PricingDataTable[[#This Row],[Vendor Price ($)]]-PricingDataTable[[#This Row],[Current Price ($)]])/PricingDataTable[[#This Row],[Current Price ($)]]</f>
        <v>3.1276784505962847E-3</v>
      </c>
      <c r="M112" t="str">
        <f t="shared" si="2"/>
        <v>PASS</v>
      </c>
      <c r="N112" s="10" t="str">
        <f t="shared" si="3"/>
        <v>NONE</v>
      </c>
    </row>
    <row r="113" spans="1:14">
      <c r="A113" s="4" t="s">
        <v>242</v>
      </c>
      <c r="B113" s="4" t="s">
        <v>243</v>
      </c>
      <c r="C113" s="4" t="s">
        <v>12</v>
      </c>
      <c r="D113" s="4" t="s">
        <v>32</v>
      </c>
      <c r="E113" s="5">
        <v>77.867900000000006</v>
      </c>
      <c r="F113" s="5">
        <v>77.414500000000004</v>
      </c>
      <c r="G113" s="5">
        <v>77.2059</v>
      </c>
      <c r="H113" s="4">
        <v>0</v>
      </c>
      <c r="I113" s="6">
        <v>3676660</v>
      </c>
      <c r="J113" s="7">
        <v>31.51</v>
      </c>
      <c r="K113" s="9">
        <f>(PricingDataTable[[#This Row],[Current Price ($)]]-PricingDataTable[[#This Row],[Prior Price ($)]])/PricingDataTable[[#This Row],[Prior Price ($)]]</f>
        <v>-5.8226817469072874E-3</v>
      </c>
      <c r="L113" s="9">
        <f>(PricingDataTable[[#This Row],[Vendor Price ($)]]-PricingDataTable[[#This Row],[Current Price ($)]])/PricingDataTable[[#This Row],[Current Price ($)]]</f>
        <v>-2.6945856396412057E-3</v>
      </c>
      <c r="M113" t="str">
        <f t="shared" si="2"/>
        <v>PASS</v>
      </c>
      <c r="N113" s="10" t="str">
        <f t="shared" si="3"/>
        <v>NONE</v>
      </c>
    </row>
    <row r="114" spans="1:14">
      <c r="A114" s="4" t="s">
        <v>244</v>
      </c>
      <c r="B114" s="4" t="s">
        <v>245</v>
      </c>
      <c r="C114" s="4" t="s">
        <v>39</v>
      </c>
      <c r="D114" s="4" t="s">
        <v>13</v>
      </c>
      <c r="E114" s="5">
        <v>138.93620000000001</v>
      </c>
      <c r="F114" s="5">
        <v>136.86330000000001</v>
      </c>
      <c r="G114" s="5">
        <v>136.63380000000001</v>
      </c>
      <c r="H114" s="4">
        <v>0</v>
      </c>
      <c r="I114" s="6">
        <v>4442431</v>
      </c>
      <c r="J114" s="7">
        <v>330.38</v>
      </c>
      <c r="K114" s="9">
        <f>(PricingDataTable[[#This Row],[Current Price ($)]]-PricingDataTable[[#This Row],[Prior Price ($)]])/PricingDataTable[[#This Row],[Prior Price ($)]]</f>
        <v>-1.4919797720104652E-2</v>
      </c>
      <c r="L114" s="9">
        <f>(PricingDataTable[[#This Row],[Vendor Price ($)]]-PricingDataTable[[#This Row],[Current Price ($)]])/PricingDataTable[[#This Row],[Current Price ($)]]</f>
        <v>-1.6768556654705943E-3</v>
      </c>
      <c r="M114" t="str">
        <f t="shared" si="2"/>
        <v>PASS</v>
      </c>
      <c r="N114" s="10" t="str">
        <f t="shared" si="3"/>
        <v>NONE</v>
      </c>
    </row>
    <row r="115" spans="1:14">
      <c r="A115" s="4" t="s">
        <v>246</v>
      </c>
      <c r="B115" s="4" t="s">
        <v>247</v>
      </c>
      <c r="C115" s="4" t="s">
        <v>19</v>
      </c>
      <c r="D115" s="4" t="s">
        <v>13</v>
      </c>
      <c r="E115" s="5">
        <v>259.60079999999999</v>
      </c>
      <c r="F115" s="5">
        <v>256.51889999999997</v>
      </c>
      <c r="G115" s="5">
        <v>256.52350000000001</v>
      </c>
      <c r="H115" s="4">
        <v>0</v>
      </c>
      <c r="I115" s="6">
        <v>2396592</v>
      </c>
      <c r="J115" s="7">
        <v>624.64</v>
      </c>
      <c r="K115" s="9">
        <f>(PricingDataTable[[#This Row],[Current Price ($)]]-PricingDataTable[[#This Row],[Prior Price ($)]])/PricingDataTable[[#This Row],[Prior Price ($)]]</f>
        <v>-1.187168914733706E-2</v>
      </c>
      <c r="L115" s="9">
        <f>(PricingDataTable[[#This Row],[Vendor Price ($)]]-PricingDataTable[[#This Row],[Current Price ($)]])/PricingDataTable[[#This Row],[Current Price ($)]]</f>
        <v>1.7932401862159154E-5</v>
      </c>
      <c r="M115" t="str">
        <f t="shared" si="2"/>
        <v>PASS</v>
      </c>
      <c r="N115" s="10" t="str">
        <f t="shared" si="3"/>
        <v>NONE</v>
      </c>
    </row>
    <row r="116" spans="1:14">
      <c r="A116" s="4" t="s">
        <v>248</v>
      </c>
      <c r="B116" s="4" t="s">
        <v>249</v>
      </c>
      <c r="C116" s="4" t="s">
        <v>19</v>
      </c>
      <c r="D116" s="4" t="s">
        <v>64</v>
      </c>
      <c r="E116" s="5">
        <v>162.5986</v>
      </c>
      <c r="F116" s="5">
        <v>164.3015</v>
      </c>
      <c r="G116" s="5">
        <v>163.98339999999999</v>
      </c>
      <c r="H116" s="4">
        <v>2</v>
      </c>
      <c r="I116" s="6">
        <v>545748</v>
      </c>
      <c r="J116" s="7">
        <v>495.09</v>
      </c>
      <c r="K116" s="9">
        <f>(PricingDataTable[[#This Row],[Current Price ($)]]-PricingDataTable[[#This Row],[Prior Price ($)]])/PricingDataTable[[#This Row],[Prior Price ($)]]</f>
        <v>1.0473029903086494E-2</v>
      </c>
      <c r="L116" s="9">
        <f>(PricingDataTable[[#This Row],[Vendor Price ($)]]-PricingDataTable[[#This Row],[Current Price ($)]])/PricingDataTable[[#This Row],[Current Price ($)]]</f>
        <v>-1.9360748380265265E-3</v>
      </c>
      <c r="M116" t="str">
        <f t="shared" si="2"/>
        <v>PASS</v>
      </c>
      <c r="N116" s="10" t="str">
        <f t="shared" si="3"/>
        <v>NONE</v>
      </c>
    </row>
    <row r="117" spans="1:14">
      <c r="A117" s="4" t="s">
        <v>250</v>
      </c>
      <c r="B117" s="4" t="s">
        <v>251</v>
      </c>
      <c r="C117" s="4" t="s">
        <v>39</v>
      </c>
      <c r="D117" s="4" t="s">
        <v>13</v>
      </c>
      <c r="E117" s="5">
        <v>325.14499999999998</v>
      </c>
      <c r="F117" s="5">
        <v>320.64940000000001</v>
      </c>
      <c r="G117" s="5">
        <v>319.34829999999999</v>
      </c>
      <c r="H117" s="4">
        <v>0</v>
      </c>
      <c r="I117" s="6">
        <v>221486</v>
      </c>
      <c r="J117" s="7">
        <v>324.93</v>
      </c>
      <c r="K117" s="9">
        <f>(PricingDataTable[[#This Row],[Current Price ($)]]-PricingDataTable[[#This Row],[Prior Price ($)]])/PricingDataTable[[#This Row],[Prior Price ($)]]</f>
        <v>-1.3826446662258279E-2</v>
      </c>
      <c r="L117" s="9">
        <f>(PricingDataTable[[#This Row],[Vendor Price ($)]]-PricingDataTable[[#This Row],[Current Price ($)]])/PricingDataTable[[#This Row],[Current Price ($)]]</f>
        <v>-4.0577028991790392E-3</v>
      </c>
      <c r="M117" t="str">
        <f t="shared" si="2"/>
        <v>PASS</v>
      </c>
      <c r="N117" s="10" t="str">
        <f t="shared" si="3"/>
        <v>NONE</v>
      </c>
    </row>
    <row r="118" spans="1:14">
      <c r="A118" s="4" t="s">
        <v>252</v>
      </c>
      <c r="B118" s="4" t="s">
        <v>253</v>
      </c>
      <c r="C118" s="4" t="s">
        <v>16</v>
      </c>
      <c r="D118" s="4" t="s">
        <v>237</v>
      </c>
      <c r="E118" s="5">
        <v>81.488600000000005</v>
      </c>
      <c r="F118" s="5">
        <v>81.757999999999996</v>
      </c>
      <c r="G118" s="5">
        <v>81.697800000000001</v>
      </c>
      <c r="H118" s="4">
        <v>0</v>
      </c>
      <c r="I118" s="6">
        <v>4823615</v>
      </c>
      <c r="J118" s="7">
        <v>66.56</v>
      </c>
      <c r="K118" s="9">
        <f>(PricingDataTable[[#This Row],[Current Price ($)]]-PricingDataTable[[#This Row],[Prior Price ($)]])/PricingDataTable[[#This Row],[Prior Price ($)]]</f>
        <v>3.3059839044969515E-3</v>
      </c>
      <c r="L118" s="9">
        <f>(PricingDataTable[[#This Row],[Vendor Price ($)]]-PricingDataTable[[#This Row],[Current Price ($)]])/PricingDataTable[[#This Row],[Current Price ($)]]</f>
        <v>-7.363193815895045E-4</v>
      </c>
      <c r="M118" t="str">
        <f t="shared" si="2"/>
        <v>PASS</v>
      </c>
      <c r="N118" s="10" t="str">
        <f t="shared" si="3"/>
        <v>NONE</v>
      </c>
    </row>
    <row r="119" spans="1:14">
      <c r="A119" s="4" t="s">
        <v>254</v>
      </c>
      <c r="B119" s="4" t="s">
        <v>255</v>
      </c>
      <c r="C119" s="4" t="s">
        <v>16</v>
      </c>
      <c r="D119" s="4" t="s">
        <v>13</v>
      </c>
      <c r="E119" s="5">
        <v>92.225700000000003</v>
      </c>
      <c r="F119" s="5">
        <v>93.613200000000006</v>
      </c>
      <c r="G119" s="5">
        <v>93.274000000000001</v>
      </c>
      <c r="H119" s="4">
        <v>4</v>
      </c>
      <c r="I119" s="6">
        <v>465836</v>
      </c>
      <c r="J119" s="7">
        <v>748.29</v>
      </c>
      <c r="K119" s="9">
        <f>(PricingDataTable[[#This Row],[Current Price ($)]]-PricingDataTable[[#This Row],[Prior Price ($)]])/PricingDataTable[[#This Row],[Prior Price ($)]]</f>
        <v>1.504461337783289E-2</v>
      </c>
      <c r="L119" s="9">
        <f>(PricingDataTable[[#This Row],[Vendor Price ($)]]-PricingDataTable[[#This Row],[Current Price ($)]])/PricingDataTable[[#This Row],[Current Price ($)]]</f>
        <v>-3.6234206287148098E-3</v>
      </c>
      <c r="M119" t="str">
        <f t="shared" si="2"/>
        <v>STALE</v>
      </c>
      <c r="N119" s="10" t="str">
        <f t="shared" si="3"/>
        <v>LOW</v>
      </c>
    </row>
    <row r="120" spans="1:14">
      <c r="A120" s="4" t="s">
        <v>256</v>
      </c>
      <c r="B120" s="4" t="s">
        <v>257</v>
      </c>
      <c r="C120" s="4" t="s">
        <v>19</v>
      </c>
      <c r="D120" s="4" t="s">
        <v>13</v>
      </c>
      <c r="E120" s="5">
        <v>327.68029999999999</v>
      </c>
      <c r="F120" s="5">
        <v>329.14580000000001</v>
      </c>
      <c r="G120" s="5">
        <v>331.51440000000002</v>
      </c>
      <c r="H120" s="4">
        <v>0</v>
      </c>
      <c r="I120" s="6">
        <v>2303262</v>
      </c>
      <c r="J120" s="7">
        <v>112.83</v>
      </c>
      <c r="K120" s="9">
        <f>(PricingDataTable[[#This Row],[Current Price ($)]]-PricingDataTable[[#This Row],[Prior Price ($)]])/PricingDataTable[[#This Row],[Prior Price ($)]]</f>
        <v>4.4723469796628607E-3</v>
      </c>
      <c r="L120" s="9">
        <f>(PricingDataTable[[#This Row],[Vendor Price ($)]]-PricingDataTable[[#This Row],[Current Price ($)]])/PricingDataTable[[#This Row],[Current Price ($)]]</f>
        <v>7.1962030200598487E-3</v>
      </c>
      <c r="M120" t="str">
        <f t="shared" si="2"/>
        <v>PASS</v>
      </c>
      <c r="N120" s="10" t="str">
        <f t="shared" si="3"/>
        <v>NONE</v>
      </c>
    </row>
    <row r="121" spans="1:14">
      <c r="A121" s="4" t="s">
        <v>258</v>
      </c>
      <c r="B121" s="4" t="s">
        <v>259</v>
      </c>
      <c r="C121" s="4" t="s">
        <v>16</v>
      </c>
      <c r="D121" s="4" t="s">
        <v>13</v>
      </c>
      <c r="E121" s="5">
        <v>83.431799999999996</v>
      </c>
      <c r="F121" s="5">
        <v>83.9726</v>
      </c>
      <c r="G121" s="5">
        <v>83.920400000000001</v>
      </c>
      <c r="H121" s="4">
        <v>0</v>
      </c>
      <c r="I121" s="6">
        <v>239014</v>
      </c>
      <c r="J121" s="7">
        <v>73.28</v>
      </c>
      <c r="K121" s="9">
        <f>(PricingDataTable[[#This Row],[Current Price ($)]]-PricingDataTable[[#This Row],[Prior Price ($)]])/PricingDataTable[[#This Row],[Prior Price ($)]]</f>
        <v>6.4819409385870183E-3</v>
      </c>
      <c r="L121" s="9">
        <f>(PricingDataTable[[#This Row],[Vendor Price ($)]]-PricingDataTable[[#This Row],[Current Price ($)]])/PricingDataTable[[#This Row],[Current Price ($)]]</f>
        <v>-6.2163134165190955E-4</v>
      </c>
      <c r="M121" t="str">
        <f t="shared" si="2"/>
        <v>PASS</v>
      </c>
      <c r="N121" s="10" t="str">
        <f t="shared" si="3"/>
        <v>NONE</v>
      </c>
    </row>
    <row r="122" spans="1:14">
      <c r="A122" s="4" t="s">
        <v>260</v>
      </c>
      <c r="B122" s="4" t="s">
        <v>261</v>
      </c>
      <c r="C122" s="4" t="s">
        <v>19</v>
      </c>
      <c r="D122" s="4" t="s">
        <v>13</v>
      </c>
      <c r="E122" s="5">
        <v>203.67089999999999</v>
      </c>
      <c r="F122" s="5">
        <v>203.2242</v>
      </c>
      <c r="G122" s="5">
        <v>203.12200000000001</v>
      </c>
      <c r="H122" s="4">
        <v>0</v>
      </c>
      <c r="I122" s="6">
        <v>3407551</v>
      </c>
      <c r="J122" s="7">
        <v>267.83</v>
      </c>
      <c r="K122" s="9">
        <f>(PricingDataTable[[#This Row],[Current Price ($)]]-PricingDataTable[[#This Row],[Prior Price ($)]])/PricingDataTable[[#This Row],[Prior Price ($)]]</f>
        <v>-2.1932441011454891E-3</v>
      </c>
      <c r="L122" s="9">
        <f>(PricingDataTable[[#This Row],[Vendor Price ($)]]-PricingDataTable[[#This Row],[Current Price ($)]])/PricingDataTable[[#This Row],[Current Price ($)]]</f>
        <v>-5.028928641371554E-4</v>
      </c>
      <c r="M122" t="str">
        <f t="shared" si="2"/>
        <v>PASS</v>
      </c>
      <c r="N122" s="10" t="str">
        <f t="shared" si="3"/>
        <v>NONE</v>
      </c>
    </row>
    <row r="123" spans="1:14">
      <c r="A123" s="4" t="s">
        <v>262</v>
      </c>
      <c r="B123" s="4" t="s">
        <v>263</v>
      </c>
      <c r="C123" s="4" t="s">
        <v>19</v>
      </c>
      <c r="D123" s="4" t="s">
        <v>13</v>
      </c>
      <c r="E123" s="5">
        <v>166.83920000000001</v>
      </c>
      <c r="F123" s="5">
        <v>166.2406</v>
      </c>
      <c r="G123" s="5">
        <v>166.47489999999999</v>
      </c>
      <c r="H123" s="4">
        <v>5</v>
      </c>
      <c r="I123" s="6">
        <v>3109316</v>
      </c>
      <c r="J123" s="7">
        <v>463.58</v>
      </c>
      <c r="K123" s="9">
        <f>(PricingDataTable[[#This Row],[Current Price ($)]]-PricingDataTable[[#This Row],[Prior Price ($)]])/PricingDataTable[[#This Row],[Prior Price ($)]]</f>
        <v>-3.5878858205985443E-3</v>
      </c>
      <c r="L123" s="9">
        <f>(PricingDataTable[[#This Row],[Vendor Price ($)]]-PricingDataTable[[#This Row],[Current Price ($)]])/PricingDataTable[[#This Row],[Current Price ($)]]</f>
        <v>1.4094029978235787E-3</v>
      </c>
      <c r="M123" t="str">
        <f t="shared" si="2"/>
        <v>STALE</v>
      </c>
      <c r="N123" s="10" t="str">
        <f t="shared" si="3"/>
        <v>MEDIUM</v>
      </c>
    </row>
    <row r="124" spans="1:14">
      <c r="A124" s="4" t="s">
        <v>264</v>
      </c>
      <c r="B124" s="4" t="s">
        <v>265</v>
      </c>
      <c r="C124" s="4" t="s">
        <v>19</v>
      </c>
      <c r="D124" s="4" t="s">
        <v>13</v>
      </c>
      <c r="E124" s="5">
        <v>161.76179999999999</v>
      </c>
      <c r="F124" s="5">
        <v>162.15790000000001</v>
      </c>
      <c r="G124" s="5">
        <v>162.27930000000001</v>
      </c>
      <c r="H124" s="4">
        <v>0</v>
      </c>
      <c r="I124" s="6">
        <v>2747730</v>
      </c>
      <c r="J124" s="7">
        <v>840.39</v>
      </c>
      <c r="K124" s="9">
        <f>(PricingDataTable[[#This Row],[Current Price ($)]]-PricingDataTable[[#This Row],[Prior Price ($)]])/PricingDataTable[[#This Row],[Prior Price ($)]]</f>
        <v>2.4486621686950708E-3</v>
      </c>
      <c r="L124" s="9">
        <f>(PricingDataTable[[#This Row],[Vendor Price ($)]]-PricingDataTable[[#This Row],[Current Price ($)]])/PricingDataTable[[#This Row],[Current Price ($)]]</f>
        <v>7.4865301042992152E-4</v>
      </c>
      <c r="M124" t="str">
        <f t="shared" si="2"/>
        <v>PASS</v>
      </c>
      <c r="N124" s="10" t="str">
        <f t="shared" si="3"/>
        <v>NONE</v>
      </c>
    </row>
    <row r="125" spans="1:14">
      <c r="A125" s="4" t="s">
        <v>266</v>
      </c>
      <c r="B125" s="4" t="s">
        <v>267</v>
      </c>
      <c r="C125" s="4" t="s">
        <v>19</v>
      </c>
      <c r="D125" s="4" t="s">
        <v>13</v>
      </c>
      <c r="E125" s="5">
        <v>348.62150000000003</v>
      </c>
      <c r="F125" s="5">
        <v>340.20859999999999</v>
      </c>
      <c r="G125" s="5">
        <v>340.6429</v>
      </c>
      <c r="H125" s="4">
        <v>0</v>
      </c>
      <c r="I125" s="6">
        <v>4894445</v>
      </c>
      <c r="J125" s="7">
        <v>317.74</v>
      </c>
      <c r="K125" s="9">
        <f>(PricingDataTable[[#This Row],[Current Price ($)]]-PricingDataTable[[#This Row],[Prior Price ($)]])/PricingDataTable[[#This Row],[Prior Price ($)]]</f>
        <v>-2.4131902364025268E-2</v>
      </c>
      <c r="L125" s="9">
        <f>(PricingDataTable[[#This Row],[Vendor Price ($)]]-PricingDataTable[[#This Row],[Current Price ($)]])/PricingDataTable[[#This Row],[Current Price ($)]]</f>
        <v>1.2765697281021335E-3</v>
      </c>
      <c r="M125" t="str">
        <f t="shared" si="2"/>
        <v>PASS</v>
      </c>
      <c r="N125" s="10" t="str">
        <f t="shared" si="3"/>
        <v>NONE</v>
      </c>
    </row>
    <row r="126" spans="1:14">
      <c r="A126" s="4" t="s">
        <v>268</v>
      </c>
      <c r="B126" s="4" t="s">
        <v>269</v>
      </c>
      <c r="C126" s="4" t="s">
        <v>16</v>
      </c>
      <c r="D126" s="4" t="s">
        <v>64</v>
      </c>
      <c r="E126" s="5">
        <v>107.71299999999999</v>
      </c>
      <c r="F126" s="5">
        <v>106.137</v>
      </c>
      <c r="G126" s="5">
        <v>106.20950000000001</v>
      </c>
      <c r="H126" s="4">
        <v>2</v>
      </c>
      <c r="I126" s="6">
        <v>3070705</v>
      </c>
      <c r="J126" s="7">
        <v>40.909999999999997</v>
      </c>
      <c r="K126" s="9">
        <f>(PricingDataTable[[#This Row],[Current Price ($)]]-PricingDataTable[[#This Row],[Prior Price ($)]])/PricingDataTable[[#This Row],[Prior Price ($)]]</f>
        <v>-1.4631474380993877E-2</v>
      </c>
      <c r="L126" s="9">
        <f>(PricingDataTable[[#This Row],[Vendor Price ($)]]-PricingDataTable[[#This Row],[Current Price ($)]])/PricingDataTable[[#This Row],[Current Price ($)]]</f>
        <v>6.8307941622624646E-4</v>
      </c>
      <c r="M126" t="str">
        <f t="shared" si="2"/>
        <v>PASS</v>
      </c>
      <c r="N126" s="10" t="str">
        <f t="shared" si="3"/>
        <v>NONE</v>
      </c>
    </row>
    <row r="127" spans="1:14">
      <c r="A127" s="4" t="s">
        <v>270</v>
      </c>
      <c r="B127" s="4" t="s">
        <v>271</v>
      </c>
      <c r="C127" s="4" t="s">
        <v>16</v>
      </c>
      <c r="D127" s="4" t="s">
        <v>13</v>
      </c>
      <c r="E127" s="5">
        <v>89.430099999999996</v>
      </c>
      <c r="F127" s="5">
        <v>88.5428</v>
      </c>
      <c r="G127" s="5">
        <v>88.733199999999997</v>
      </c>
      <c r="H127" s="4">
        <v>0</v>
      </c>
      <c r="I127" s="6">
        <v>812023</v>
      </c>
      <c r="J127" s="7">
        <v>354.63</v>
      </c>
      <c r="K127" s="9">
        <f>(PricingDataTable[[#This Row],[Current Price ($)]]-PricingDataTable[[#This Row],[Prior Price ($)]])/PricingDataTable[[#This Row],[Prior Price ($)]]</f>
        <v>-9.9217153955994258E-3</v>
      </c>
      <c r="L127" s="9">
        <f>(PricingDataTable[[#This Row],[Vendor Price ($)]]-PricingDataTable[[#This Row],[Current Price ($)]])/PricingDataTable[[#This Row],[Current Price ($)]]</f>
        <v>2.1503724752322808E-3</v>
      </c>
      <c r="M127" t="str">
        <f t="shared" si="2"/>
        <v>PASS</v>
      </c>
      <c r="N127" s="10" t="str">
        <f t="shared" si="3"/>
        <v>NONE</v>
      </c>
    </row>
    <row r="128" spans="1:14">
      <c r="A128" s="4" t="s">
        <v>272</v>
      </c>
      <c r="B128" s="4" t="s">
        <v>273</v>
      </c>
      <c r="C128" s="4" t="s">
        <v>35</v>
      </c>
      <c r="D128" s="4" t="s">
        <v>32</v>
      </c>
      <c r="E128" s="5">
        <v>37.432299999999998</v>
      </c>
      <c r="F128" s="5">
        <v>36.904200000000003</v>
      </c>
      <c r="G128" s="5">
        <v>36.896799999999999</v>
      </c>
      <c r="H128" s="4">
        <v>0</v>
      </c>
      <c r="I128" s="6">
        <v>4325375</v>
      </c>
      <c r="J128" s="7">
        <v>125.97</v>
      </c>
      <c r="K128" s="9">
        <f>(PricingDataTable[[#This Row],[Current Price ($)]]-PricingDataTable[[#This Row],[Prior Price ($)]])/PricingDataTable[[#This Row],[Prior Price ($)]]</f>
        <v>-1.4108136555862048E-2</v>
      </c>
      <c r="L128" s="9">
        <f>(PricingDataTable[[#This Row],[Vendor Price ($)]]-PricingDataTable[[#This Row],[Current Price ($)]])/PricingDataTable[[#This Row],[Current Price ($)]]</f>
        <v>-2.005191820986248E-4</v>
      </c>
      <c r="M128" t="str">
        <f t="shared" si="2"/>
        <v>PASS</v>
      </c>
      <c r="N128" s="10" t="str">
        <f t="shared" si="3"/>
        <v>NONE</v>
      </c>
    </row>
    <row r="129" spans="1:14">
      <c r="A129" s="4" t="s">
        <v>274</v>
      </c>
      <c r="B129" s="4" t="s">
        <v>275</v>
      </c>
      <c r="C129" s="4" t="s">
        <v>19</v>
      </c>
      <c r="D129" s="4" t="s">
        <v>237</v>
      </c>
      <c r="E129" s="5">
        <v>260.84719999999999</v>
      </c>
      <c r="F129" s="5">
        <v>259.98430000000002</v>
      </c>
      <c r="G129" s="5">
        <v>260.65699999999998</v>
      </c>
      <c r="H129" s="4">
        <v>1</v>
      </c>
      <c r="I129" s="6">
        <v>3091009</v>
      </c>
      <c r="J129" s="7">
        <v>298.25</v>
      </c>
      <c r="K129" s="9">
        <f>(PricingDataTable[[#This Row],[Current Price ($)]]-PricingDataTable[[#This Row],[Prior Price ($)]])/PricingDataTable[[#This Row],[Prior Price ($)]]</f>
        <v>-3.3080669449392897E-3</v>
      </c>
      <c r="L129" s="9">
        <f>(PricingDataTable[[#This Row],[Vendor Price ($)]]-PricingDataTable[[#This Row],[Current Price ($)]])/PricingDataTable[[#This Row],[Current Price ($)]]</f>
        <v>2.5874639353221074E-3</v>
      </c>
      <c r="M129" t="str">
        <f t="shared" si="2"/>
        <v>PASS</v>
      </c>
      <c r="N129" s="10" t="str">
        <f t="shared" si="3"/>
        <v>NONE</v>
      </c>
    </row>
    <row r="130" spans="1:14">
      <c r="A130" s="4" t="s">
        <v>276</v>
      </c>
      <c r="B130" s="4" t="s">
        <v>277</v>
      </c>
      <c r="C130" s="4" t="s">
        <v>12</v>
      </c>
      <c r="D130" s="4" t="s">
        <v>32</v>
      </c>
      <c r="E130" s="5">
        <v>111.2662</v>
      </c>
      <c r="F130" s="5">
        <v>111.1484</v>
      </c>
      <c r="G130" s="5">
        <v>111.0767</v>
      </c>
      <c r="H130" s="4">
        <v>1</v>
      </c>
      <c r="I130" s="6">
        <v>431798</v>
      </c>
      <c r="J130" s="7">
        <v>525.25</v>
      </c>
      <c r="K130" s="9">
        <f>(PricingDataTable[[#This Row],[Current Price ($)]]-PricingDataTable[[#This Row],[Prior Price ($)]])/PricingDataTable[[#This Row],[Prior Price ($)]]</f>
        <v>-1.058722235503707E-3</v>
      </c>
      <c r="L130" s="9">
        <f>(PricingDataTable[[#This Row],[Vendor Price ($)]]-PricingDataTable[[#This Row],[Current Price ($)]])/PricingDataTable[[#This Row],[Current Price ($)]]</f>
        <v>-6.450835099739877E-4</v>
      </c>
      <c r="M130" t="str">
        <f t="shared" ref="M130:M193" si="4">IF(OR(F130="",F130=0),"MISSING",IF(H130&gt;=3,"STALE",IF(ABS(K130)&gt;=5%,"LARGE MOVE",IF(ABS(L130)&gt;=2%,"VENDOR DIFFERENCE","PASS"))))</f>
        <v>PASS</v>
      </c>
      <c r="N130" s="10" t="str">
        <f t="shared" ref="N130:N193" si="5">IF(M130="PASS","NONE",IF(M130="MISSING","HIGH",IF(OR(ABS(K130)&gt;=10%,ABS(L130)&gt;=5%),"HIGH",IF(OR(ABS(K130)&gt;=7%,ABS(L130)&gt;=3%,H130&gt;=5),"MEDIUM","LOW"))))</f>
        <v>NONE</v>
      </c>
    </row>
    <row r="131" spans="1:14">
      <c r="A131" s="4" t="s">
        <v>278</v>
      </c>
      <c r="B131" s="4" t="s">
        <v>279</v>
      </c>
      <c r="C131" s="4" t="s">
        <v>12</v>
      </c>
      <c r="D131" s="4" t="s">
        <v>13</v>
      </c>
      <c r="E131" s="5">
        <v>117.05840000000001</v>
      </c>
      <c r="F131" s="5">
        <v>108.68040000000001</v>
      </c>
      <c r="G131" s="5">
        <v>109.0749</v>
      </c>
      <c r="H131" s="4">
        <v>0</v>
      </c>
      <c r="I131" s="6">
        <v>4210567</v>
      </c>
      <c r="J131" s="7">
        <v>697.52</v>
      </c>
      <c r="K131" s="9">
        <f>(PricingDataTable[[#This Row],[Current Price ($)]]-PricingDataTable[[#This Row],[Prior Price ($)]])/PricingDataTable[[#This Row],[Prior Price ($)]]</f>
        <v>-7.1571113222118191E-2</v>
      </c>
      <c r="L131" s="9">
        <f>(PricingDataTable[[#This Row],[Vendor Price ($)]]-PricingDataTable[[#This Row],[Current Price ($)]])/PricingDataTable[[#This Row],[Current Price ($)]]</f>
        <v>3.6299093488797759E-3</v>
      </c>
      <c r="M131" t="str">
        <f t="shared" si="4"/>
        <v>LARGE MOVE</v>
      </c>
      <c r="N131" s="10" t="str">
        <f t="shared" si="5"/>
        <v>MEDIUM</v>
      </c>
    </row>
    <row r="132" spans="1:14">
      <c r="A132" s="4" t="s">
        <v>280</v>
      </c>
      <c r="B132" s="4" t="s">
        <v>281</v>
      </c>
      <c r="C132" s="4" t="s">
        <v>12</v>
      </c>
      <c r="D132" s="4" t="s">
        <v>13</v>
      </c>
      <c r="E132" s="5">
        <v>103.04430000000001</v>
      </c>
      <c r="F132" s="5">
        <v>104.455</v>
      </c>
      <c r="G132" s="5">
        <v>104.4508</v>
      </c>
      <c r="H132" s="4">
        <v>0</v>
      </c>
      <c r="I132" s="6">
        <v>2218630</v>
      </c>
      <c r="J132" s="7">
        <v>549.15</v>
      </c>
      <c r="K132" s="9">
        <f>(PricingDataTable[[#This Row],[Current Price ($)]]-PricingDataTable[[#This Row],[Prior Price ($)]])/PricingDataTable[[#This Row],[Prior Price ($)]]</f>
        <v>1.3690228377503572E-2</v>
      </c>
      <c r="L132" s="9">
        <f>(PricingDataTable[[#This Row],[Vendor Price ($)]]-PricingDataTable[[#This Row],[Current Price ($)]])/PricingDataTable[[#This Row],[Current Price ($)]]</f>
        <v>-4.0208702311974695E-5</v>
      </c>
      <c r="M132" t="str">
        <f t="shared" si="4"/>
        <v>PASS</v>
      </c>
      <c r="N132" s="10" t="str">
        <f t="shared" si="5"/>
        <v>NONE</v>
      </c>
    </row>
    <row r="133" spans="1:14">
      <c r="A133" s="4" t="s">
        <v>282</v>
      </c>
      <c r="B133" s="4" t="s">
        <v>283</v>
      </c>
      <c r="C133" s="4" t="s">
        <v>19</v>
      </c>
      <c r="D133" s="4" t="s">
        <v>13</v>
      </c>
      <c r="E133" s="5">
        <v>329.98809999999997</v>
      </c>
      <c r="F133" s="5">
        <v>336.74669999999998</v>
      </c>
      <c r="G133" s="5">
        <v>336.55369999999999</v>
      </c>
      <c r="H133" s="4">
        <v>0</v>
      </c>
      <c r="I133" s="6">
        <v>2294928</v>
      </c>
      <c r="J133" s="7">
        <v>259.14999999999998</v>
      </c>
      <c r="K133" s="9">
        <f>(PricingDataTable[[#This Row],[Current Price ($)]]-PricingDataTable[[#This Row],[Prior Price ($)]])/PricingDataTable[[#This Row],[Prior Price ($)]]</f>
        <v>2.0481344630306372E-2</v>
      </c>
      <c r="L133" s="9">
        <f>(PricingDataTable[[#This Row],[Vendor Price ($)]]-PricingDataTable[[#This Row],[Current Price ($)]])/PricingDataTable[[#This Row],[Current Price ($)]]</f>
        <v>-5.7313108042330826E-4</v>
      </c>
      <c r="M133" t="str">
        <f t="shared" si="4"/>
        <v>PASS</v>
      </c>
      <c r="N133" s="10" t="str">
        <f t="shared" si="5"/>
        <v>NONE</v>
      </c>
    </row>
    <row r="134" spans="1:14">
      <c r="A134" s="4" t="s">
        <v>284</v>
      </c>
      <c r="B134" s="4" t="s">
        <v>285</v>
      </c>
      <c r="C134" s="4" t="s">
        <v>16</v>
      </c>
      <c r="D134" s="4" t="s">
        <v>237</v>
      </c>
      <c r="E134" s="5">
        <v>115.91889999999999</v>
      </c>
      <c r="F134" s="5">
        <v>118.331</v>
      </c>
      <c r="G134" s="5">
        <v>118.1506</v>
      </c>
      <c r="H134" s="4">
        <v>1</v>
      </c>
      <c r="I134" s="6">
        <v>2152207</v>
      </c>
      <c r="J134" s="7">
        <v>672.66</v>
      </c>
      <c r="K134" s="9">
        <f>(PricingDataTable[[#This Row],[Current Price ($)]]-PricingDataTable[[#This Row],[Prior Price ($)]])/PricingDataTable[[#This Row],[Prior Price ($)]]</f>
        <v>2.0808513538344564E-2</v>
      </c>
      <c r="L134" s="9">
        <f>(PricingDataTable[[#This Row],[Vendor Price ($)]]-PricingDataTable[[#This Row],[Current Price ($)]])/PricingDataTable[[#This Row],[Current Price ($)]]</f>
        <v>-1.5245371035485704E-3</v>
      </c>
      <c r="M134" t="str">
        <f t="shared" si="4"/>
        <v>PASS</v>
      </c>
      <c r="N134" s="10" t="str">
        <f t="shared" si="5"/>
        <v>NONE</v>
      </c>
    </row>
    <row r="135" spans="1:14">
      <c r="A135" s="4" t="s">
        <v>286</v>
      </c>
      <c r="B135" s="4" t="s">
        <v>287</v>
      </c>
      <c r="C135" s="4" t="s">
        <v>39</v>
      </c>
      <c r="D135" s="4" t="s">
        <v>13</v>
      </c>
      <c r="E135" s="5">
        <v>200.21019999999999</v>
      </c>
      <c r="F135" s="5">
        <v>200.05369999999999</v>
      </c>
      <c r="G135" s="5">
        <v>200.33969999999999</v>
      </c>
      <c r="H135" s="4">
        <v>0</v>
      </c>
      <c r="I135" s="6">
        <v>1954174</v>
      </c>
      <c r="J135" s="7">
        <v>47.43</v>
      </c>
      <c r="K135" s="9">
        <f>(PricingDataTable[[#This Row],[Current Price ($)]]-PricingDataTable[[#This Row],[Prior Price ($)]])/PricingDataTable[[#This Row],[Prior Price ($)]]</f>
        <v>-7.8167845594277459E-4</v>
      </c>
      <c r="L135" s="9">
        <f>(PricingDataTable[[#This Row],[Vendor Price ($)]]-PricingDataTable[[#This Row],[Current Price ($)]])/PricingDataTable[[#This Row],[Current Price ($)]]</f>
        <v>1.4296161480642517E-3</v>
      </c>
      <c r="M135" t="str">
        <f t="shared" si="4"/>
        <v>PASS</v>
      </c>
      <c r="N135" s="10" t="str">
        <f t="shared" si="5"/>
        <v>NONE</v>
      </c>
    </row>
    <row r="136" spans="1:14">
      <c r="A136" s="4" t="s">
        <v>288</v>
      </c>
      <c r="B136" s="4" t="s">
        <v>289</v>
      </c>
      <c r="C136" s="4" t="s">
        <v>12</v>
      </c>
      <c r="D136" s="4" t="s">
        <v>13</v>
      </c>
      <c r="E136" s="5">
        <v>113.53830000000001</v>
      </c>
      <c r="F136" s="5">
        <v>115.26</v>
      </c>
      <c r="G136" s="5">
        <v>115.27419999999999</v>
      </c>
      <c r="H136" s="4">
        <v>3</v>
      </c>
      <c r="I136" s="6">
        <v>1674157</v>
      </c>
      <c r="J136" s="7">
        <v>680.37</v>
      </c>
      <c r="K136" s="9">
        <f>(PricingDataTable[[#This Row],[Current Price ($)]]-PricingDataTable[[#This Row],[Prior Price ($)]])/PricingDataTable[[#This Row],[Prior Price ($)]]</f>
        <v>1.5164045965106033E-2</v>
      </c>
      <c r="L136" s="9">
        <f>(PricingDataTable[[#This Row],[Vendor Price ($)]]-PricingDataTable[[#This Row],[Current Price ($)]])/PricingDataTable[[#This Row],[Current Price ($)]]</f>
        <v>1.2319972236672064E-4</v>
      </c>
      <c r="M136" t="str">
        <f t="shared" si="4"/>
        <v>STALE</v>
      </c>
      <c r="N136" s="10" t="str">
        <f t="shared" si="5"/>
        <v>LOW</v>
      </c>
    </row>
    <row r="137" spans="1:14">
      <c r="A137" s="4" t="s">
        <v>290</v>
      </c>
      <c r="B137" s="4" t="s">
        <v>291</v>
      </c>
      <c r="C137" s="4" t="s">
        <v>19</v>
      </c>
      <c r="D137" s="4" t="s">
        <v>13</v>
      </c>
      <c r="E137" s="5">
        <v>270.90390000000002</v>
      </c>
      <c r="F137" s="5">
        <v>269.54259999999999</v>
      </c>
      <c r="G137" s="5">
        <v>269.06209999999999</v>
      </c>
      <c r="H137" s="4">
        <v>0</v>
      </c>
      <c r="I137" s="6">
        <v>1475622</v>
      </c>
      <c r="J137" s="7">
        <v>840.54</v>
      </c>
      <c r="K137" s="9">
        <f>(PricingDataTable[[#This Row],[Current Price ($)]]-PricingDataTable[[#This Row],[Prior Price ($)]])/PricingDataTable[[#This Row],[Prior Price ($)]]</f>
        <v>-5.0250291708610626E-3</v>
      </c>
      <c r="L137" s="9">
        <f>(PricingDataTable[[#This Row],[Vendor Price ($)]]-PricingDataTable[[#This Row],[Current Price ($)]])/PricingDataTable[[#This Row],[Current Price ($)]]</f>
        <v>-1.7826495700494333E-3</v>
      </c>
      <c r="M137" t="str">
        <f t="shared" si="4"/>
        <v>PASS</v>
      </c>
      <c r="N137" s="10" t="str">
        <f t="shared" si="5"/>
        <v>NONE</v>
      </c>
    </row>
    <row r="138" spans="1:14">
      <c r="A138" s="4" t="s">
        <v>292</v>
      </c>
      <c r="B138" s="4" t="s">
        <v>293</v>
      </c>
      <c r="C138" s="4" t="s">
        <v>39</v>
      </c>
      <c r="D138" s="4" t="s">
        <v>13</v>
      </c>
      <c r="E138" s="5">
        <v>264.15910000000002</v>
      </c>
      <c r="F138" s="5">
        <v>265.98039999999997</v>
      </c>
      <c r="G138" s="5">
        <v>265.50599999999997</v>
      </c>
      <c r="H138" s="4">
        <v>0</v>
      </c>
      <c r="I138" s="6">
        <v>3812356</v>
      </c>
      <c r="J138" s="7">
        <v>890.19</v>
      </c>
      <c r="K138" s="9">
        <f>(PricingDataTable[[#This Row],[Current Price ($)]]-PricingDataTable[[#This Row],[Prior Price ($)]])/PricingDataTable[[#This Row],[Prior Price ($)]]</f>
        <v>6.8947085298214257E-3</v>
      </c>
      <c r="L138" s="9">
        <f>(PricingDataTable[[#This Row],[Vendor Price ($)]]-PricingDataTable[[#This Row],[Current Price ($)]])/PricingDataTable[[#This Row],[Current Price ($)]]</f>
        <v>-1.7835900690426922E-3</v>
      </c>
      <c r="M138" t="str">
        <f t="shared" si="4"/>
        <v>PASS</v>
      </c>
      <c r="N138" s="10" t="str">
        <f t="shared" si="5"/>
        <v>NONE</v>
      </c>
    </row>
    <row r="139" spans="1:14">
      <c r="A139" s="4" t="s">
        <v>294</v>
      </c>
      <c r="B139" s="4" t="s">
        <v>295</v>
      </c>
      <c r="C139" s="4" t="s">
        <v>16</v>
      </c>
      <c r="D139" s="4" t="s">
        <v>36</v>
      </c>
      <c r="E139" s="5">
        <v>117.553</v>
      </c>
      <c r="F139" s="5">
        <v>116.64830000000001</v>
      </c>
      <c r="G139" s="5">
        <v>116.694</v>
      </c>
      <c r="H139" s="4">
        <v>0</v>
      </c>
      <c r="I139" s="6">
        <v>2828901</v>
      </c>
      <c r="J139" s="7">
        <v>711.73</v>
      </c>
      <c r="K139" s="9">
        <f>(PricingDataTable[[#This Row],[Current Price ($)]]-PricingDataTable[[#This Row],[Prior Price ($)]])/PricingDataTable[[#This Row],[Prior Price ($)]]</f>
        <v>-7.6961030343759085E-3</v>
      </c>
      <c r="L139" s="9">
        <f>(PricingDataTable[[#This Row],[Vendor Price ($)]]-PricingDataTable[[#This Row],[Current Price ($)]])/PricingDataTable[[#This Row],[Current Price ($)]]</f>
        <v>3.9177596244434354E-4</v>
      </c>
      <c r="M139" t="str">
        <f t="shared" si="4"/>
        <v>PASS</v>
      </c>
      <c r="N139" s="10" t="str">
        <f t="shared" si="5"/>
        <v>NONE</v>
      </c>
    </row>
    <row r="140" spans="1:14">
      <c r="A140" s="4" t="s">
        <v>296</v>
      </c>
      <c r="B140" s="4" t="s">
        <v>297</v>
      </c>
      <c r="C140" s="4" t="s">
        <v>19</v>
      </c>
      <c r="D140" s="4" t="s">
        <v>64</v>
      </c>
      <c r="E140" s="5">
        <v>314.78859999999997</v>
      </c>
      <c r="F140" s="5">
        <v>316.90300000000002</v>
      </c>
      <c r="G140" s="5">
        <v>315.89010000000002</v>
      </c>
      <c r="H140" s="4">
        <v>0</v>
      </c>
      <c r="I140" s="6">
        <v>2081769</v>
      </c>
      <c r="J140" s="7">
        <v>6.35</v>
      </c>
      <c r="K140" s="9">
        <f>(PricingDataTable[[#This Row],[Current Price ($)]]-PricingDataTable[[#This Row],[Prior Price ($)]])/PricingDataTable[[#This Row],[Prior Price ($)]]</f>
        <v>6.7168887310405977E-3</v>
      </c>
      <c r="L140" s="9">
        <f>(PricingDataTable[[#This Row],[Vendor Price ($)]]-PricingDataTable[[#This Row],[Current Price ($)]])/PricingDataTable[[#This Row],[Current Price ($)]]</f>
        <v>-3.1962461699636857E-3</v>
      </c>
      <c r="M140" t="str">
        <f t="shared" si="4"/>
        <v>PASS</v>
      </c>
      <c r="N140" s="10" t="str">
        <f t="shared" si="5"/>
        <v>NONE</v>
      </c>
    </row>
    <row r="141" spans="1:14">
      <c r="A141" s="4" t="s">
        <v>298</v>
      </c>
      <c r="B141" s="4" t="s">
        <v>299</v>
      </c>
      <c r="C141" s="4" t="s">
        <v>16</v>
      </c>
      <c r="D141" s="4" t="s">
        <v>13</v>
      </c>
      <c r="E141" s="5">
        <v>91.481300000000005</v>
      </c>
      <c r="F141" s="5">
        <v>90.237300000000005</v>
      </c>
      <c r="G141" s="5">
        <v>90.062399999999997</v>
      </c>
      <c r="H141" s="4">
        <v>0</v>
      </c>
      <c r="I141" s="6">
        <v>1340801</v>
      </c>
      <c r="J141" s="7">
        <v>364.99</v>
      </c>
      <c r="K141" s="9">
        <f>(PricingDataTable[[#This Row],[Current Price ($)]]-PricingDataTable[[#This Row],[Prior Price ($)]])/PricingDataTable[[#This Row],[Prior Price ($)]]</f>
        <v>-1.3598407543399577E-2</v>
      </c>
      <c r="L141" s="9">
        <f>(PricingDataTable[[#This Row],[Vendor Price ($)]]-PricingDataTable[[#This Row],[Current Price ($)]])/PricingDataTable[[#This Row],[Current Price ($)]]</f>
        <v>-1.9382228856582371E-3</v>
      </c>
      <c r="M141" t="str">
        <f t="shared" si="4"/>
        <v>PASS</v>
      </c>
      <c r="N141" s="10" t="str">
        <f t="shared" si="5"/>
        <v>NONE</v>
      </c>
    </row>
    <row r="142" spans="1:14">
      <c r="A142" s="4" t="s">
        <v>300</v>
      </c>
      <c r="B142" s="4" t="s">
        <v>301</v>
      </c>
      <c r="C142" s="4" t="s">
        <v>12</v>
      </c>
      <c r="D142" s="4" t="s">
        <v>13</v>
      </c>
      <c r="E142" s="5">
        <v>122.0318</v>
      </c>
      <c r="F142" s="5">
        <v>121.3353</v>
      </c>
      <c r="G142" s="5">
        <v>121.52549999999999</v>
      </c>
      <c r="H142" s="4">
        <v>0</v>
      </c>
      <c r="I142" s="6">
        <v>4608312</v>
      </c>
      <c r="J142" s="7">
        <v>821.53</v>
      </c>
      <c r="K142" s="9">
        <f>(PricingDataTable[[#This Row],[Current Price ($)]]-PricingDataTable[[#This Row],[Prior Price ($)]])/PricingDataTable[[#This Row],[Prior Price ($)]]</f>
        <v>-5.7075286933405906E-3</v>
      </c>
      <c r="L142" s="9">
        <f>(PricingDataTable[[#This Row],[Vendor Price ($)]]-PricingDataTable[[#This Row],[Current Price ($)]])/PricingDataTable[[#This Row],[Current Price ($)]]</f>
        <v>1.5675570093780635E-3</v>
      </c>
      <c r="M142" t="str">
        <f t="shared" si="4"/>
        <v>PASS</v>
      </c>
      <c r="N142" s="10" t="str">
        <f t="shared" si="5"/>
        <v>NONE</v>
      </c>
    </row>
    <row r="143" spans="1:14">
      <c r="A143" s="4" t="s">
        <v>302</v>
      </c>
      <c r="B143" s="4" t="s">
        <v>303</v>
      </c>
      <c r="C143" s="4" t="s">
        <v>39</v>
      </c>
      <c r="D143" s="4" t="s">
        <v>13</v>
      </c>
      <c r="E143" s="5">
        <v>211.76849999999999</v>
      </c>
      <c r="F143" s="5">
        <v>212.4905</v>
      </c>
      <c r="G143" s="5">
        <v>211.73339999999999</v>
      </c>
      <c r="H143" s="4">
        <v>3</v>
      </c>
      <c r="I143" s="6">
        <v>4241332</v>
      </c>
      <c r="J143" s="7">
        <v>182.1</v>
      </c>
      <c r="K143" s="9">
        <f>(PricingDataTable[[#This Row],[Current Price ($)]]-PricingDataTable[[#This Row],[Prior Price ($)]])/PricingDataTable[[#This Row],[Prior Price ($)]]</f>
        <v>3.4093833596592904E-3</v>
      </c>
      <c r="L143" s="9">
        <f>(PricingDataTable[[#This Row],[Vendor Price ($)]]-PricingDataTable[[#This Row],[Current Price ($)]])/PricingDataTable[[#This Row],[Current Price ($)]]</f>
        <v>-3.5629828157023881E-3</v>
      </c>
      <c r="M143" t="str">
        <f t="shared" si="4"/>
        <v>STALE</v>
      </c>
      <c r="N143" s="10" t="str">
        <f t="shared" si="5"/>
        <v>LOW</v>
      </c>
    </row>
    <row r="144" spans="1:14">
      <c r="A144" s="4" t="s">
        <v>304</v>
      </c>
      <c r="B144" s="4" t="s">
        <v>305</v>
      </c>
      <c r="C144" s="4" t="s">
        <v>19</v>
      </c>
      <c r="D144" s="4" t="s">
        <v>64</v>
      </c>
      <c r="E144" s="5">
        <v>159.1095</v>
      </c>
      <c r="F144" s="5">
        <v>157.82300000000001</v>
      </c>
      <c r="G144" s="5">
        <v>157.14179999999999</v>
      </c>
      <c r="H144" s="4">
        <v>0</v>
      </c>
      <c r="I144" s="6">
        <v>3485833</v>
      </c>
      <c r="J144" s="7">
        <v>411.23</v>
      </c>
      <c r="K144" s="9">
        <f>(PricingDataTable[[#This Row],[Current Price ($)]]-PricingDataTable[[#This Row],[Prior Price ($)]])/PricingDataTable[[#This Row],[Prior Price ($)]]</f>
        <v>-8.0856265653527267E-3</v>
      </c>
      <c r="L144" s="9">
        <f>(PricingDataTable[[#This Row],[Vendor Price ($)]]-PricingDataTable[[#This Row],[Current Price ($)]])/PricingDataTable[[#This Row],[Current Price ($)]]</f>
        <v>-4.3162276727727782E-3</v>
      </c>
      <c r="M144" t="str">
        <f t="shared" si="4"/>
        <v>PASS</v>
      </c>
      <c r="N144" s="10" t="str">
        <f t="shared" si="5"/>
        <v>NONE</v>
      </c>
    </row>
    <row r="145" spans="1:14">
      <c r="A145" s="4" t="s">
        <v>306</v>
      </c>
      <c r="B145" s="4" t="s">
        <v>307</v>
      </c>
      <c r="C145" s="4" t="s">
        <v>16</v>
      </c>
      <c r="D145" s="4" t="s">
        <v>32</v>
      </c>
      <c r="E145" s="5">
        <v>111.164</v>
      </c>
      <c r="F145" s="5">
        <v>109.21420000000001</v>
      </c>
      <c r="G145" s="5">
        <v>109.58110000000001</v>
      </c>
      <c r="H145" s="4">
        <v>0</v>
      </c>
      <c r="I145" s="6">
        <v>506460</v>
      </c>
      <c r="J145" s="7">
        <v>841.14</v>
      </c>
      <c r="K145" s="9">
        <f>(PricingDataTable[[#This Row],[Current Price ($)]]-PricingDataTable[[#This Row],[Prior Price ($)]])/PricingDataTable[[#This Row],[Prior Price ($)]]</f>
        <v>-1.7539851030909253E-2</v>
      </c>
      <c r="L145" s="9">
        <f>(PricingDataTable[[#This Row],[Vendor Price ($)]]-PricingDataTable[[#This Row],[Current Price ($)]])/PricingDataTable[[#This Row],[Current Price ($)]]</f>
        <v>3.3594532579096959E-3</v>
      </c>
      <c r="M145" t="str">
        <f t="shared" si="4"/>
        <v>PASS</v>
      </c>
      <c r="N145" s="10" t="str">
        <f t="shared" si="5"/>
        <v>NONE</v>
      </c>
    </row>
    <row r="146" spans="1:14">
      <c r="A146" s="4" t="s">
        <v>308</v>
      </c>
      <c r="B146" s="4" t="s">
        <v>309</v>
      </c>
      <c r="C146" s="4" t="s">
        <v>19</v>
      </c>
      <c r="D146" s="4" t="s">
        <v>13</v>
      </c>
      <c r="E146" s="5">
        <v>270.98840000000001</v>
      </c>
      <c r="F146" s="5">
        <v>271.88220000000001</v>
      </c>
      <c r="G146" s="5">
        <v>269.6354</v>
      </c>
      <c r="H146" s="4">
        <v>5</v>
      </c>
      <c r="I146" s="6">
        <v>3167668</v>
      </c>
      <c r="J146" s="7">
        <v>338.21</v>
      </c>
      <c r="K146" s="9">
        <f>(PricingDataTable[[#This Row],[Current Price ($)]]-PricingDataTable[[#This Row],[Prior Price ($)]])/PricingDataTable[[#This Row],[Prior Price ($)]]</f>
        <v>3.2982961632305988E-3</v>
      </c>
      <c r="L146" s="9">
        <f>(PricingDataTable[[#This Row],[Vendor Price ($)]]-PricingDataTable[[#This Row],[Current Price ($)]])/PricingDataTable[[#This Row],[Current Price ($)]]</f>
        <v>-8.2638731038663336E-3</v>
      </c>
      <c r="M146" t="str">
        <f t="shared" si="4"/>
        <v>STALE</v>
      </c>
      <c r="N146" s="10" t="str">
        <f t="shared" si="5"/>
        <v>MEDIUM</v>
      </c>
    </row>
    <row r="147" spans="1:14">
      <c r="A147" s="4" t="s">
        <v>310</v>
      </c>
      <c r="B147" s="4" t="s">
        <v>311</v>
      </c>
      <c r="C147" s="4" t="s">
        <v>19</v>
      </c>
      <c r="D147" s="4" t="s">
        <v>64</v>
      </c>
      <c r="E147" s="5">
        <v>48.572499999999998</v>
      </c>
      <c r="F147" s="5">
        <v>49.154400000000003</v>
      </c>
      <c r="G147" s="5">
        <v>49.147799999999997</v>
      </c>
      <c r="H147" s="4">
        <v>1</v>
      </c>
      <c r="I147" s="6">
        <v>3884958</v>
      </c>
      <c r="J147" s="7">
        <v>606.22</v>
      </c>
      <c r="K147" s="9">
        <f>(PricingDataTable[[#This Row],[Current Price ($)]]-PricingDataTable[[#This Row],[Prior Price ($)]])/PricingDataTable[[#This Row],[Prior Price ($)]]</f>
        <v>1.1980029852282763E-2</v>
      </c>
      <c r="L147" s="9">
        <f>(PricingDataTable[[#This Row],[Vendor Price ($)]]-PricingDataTable[[#This Row],[Current Price ($)]])/PricingDataTable[[#This Row],[Current Price ($)]]</f>
        <v>-1.3427078755932193E-4</v>
      </c>
      <c r="M147" t="str">
        <f t="shared" si="4"/>
        <v>PASS</v>
      </c>
      <c r="N147" s="10" t="str">
        <f t="shared" si="5"/>
        <v>NONE</v>
      </c>
    </row>
    <row r="148" spans="1:14">
      <c r="A148" s="4" t="s">
        <v>312</v>
      </c>
      <c r="B148" s="4" t="s">
        <v>313</v>
      </c>
      <c r="C148" s="4" t="s">
        <v>16</v>
      </c>
      <c r="D148" s="4" t="s">
        <v>64</v>
      </c>
      <c r="E148" s="5">
        <v>87.375600000000006</v>
      </c>
      <c r="F148" s="5">
        <v>86.897199999999998</v>
      </c>
      <c r="G148" s="5">
        <v>87.069500000000005</v>
      </c>
      <c r="H148" s="4">
        <v>0</v>
      </c>
      <c r="I148" s="6">
        <v>132246</v>
      </c>
      <c r="J148" s="7">
        <v>216.75</v>
      </c>
      <c r="K148" s="9">
        <f>(PricingDataTable[[#This Row],[Current Price ($)]]-PricingDataTable[[#This Row],[Prior Price ($)]])/PricingDataTable[[#This Row],[Prior Price ($)]]</f>
        <v>-5.4752127596263455E-3</v>
      </c>
      <c r="L148" s="9">
        <f>(PricingDataTable[[#This Row],[Vendor Price ($)]]-PricingDataTable[[#This Row],[Current Price ($)]])/PricingDataTable[[#This Row],[Current Price ($)]]</f>
        <v>1.9828026679801765E-3</v>
      </c>
      <c r="M148" t="str">
        <f t="shared" si="4"/>
        <v>PASS</v>
      </c>
      <c r="N148" s="10" t="str">
        <f t="shared" si="5"/>
        <v>NONE</v>
      </c>
    </row>
    <row r="149" spans="1:14">
      <c r="A149" s="4" t="s">
        <v>314</v>
      </c>
      <c r="B149" s="4" t="s">
        <v>315</v>
      </c>
      <c r="C149" s="4" t="s">
        <v>12</v>
      </c>
      <c r="D149" s="4" t="s">
        <v>13</v>
      </c>
      <c r="E149" s="5">
        <v>108.60120000000001</v>
      </c>
      <c r="F149" s="5">
        <v>109.2794</v>
      </c>
      <c r="G149" s="5">
        <v>109.1027</v>
      </c>
      <c r="H149" s="4">
        <v>0</v>
      </c>
      <c r="I149" s="6">
        <v>1176542</v>
      </c>
      <c r="J149" s="7">
        <v>453.61</v>
      </c>
      <c r="K149" s="9">
        <f>(PricingDataTable[[#This Row],[Current Price ($)]]-PricingDataTable[[#This Row],[Prior Price ($)]])/PricingDataTable[[#This Row],[Prior Price ($)]]</f>
        <v>6.2448665392278325E-3</v>
      </c>
      <c r="L149" s="9">
        <f>(PricingDataTable[[#This Row],[Vendor Price ($)]]-PricingDataTable[[#This Row],[Current Price ($)]])/PricingDataTable[[#This Row],[Current Price ($)]]</f>
        <v>-1.6169561692322319E-3</v>
      </c>
      <c r="M149" t="str">
        <f t="shared" si="4"/>
        <v>PASS</v>
      </c>
      <c r="N149" s="10" t="str">
        <f t="shared" si="5"/>
        <v>NONE</v>
      </c>
    </row>
    <row r="150" spans="1:14">
      <c r="A150" s="4" t="s">
        <v>316</v>
      </c>
      <c r="B150" s="4" t="s">
        <v>317</v>
      </c>
      <c r="C150" s="4" t="s">
        <v>39</v>
      </c>
      <c r="D150" s="4" t="s">
        <v>32</v>
      </c>
      <c r="E150" s="5">
        <v>117.0651</v>
      </c>
      <c r="F150" s="5">
        <v>115.3509</v>
      </c>
      <c r="G150" s="5">
        <v>115.05249999999999</v>
      </c>
      <c r="H150" s="4">
        <v>0</v>
      </c>
      <c r="I150" s="6">
        <v>2521784</v>
      </c>
      <c r="J150" s="7">
        <v>247.78</v>
      </c>
      <c r="K150" s="9">
        <f>(PricingDataTable[[#This Row],[Current Price ($)]]-PricingDataTable[[#This Row],[Prior Price ($)]])/PricingDataTable[[#This Row],[Prior Price ($)]]</f>
        <v>-1.4643134461081956E-2</v>
      </c>
      <c r="L150" s="9">
        <f>(PricingDataTable[[#This Row],[Vendor Price ($)]]-PricingDataTable[[#This Row],[Current Price ($)]])/PricingDataTable[[#This Row],[Current Price ($)]]</f>
        <v>-2.586889222364116E-3</v>
      </c>
      <c r="M150" t="str">
        <f t="shared" si="4"/>
        <v>PASS</v>
      </c>
      <c r="N150" s="10" t="str">
        <f t="shared" si="5"/>
        <v>NONE</v>
      </c>
    </row>
    <row r="151" spans="1:14">
      <c r="A151" s="4" t="s">
        <v>318</v>
      </c>
      <c r="B151" s="4" t="s">
        <v>319</v>
      </c>
      <c r="C151" s="4" t="s">
        <v>39</v>
      </c>
      <c r="D151" s="4" t="s">
        <v>36</v>
      </c>
      <c r="E151" s="5">
        <v>222.08969999999999</v>
      </c>
      <c r="F151" s="5">
        <v>219.2921</v>
      </c>
      <c r="G151" s="5">
        <v>219.63200000000001</v>
      </c>
      <c r="H151" s="4">
        <v>1</v>
      </c>
      <c r="I151" s="6">
        <v>3493384</v>
      </c>
      <c r="J151" s="7">
        <v>367.55</v>
      </c>
      <c r="K151" s="9">
        <f>(PricingDataTable[[#This Row],[Current Price ($)]]-PricingDataTable[[#This Row],[Prior Price ($)]])/PricingDataTable[[#This Row],[Prior Price ($)]]</f>
        <v>-1.2596712049230508E-2</v>
      </c>
      <c r="L151" s="9">
        <f>(PricingDataTable[[#This Row],[Vendor Price ($)]]-PricingDataTable[[#This Row],[Current Price ($)]])/PricingDataTable[[#This Row],[Current Price ($)]]</f>
        <v>1.5499874368479305E-3</v>
      </c>
      <c r="M151" t="str">
        <f t="shared" si="4"/>
        <v>PASS</v>
      </c>
      <c r="N151" s="10" t="str">
        <f t="shared" si="5"/>
        <v>NONE</v>
      </c>
    </row>
    <row r="152" spans="1:14">
      <c r="A152" s="4" t="s">
        <v>320</v>
      </c>
      <c r="B152" s="4" t="s">
        <v>321</v>
      </c>
      <c r="C152" s="4" t="s">
        <v>19</v>
      </c>
      <c r="D152" s="4" t="s">
        <v>13</v>
      </c>
      <c r="E152" s="5">
        <v>90.411100000000005</v>
      </c>
      <c r="F152" s="5">
        <v>90.741600000000005</v>
      </c>
      <c r="G152" s="5">
        <v>91.272599999999997</v>
      </c>
      <c r="H152" s="4">
        <v>0</v>
      </c>
      <c r="I152" s="6">
        <v>4446893</v>
      </c>
      <c r="J152" s="7">
        <v>120.86</v>
      </c>
      <c r="K152" s="9">
        <f>(PricingDataTable[[#This Row],[Current Price ($)]]-PricingDataTable[[#This Row],[Prior Price ($)]])/PricingDataTable[[#This Row],[Prior Price ($)]]</f>
        <v>3.6555245981964679E-3</v>
      </c>
      <c r="L152" s="9">
        <f>(PricingDataTable[[#This Row],[Vendor Price ($)]]-PricingDataTable[[#This Row],[Current Price ($)]])/PricingDataTable[[#This Row],[Current Price ($)]]</f>
        <v>5.8517813219073908E-3</v>
      </c>
      <c r="M152" t="str">
        <f t="shared" si="4"/>
        <v>PASS</v>
      </c>
      <c r="N152" s="10" t="str">
        <f t="shared" si="5"/>
        <v>NONE</v>
      </c>
    </row>
    <row r="153" spans="1:14">
      <c r="A153" s="4" t="s">
        <v>322</v>
      </c>
      <c r="B153" s="4" t="s">
        <v>323</v>
      </c>
      <c r="C153" s="4" t="s">
        <v>19</v>
      </c>
      <c r="D153" s="4" t="s">
        <v>13</v>
      </c>
      <c r="E153" s="5">
        <v>323.40129999999999</v>
      </c>
      <c r="F153" s="5">
        <v>324.3811</v>
      </c>
      <c r="G153" s="5">
        <v>324.02980000000002</v>
      </c>
      <c r="H153" s="4">
        <v>0</v>
      </c>
      <c r="I153" s="6">
        <v>611559</v>
      </c>
      <c r="J153" s="7">
        <v>169.51</v>
      </c>
      <c r="K153" s="9">
        <f>(PricingDataTable[[#This Row],[Current Price ($)]]-PricingDataTable[[#This Row],[Prior Price ($)]])/PricingDataTable[[#This Row],[Prior Price ($)]]</f>
        <v>3.0296724224671071E-3</v>
      </c>
      <c r="L153" s="9">
        <f>(PricingDataTable[[#This Row],[Vendor Price ($)]]-PricingDataTable[[#This Row],[Current Price ($)]])/PricingDataTable[[#This Row],[Current Price ($)]]</f>
        <v>-1.0829854143782748E-3</v>
      </c>
      <c r="M153" t="str">
        <f t="shared" si="4"/>
        <v>PASS</v>
      </c>
      <c r="N153" s="10" t="str">
        <f t="shared" si="5"/>
        <v>NONE</v>
      </c>
    </row>
    <row r="154" spans="1:14">
      <c r="A154" s="4" t="s">
        <v>324</v>
      </c>
      <c r="B154" s="4" t="s">
        <v>325</v>
      </c>
      <c r="C154" s="4" t="s">
        <v>19</v>
      </c>
      <c r="D154" s="4" t="s">
        <v>13</v>
      </c>
      <c r="E154" s="5">
        <v>318.20519999999999</v>
      </c>
      <c r="F154" s="5">
        <v>315.46300000000002</v>
      </c>
      <c r="G154" s="5">
        <v>317.42039999999997</v>
      </c>
      <c r="H154" s="4">
        <v>1</v>
      </c>
      <c r="I154" s="6">
        <v>2036019</v>
      </c>
      <c r="J154" s="7">
        <v>626.12</v>
      </c>
      <c r="K154" s="9">
        <f>(PricingDataTable[[#This Row],[Current Price ($)]]-PricingDataTable[[#This Row],[Prior Price ($)]])/PricingDataTable[[#This Row],[Prior Price ($)]]</f>
        <v>-8.6177095785988679E-3</v>
      </c>
      <c r="L154" s="9">
        <f>(PricingDataTable[[#This Row],[Vendor Price ($)]]-PricingDataTable[[#This Row],[Current Price ($)]])/PricingDataTable[[#This Row],[Current Price ($)]]</f>
        <v>6.2048481121397756E-3</v>
      </c>
      <c r="M154" t="str">
        <f t="shared" si="4"/>
        <v>PASS</v>
      </c>
      <c r="N154" s="10" t="str">
        <f t="shared" si="5"/>
        <v>NONE</v>
      </c>
    </row>
    <row r="155" spans="1:14">
      <c r="A155" s="4" t="s">
        <v>326</v>
      </c>
      <c r="B155" s="4" t="s">
        <v>327</v>
      </c>
      <c r="C155" s="4" t="s">
        <v>16</v>
      </c>
      <c r="D155" s="4" t="s">
        <v>13</v>
      </c>
      <c r="E155" s="5">
        <v>91.080799999999996</v>
      </c>
      <c r="F155" s="5">
        <v>90.828199999999995</v>
      </c>
      <c r="G155" s="5">
        <v>91.126900000000006</v>
      </c>
      <c r="H155" s="4">
        <v>0</v>
      </c>
      <c r="I155" s="6">
        <v>3939371</v>
      </c>
      <c r="J155" s="7">
        <v>685.51</v>
      </c>
      <c r="K155" s="9">
        <f>(PricingDataTable[[#This Row],[Current Price ($)]]-PricingDataTable[[#This Row],[Prior Price ($)]])/PricingDataTable[[#This Row],[Prior Price ($)]]</f>
        <v>-2.7733616744692741E-3</v>
      </c>
      <c r="L155" s="9">
        <f>(PricingDataTable[[#This Row],[Vendor Price ($)]]-PricingDataTable[[#This Row],[Current Price ($)]])/PricingDataTable[[#This Row],[Current Price ($)]]</f>
        <v>3.2886262196103288E-3</v>
      </c>
      <c r="M155" t="str">
        <f t="shared" si="4"/>
        <v>PASS</v>
      </c>
      <c r="N155" s="10" t="str">
        <f t="shared" si="5"/>
        <v>NONE</v>
      </c>
    </row>
    <row r="156" spans="1:14">
      <c r="A156" s="4" t="s">
        <v>328</v>
      </c>
      <c r="B156" s="4" t="s">
        <v>329</v>
      </c>
      <c r="C156" s="4" t="s">
        <v>16</v>
      </c>
      <c r="D156" s="4" t="s">
        <v>13</v>
      </c>
      <c r="E156" s="5">
        <v>103.1262</v>
      </c>
      <c r="F156" s="5">
        <v>103.251</v>
      </c>
      <c r="G156" s="5">
        <v>103.4222</v>
      </c>
      <c r="H156" s="4">
        <v>0</v>
      </c>
      <c r="I156" s="6">
        <v>2768110</v>
      </c>
      <c r="J156" s="7">
        <v>207.17</v>
      </c>
      <c r="K156" s="9">
        <f>(PricingDataTable[[#This Row],[Current Price ($)]]-PricingDataTable[[#This Row],[Prior Price ($)]])/PricingDataTable[[#This Row],[Prior Price ($)]]</f>
        <v>1.2101677362300518E-3</v>
      </c>
      <c r="L156" s="9">
        <f>(PricingDataTable[[#This Row],[Vendor Price ($)]]-PricingDataTable[[#This Row],[Current Price ($)]])/PricingDataTable[[#This Row],[Current Price ($)]]</f>
        <v>1.6580953211106809E-3</v>
      </c>
      <c r="M156" t="str">
        <f t="shared" si="4"/>
        <v>PASS</v>
      </c>
      <c r="N156" s="10" t="str">
        <f t="shared" si="5"/>
        <v>NONE</v>
      </c>
    </row>
    <row r="157" spans="1:14">
      <c r="A157" s="4" t="s">
        <v>330</v>
      </c>
      <c r="B157" s="4" t="s">
        <v>331</v>
      </c>
      <c r="C157" s="4" t="s">
        <v>16</v>
      </c>
      <c r="D157" s="4" t="s">
        <v>13</v>
      </c>
      <c r="E157" s="5">
        <v>109.2423</v>
      </c>
      <c r="F157" s="5">
        <v>109.13030000000001</v>
      </c>
      <c r="G157" s="5">
        <v>109.7375</v>
      </c>
      <c r="H157" s="4">
        <v>0</v>
      </c>
      <c r="I157" s="6">
        <v>1420903</v>
      </c>
      <c r="J157" s="7">
        <v>126.13</v>
      </c>
      <c r="K157" s="9">
        <f>(PricingDataTable[[#This Row],[Current Price ($)]]-PricingDataTable[[#This Row],[Prior Price ($)]])/PricingDataTable[[#This Row],[Prior Price ($)]]</f>
        <v>-1.0252438844659511E-3</v>
      </c>
      <c r="L157" s="9">
        <f>(PricingDataTable[[#This Row],[Vendor Price ($)]]-PricingDataTable[[#This Row],[Current Price ($)]])/PricingDataTable[[#This Row],[Current Price ($)]]</f>
        <v>5.5639909356062587E-3</v>
      </c>
      <c r="M157" t="str">
        <f t="shared" si="4"/>
        <v>PASS</v>
      </c>
      <c r="N157" s="10" t="str">
        <f t="shared" si="5"/>
        <v>NONE</v>
      </c>
    </row>
    <row r="158" spans="1:14">
      <c r="A158" s="4" t="s">
        <v>332</v>
      </c>
      <c r="B158" s="4" t="s">
        <v>333</v>
      </c>
      <c r="C158" s="4" t="s">
        <v>19</v>
      </c>
      <c r="D158" s="4" t="s">
        <v>64</v>
      </c>
      <c r="E158" s="5">
        <v>346.69069999999999</v>
      </c>
      <c r="F158" s="5">
        <v>351.57760000000002</v>
      </c>
      <c r="G158" s="5">
        <v>351.2364</v>
      </c>
      <c r="H158" s="4">
        <v>1</v>
      </c>
      <c r="I158" s="6">
        <v>1154362</v>
      </c>
      <c r="J158" s="7">
        <v>758.32</v>
      </c>
      <c r="K158" s="9">
        <f>(PricingDataTable[[#This Row],[Current Price ($)]]-PricingDataTable[[#This Row],[Prior Price ($)]])/PricingDataTable[[#This Row],[Prior Price ($)]]</f>
        <v>1.4095849701189059E-2</v>
      </c>
      <c r="L158" s="9">
        <f>(PricingDataTable[[#This Row],[Vendor Price ($)]]-PricingDataTable[[#This Row],[Current Price ($)]])/PricingDataTable[[#This Row],[Current Price ($)]]</f>
        <v>-9.7048276113158175E-4</v>
      </c>
      <c r="M158" t="str">
        <f t="shared" si="4"/>
        <v>PASS</v>
      </c>
      <c r="N158" s="10" t="str">
        <f t="shared" si="5"/>
        <v>NONE</v>
      </c>
    </row>
    <row r="159" spans="1:14">
      <c r="A159" s="4" t="s">
        <v>334</v>
      </c>
      <c r="B159" s="4" t="s">
        <v>335</v>
      </c>
      <c r="C159" s="4" t="s">
        <v>12</v>
      </c>
      <c r="D159" s="4" t="s">
        <v>13</v>
      </c>
      <c r="E159" s="5">
        <v>100.28660000000001</v>
      </c>
      <c r="F159" s="5">
        <v>99.119799999999998</v>
      </c>
      <c r="G159" s="5">
        <v>99.414699999999996</v>
      </c>
      <c r="H159" s="4">
        <v>0</v>
      </c>
      <c r="I159" s="6">
        <v>4628521</v>
      </c>
      <c r="J159" s="7">
        <v>370.32</v>
      </c>
      <c r="K159" s="9">
        <f>(PricingDataTable[[#This Row],[Current Price ($)]]-PricingDataTable[[#This Row],[Prior Price ($)]])/PricingDataTable[[#This Row],[Prior Price ($)]]</f>
        <v>-1.163465507854498E-2</v>
      </c>
      <c r="L159" s="9">
        <f>(PricingDataTable[[#This Row],[Vendor Price ($)]]-PricingDataTable[[#This Row],[Current Price ($)]])/PricingDataTable[[#This Row],[Current Price ($)]]</f>
        <v>2.9751876012663304E-3</v>
      </c>
      <c r="M159" t="str">
        <f t="shared" si="4"/>
        <v>PASS</v>
      </c>
      <c r="N159" s="10" t="str">
        <f t="shared" si="5"/>
        <v>NONE</v>
      </c>
    </row>
    <row r="160" spans="1:14">
      <c r="A160" s="4" t="s">
        <v>336</v>
      </c>
      <c r="B160" s="4" t="s">
        <v>337</v>
      </c>
      <c r="C160" s="4" t="s">
        <v>12</v>
      </c>
      <c r="D160" s="4" t="s">
        <v>13</v>
      </c>
      <c r="E160" s="5">
        <v>89.334400000000002</v>
      </c>
      <c r="F160" s="5">
        <v>87.676000000000002</v>
      </c>
      <c r="G160" s="5">
        <v>87.670299999999997</v>
      </c>
      <c r="H160" s="4">
        <v>0</v>
      </c>
      <c r="I160" s="6">
        <v>2022393</v>
      </c>
      <c r="J160" s="7">
        <v>172.9</v>
      </c>
      <c r="K160" s="9">
        <f>(PricingDataTable[[#This Row],[Current Price ($)]]-PricingDataTable[[#This Row],[Prior Price ($)]])/PricingDataTable[[#This Row],[Prior Price ($)]]</f>
        <v>-1.8563957445284239E-2</v>
      </c>
      <c r="L160" s="9">
        <f>(PricingDataTable[[#This Row],[Vendor Price ($)]]-PricingDataTable[[#This Row],[Current Price ($)]])/PricingDataTable[[#This Row],[Current Price ($)]]</f>
        <v>-6.5012089967659103E-5</v>
      </c>
      <c r="M160" t="str">
        <f t="shared" si="4"/>
        <v>PASS</v>
      </c>
      <c r="N160" s="10" t="str">
        <f t="shared" si="5"/>
        <v>NONE</v>
      </c>
    </row>
    <row r="161" spans="1:14">
      <c r="A161" s="4" t="s">
        <v>338</v>
      </c>
      <c r="B161" s="4" t="s">
        <v>339</v>
      </c>
      <c r="C161" s="4" t="s">
        <v>39</v>
      </c>
      <c r="D161" s="4" t="s">
        <v>13</v>
      </c>
      <c r="E161" s="5">
        <v>143.73859999999999</v>
      </c>
      <c r="F161" s="5">
        <v>142.50899999999999</v>
      </c>
      <c r="G161" s="5">
        <v>142.82130000000001</v>
      </c>
      <c r="H161" s="4">
        <v>0</v>
      </c>
      <c r="I161" s="6">
        <v>266788</v>
      </c>
      <c r="J161" s="7">
        <v>84.33</v>
      </c>
      <c r="K161" s="9">
        <f>(PricingDataTable[[#This Row],[Current Price ($)]]-PricingDataTable[[#This Row],[Prior Price ($)]])/PricingDataTable[[#This Row],[Prior Price ($)]]</f>
        <v>-8.5544175329382993E-3</v>
      </c>
      <c r="L161" s="9">
        <f>(PricingDataTable[[#This Row],[Vendor Price ($)]]-PricingDataTable[[#This Row],[Current Price ($)]])/PricingDataTable[[#This Row],[Current Price ($)]]</f>
        <v>2.1914405405975891E-3</v>
      </c>
      <c r="M161" t="str">
        <f t="shared" si="4"/>
        <v>PASS</v>
      </c>
      <c r="N161" s="10" t="str">
        <f t="shared" si="5"/>
        <v>NONE</v>
      </c>
    </row>
    <row r="162" spans="1:14">
      <c r="A162" s="4" t="s">
        <v>340</v>
      </c>
      <c r="B162" s="4" t="s">
        <v>341</v>
      </c>
      <c r="C162" s="4" t="s">
        <v>16</v>
      </c>
      <c r="D162" s="4" t="s">
        <v>13</v>
      </c>
      <c r="E162" s="5">
        <v>75.472499999999997</v>
      </c>
      <c r="F162" s="5">
        <v>75.977999999999994</v>
      </c>
      <c r="G162" s="5">
        <v>76.214200000000005</v>
      </c>
      <c r="H162" s="4">
        <v>0</v>
      </c>
      <c r="I162" s="6">
        <v>4431520</v>
      </c>
      <c r="J162" s="7">
        <v>827.25</v>
      </c>
      <c r="K162" s="9">
        <f>(PricingDataTable[[#This Row],[Current Price ($)]]-PricingDataTable[[#This Row],[Prior Price ($)]])/PricingDataTable[[#This Row],[Prior Price ($)]]</f>
        <v>6.6978038358342156E-3</v>
      </c>
      <c r="L162" s="9">
        <f>(PricingDataTable[[#This Row],[Vendor Price ($)]]-PricingDataTable[[#This Row],[Current Price ($)]])/PricingDataTable[[#This Row],[Current Price ($)]]</f>
        <v>3.1087946510833511E-3</v>
      </c>
      <c r="M162" t="str">
        <f t="shared" si="4"/>
        <v>PASS</v>
      </c>
      <c r="N162" s="10" t="str">
        <f t="shared" si="5"/>
        <v>NONE</v>
      </c>
    </row>
    <row r="163" spans="1:14">
      <c r="A163" s="4" t="s">
        <v>342</v>
      </c>
      <c r="B163" s="4" t="s">
        <v>343</v>
      </c>
      <c r="C163" s="4" t="s">
        <v>35</v>
      </c>
      <c r="D163" s="4" t="s">
        <v>13</v>
      </c>
      <c r="E163" s="5">
        <v>102.88760000000001</v>
      </c>
      <c r="F163" s="5">
        <v>102.517</v>
      </c>
      <c r="G163" s="5">
        <v>103.2094</v>
      </c>
      <c r="H163" s="4">
        <v>0</v>
      </c>
      <c r="I163" s="6">
        <v>2639088</v>
      </c>
      <c r="J163" s="7">
        <v>14.29</v>
      </c>
      <c r="K163" s="9">
        <f>(PricingDataTable[[#This Row],[Current Price ($)]]-PricingDataTable[[#This Row],[Prior Price ($)]])/PricingDataTable[[#This Row],[Prior Price ($)]]</f>
        <v>-3.6019889666005448E-3</v>
      </c>
      <c r="L163" s="9">
        <f>(PricingDataTable[[#This Row],[Vendor Price ($)]]-PricingDataTable[[#This Row],[Current Price ($)]])/PricingDataTable[[#This Row],[Current Price ($)]]</f>
        <v>6.7540017753153761E-3</v>
      </c>
      <c r="M163" t="str">
        <f t="shared" si="4"/>
        <v>PASS</v>
      </c>
      <c r="N163" s="10" t="str">
        <f t="shared" si="5"/>
        <v>NONE</v>
      </c>
    </row>
    <row r="164" spans="1:14">
      <c r="A164" s="4" t="s">
        <v>344</v>
      </c>
      <c r="B164" s="4" t="s">
        <v>345</v>
      </c>
      <c r="C164" s="4" t="s">
        <v>19</v>
      </c>
      <c r="D164" s="4" t="s">
        <v>64</v>
      </c>
      <c r="E164" s="5">
        <v>288.74860000000001</v>
      </c>
      <c r="F164" s="5">
        <v>291.38389999999998</v>
      </c>
      <c r="G164" s="5">
        <v>291.06529999999998</v>
      </c>
      <c r="H164" s="4">
        <v>2</v>
      </c>
      <c r="I164" s="6">
        <v>3220935</v>
      </c>
      <c r="J164" s="7">
        <v>680.1</v>
      </c>
      <c r="K164" s="9">
        <f>(PricingDataTable[[#This Row],[Current Price ($)]]-PricingDataTable[[#This Row],[Prior Price ($)]])/PricingDataTable[[#This Row],[Prior Price ($)]]</f>
        <v>9.1266243368798051E-3</v>
      </c>
      <c r="L164" s="9">
        <f>(PricingDataTable[[#This Row],[Vendor Price ($)]]-PricingDataTable[[#This Row],[Current Price ($)]])/PricingDataTable[[#This Row],[Current Price ($)]]</f>
        <v>-1.0934028956301415E-3</v>
      </c>
      <c r="M164" t="str">
        <f t="shared" si="4"/>
        <v>PASS</v>
      </c>
      <c r="N164" s="10" t="str">
        <f t="shared" si="5"/>
        <v>NONE</v>
      </c>
    </row>
    <row r="165" spans="1:14">
      <c r="A165" s="4" t="s">
        <v>346</v>
      </c>
      <c r="B165" s="4" t="s">
        <v>347</v>
      </c>
      <c r="C165" s="4" t="s">
        <v>16</v>
      </c>
      <c r="D165" s="4" t="s">
        <v>237</v>
      </c>
      <c r="E165" s="5">
        <v>77.684799999999996</v>
      </c>
      <c r="F165" s="5">
        <v>76.041499999999999</v>
      </c>
      <c r="G165" s="5">
        <v>76.209299999999999</v>
      </c>
      <c r="H165" s="4">
        <v>4</v>
      </c>
      <c r="I165" s="6">
        <v>249518</v>
      </c>
      <c r="J165" s="7">
        <v>570.78</v>
      </c>
      <c r="K165" s="9">
        <f>(PricingDataTable[[#This Row],[Current Price ($)]]-PricingDataTable[[#This Row],[Prior Price ($)]])/PricingDataTable[[#This Row],[Prior Price ($)]]</f>
        <v>-2.1153430272073771E-2</v>
      </c>
      <c r="L165" s="9">
        <f>(PricingDataTable[[#This Row],[Vendor Price ($)]]-PricingDataTable[[#This Row],[Current Price ($)]])/PricingDataTable[[#This Row],[Current Price ($)]]</f>
        <v>2.2066897680871594E-3</v>
      </c>
      <c r="M165" t="str">
        <f t="shared" si="4"/>
        <v>STALE</v>
      </c>
      <c r="N165" s="10" t="str">
        <f t="shared" si="5"/>
        <v>LOW</v>
      </c>
    </row>
    <row r="166" spans="1:14">
      <c r="A166" s="4" t="s">
        <v>348</v>
      </c>
      <c r="B166" s="4" t="s">
        <v>349</v>
      </c>
      <c r="C166" s="4" t="s">
        <v>19</v>
      </c>
      <c r="D166" s="4" t="s">
        <v>13</v>
      </c>
      <c r="E166" s="5">
        <v>136.39599999999999</v>
      </c>
      <c r="F166" s="5">
        <v>137.2499</v>
      </c>
      <c r="G166" s="5">
        <v>137.7527</v>
      </c>
      <c r="H166" s="4">
        <v>0</v>
      </c>
      <c r="I166" s="6">
        <v>2248912</v>
      </c>
      <c r="J166" s="7">
        <v>138.97</v>
      </c>
      <c r="K166" s="9">
        <f>(PricingDataTable[[#This Row],[Current Price ($)]]-PricingDataTable[[#This Row],[Prior Price ($)]])/PricingDataTable[[#This Row],[Prior Price ($)]]</f>
        <v>6.2604475204552203E-3</v>
      </c>
      <c r="L166" s="9">
        <f>(PricingDataTable[[#This Row],[Vendor Price ($)]]-PricingDataTable[[#This Row],[Current Price ($)]])/PricingDataTable[[#This Row],[Current Price ($)]]</f>
        <v>3.6633906472792162E-3</v>
      </c>
      <c r="M166" t="str">
        <f t="shared" si="4"/>
        <v>PASS</v>
      </c>
      <c r="N166" s="10" t="str">
        <f t="shared" si="5"/>
        <v>NONE</v>
      </c>
    </row>
    <row r="167" spans="1:14">
      <c r="A167" s="4" t="s">
        <v>350</v>
      </c>
      <c r="B167" s="4" t="s">
        <v>351</v>
      </c>
      <c r="C167" s="4" t="s">
        <v>39</v>
      </c>
      <c r="D167" s="4" t="s">
        <v>13</v>
      </c>
      <c r="E167" s="5">
        <v>44.440399999999997</v>
      </c>
      <c r="F167" s="5">
        <v>44.898000000000003</v>
      </c>
      <c r="G167" s="5">
        <v>44.901800000000001</v>
      </c>
      <c r="H167" s="4">
        <v>0</v>
      </c>
      <c r="I167" s="6">
        <v>4654496</v>
      </c>
      <c r="J167" s="7">
        <v>461.29</v>
      </c>
      <c r="K167" s="9">
        <f>(PricingDataTable[[#This Row],[Current Price ($)]]-PricingDataTable[[#This Row],[Prior Price ($)]])/PricingDataTable[[#This Row],[Prior Price ($)]]</f>
        <v>1.0296937021269081E-2</v>
      </c>
      <c r="L167" s="9">
        <f>(PricingDataTable[[#This Row],[Vendor Price ($)]]-PricingDataTable[[#This Row],[Current Price ($)]])/PricingDataTable[[#This Row],[Current Price ($)]]</f>
        <v>8.4636286694245825E-5</v>
      </c>
      <c r="M167" t="str">
        <f t="shared" si="4"/>
        <v>PASS</v>
      </c>
      <c r="N167" s="10" t="str">
        <f t="shared" si="5"/>
        <v>NONE</v>
      </c>
    </row>
    <row r="168" spans="1:14">
      <c r="A168" s="4" t="s">
        <v>352</v>
      </c>
      <c r="B168" s="4" t="s">
        <v>353</v>
      </c>
      <c r="C168" s="4" t="s">
        <v>19</v>
      </c>
      <c r="D168" s="4" t="s">
        <v>13</v>
      </c>
      <c r="E168" s="5">
        <v>212.1482</v>
      </c>
      <c r="F168" s="5">
        <v>237.8329</v>
      </c>
      <c r="G168" s="5">
        <v>236.44159999999999</v>
      </c>
      <c r="H168" s="4">
        <v>2</v>
      </c>
      <c r="I168" s="6">
        <v>4798951</v>
      </c>
      <c r="J168" s="7">
        <v>469.09</v>
      </c>
      <c r="K168" s="9">
        <f>(PricingDataTable[[#This Row],[Current Price ($)]]-PricingDataTable[[#This Row],[Prior Price ($)]])/PricingDataTable[[#This Row],[Prior Price ($)]]</f>
        <v>0.1210696107720923</v>
      </c>
      <c r="L168" s="9">
        <f>(PricingDataTable[[#This Row],[Vendor Price ($)]]-PricingDataTable[[#This Row],[Current Price ($)]])/PricingDataTable[[#This Row],[Current Price ($)]]</f>
        <v>-5.8499055429253105E-3</v>
      </c>
      <c r="M168" t="str">
        <f t="shared" si="4"/>
        <v>LARGE MOVE</v>
      </c>
      <c r="N168" s="10" t="str">
        <f t="shared" si="5"/>
        <v>HIGH</v>
      </c>
    </row>
    <row r="169" spans="1:14">
      <c r="A169" s="4" t="s">
        <v>354</v>
      </c>
      <c r="B169" s="4" t="s">
        <v>355</v>
      </c>
      <c r="C169" s="4" t="s">
        <v>19</v>
      </c>
      <c r="D169" s="4" t="s">
        <v>13</v>
      </c>
      <c r="E169" s="5">
        <v>99.795100000000005</v>
      </c>
      <c r="F169" s="5">
        <v>100.2358</v>
      </c>
      <c r="G169" s="5">
        <v>100.3802</v>
      </c>
      <c r="H169" s="4">
        <v>1</v>
      </c>
      <c r="I169" s="6">
        <v>4160092</v>
      </c>
      <c r="J169" s="7">
        <v>534.51</v>
      </c>
      <c r="K169" s="9">
        <f>(PricingDataTable[[#This Row],[Current Price ($)]]-PricingDataTable[[#This Row],[Prior Price ($)]])/PricingDataTable[[#This Row],[Prior Price ($)]]</f>
        <v>4.4160484833422938E-3</v>
      </c>
      <c r="L169" s="9">
        <f>(PricingDataTable[[#This Row],[Vendor Price ($)]]-PricingDataTable[[#This Row],[Current Price ($)]])/PricingDataTable[[#This Row],[Current Price ($)]]</f>
        <v>1.4406030579893064E-3</v>
      </c>
      <c r="M169" t="str">
        <f t="shared" si="4"/>
        <v>PASS</v>
      </c>
      <c r="N169" s="10" t="str">
        <f t="shared" si="5"/>
        <v>NONE</v>
      </c>
    </row>
    <row r="170" spans="1:14">
      <c r="A170" s="4" t="s">
        <v>356</v>
      </c>
      <c r="B170" s="4" t="s">
        <v>357</v>
      </c>
      <c r="C170" s="4" t="s">
        <v>19</v>
      </c>
      <c r="D170" s="4" t="s">
        <v>13</v>
      </c>
      <c r="E170" s="5">
        <v>332.49759999999998</v>
      </c>
      <c r="F170" s="5">
        <v>329.75549999999998</v>
      </c>
      <c r="G170" s="5">
        <v>330.95240000000001</v>
      </c>
      <c r="H170" s="4">
        <v>0</v>
      </c>
      <c r="I170" s="6">
        <v>4987129</v>
      </c>
      <c r="J170" s="7">
        <v>122.68</v>
      </c>
      <c r="K170" s="9">
        <f>(PricingDataTable[[#This Row],[Current Price ($)]]-PricingDataTable[[#This Row],[Prior Price ($)]])/PricingDataTable[[#This Row],[Prior Price ($)]]</f>
        <v>-8.2469768202837971E-3</v>
      </c>
      <c r="L170" s="9">
        <f>(PricingDataTable[[#This Row],[Vendor Price ($)]]-PricingDataTable[[#This Row],[Current Price ($)]])/PricingDataTable[[#This Row],[Current Price ($)]]</f>
        <v>3.629658944278497E-3</v>
      </c>
      <c r="M170" t="str">
        <f t="shared" si="4"/>
        <v>PASS</v>
      </c>
      <c r="N170" s="10" t="str">
        <f t="shared" si="5"/>
        <v>NONE</v>
      </c>
    </row>
    <row r="171" spans="1:14">
      <c r="A171" s="4" t="s">
        <v>358</v>
      </c>
      <c r="B171" s="4" t="s">
        <v>359</v>
      </c>
      <c r="C171" s="4" t="s">
        <v>35</v>
      </c>
      <c r="D171" s="4" t="s">
        <v>13</v>
      </c>
      <c r="E171" s="5">
        <v>57.924599999999998</v>
      </c>
      <c r="F171" s="5">
        <v>59.709299999999999</v>
      </c>
      <c r="G171" s="5">
        <v>59.605200000000004</v>
      </c>
      <c r="H171" s="4">
        <v>0</v>
      </c>
      <c r="I171" s="6">
        <v>3155580</v>
      </c>
      <c r="J171" s="7">
        <v>252.41</v>
      </c>
      <c r="K171" s="9">
        <f>(PricingDataTable[[#This Row],[Current Price ($)]]-PricingDataTable[[#This Row],[Prior Price ($)]])/PricingDataTable[[#This Row],[Prior Price ($)]]</f>
        <v>3.0810743621880875E-2</v>
      </c>
      <c r="L171" s="9">
        <f>(PricingDataTable[[#This Row],[Vendor Price ($)]]-PricingDataTable[[#This Row],[Current Price ($)]])/PricingDataTable[[#This Row],[Current Price ($)]]</f>
        <v>-1.7434470007184043E-3</v>
      </c>
      <c r="M171" t="str">
        <f t="shared" si="4"/>
        <v>PASS</v>
      </c>
      <c r="N171" s="10" t="str">
        <f t="shared" si="5"/>
        <v>NONE</v>
      </c>
    </row>
    <row r="172" spans="1:14">
      <c r="A172" s="4" t="s">
        <v>360</v>
      </c>
      <c r="B172" s="4" t="s">
        <v>361</v>
      </c>
      <c r="C172" s="4" t="s">
        <v>19</v>
      </c>
      <c r="D172" s="4" t="s">
        <v>13</v>
      </c>
      <c r="E172" s="5">
        <v>210.54159999999999</v>
      </c>
      <c r="F172" s="5">
        <v>206.87469999999999</v>
      </c>
      <c r="G172" s="5">
        <v>206.60919999999999</v>
      </c>
      <c r="H172" s="4">
        <v>0</v>
      </c>
      <c r="I172" s="6">
        <v>2444863</v>
      </c>
      <c r="J172" s="7">
        <v>748.19</v>
      </c>
      <c r="K172" s="9">
        <f>(PricingDataTable[[#This Row],[Current Price ($)]]-PricingDataTable[[#This Row],[Prior Price ($)]])/PricingDataTable[[#This Row],[Prior Price ($)]]</f>
        <v>-1.741651056133324E-2</v>
      </c>
      <c r="L172" s="9">
        <f>(PricingDataTable[[#This Row],[Vendor Price ($)]]-PricingDataTable[[#This Row],[Current Price ($)]])/PricingDataTable[[#This Row],[Current Price ($)]]</f>
        <v>-1.2833855469035265E-3</v>
      </c>
      <c r="M172" t="str">
        <f t="shared" si="4"/>
        <v>PASS</v>
      </c>
      <c r="N172" s="10" t="str">
        <f t="shared" si="5"/>
        <v>NONE</v>
      </c>
    </row>
    <row r="173" spans="1:14">
      <c r="A173" s="4" t="s">
        <v>362</v>
      </c>
      <c r="B173" s="4" t="s">
        <v>363</v>
      </c>
      <c r="C173" s="4" t="s">
        <v>12</v>
      </c>
      <c r="D173" s="4" t="s">
        <v>13</v>
      </c>
      <c r="E173" s="5">
        <v>90.141599999999997</v>
      </c>
      <c r="F173" s="5">
        <v>90.131100000000004</v>
      </c>
      <c r="G173" s="5">
        <v>90.287499999999994</v>
      </c>
      <c r="H173" s="4">
        <v>0</v>
      </c>
      <c r="I173" s="6">
        <v>4483598</v>
      </c>
      <c r="J173" s="7">
        <v>456.05</v>
      </c>
      <c r="K173" s="9">
        <f>(PricingDataTable[[#This Row],[Current Price ($)]]-PricingDataTable[[#This Row],[Prior Price ($)]])/PricingDataTable[[#This Row],[Prior Price ($)]]</f>
        <v>-1.1648339945145519E-4</v>
      </c>
      <c r="L173" s="9">
        <f>(PricingDataTable[[#This Row],[Vendor Price ($)]]-PricingDataTable[[#This Row],[Current Price ($)]])/PricingDataTable[[#This Row],[Current Price ($)]]</f>
        <v>1.7352500968033317E-3</v>
      </c>
      <c r="M173" t="str">
        <f t="shared" si="4"/>
        <v>PASS</v>
      </c>
      <c r="N173" s="10" t="str">
        <f t="shared" si="5"/>
        <v>NONE</v>
      </c>
    </row>
    <row r="174" spans="1:14">
      <c r="A174" s="4" t="s">
        <v>364</v>
      </c>
      <c r="B174" s="4" t="s">
        <v>365</v>
      </c>
      <c r="C174" s="4" t="s">
        <v>16</v>
      </c>
      <c r="D174" s="4" t="s">
        <v>32</v>
      </c>
      <c r="E174" s="5">
        <v>92.976500000000001</v>
      </c>
      <c r="F174" s="5">
        <v>94.072999999999993</v>
      </c>
      <c r="G174" s="5">
        <v>93.859300000000005</v>
      </c>
      <c r="H174" s="4">
        <v>1</v>
      </c>
      <c r="I174" s="6">
        <v>372587</v>
      </c>
      <c r="J174" s="7">
        <v>506.99</v>
      </c>
      <c r="K174" s="9">
        <f>(PricingDataTable[[#This Row],[Current Price ($)]]-PricingDataTable[[#This Row],[Prior Price ($)]])/PricingDataTable[[#This Row],[Prior Price ($)]]</f>
        <v>1.1793302608723622E-2</v>
      </c>
      <c r="L174" s="9">
        <f>(PricingDataTable[[#This Row],[Vendor Price ($)]]-PricingDataTable[[#This Row],[Current Price ($)]])/PricingDataTable[[#This Row],[Current Price ($)]]</f>
        <v>-2.271640109276718E-3</v>
      </c>
      <c r="M174" t="str">
        <f t="shared" si="4"/>
        <v>PASS</v>
      </c>
      <c r="N174" s="10" t="str">
        <f t="shared" si="5"/>
        <v>NONE</v>
      </c>
    </row>
    <row r="175" spans="1:14">
      <c r="A175" s="4" t="s">
        <v>366</v>
      </c>
      <c r="B175" s="4" t="s">
        <v>367</v>
      </c>
      <c r="C175" s="4" t="s">
        <v>35</v>
      </c>
      <c r="D175" s="4" t="s">
        <v>13</v>
      </c>
      <c r="E175" s="5">
        <v>143.72909999999999</v>
      </c>
      <c r="F175" s="5">
        <v>144.34719999999999</v>
      </c>
      <c r="G175" s="5">
        <v>144.4691</v>
      </c>
      <c r="H175" s="4">
        <v>0</v>
      </c>
      <c r="I175" s="6">
        <v>3139342</v>
      </c>
      <c r="J175" s="7">
        <v>352.14</v>
      </c>
      <c r="K175" s="9">
        <f>(PricingDataTable[[#This Row],[Current Price ($)]]-PricingDataTable[[#This Row],[Prior Price ($)]])/PricingDataTable[[#This Row],[Prior Price ($)]]</f>
        <v>4.300451335185417E-3</v>
      </c>
      <c r="L175" s="9">
        <f>(PricingDataTable[[#This Row],[Vendor Price ($)]]-PricingDataTable[[#This Row],[Current Price ($)]])/PricingDataTable[[#This Row],[Current Price ($)]]</f>
        <v>8.4449161466249977E-4</v>
      </c>
      <c r="M175" t="str">
        <f t="shared" si="4"/>
        <v>PASS</v>
      </c>
      <c r="N175" s="10" t="str">
        <f t="shared" si="5"/>
        <v>NONE</v>
      </c>
    </row>
    <row r="176" spans="1:14">
      <c r="A176" s="4" t="s">
        <v>368</v>
      </c>
      <c r="B176" s="4" t="s">
        <v>369</v>
      </c>
      <c r="C176" s="4" t="s">
        <v>12</v>
      </c>
      <c r="D176" s="4" t="s">
        <v>13</v>
      </c>
      <c r="E176" s="5">
        <v>124.88509999999999</v>
      </c>
      <c r="F176" s="5">
        <v>123.6383</v>
      </c>
      <c r="G176" s="5">
        <v>123.67189999999999</v>
      </c>
      <c r="H176" s="4">
        <v>1</v>
      </c>
      <c r="I176" s="6">
        <v>2878851</v>
      </c>
      <c r="J176" s="7">
        <v>409.91</v>
      </c>
      <c r="K176" s="9">
        <f>(PricingDataTable[[#This Row],[Current Price ($)]]-PricingDataTable[[#This Row],[Prior Price ($)]])/PricingDataTable[[#This Row],[Prior Price ($)]]</f>
        <v>-9.983576903890002E-3</v>
      </c>
      <c r="L176" s="9">
        <f>(PricingDataTable[[#This Row],[Vendor Price ($)]]-PricingDataTable[[#This Row],[Current Price ($)]])/PricingDataTable[[#This Row],[Current Price ($)]]</f>
        <v>2.7176044963407575E-4</v>
      </c>
      <c r="M176" t="str">
        <f t="shared" si="4"/>
        <v>PASS</v>
      </c>
      <c r="N176" s="10" t="str">
        <f t="shared" si="5"/>
        <v>NONE</v>
      </c>
    </row>
    <row r="177" spans="1:14">
      <c r="A177" s="4" t="s">
        <v>370</v>
      </c>
      <c r="B177" s="4" t="s">
        <v>371</v>
      </c>
      <c r="C177" s="4" t="s">
        <v>16</v>
      </c>
      <c r="D177" s="4" t="s">
        <v>13</v>
      </c>
      <c r="E177" s="5">
        <v>96.908299999999997</v>
      </c>
      <c r="F177" s="5">
        <v>96.573700000000002</v>
      </c>
      <c r="G177" s="5">
        <v>96.3339</v>
      </c>
      <c r="H177" s="4">
        <v>0</v>
      </c>
      <c r="I177" s="6">
        <v>1379702</v>
      </c>
      <c r="J177" s="7">
        <v>836.94</v>
      </c>
      <c r="K177" s="9">
        <f>(PricingDataTable[[#This Row],[Current Price ($)]]-PricingDataTable[[#This Row],[Prior Price ($)]])/PricingDataTable[[#This Row],[Prior Price ($)]]</f>
        <v>-3.4527486293743125E-3</v>
      </c>
      <c r="L177" s="9">
        <f>(PricingDataTable[[#This Row],[Vendor Price ($)]]-PricingDataTable[[#This Row],[Current Price ($)]])/PricingDataTable[[#This Row],[Current Price ($)]]</f>
        <v>-2.4830776909241588E-3</v>
      </c>
      <c r="M177" t="str">
        <f t="shared" si="4"/>
        <v>PASS</v>
      </c>
      <c r="N177" s="10" t="str">
        <f t="shared" si="5"/>
        <v>NONE</v>
      </c>
    </row>
    <row r="178" spans="1:14">
      <c r="A178" s="4" t="s">
        <v>372</v>
      </c>
      <c r="B178" s="4" t="s">
        <v>373</v>
      </c>
      <c r="C178" s="4" t="s">
        <v>16</v>
      </c>
      <c r="D178" s="4" t="s">
        <v>13</v>
      </c>
      <c r="E178" s="5">
        <v>91.549499999999995</v>
      </c>
      <c r="F178" s="5">
        <v>90.454700000000003</v>
      </c>
      <c r="G178" s="5">
        <v>90.589600000000004</v>
      </c>
      <c r="H178" s="4">
        <v>0</v>
      </c>
      <c r="I178" s="6">
        <v>1656277</v>
      </c>
      <c r="J178" s="7">
        <v>404.73</v>
      </c>
      <c r="K178" s="9">
        <f>(PricingDataTable[[#This Row],[Current Price ($)]]-PricingDataTable[[#This Row],[Prior Price ($)]])/PricingDataTable[[#This Row],[Prior Price ($)]]</f>
        <v>-1.1958557938601438E-2</v>
      </c>
      <c r="L178" s="9">
        <f>(PricingDataTable[[#This Row],[Vendor Price ($)]]-PricingDataTable[[#This Row],[Current Price ($)]])/PricingDataTable[[#This Row],[Current Price ($)]]</f>
        <v>1.4913542358772048E-3</v>
      </c>
      <c r="M178" t="str">
        <f t="shared" si="4"/>
        <v>PASS</v>
      </c>
      <c r="N178" s="10" t="str">
        <f t="shared" si="5"/>
        <v>NONE</v>
      </c>
    </row>
    <row r="179" spans="1:14">
      <c r="A179" s="4" t="s">
        <v>374</v>
      </c>
      <c r="B179" s="4" t="s">
        <v>375</v>
      </c>
      <c r="C179" s="4" t="s">
        <v>19</v>
      </c>
      <c r="D179" s="4" t="s">
        <v>13</v>
      </c>
      <c r="E179" s="5">
        <v>103.1939</v>
      </c>
      <c r="F179" s="5">
        <v>102.56140000000001</v>
      </c>
      <c r="G179" s="5">
        <v>102.03579999999999</v>
      </c>
      <c r="H179" s="4">
        <v>0</v>
      </c>
      <c r="I179" s="6">
        <v>956923</v>
      </c>
      <c r="J179" s="7">
        <v>236.27</v>
      </c>
      <c r="K179" s="9">
        <f>(PricingDataTable[[#This Row],[Current Price ($)]]-PricingDataTable[[#This Row],[Prior Price ($)]])/PricingDataTable[[#This Row],[Prior Price ($)]]</f>
        <v>-6.1292382592381253E-3</v>
      </c>
      <c r="L179" s="9">
        <f>(PricingDataTable[[#This Row],[Vendor Price ($)]]-PricingDataTable[[#This Row],[Current Price ($)]])/PricingDataTable[[#This Row],[Current Price ($)]]</f>
        <v>-5.1247350367683298E-3</v>
      </c>
      <c r="M179" t="str">
        <f t="shared" si="4"/>
        <v>PASS</v>
      </c>
      <c r="N179" s="10" t="str">
        <f t="shared" si="5"/>
        <v>NONE</v>
      </c>
    </row>
    <row r="180" spans="1:14">
      <c r="A180" s="4" t="s">
        <v>376</v>
      </c>
      <c r="B180" s="4" t="s">
        <v>377</v>
      </c>
      <c r="C180" s="4" t="s">
        <v>35</v>
      </c>
      <c r="D180" s="4" t="s">
        <v>13</v>
      </c>
      <c r="E180" s="5">
        <v>71.177800000000005</v>
      </c>
      <c r="F180" s="5">
        <v>70.849400000000003</v>
      </c>
      <c r="G180" s="5">
        <v>70.9148</v>
      </c>
      <c r="H180" s="4">
        <v>0</v>
      </c>
      <c r="I180" s="6">
        <v>4951691</v>
      </c>
      <c r="J180" s="7">
        <v>76.459999999999994</v>
      </c>
      <c r="K180" s="9">
        <f>(PricingDataTable[[#This Row],[Current Price ($)]]-PricingDataTable[[#This Row],[Prior Price ($)]])/PricingDataTable[[#This Row],[Prior Price ($)]]</f>
        <v>-4.6137981224483194E-3</v>
      </c>
      <c r="L180" s="9">
        <f>(PricingDataTable[[#This Row],[Vendor Price ($)]]-PricingDataTable[[#This Row],[Current Price ($)]])/PricingDataTable[[#This Row],[Current Price ($)]]</f>
        <v>9.2308474030827065E-4</v>
      </c>
      <c r="M180" t="str">
        <f t="shared" si="4"/>
        <v>PASS</v>
      </c>
      <c r="N180" s="10" t="str">
        <f t="shared" si="5"/>
        <v>NONE</v>
      </c>
    </row>
    <row r="181" spans="1:14">
      <c r="A181" s="4" t="s">
        <v>378</v>
      </c>
      <c r="B181" s="4" t="s">
        <v>379</v>
      </c>
      <c r="C181" s="4" t="s">
        <v>19</v>
      </c>
      <c r="D181" s="4" t="s">
        <v>13</v>
      </c>
      <c r="E181" s="5">
        <v>70.601200000000006</v>
      </c>
      <c r="F181" s="5">
        <v>70.248699999999999</v>
      </c>
      <c r="G181" s="5">
        <v>70.0124</v>
      </c>
      <c r="H181" s="4">
        <v>0</v>
      </c>
      <c r="I181" s="6">
        <v>1454198</v>
      </c>
      <c r="J181" s="7">
        <v>499.51</v>
      </c>
      <c r="K181" s="9">
        <f>(PricingDataTable[[#This Row],[Current Price ($)]]-PricingDataTable[[#This Row],[Prior Price ($)]])/PricingDataTable[[#This Row],[Prior Price ($)]]</f>
        <v>-4.9928329830088757E-3</v>
      </c>
      <c r="L181" s="9">
        <f>(PricingDataTable[[#This Row],[Vendor Price ($)]]-PricingDataTable[[#This Row],[Current Price ($)]])/PricingDataTable[[#This Row],[Current Price ($)]]</f>
        <v>-3.3637633151930206E-3</v>
      </c>
      <c r="M181" t="str">
        <f t="shared" si="4"/>
        <v>PASS</v>
      </c>
      <c r="N181" s="10" t="str">
        <f t="shared" si="5"/>
        <v>NONE</v>
      </c>
    </row>
    <row r="182" spans="1:14">
      <c r="A182" s="4" t="s">
        <v>380</v>
      </c>
      <c r="B182" s="4" t="s">
        <v>381</v>
      </c>
      <c r="C182" s="4" t="s">
        <v>19</v>
      </c>
      <c r="D182" s="4" t="s">
        <v>13</v>
      </c>
      <c r="E182" s="5">
        <v>162.2423</v>
      </c>
      <c r="F182" s="5">
        <v>150.48140000000001</v>
      </c>
      <c r="G182" s="5">
        <v>150.62209999999999</v>
      </c>
      <c r="H182" s="4">
        <v>0</v>
      </c>
      <c r="I182" s="6">
        <v>4125895</v>
      </c>
      <c r="J182" s="7">
        <v>374.18</v>
      </c>
      <c r="K182" s="9">
        <f>(PricingDataTable[[#This Row],[Current Price ($)]]-PricingDataTable[[#This Row],[Prior Price ($)]])/PricingDataTable[[#This Row],[Prior Price ($)]]</f>
        <v>-7.2489726785184824E-2</v>
      </c>
      <c r="L182" s="9">
        <f>(PricingDataTable[[#This Row],[Vendor Price ($)]]-PricingDataTable[[#This Row],[Current Price ($)]])/PricingDataTable[[#This Row],[Current Price ($)]]</f>
        <v>9.3499927565786312E-4</v>
      </c>
      <c r="M182" t="str">
        <f t="shared" si="4"/>
        <v>LARGE MOVE</v>
      </c>
      <c r="N182" s="10" t="str">
        <f t="shared" si="5"/>
        <v>MEDIUM</v>
      </c>
    </row>
    <row r="183" spans="1:14">
      <c r="A183" s="4" t="s">
        <v>382</v>
      </c>
      <c r="B183" s="4" t="s">
        <v>383</v>
      </c>
      <c r="C183" s="4" t="s">
        <v>19</v>
      </c>
      <c r="D183" s="4" t="s">
        <v>13</v>
      </c>
      <c r="E183" s="5">
        <v>280.19130000000001</v>
      </c>
      <c r="F183" s="5">
        <v>280.35090000000002</v>
      </c>
      <c r="G183" s="5">
        <v>280.56400000000002</v>
      </c>
      <c r="H183" s="4">
        <v>1</v>
      </c>
      <c r="I183" s="6">
        <v>4155989</v>
      </c>
      <c r="J183" s="7">
        <v>494.84</v>
      </c>
      <c r="K183" s="9">
        <f>(PricingDataTable[[#This Row],[Current Price ($)]]-PricingDataTable[[#This Row],[Prior Price ($)]])/PricingDataTable[[#This Row],[Prior Price ($)]]</f>
        <v>5.6961083374113236E-4</v>
      </c>
      <c r="L183" s="9">
        <f>(PricingDataTable[[#This Row],[Vendor Price ($)]]-PricingDataTable[[#This Row],[Current Price ($)]])/PricingDataTable[[#This Row],[Current Price ($)]]</f>
        <v>7.6011883678631727E-4</v>
      </c>
      <c r="M183" t="str">
        <f t="shared" si="4"/>
        <v>PASS</v>
      </c>
      <c r="N183" s="10" t="str">
        <f t="shared" si="5"/>
        <v>NONE</v>
      </c>
    </row>
    <row r="184" spans="1:14">
      <c r="A184" s="4" t="s">
        <v>384</v>
      </c>
      <c r="B184" s="4" t="s">
        <v>385</v>
      </c>
      <c r="C184" s="4" t="s">
        <v>19</v>
      </c>
      <c r="D184" s="4" t="s">
        <v>32</v>
      </c>
      <c r="E184" s="5">
        <v>289.56270000000001</v>
      </c>
      <c r="F184" s="5">
        <v>285.23270000000002</v>
      </c>
      <c r="G184" s="5">
        <v>286.41410000000002</v>
      </c>
      <c r="H184" s="4">
        <v>0</v>
      </c>
      <c r="I184" s="6">
        <v>2077445</v>
      </c>
      <c r="J184" s="7">
        <v>268.08</v>
      </c>
      <c r="K184" s="9">
        <f>(PricingDataTable[[#This Row],[Current Price ($)]]-PricingDataTable[[#This Row],[Prior Price ($)]])/PricingDataTable[[#This Row],[Prior Price ($)]]</f>
        <v>-1.4953583455327582E-2</v>
      </c>
      <c r="L184" s="9">
        <f>(PricingDataTable[[#This Row],[Vendor Price ($)]]-PricingDataTable[[#This Row],[Current Price ($)]])/PricingDataTable[[#This Row],[Current Price ($)]]</f>
        <v>4.1418813481062878E-3</v>
      </c>
      <c r="M184" t="str">
        <f t="shared" si="4"/>
        <v>PASS</v>
      </c>
      <c r="N184" s="10" t="str">
        <f t="shared" si="5"/>
        <v>NONE</v>
      </c>
    </row>
    <row r="185" spans="1:14">
      <c r="A185" s="4" t="s">
        <v>386</v>
      </c>
      <c r="B185" s="4" t="s">
        <v>387</v>
      </c>
      <c r="C185" s="4" t="s">
        <v>19</v>
      </c>
      <c r="D185" s="4" t="s">
        <v>64</v>
      </c>
      <c r="E185" s="5">
        <v>37.748199999999997</v>
      </c>
      <c r="F185" s="5">
        <v>37.898200000000003</v>
      </c>
      <c r="G185" s="5">
        <v>37.855600000000003</v>
      </c>
      <c r="H185" s="4">
        <v>1</v>
      </c>
      <c r="I185" s="6">
        <v>3592725</v>
      </c>
      <c r="J185" s="7">
        <v>149.55000000000001</v>
      </c>
      <c r="K185" s="9">
        <f>(PricingDataTable[[#This Row],[Current Price ($)]]-PricingDataTable[[#This Row],[Prior Price ($)]])/PricingDataTable[[#This Row],[Prior Price ($)]]</f>
        <v>3.973699408183852E-3</v>
      </c>
      <c r="L185" s="9">
        <f>(PricingDataTable[[#This Row],[Vendor Price ($)]]-PricingDataTable[[#This Row],[Current Price ($)]])/PricingDataTable[[#This Row],[Current Price ($)]]</f>
        <v>-1.1240639397121813E-3</v>
      </c>
      <c r="M185" t="str">
        <f t="shared" si="4"/>
        <v>PASS</v>
      </c>
      <c r="N185" s="10" t="str">
        <f t="shared" si="5"/>
        <v>NONE</v>
      </c>
    </row>
    <row r="186" spans="1:14">
      <c r="A186" s="4" t="s">
        <v>388</v>
      </c>
      <c r="B186" s="4" t="s">
        <v>389</v>
      </c>
      <c r="C186" s="4" t="s">
        <v>39</v>
      </c>
      <c r="D186" s="4" t="s">
        <v>32</v>
      </c>
      <c r="E186" s="5">
        <v>202.96539999999999</v>
      </c>
      <c r="F186" s="5">
        <v>199.74969999999999</v>
      </c>
      <c r="G186" s="5">
        <v>199.58699999999999</v>
      </c>
      <c r="H186" s="4">
        <v>0</v>
      </c>
      <c r="I186" s="6">
        <v>4316225</v>
      </c>
      <c r="J186" s="7">
        <v>886.94</v>
      </c>
      <c r="K186" s="9">
        <f>(PricingDataTable[[#This Row],[Current Price ($)]]-PricingDataTable[[#This Row],[Prior Price ($)]])/PricingDataTable[[#This Row],[Prior Price ($)]]</f>
        <v>-1.5843587133570543E-2</v>
      </c>
      <c r="L186" s="9">
        <f>(PricingDataTable[[#This Row],[Vendor Price ($)]]-PricingDataTable[[#This Row],[Current Price ($)]])/PricingDataTable[[#This Row],[Current Price ($)]]</f>
        <v>-8.1451937099280233E-4</v>
      </c>
      <c r="M186" t="str">
        <f t="shared" si="4"/>
        <v>PASS</v>
      </c>
      <c r="N186" s="10" t="str">
        <f t="shared" si="5"/>
        <v>NONE</v>
      </c>
    </row>
    <row r="187" spans="1:14">
      <c r="A187" s="4" t="s">
        <v>390</v>
      </c>
      <c r="B187" s="4" t="s">
        <v>391</v>
      </c>
      <c r="C187" s="4" t="s">
        <v>19</v>
      </c>
      <c r="D187" s="4" t="s">
        <v>32</v>
      </c>
      <c r="E187" s="5">
        <v>148.76589999999999</v>
      </c>
      <c r="F187" s="5">
        <v>150.10599999999999</v>
      </c>
      <c r="G187" s="5">
        <v>150.2381</v>
      </c>
      <c r="H187" s="4">
        <v>0</v>
      </c>
      <c r="I187" s="6">
        <v>2077639</v>
      </c>
      <c r="J187" s="7">
        <v>685.37</v>
      </c>
      <c r="K187" s="9">
        <f>(PricingDataTable[[#This Row],[Current Price ($)]]-PricingDataTable[[#This Row],[Prior Price ($)]])/PricingDataTable[[#This Row],[Prior Price ($)]]</f>
        <v>9.0081127462678396E-3</v>
      </c>
      <c r="L187" s="9">
        <f>(PricingDataTable[[#This Row],[Vendor Price ($)]]-PricingDataTable[[#This Row],[Current Price ($)]])/PricingDataTable[[#This Row],[Current Price ($)]]</f>
        <v>8.800447683637451E-4</v>
      </c>
      <c r="M187" t="str">
        <f t="shared" si="4"/>
        <v>PASS</v>
      </c>
      <c r="N187" s="10" t="str">
        <f t="shared" si="5"/>
        <v>NONE</v>
      </c>
    </row>
    <row r="188" spans="1:14">
      <c r="A188" s="4" t="s">
        <v>392</v>
      </c>
      <c r="B188" s="4" t="s">
        <v>393</v>
      </c>
      <c r="C188" s="4" t="s">
        <v>16</v>
      </c>
      <c r="D188" s="4" t="s">
        <v>13</v>
      </c>
      <c r="E188" s="5">
        <v>88.435900000000004</v>
      </c>
      <c r="F188" s="5">
        <v>87.436899999999994</v>
      </c>
      <c r="G188" s="5">
        <v>87.584599999999995</v>
      </c>
      <c r="H188" s="4">
        <v>0</v>
      </c>
      <c r="I188" s="6">
        <v>3096993</v>
      </c>
      <c r="J188" s="7">
        <v>409.34</v>
      </c>
      <c r="K188" s="9">
        <f>(PricingDataTable[[#This Row],[Current Price ($)]]-PricingDataTable[[#This Row],[Prior Price ($)]])/PricingDataTable[[#This Row],[Prior Price ($)]]</f>
        <v>-1.1296317445743295E-2</v>
      </c>
      <c r="L188" s="9">
        <f>(PricingDataTable[[#This Row],[Vendor Price ($)]]-PricingDataTable[[#This Row],[Current Price ($)]])/PricingDataTable[[#This Row],[Current Price ($)]]</f>
        <v>1.6892181676157365E-3</v>
      </c>
      <c r="M188" t="str">
        <f t="shared" si="4"/>
        <v>PASS</v>
      </c>
      <c r="N188" s="10" t="str">
        <f t="shared" si="5"/>
        <v>NONE</v>
      </c>
    </row>
    <row r="189" spans="1:14">
      <c r="A189" s="4" t="s">
        <v>394</v>
      </c>
      <c r="B189" s="4" t="s">
        <v>395</v>
      </c>
      <c r="C189" s="4" t="s">
        <v>12</v>
      </c>
      <c r="D189" s="4" t="s">
        <v>64</v>
      </c>
      <c r="E189" s="5">
        <v>117.3584</v>
      </c>
      <c r="F189" s="5">
        <v>120.5</v>
      </c>
      <c r="G189" s="5">
        <v>121.03440000000001</v>
      </c>
      <c r="H189" s="4">
        <v>2</v>
      </c>
      <c r="I189" s="6">
        <v>3605107</v>
      </c>
      <c r="J189" s="7">
        <v>742.4</v>
      </c>
      <c r="K189" s="9">
        <f>(PricingDataTable[[#This Row],[Current Price ($)]]-PricingDataTable[[#This Row],[Prior Price ($)]])/PricingDataTable[[#This Row],[Prior Price ($)]]</f>
        <v>2.6769281108126871E-2</v>
      </c>
      <c r="L189" s="9">
        <f>(PricingDataTable[[#This Row],[Vendor Price ($)]]-PricingDataTable[[#This Row],[Current Price ($)]])/PricingDataTable[[#This Row],[Current Price ($)]]</f>
        <v>4.4348547717842747E-3</v>
      </c>
      <c r="M189" t="str">
        <f t="shared" si="4"/>
        <v>PASS</v>
      </c>
      <c r="N189" s="10" t="str">
        <f t="shared" si="5"/>
        <v>NONE</v>
      </c>
    </row>
    <row r="190" spans="1:14">
      <c r="A190" s="4" t="s">
        <v>396</v>
      </c>
      <c r="B190" s="4" t="s">
        <v>397</v>
      </c>
      <c r="C190" s="4" t="s">
        <v>19</v>
      </c>
      <c r="D190" s="4" t="s">
        <v>13</v>
      </c>
      <c r="E190" s="5">
        <v>195.18020000000001</v>
      </c>
      <c r="F190" s="5">
        <v>198.30420000000001</v>
      </c>
      <c r="G190" s="5">
        <v>199.15549999999999</v>
      </c>
      <c r="H190" s="4">
        <v>1</v>
      </c>
      <c r="I190" s="6">
        <v>3856251</v>
      </c>
      <c r="J190" s="7">
        <v>14.85</v>
      </c>
      <c r="K190" s="9">
        <f>(PricingDataTable[[#This Row],[Current Price ($)]]-PricingDataTable[[#This Row],[Prior Price ($)]])/PricingDataTable[[#This Row],[Prior Price ($)]]</f>
        <v>1.6005721891872202E-2</v>
      </c>
      <c r="L190" s="9">
        <f>(PricingDataTable[[#This Row],[Vendor Price ($)]]-PricingDataTable[[#This Row],[Current Price ($)]])/PricingDataTable[[#This Row],[Current Price ($)]]</f>
        <v>4.2928994948164519E-3</v>
      </c>
      <c r="M190" t="str">
        <f t="shared" si="4"/>
        <v>PASS</v>
      </c>
      <c r="N190" s="10" t="str">
        <f t="shared" si="5"/>
        <v>NONE</v>
      </c>
    </row>
    <row r="191" spans="1:14">
      <c r="A191" s="4" t="s">
        <v>398</v>
      </c>
      <c r="B191" s="4" t="s">
        <v>399</v>
      </c>
      <c r="C191" s="4" t="s">
        <v>16</v>
      </c>
      <c r="D191" s="4" t="s">
        <v>237</v>
      </c>
      <c r="E191" s="5">
        <v>96.39</v>
      </c>
      <c r="F191" s="5">
        <v>98.923900000000003</v>
      </c>
      <c r="G191" s="5">
        <v>98.906300000000002</v>
      </c>
      <c r="H191" s="4">
        <v>2</v>
      </c>
      <c r="I191" s="6">
        <v>3024551</v>
      </c>
      <c r="J191" s="7">
        <v>225.5</v>
      </c>
      <c r="K191" s="9">
        <f>(PricingDataTable[[#This Row],[Current Price ($)]]-PricingDataTable[[#This Row],[Prior Price ($)]])/PricingDataTable[[#This Row],[Prior Price ($)]]</f>
        <v>2.628799668015357E-2</v>
      </c>
      <c r="L191" s="9">
        <f>(PricingDataTable[[#This Row],[Vendor Price ($)]]-PricingDataTable[[#This Row],[Current Price ($)]])/PricingDataTable[[#This Row],[Current Price ($)]]</f>
        <v>-1.7791453834717003E-4</v>
      </c>
      <c r="M191" t="str">
        <f t="shared" si="4"/>
        <v>PASS</v>
      </c>
      <c r="N191" s="10" t="str">
        <f t="shared" si="5"/>
        <v>NONE</v>
      </c>
    </row>
    <row r="192" spans="1:14">
      <c r="A192" s="4" t="s">
        <v>400</v>
      </c>
      <c r="B192" s="4" t="s">
        <v>401</v>
      </c>
      <c r="C192" s="4" t="s">
        <v>19</v>
      </c>
      <c r="D192" s="4" t="s">
        <v>13</v>
      </c>
      <c r="E192" s="5">
        <v>256.28800000000001</v>
      </c>
      <c r="F192" s="5">
        <v>256.39510000000001</v>
      </c>
      <c r="G192" s="5">
        <v>255.58090000000001</v>
      </c>
      <c r="H192" s="4">
        <v>0</v>
      </c>
      <c r="I192" s="6">
        <v>4358414</v>
      </c>
      <c r="J192" s="7">
        <v>612.04999999999995</v>
      </c>
      <c r="K192" s="9">
        <f>(PricingDataTable[[#This Row],[Current Price ($)]]-PricingDataTable[[#This Row],[Prior Price ($)]])/PricingDataTable[[#This Row],[Prior Price ($)]]</f>
        <v>4.1788924959421678E-4</v>
      </c>
      <c r="L192" s="9">
        <f>(PricingDataTable[[#This Row],[Vendor Price ($)]]-PricingDataTable[[#This Row],[Current Price ($)]])/PricingDataTable[[#This Row],[Current Price ($)]]</f>
        <v>-3.1755677078072067E-3</v>
      </c>
      <c r="M192" t="str">
        <f t="shared" si="4"/>
        <v>PASS</v>
      </c>
      <c r="N192" s="10" t="str">
        <f t="shared" si="5"/>
        <v>NONE</v>
      </c>
    </row>
    <row r="193" spans="1:14">
      <c r="A193" s="4" t="s">
        <v>402</v>
      </c>
      <c r="B193" s="4" t="s">
        <v>403</v>
      </c>
      <c r="C193" s="4" t="s">
        <v>12</v>
      </c>
      <c r="D193" s="4" t="s">
        <v>32</v>
      </c>
      <c r="E193" s="5">
        <v>124.40770000000001</v>
      </c>
      <c r="F193" s="5">
        <v>123.7056</v>
      </c>
      <c r="G193" s="5">
        <v>123.7983</v>
      </c>
      <c r="H193" s="4">
        <v>1</v>
      </c>
      <c r="I193" s="6">
        <v>2511335</v>
      </c>
      <c r="J193" s="7">
        <v>123.59</v>
      </c>
      <c r="K193" s="9">
        <f>(PricingDataTable[[#This Row],[Current Price ($)]]-PricingDataTable[[#This Row],[Prior Price ($)]])/PricingDataTable[[#This Row],[Prior Price ($)]]</f>
        <v>-5.6435413563630018E-3</v>
      </c>
      <c r="L193" s="9">
        <f>(PricingDataTable[[#This Row],[Vendor Price ($)]]-PricingDataTable[[#This Row],[Current Price ($)]])/PricingDataTable[[#This Row],[Current Price ($)]]</f>
        <v>7.4935977029328955E-4</v>
      </c>
      <c r="M193" t="str">
        <f t="shared" si="4"/>
        <v>PASS</v>
      </c>
      <c r="N193" s="10" t="str">
        <f t="shared" si="5"/>
        <v>NONE</v>
      </c>
    </row>
    <row r="194" spans="1:14">
      <c r="A194" s="4" t="s">
        <v>404</v>
      </c>
      <c r="B194" s="4" t="s">
        <v>405</v>
      </c>
      <c r="C194" s="4" t="s">
        <v>19</v>
      </c>
      <c r="D194" s="4" t="s">
        <v>13</v>
      </c>
      <c r="E194" s="5">
        <v>216.72919999999999</v>
      </c>
      <c r="F194" s="5">
        <v>217.97219999999999</v>
      </c>
      <c r="G194" s="5">
        <v>218.494</v>
      </c>
      <c r="H194" s="4">
        <v>3</v>
      </c>
      <c r="I194" s="6">
        <v>1823380</v>
      </c>
      <c r="J194" s="7">
        <v>78.2</v>
      </c>
      <c r="K194" s="9">
        <f>(PricingDataTable[[#This Row],[Current Price ($)]]-PricingDataTable[[#This Row],[Prior Price ($)]])/PricingDataTable[[#This Row],[Prior Price ($)]]</f>
        <v>5.7352677904038548E-3</v>
      </c>
      <c r="L194" s="9">
        <f>(PricingDataTable[[#This Row],[Vendor Price ($)]]-PricingDataTable[[#This Row],[Current Price ($)]])/PricingDataTable[[#This Row],[Current Price ($)]]</f>
        <v>2.3938832566722415E-3</v>
      </c>
      <c r="M194" t="str">
        <f t="shared" ref="M194:M257" si="6">IF(OR(F194="",F194=0),"MISSING",IF(H194&gt;=3,"STALE",IF(ABS(K194)&gt;=5%,"LARGE MOVE",IF(ABS(L194)&gt;=2%,"VENDOR DIFFERENCE","PASS"))))</f>
        <v>STALE</v>
      </c>
      <c r="N194" s="10" t="str">
        <f t="shared" ref="N194:N257" si="7">IF(M194="PASS","NONE",IF(M194="MISSING","HIGH",IF(OR(ABS(K194)&gt;=10%,ABS(L194)&gt;=5%),"HIGH",IF(OR(ABS(K194)&gt;=7%,ABS(L194)&gt;=3%,H194&gt;=5),"MEDIUM","LOW"))))</f>
        <v>LOW</v>
      </c>
    </row>
    <row r="195" spans="1:14">
      <c r="A195" s="4" t="s">
        <v>406</v>
      </c>
      <c r="B195" s="4" t="s">
        <v>407</v>
      </c>
      <c r="C195" s="4" t="s">
        <v>39</v>
      </c>
      <c r="D195" s="4" t="s">
        <v>13</v>
      </c>
      <c r="E195" s="5">
        <v>139.3389</v>
      </c>
      <c r="F195" s="5">
        <v>140.7534</v>
      </c>
      <c r="G195" s="5">
        <v>140.6694</v>
      </c>
      <c r="H195" s="4">
        <v>0</v>
      </c>
      <c r="I195" s="6">
        <v>2391088</v>
      </c>
      <c r="J195" s="7">
        <v>701.12</v>
      </c>
      <c r="K195" s="9">
        <f>(PricingDataTable[[#This Row],[Current Price ($)]]-PricingDataTable[[#This Row],[Prior Price ($)]])/PricingDataTable[[#This Row],[Prior Price ($)]]</f>
        <v>1.0151508300984175E-2</v>
      </c>
      <c r="L195" s="9">
        <f>(PricingDataTable[[#This Row],[Vendor Price ($)]]-PricingDataTable[[#This Row],[Current Price ($)]])/PricingDataTable[[#This Row],[Current Price ($)]]</f>
        <v>-5.9678842571478331E-4</v>
      </c>
      <c r="M195" t="str">
        <f t="shared" si="6"/>
        <v>PASS</v>
      </c>
      <c r="N195" s="10" t="str">
        <f t="shared" si="7"/>
        <v>NONE</v>
      </c>
    </row>
    <row r="196" spans="1:14">
      <c r="A196" s="4" t="s">
        <v>408</v>
      </c>
      <c r="B196" s="4" t="s">
        <v>409</v>
      </c>
      <c r="C196" s="4" t="s">
        <v>39</v>
      </c>
      <c r="D196" s="4" t="s">
        <v>13</v>
      </c>
      <c r="E196" s="5">
        <v>111.1641</v>
      </c>
      <c r="F196" s="5">
        <v>109.5817</v>
      </c>
      <c r="G196" s="5">
        <v>109.538</v>
      </c>
      <c r="H196" s="4">
        <v>0</v>
      </c>
      <c r="I196" s="6">
        <v>4152419</v>
      </c>
      <c r="J196" s="7">
        <v>347.42</v>
      </c>
      <c r="K196" s="9">
        <f>(PricingDataTable[[#This Row],[Current Price ($)]]-PricingDataTable[[#This Row],[Prior Price ($)]])/PricingDataTable[[#This Row],[Prior Price ($)]]</f>
        <v>-1.423481141843461E-2</v>
      </c>
      <c r="L196" s="9">
        <f>(PricingDataTable[[#This Row],[Vendor Price ($)]]-PricingDataTable[[#This Row],[Current Price ($)]])/PricingDataTable[[#This Row],[Current Price ($)]]</f>
        <v>-3.9878921389247641E-4</v>
      </c>
      <c r="M196" t="str">
        <f t="shared" si="6"/>
        <v>PASS</v>
      </c>
      <c r="N196" s="10" t="str">
        <f t="shared" si="7"/>
        <v>NONE</v>
      </c>
    </row>
    <row r="197" spans="1:14">
      <c r="A197" s="4" t="s">
        <v>410</v>
      </c>
      <c r="B197" s="4" t="s">
        <v>411</v>
      </c>
      <c r="C197" s="4" t="s">
        <v>12</v>
      </c>
      <c r="D197" s="4" t="s">
        <v>13</v>
      </c>
      <c r="E197" s="5">
        <v>119.4362</v>
      </c>
      <c r="F197" s="5">
        <v>120.789</v>
      </c>
      <c r="G197" s="5">
        <v>120.815</v>
      </c>
      <c r="H197" s="4">
        <v>1</v>
      </c>
      <c r="I197" s="6">
        <v>1450302</v>
      </c>
      <c r="J197" s="7">
        <v>686.5</v>
      </c>
      <c r="K197" s="9">
        <f>(PricingDataTable[[#This Row],[Current Price ($)]]-PricingDataTable[[#This Row],[Prior Price ($)]])/PricingDataTable[[#This Row],[Prior Price ($)]]</f>
        <v>1.1326549237165967E-2</v>
      </c>
      <c r="L197" s="9">
        <f>(PricingDataTable[[#This Row],[Vendor Price ($)]]-PricingDataTable[[#This Row],[Current Price ($)]])/PricingDataTable[[#This Row],[Current Price ($)]]</f>
        <v>2.1525138878537159E-4</v>
      </c>
      <c r="M197" t="str">
        <f t="shared" si="6"/>
        <v>PASS</v>
      </c>
      <c r="N197" s="10" t="str">
        <f t="shared" si="7"/>
        <v>NONE</v>
      </c>
    </row>
    <row r="198" spans="1:14">
      <c r="A198" s="4" t="s">
        <v>412</v>
      </c>
      <c r="B198" s="4" t="s">
        <v>413</v>
      </c>
      <c r="C198" s="4" t="s">
        <v>12</v>
      </c>
      <c r="D198" s="4" t="s">
        <v>13</v>
      </c>
      <c r="E198" s="5">
        <v>85.787099999999995</v>
      </c>
      <c r="F198" s="5">
        <v>88.004999999999995</v>
      </c>
      <c r="G198" s="5">
        <v>87.7042</v>
      </c>
      <c r="H198" s="4">
        <v>1</v>
      </c>
      <c r="I198" s="6">
        <v>3375547</v>
      </c>
      <c r="J198" s="7">
        <v>74.37</v>
      </c>
      <c r="K198" s="9">
        <f>(PricingDataTable[[#This Row],[Current Price ($)]]-PricingDataTable[[#This Row],[Prior Price ($)]])/PricingDataTable[[#This Row],[Prior Price ($)]]</f>
        <v>2.5853537419961745E-2</v>
      </c>
      <c r="L198" s="9">
        <f>(PricingDataTable[[#This Row],[Vendor Price ($)]]-PricingDataTable[[#This Row],[Current Price ($)]])/PricingDataTable[[#This Row],[Current Price ($)]]</f>
        <v>-3.417987614340041E-3</v>
      </c>
      <c r="M198" t="str">
        <f t="shared" si="6"/>
        <v>PASS</v>
      </c>
      <c r="N198" s="10" t="str">
        <f t="shared" si="7"/>
        <v>NONE</v>
      </c>
    </row>
    <row r="199" spans="1:14">
      <c r="A199" s="4" t="s">
        <v>414</v>
      </c>
      <c r="B199" s="4" t="s">
        <v>415</v>
      </c>
      <c r="C199" s="4" t="s">
        <v>12</v>
      </c>
      <c r="D199" s="4" t="s">
        <v>13</v>
      </c>
      <c r="E199" s="5">
        <v>90.4953</v>
      </c>
      <c r="F199" s="5">
        <v>89.765199999999993</v>
      </c>
      <c r="G199" s="5">
        <v>89.752399999999994</v>
      </c>
      <c r="H199" s="4">
        <v>0</v>
      </c>
      <c r="I199" s="6">
        <v>555613</v>
      </c>
      <c r="J199" s="7">
        <v>279.29000000000002</v>
      </c>
      <c r="K199" s="9">
        <f>(PricingDataTable[[#This Row],[Current Price ($)]]-PricingDataTable[[#This Row],[Prior Price ($)]])/PricingDataTable[[#This Row],[Prior Price ($)]]</f>
        <v>-8.0678223067939137E-3</v>
      </c>
      <c r="L199" s="9">
        <f>(PricingDataTable[[#This Row],[Vendor Price ($)]]-PricingDataTable[[#This Row],[Current Price ($)]])/PricingDataTable[[#This Row],[Current Price ($)]]</f>
        <v>-1.4259423473683111E-4</v>
      </c>
      <c r="M199" t="str">
        <f t="shared" si="6"/>
        <v>PASS</v>
      </c>
      <c r="N199" s="10" t="str">
        <f t="shared" si="7"/>
        <v>NONE</v>
      </c>
    </row>
    <row r="200" spans="1:14">
      <c r="A200" s="4" t="s">
        <v>416</v>
      </c>
      <c r="B200" s="4" t="s">
        <v>417</v>
      </c>
      <c r="C200" s="4" t="s">
        <v>19</v>
      </c>
      <c r="D200" s="4" t="s">
        <v>13</v>
      </c>
      <c r="E200" s="5">
        <v>156.5934</v>
      </c>
      <c r="F200" s="5">
        <v>154.1285</v>
      </c>
      <c r="G200" s="5">
        <v>154.31139999999999</v>
      </c>
      <c r="H200" s="4">
        <v>1</v>
      </c>
      <c r="I200" s="6">
        <v>96215</v>
      </c>
      <c r="J200" s="7">
        <v>147.62</v>
      </c>
      <c r="K200" s="9">
        <f>(PricingDataTable[[#This Row],[Current Price ($)]]-PricingDataTable[[#This Row],[Prior Price ($)]])/PricingDataTable[[#This Row],[Prior Price ($)]]</f>
        <v>-1.5740765575049779E-2</v>
      </c>
      <c r="L200" s="9">
        <f>(PricingDataTable[[#This Row],[Vendor Price ($)]]-PricingDataTable[[#This Row],[Current Price ($)]])/PricingDataTable[[#This Row],[Current Price ($)]]</f>
        <v>1.1866721599184408E-3</v>
      </c>
      <c r="M200" t="str">
        <f t="shared" si="6"/>
        <v>PASS</v>
      </c>
      <c r="N200" s="10" t="str">
        <f t="shared" si="7"/>
        <v>NONE</v>
      </c>
    </row>
    <row r="201" spans="1:14">
      <c r="A201" s="4" t="s">
        <v>418</v>
      </c>
      <c r="B201" s="4" t="s">
        <v>419</v>
      </c>
      <c r="C201" s="4" t="s">
        <v>16</v>
      </c>
      <c r="D201" s="4" t="s">
        <v>64</v>
      </c>
      <c r="E201" s="5">
        <v>87.962299999999999</v>
      </c>
      <c r="F201" s="5">
        <v>86.744600000000005</v>
      </c>
      <c r="G201" s="5">
        <v>87.056899999999999</v>
      </c>
      <c r="H201" s="4">
        <v>0</v>
      </c>
      <c r="I201" s="6">
        <v>3602435</v>
      </c>
      <c r="J201" s="7">
        <v>244.93</v>
      </c>
      <c r="K201" s="9">
        <f>(PricingDataTable[[#This Row],[Current Price ($)]]-PricingDataTable[[#This Row],[Prior Price ($)]])/PricingDataTable[[#This Row],[Prior Price ($)]]</f>
        <v>-1.3843430651540416E-2</v>
      </c>
      <c r="L201" s="9">
        <f>(PricingDataTable[[#This Row],[Vendor Price ($)]]-PricingDataTable[[#This Row],[Current Price ($)]])/PricingDataTable[[#This Row],[Current Price ($)]]</f>
        <v>3.6002241061690679E-3</v>
      </c>
      <c r="M201" t="str">
        <f t="shared" si="6"/>
        <v>PASS</v>
      </c>
      <c r="N201" s="10" t="str">
        <f t="shared" si="7"/>
        <v>NONE</v>
      </c>
    </row>
    <row r="202" spans="1:14">
      <c r="A202" s="4" t="s">
        <v>420</v>
      </c>
      <c r="B202" s="4" t="s">
        <v>421</v>
      </c>
      <c r="C202" s="4" t="s">
        <v>12</v>
      </c>
      <c r="D202" s="4" t="s">
        <v>13</v>
      </c>
      <c r="E202" s="5">
        <v>78.853499999999997</v>
      </c>
      <c r="F202" s="5">
        <v>77.994500000000002</v>
      </c>
      <c r="G202" s="5">
        <v>78.055999999999997</v>
      </c>
      <c r="H202" s="4">
        <v>0</v>
      </c>
      <c r="I202" s="6">
        <v>4815325</v>
      </c>
      <c r="J202" s="7">
        <v>606.77</v>
      </c>
      <c r="K202" s="9">
        <f>(PricingDataTable[[#This Row],[Current Price ($)]]-PricingDataTable[[#This Row],[Prior Price ($)]])/PricingDataTable[[#This Row],[Prior Price ($)]]</f>
        <v>-1.0893619179871467E-2</v>
      </c>
      <c r="L202" s="9">
        <f>(PricingDataTable[[#This Row],[Vendor Price ($)]]-PricingDataTable[[#This Row],[Current Price ($)]])/PricingDataTable[[#This Row],[Current Price ($)]]</f>
        <v>7.8851713902897288E-4</v>
      </c>
      <c r="M202" t="str">
        <f t="shared" si="6"/>
        <v>PASS</v>
      </c>
      <c r="N202" s="10" t="str">
        <f t="shared" si="7"/>
        <v>NONE</v>
      </c>
    </row>
    <row r="203" spans="1:14">
      <c r="A203" s="4" t="s">
        <v>422</v>
      </c>
      <c r="B203" s="4" t="s">
        <v>423</v>
      </c>
      <c r="C203" s="4" t="s">
        <v>39</v>
      </c>
      <c r="D203" s="4" t="s">
        <v>13</v>
      </c>
      <c r="E203" s="5">
        <v>301.67160000000001</v>
      </c>
      <c r="F203" s="5">
        <v>302.77910000000003</v>
      </c>
      <c r="G203" s="5">
        <v>302.80059999999997</v>
      </c>
      <c r="H203" s="4">
        <v>0</v>
      </c>
      <c r="I203" s="6">
        <v>3518924</v>
      </c>
      <c r="J203" s="7">
        <v>202.22</v>
      </c>
      <c r="K203" s="9">
        <f>(PricingDataTable[[#This Row],[Current Price ($)]]-PricingDataTable[[#This Row],[Prior Price ($)]])/PricingDataTable[[#This Row],[Prior Price ($)]]</f>
        <v>3.6712106807535606E-3</v>
      </c>
      <c r="L203" s="9">
        <f>(PricingDataTable[[#This Row],[Vendor Price ($)]]-PricingDataTable[[#This Row],[Current Price ($)]])/PricingDataTable[[#This Row],[Current Price ($)]]</f>
        <v>7.1008864217993699E-5</v>
      </c>
      <c r="M203" t="str">
        <f t="shared" si="6"/>
        <v>PASS</v>
      </c>
      <c r="N203" s="10" t="str">
        <f t="shared" si="7"/>
        <v>NONE</v>
      </c>
    </row>
    <row r="204" spans="1:14">
      <c r="A204" s="4" t="s">
        <v>424</v>
      </c>
      <c r="B204" s="4" t="s">
        <v>425</v>
      </c>
      <c r="C204" s="4" t="s">
        <v>35</v>
      </c>
      <c r="D204" s="4" t="s">
        <v>13</v>
      </c>
      <c r="E204" s="5">
        <v>149.0275</v>
      </c>
      <c r="F204" s="5">
        <v>148.21520000000001</v>
      </c>
      <c r="G204" s="5">
        <v>148.11779999999999</v>
      </c>
      <c r="H204" s="4">
        <v>0</v>
      </c>
      <c r="I204" s="6">
        <v>3364201</v>
      </c>
      <c r="J204" s="7">
        <v>62.22</v>
      </c>
      <c r="K204" s="9">
        <f>(PricingDataTable[[#This Row],[Current Price ($)]]-PricingDataTable[[#This Row],[Prior Price ($)]])/PricingDataTable[[#This Row],[Prior Price ($)]]</f>
        <v>-5.4506718558654833E-3</v>
      </c>
      <c r="L204" s="9">
        <f>(PricingDataTable[[#This Row],[Vendor Price ($)]]-PricingDataTable[[#This Row],[Current Price ($)]])/PricingDataTable[[#This Row],[Current Price ($)]]</f>
        <v>-6.5715257274572166E-4</v>
      </c>
      <c r="M204" t="str">
        <f t="shared" si="6"/>
        <v>PASS</v>
      </c>
      <c r="N204" s="10" t="str">
        <f t="shared" si="7"/>
        <v>NONE</v>
      </c>
    </row>
    <row r="205" spans="1:14">
      <c r="A205" s="4" t="s">
        <v>426</v>
      </c>
      <c r="B205" s="4" t="s">
        <v>427</v>
      </c>
      <c r="C205" s="4" t="s">
        <v>39</v>
      </c>
      <c r="D205" s="4" t="s">
        <v>13</v>
      </c>
      <c r="E205" s="5">
        <v>37.543799999999997</v>
      </c>
      <c r="F205" s="5">
        <v>37.127400000000002</v>
      </c>
      <c r="G205" s="5">
        <v>37.156100000000002</v>
      </c>
      <c r="H205" s="4">
        <v>1</v>
      </c>
      <c r="I205" s="6">
        <v>4139609</v>
      </c>
      <c r="J205" s="7">
        <v>898.01</v>
      </c>
      <c r="K205" s="9">
        <f>(PricingDataTable[[#This Row],[Current Price ($)]]-PricingDataTable[[#This Row],[Prior Price ($)]])/PricingDataTable[[#This Row],[Prior Price ($)]]</f>
        <v>-1.1091045658670563E-2</v>
      </c>
      <c r="L205" s="9">
        <f>(PricingDataTable[[#This Row],[Vendor Price ($)]]-PricingDataTable[[#This Row],[Current Price ($)]])/PricingDataTable[[#This Row],[Current Price ($)]]</f>
        <v>7.730140004417388E-4</v>
      </c>
      <c r="M205" t="str">
        <f t="shared" si="6"/>
        <v>PASS</v>
      </c>
      <c r="N205" s="10" t="str">
        <f t="shared" si="7"/>
        <v>NONE</v>
      </c>
    </row>
    <row r="206" spans="1:14">
      <c r="A206" s="4" t="s">
        <v>428</v>
      </c>
      <c r="B206" s="4" t="s">
        <v>429</v>
      </c>
      <c r="C206" s="4" t="s">
        <v>39</v>
      </c>
      <c r="D206" s="4" t="s">
        <v>13</v>
      </c>
      <c r="E206" s="5">
        <v>10.1812</v>
      </c>
      <c r="F206" s="5">
        <v>10.1061</v>
      </c>
      <c r="G206" s="5"/>
      <c r="H206" s="4">
        <v>2</v>
      </c>
      <c r="I206" s="6">
        <v>3157422</v>
      </c>
      <c r="J206" s="7">
        <v>764.14</v>
      </c>
      <c r="K206" s="9">
        <f>(PricingDataTable[[#This Row],[Current Price ($)]]-PricingDataTable[[#This Row],[Prior Price ($)]])/PricingDataTable[[#This Row],[Prior Price ($)]]</f>
        <v>-7.3763407064001132E-3</v>
      </c>
      <c r="L206" s="9">
        <f>(PricingDataTable[[#This Row],[Vendor Price ($)]]-PricingDataTable[[#This Row],[Current Price ($)]])/PricingDataTable[[#This Row],[Current Price ($)]]</f>
        <v>-1</v>
      </c>
      <c r="M206" t="str">
        <f t="shared" si="6"/>
        <v>VENDOR DIFFERENCE</v>
      </c>
      <c r="N206" s="10" t="str">
        <f t="shared" si="7"/>
        <v>HIGH</v>
      </c>
    </row>
    <row r="207" spans="1:14">
      <c r="A207" s="4" t="s">
        <v>430</v>
      </c>
      <c r="B207" s="4" t="s">
        <v>431</v>
      </c>
      <c r="C207" s="4" t="s">
        <v>19</v>
      </c>
      <c r="D207" s="4" t="s">
        <v>13</v>
      </c>
      <c r="E207" s="5">
        <v>89.453299999999999</v>
      </c>
      <c r="F207" s="5">
        <v>89.076499999999996</v>
      </c>
      <c r="G207" s="5">
        <v>89.081199999999995</v>
      </c>
      <c r="H207" s="4">
        <v>0</v>
      </c>
      <c r="I207" s="6">
        <v>4361056</v>
      </c>
      <c r="J207" s="7">
        <v>371.87</v>
      </c>
      <c r="K207" s="9">
        <f>(PricingDataTable[[#This Row],[Current Price ($)]]-PricingDataTable[[#This Row],[Prior Price ($)]])/PricingDataTable[[#This Row],[Prior Price ($)]]</f>
        <v>-4.2122537681673336E-3</v>
      </c>
      <c r="L207" s="9">
        <f>(PricingDataTable[[#This Row],[Vendor Price ($)]]-PricingDataTable[[#This Row],[Current Price ($)]])/PricingDataTable[[#This Row],[Current Price ($)]]</f>
        <v>5.2763635751289113E-5</v>
      </c>
      <c r="M207" t="str">
        <f t="shared" si="6"/>
        <v>PASS</v>
      </c>
      <c r="N207" s="10" t="str">
        <f t="shared" si="7"/>
        <v>NONE</v>
      </c>
    </row>
    <row r="208" spans="1:14">
      <c r="A208" s="4" t="s">
        <v>432</v>
      </c>
      <c r="B208" s="4" t="s">
        <v>433</v>
      </c>
      <c r="C208" s="4" t="s">
        <v>35</v>
      </c>
      <c r="D208" s="4" t="s">
        <v>13</v>
      </c>
      <c r="E208" s="5">
        <v>19.012699999999999</v>
      </c>
      <c r="F208" s="5">
        <v>19.295100000000001</v>
      </c>
      <c r="G208" s="5">
        <v>19.3748</v>
      </c>
      <c r="H208" s="4">
        <v>0</v>
      </c>
      <c r="I208" s="6">
        <v>2190350</v>
      </c>
      <c r="J208" s="7">
        <v>765.85</v>
      </c>
      <c r="K208" s="9">
        <f>(PricingDataTable[[#This Row],[Current Price ($)]]-PricingDataTable[[#This Row],[Prior Price ($)]])/PricingDataTable[[#This Row],[Prior Price ($)]]</f>
        <v>1.4853229683317081E-2</v>
      </c>
      <c r="L208" s="9">
        <f>(PricingDataTable[[#This Row],[Vendor Price ($)]]-PricingDataTable[[#This Row],[Current Price ($)]])/PricingDataTable[[#This Row],[Current Price ($)]]</f>
        <v>4.1305823758362994E-3</v>
      </c>
      <c r="M208" t="str">
        <f t="shared" si="6"/>
        <v>PASS</v>
      </c>
      <c r="N208" s="10" t="str">
        <f t="shared" si="7"/>
        <v>NONE</v>
      </c>
    </row>
    <row r="209" spans="1:14">
      <c r="A209" s="4" t="s">
        <v>434</v>
      </c>
      <c r="B209" s="4" t="s">
        <v>435</v>
      </c>
      <c r="C209" s="4" t="s">
        <v>19</v>
      </c>
      <c r="D209" s="4" t="s">
        <v>13</v>
      </c>
      <c r="E209" s="5">
        <v>33.543100000000003</v>
      </c>
      <c r="F209" s="5">
        <v>33.748199999999997</v>
      </c>
      <c r="G209" s="5">
        <v>33.916600000000003</v>
      </c>
      <c r="H209" s="4">
        <v>0</v>
      </c>
      <c r="I209" s="6">
        <v>4496660</v>
      </c>
      <c r="J209" s="7">
        <v>322.58999999999997</v>
      </c>
      <c r="K209" s="9">
        <f>(PricingDataTable[[#This Row],[Current Price ($)]]-PricingDataTable[[#This Row],[Prior Price ($)]])/PricingDataTable[[#This Row],[Prior Price ($)]]</f>
        <v>6.1145213173497527E-3</v>
      </c>
      <c r="L209" s="9">
        <f>(PricingDataTable[[#This Row],[Vendor Price ($)]]-PricingDataTable[[#This Row],[Current Price ($)]])/PricingDataTable[[#This Row],[Current Price ($)]]</f>
        <v>4.9898957574035195E-3</v>
      </c>
      <c r="M209" t="str">
        <f t="shared" si="6"/>
        <v>PASS</v>
      </c>
      <c r="N209" s="10" t="str">
        <f t="shared" si="7"/>
        <v>NONE</v>
      </c>
    </row>
    <row r="210" spans="1:14">
      <c r="A210" s="4" t="s">
        <v>436</v>
      </c>
      <c r="B210" s="4" t="s">
        <v>437</v>
      </c>
      <c r="C210" s="4" t="s">
        <v>19</v>
      </c>
      <c r="D210" s="4" t="s">
        <v>13</v>
      </c>
      <c r="E210" s="5">
        <v>49.010399999999997</v>
      </c>
      <c r="F210" s="5">
        <v>49.501399999999997</v>
      </c>
      <c r="G210" s="5">
        <v>49.690399999999997</v>
      </c>
      <c r="H210" s="4">
        <v>0</v>
      </c>
      <c r="I210" s="6">
        <v>766149</v>
      </c>
      <c r="J210" s="7">
        <v>640.1</v>
      </c>
      <c r="K210" s="9">
        <f>(PricingDataTable[[#This Row],[Current Price ($)]]-PricingDataTable[[#This Row],[Prior Price ($)]])/PricingDataTable[[#This Row],[Prior Price ($)]]</f>
        <v>1.0018281834059704E-2</v>
      </c>
      <c r="L210" s="9">
        <f>(PricingDataTable[[#This Row],[Vendor Price ($)]]-PricingDataTable[[#This Row],[Current Price ($)]])/PricingDataTable[[#This Row],[Current Price ($)]]</f>
        <v>3.8180738322552508E-3</v>
      </c>
      <c r="M210" t="str">
        <f t="shared" si="6"/>
        <v>PASS</v>
      </c>
      <c r="N210" s="10" t="str">
        <f t="shared" si="7"/>
        <v>NONE</v>
      </c>
    </row>
    <row r="211" spans="1:14">
      <c r="A211" s="4" t="s">
        <v>438</v>
      </c>
      <c r="B211" s="4" t="s">
        <v>439</v>
      </c>
      <c r="C211" s="4" t="s">
        <v>16</v>
      </c>
      <c r="D211" s="4" t="s">
        <v>13</v>
      </c>
      <c r="E211" s="5">
        <v>88.008300000000006</v>
      </c>
      <c r="F211" s="5">
        <v>88.273300000000006</v>
      </c>
      <c r="G211" s="5">
        <v>88.269400000000005</v>
      </c>
      <c r="H211" s="4">
        <v>1</v>
      </c>
      <c r="I211" s="6">
        <v>1173669</v>
      </c>
      <c r="J211" s="7">
        <v>109.48</v>
      </c>
      <c r="K211" s="9">
        <f>(PricingDataTable[[#This Row],[Current Price ($)]]-PricingDataTable[[#This Row],[Prior Price ($)]])/PricingDataTable[[#This Row],[Prior Price ($)]]</f>
        <v>3.0110796368069894E-3</v>
      </c>
      <c r="L211" s="9">
        <f>(PricingDataTable[[#This Row],[Vendor Price ($)]]-PricingDataTable[[#This Row],[Current Price ($)]])/PricingDataTable[[#This Row],[Current Price ($)]]</f>
        <v>-4.4180969783632976E-5</v>
      </c>
      <c r="M211" t="str">
        <f t="shared" si="6"/>
        <v>PASS</v>
      </c>
      <c r="N211" s="10" t="str">
        <f t="shared" si="7"/>
        <v>NONE</v>
      </c>
    </row>
    <row r="212" spans="1:14">
      <c r="A212" s="4" t="s">
        <v>440</v>
      </c>
      <c r="B212" s="4" t="s">
        <v>441</v>
      </c>
      <c r="C212" s="4" t="s">
        <v>19</v>
      </c>
      <c r="D212" s="4" t="s">
        <v>64</v>
      </c>
      <c r="E212" s="5">
        <v>135.30600000000001</v>
      </c>
      <c r="F212" s="5">
        <v>133.71019999999999</v>
      </c>
      <c r="G212" s="5">
        <v>133.28880000000001</v>
      </c>
      <c r="H212" s="4">
        <v>1</v>
      </c>
      <c r="I212" s="6">
        <v>3720771</v>
      </c>
      <c r="J212" s="7">
        <v>728.41</v>
      </c>
      <c r="K212" s="9">
        <f>(PricingDataTable[[#This Row],[Current Price ($)]]-PricingDataTable[[#This Row],[Prior Price ($)]])/PricingDataTable[[#This Row],[Prior Price ($)]]</f>
        <v>-1.1794007656719032E-2</v>
      </c>
      <c r="L212" s="9">
        <f>(PricingDataTable[[#This Row],[Vendor Price ($)]]-PricingDataTable[[#This Row],[Current Price ($)]])/PricingDataTable[[#This Row],[Current Price ($)]]</f>
        <v>-3.1515920251407683E-3</v>
      </c>
      <c r="M212" t="str">
        <f t="shared" si="6"/>
        <v>PASS</v>
      </c>
      <c r="N212" s="10" t="str">
        <f t="shared" si="7"/>
        <v>NONE</v>
      </c>
    </row>
    <row r="213" spans="1:14">
      <c r="A213" s="4" t="s">
        <v>442</v>
      </c>
      <c r="B213" s="4" t="s">
        <v>443</v>
      </c>
      <c r="C213" s="4" t="s">
        <v>19</v>
      </c>
      <c r="D213" s="4" t="s">
        <v>36</v>
      </c>
      <c r="E213" s="5">
        <v>25.318100000000001</v>
      </c>
      <c r="F213" s="5">
        <v>25.605699999999999</v>
      </c>
      <c r="G213" s="5">
        <v>25.568200000000001</v>
      </c>
      <c r="H213" s="4">
        <v>0</v>
      </c>
      <c r="I213" s="6">
        <v>1570937</v>
      </c>
      <c r="J213" s="7">
        <v>247.63</v>
      </c>
      <c r="K213" s="9">
        <f>(PricingDataTable[[#This Row],[Current Price ($)]]-PricingDataTable[[#This Row],[Prior Price ($)]])/PricingDataTable[[#This Row],[Prior Price ($)]]</f>
        <v>1.1359462202929826E-2</v>
      </c>
      <c r="L213" s="9">
        <f>(PricingDataTable[[#This Row],[Vendor Price ($)]]-PricingDataTable[[#This Row],[Current Price ($)]])/PricingDataTable[[#This Row],[Current Price ($)]]</f>
        <v>-1.4645176659883491E-3</v>
      </c>
      <c r="M213" t="str">
        <f t="shared" si="6"/>
        <v>PASS</v>
      </c>
      <c r="N213" s="10" t="str">
        <f t="shared" si="7"/>
        <v>NONE</v>
      </c>
    </row>
    <row r="214" spans="1:14">
      <c r="A214" s="4" t="s">
        <v>444</v>
      </c>
      <c r="B214" s="4" t="s">
        <v>445</v>
      </c>
      <c r="C214" s="4" t="s">
        <v>19</v>
      </c>
      <c r="D214" s="4" t="s">
        <v>13</v>
      </c>
      <c r="E214" s="5">
        <v>92.058400000000006</v>
      </c>
      <c r="F214" s="5">
        <v>91.740099999999998</v>
      </c>
      <c r="G214" s="5">
        <v>92.0124</v>
      </c>
      <c r="H214" s="4">
        <v>0</v>
      </c>
      <c r="I214" s="6">
        <v>4411848</v>
      </c>
      <c r="J214" s="7">
        <v>224.38</v>
      </c>
      <c r="K214" s="9">
        <f>(PricingDataTable[[#This Row],[Current Price ($)]]-PricingDataTable[[#This Row],[Prior Price ($)]])/PricingDataTable[[#This Row],[Prior Price ($)]]</f>
        <v>-3.4575877920972752E-3</v>
      </c>
      <c r="L214" s="9">
        <f>(PricingDataTable[[#This Row],[Vendor Price ($)]]-PricingDataTable[[#This Row],[Current Price ($)]])/PricingDataTable[[#This Row],[Current Price ($)]]</f>
        <v>2.9681676823984423E-3</v>
      </c>
      <c r="M214" t="str">
        <f t="shared" si="6"/>
        <v>PASS</v>
      </c>
      <c r="N214" s="10" t="str">
        <f t="shared" si="7"/>
        <v>NONE</v>
      </c>
    </row>
    <row r="215" spans="1:14">
      <c r="A215" s="4" t="s">
        <v>446</v>
      </c>
      <c r="B215" s="4" t="s">
        <v>447</v>
      </c>
      <c r="C215" s="4" t="s">
        <v>35</v>
      </c>
      <c r="D215" s="4" t="s">
        <v>32</v>
      </c>
      <c r="E215" s="5">
        <v>65.921999999999997</v>
      </c>
      <c r="F215" s="5">
        <v>65.046499999999995</v>
      </c>
      <c r="G215" s="5">
        <v>64.984399999999994</v>
      </c>
      <c r="H215" s="4">
        <v>0</v>
      </c>
      <c r="I215" s="6">
        <v>1838274</v>
      </c>
      <c r="J215" s="7">
        <v>26.57</v>
      </c>
      <c r="K215" s="9">
        <f>(PricingDataTable[[#This Row],[Current Price ($)]]-PricingDataTable[[#This Row],[Prior Price ($)]])/PricingDataTable[[#This Row],[Prior Price ($)]]</f>
        <v>-1.328084706167899E-2</v>
      </c>
      <c r="L215" s="9">
        <f>(PricingDataTable[[#This Row],[Vendor Price ($)]]-PricingDataTable[[#This Row],[Current Price ($)]])/PricingDataTable[[#This Row],[Current Price ($)]]</f>
        <v>-9.5470163652157977E-4</v>
      </c>
      <c r="M215" t="str">
        <f t="shared" si="6"/>
        <v>PASS</v>
      </c>
      <c r="N215" s="10" t="str">
        <f t="shared" si="7"/>
        <v>NONE</v>
      </c>
    </row>
    <row r="216" spans="1:14">
      <c r="A216" s="4" t="s">
        <v>448</v>
      </c>
      <c r="B216" s="4" t="s">
        <v>449</v>
      </c>
      <c r="C216" s="4" t="s">
        <v>39</v>
      </c>
      <c r="D216" s="4" t="s">
        <v>13</v>
      </c>
      <c r="E216" s="5">
        <v>130.24199999999999</v>
      </c>
      <c r="F216" s="5">
        <v>129.25909999999999</v>
      </c>
      <c r="G216" s="5">
        <v>129.11699999999999</v>
      </c>
      <c r="H216" s="4">
        <v>0</v>
      </c>
      <c r="I216" s="6">
        <v>469995</v>
      </c>
      <c r="J216" s="7">
        <v>687.69</v>
      </c>
      <c r="K216" s="9">
        <f>(PricingDataTable[[#This Row],[Current Price ($)]]-PricingDataTable[[#This Row],[Prior Price ($)]])/PricingDataTable[[#This Row],[Prior Price ($)]]</f>
        <v>-7.5467207198906712E-3</v>
      </c>
      <c r="L216" s="9">
        <f>(PricingDataTable[[#This Row],[Vendor Price ($)]]-PricingDataTable[[#This Row],[Current Price ($)]])/PricingDataTable[[#This Row],[Current Price ($)]]</f>
        <v>-1.0993423287025768E-3</v>
      </c>
      <c r="M216" t="str">
        <f t="shared" si="6"/>
        <v>PASS</v>
      </c>
      <c r="N216" s="10" t="str">
        <f t="shared" si="7"/>
        <v>NONE</v>
      </c>
    </row>
    <row r="217" spans="1:14">
      <c r="A217" s="4" t="s">
        <v>450</v>
      </c>
      <c r="B217" s="4" t="s">
        <v>451</v>
      </c>
      <c r="C217" s="4" t="s">
        <v>39</v>
      </c>
      <c r="D217" s="4" t="s">
        <v>32</v>
      </c>
      <c r="E217" s="5">
        <v>129.3432</v>
      </c>
      <c r="F217" s="5">
        <v>130.93729999999999</v>
      </c>
      <c r="G217" s="5">
        <v>130.29470000000001</v>
      </c>
      <c r="H217" s="4">
        <v>1</v>
      </c>
      <c r="I217" s="6">
        <v>237613</v>
      </c>
      <c r="J217" s="7">
        <v>633.16999999999996</v>
      </c>
      <c r="K217" s="9">
        <f>(PricingDataTable[[#This Row],[Current Price ($)]]-PricingDataTable[[#This Row],[Prior Price ($)]])/PricingDataTable[[#This Row],[Prior Price ($)]]</f>
        <v>1.2324575238590025E-2</v>
      </c>
      <c r="L217" s="9">
        <f>(PricingDataTable[[#This Row],[Vendor Price ($)]]-PricingDataTable[[#This Row],[Current Price ($)]])/PricingDataTable[[#This Row],[Current Price ($)]]</f>
        <v>-4.9076924604370747E-3</v>
      </c>
      <c r="M217" t="str">
        <f t="shared" si="6"/>
        <v>PASS</v>
      </c>
      <c r="N217" s="10" t="str">
        <f t="shared" si="7"/>
        <v>NONE</v>
      </c>
    </row>
    <row r="218" spans="1:14">
      <c r="A218" s="4" t="s">
        <v>452</v>
      </c>
      <c r="B218" s="4" t="s">
        <v>453</v>
      </c>
      <c r="C218" s="4" t="s">
        <v>16</v>
      </c>
      <c r="D218" s="4" t="s">
        <v>13</v>
      </c>
      <c r="E218" s="5">
        <v>84.411699999999996</v>
      </c>
      <c r="F218" s="5">
        <v>86.4983</v>
      </c>
      <c r="G218" s="5">
        <v>86.457999999999998</v>
      </c>
      <c r="H218" s="4">
        <v>0</v>
      </c>
      <c r="I218" s="6">
        <v>1836502</v>
      </c>
      <c r="J218" s="7">
        <v>18.13</v>
      </c>
      <c r="K218" s="9">
        <f>(PricingDataTable[[#This Row],[Current Price ($)]]-PricingDataTable[[#This Row],[Prior Price ($)]])/PricingDataTable[[#This Row],[Prior Price ($)]]</f>
        <v>2.4719322084497817E-2</v>
      </c>
      <c r="L218" s="9">
        <f>(PricingDataTable[[#This Row],[Vendor Price ($)]]-PricingDataTable[[#This Row],[Current Price ($)]])/PricingDataTable[[#This Row],[Current Price ($)]]</f>
        <v>-4.6590511027386666E-4</v>
      </c>
      <c r="M218" t="str">
        <f t="shared" si="6"/>
        <v>PASS</v>
      </c>
      <c r="N218" s="10" t="str">
        <f t="shared" si="7"/>
        <v>NONE</v>
      </c>
    </row>
    <row r="219" spans="1:14">
      <c r="A219" s="4" t="s">
        <v>454</v>
      </c>
      <c r="B219" s="4" t="s">
        <v>455</v>
      </c>
      <c r="C219" s="4" t="s">
        <v>19</v>
      </c>
      <c r="D219" s="4" t="s">
        <v>13</v>
      </c>
      <c r="E219" s="5">
        <v>283.80430000000001</v>
      </c>
      <c r="F219" s="5">
        <v>282.6551</v>
      </c>
      <c r="G219" s="5">
        <v>283.10129999999998</v>
      </c>
      <c r="H219" s="4">
        <v>0</v>
      </c>
      <c r="I219" s="6">
        <v>1189268</v>
      </c>
      <c r="J219" s="7">
        <v>696.97</v>
      </c>
      <c r="K219" s="9">
        <f>(PricingDataTable[[#This Row],[Current Price ($)]]-PricingDataTable[[#This Row],[Prior Price ($)]])/PricingDataTable[[#This Row],[Prior Price ($)]]</f>
        <v>-4.049269161883761E-3</v>
      </c>
      <c r="L219" s="9">
        <f>(PricingDataTable[[#This Row],[Vendor Price ($)]]-PricingDataTable[[#This Row],[Current Price ($)]])/PricingDataTable[[#This Row],[Current Price ($)]]</f>
        <v>1.5786023319585465E-3</v>
      </c>
      <c r="M219" t="str">
        <f t="shared" si="6"/>
        <v>PASS</v>
      </c>
      <c r="N219" s="10" t="str">
        <f t="shared" si="7"/>
        <v>NONE</v>
      </c>
    </row>
    <row r="220" spans="1:14">
      <c r="A220" s="4" t="s">
        <v>456</v>
      </c>
      <c r="B220" s="4" t="s">
        <v>457</v>
      </c>
      <c r="C220" s="4" t="s">
        <v>35</v>
      </c>
      <c r="D220" s="4" t="s">
        <v>13</v>
      </c>
      <c r="E220" s="5">
        <v>169.66229999999999</v>
      </c>
      <c r="F220" s="5">
        <v>168.9177</v>
      </c>
      <c r="G220" s="5">
        <v>169.06039999999999</v>
      </c>
      <c r="H220" s="4">
        <v>0</v>
      </c>
      <c r="I220" s="6">
        <v>4087929</v>
      </c>
      <c r="J220" s="7">
        <v>584.33000000000004</v>
      </c>
      <c r="K220" s="9">
        <f>(PricingDataTable[[#This Row],[Current Price ($)]]-PricingDataTable[[#This Row],[Prior Price ($)]])/PricingDataTable[[#This Row],[Prior Price ($)]]</f>
        <v>-4.3887180593448951E-3</v>
      </c>
      <c r="L220" s="9">
        <f>(PricingDataTable[[#This Row],[Vendor Price ($)]]-PricingDataTable[[#This Row],[Current Price ($)]])/PricingDataTable[[#This Row],[Current Price ($)]]</f>
        <v>8.4479009600527783E-4</v>
      </c>
      <c r="M220" t="str">
        <f t="shared" si="6"/>
        <v>PASS</v>
      </c>
      <c r="N220" s="10" t="str">
        <f t="shared" si="7"/>
        <v>NONE</v>
      </c>
    </row>
    <row r="221" spans="1:14">
      <c r="A221" s="4" t="s">
        <v>458</v>
      </c>
      <c r="B221" s="4" t="s">
        <v>459</v>
      </c>
      <c r="C221" s="4" t="s">
        <v>12</v>
      </c>
      <c r="D221" s="4" t="s">
        <v>36</v>
      </c>
      <c r="E221" s="5">
        <v>114.3496</v>
      </c>
      <c r="F221" s="5">
        <v>114.6558</v>
      </c>
      <c r="G221" s="5">
        <v>115.108</v>
      </c>
      <c r="H221" s="4">
        <v>1</v>
      </c>
      <c r="I221" s="6">
        <v>4806286</v>
      </c>
      <c r="J221" s="7">
        <v>352.56</v>
      </c>
      <c r="K221" s="9">
        <f>(PricingDataTable[[#This Row],[Current Price ($)]]-PricingDataTable[[#This Row],[Prior Price ($)]])/PricingDataTable[[#This Row],[Prior Price ($)]]</f>
        <v>2.6777531359970129E-3</v>
      </c>
      <c r="L221" s="9">
        <f>(PricingDataTable[[#This Row],[Vendor Price ($)]]-PricingDataTable[[#This Row],[Current Price ($)]])/PricingDataTable[[#This Row],[Current Price ($)]]</f>
        <v>3.9439784119076823E-3</v>
      </c>
      <c r="M221" t="str">
        <f t="shared" si="6"/>
        <v>PASS</v>
      </c>
      <c r="N221" s="10" t="str">
        <f t="shared" si="7"/>
        <v>NONE</v>
      </c>
    </row>
    <row r="222" spans="1:14">
      <c r="A222" s="4" t="s">
        <v>460</v>
      </c>
      <c r="B222" s="4" t="s">
        <v>461</v>
      </c>
      <c r="C222" s="4" t="s">
        <v>19</v>
      </c>
      <c r="D222" s="4" t="s">
        <v>13</v>
      </c>
      <c r="E222" s="5">
        <v>284.61200000000002</v>
      </c>
      <c r="F222" s="5">
        <v>280.87920000000003</v>
      </c>
      <c r="G222" s="5">
        <v>280.10379999999998</v>
      </c>
      <c r="H222" s="4">
        <v>0</v>
      </c>
      <c r="I222" s="6">
        <v>2681316</v>
      </c>
      <c r="J222" s="7">
        <v>151.27000000000001</v>
      </c>
      <c r="K222" s="9">
        <f>(PricingDataTable[[#This Row],[Current Price ($)]]-PricingDataTable[[#This Row],[Prior Price ($)]])/PricingDataTable[[#This Row],[Prior Price ($)]]</f>
        <v>-1.311539921015276E-2</v>
      </c>
      <c r="L222" s="9">
        <f>(PricingDataTable[[#This Row],[Vendor Price ($)]]-PricingDataTable[[#This Row],[Current Price ($)]])/PricingDataTable[[#This Row],[Current Price ($)]]</f>
        <v>-2.7606173757261034E-3</v>
      </c>
      <c r="M222" t="str">
        <f t="shared" si="6"/>
        <v>PASS</v>
      </c>
      <c r="N222" s="10" t="str">
        <f t="shared" si="7"/>
        <v>NONE</v>
      </c>
    </row>
    <row r="223" spans="1:14">
      <c r="A223" s="4" t="s">
        <v>462</v>
      </c>
      <c r="B223" s="4" t="s">
        <v>463</v>
      </c>
      <c r="C223" s="4" t="s">
        <v>16</v>
      </c>
      <c r="D223" s="4" t="s">
        <v>13</v>
      </c>
      <c r="E223" s="5">
        <v>87.477000000000004</v>
      </c>
      <c r="F223" s="5">
        <v>88.213300000000004</v>
      </c>
      <c r="G223" s="5">
        <v>94.175200000000004</v>
      </c>
      <c r="H223" s="4">
        <v>0</v>
      </c>
      <c r="I223" s="6">
        <v>3177871</v>
      </c>
      <c r="J223" s="7">
        <v>316.24</v>
      </c>
      <c r="K223" s="9">
        <f>(PricingDataTable[[#This Row],[Current Price ($)]]-PricingDataTable[[#This Row],[Prior Price ($)]])/PricingDataTable[[#This Row],[Prior Price ($)]]</f>
        <v>8.4170696297312421E-3</v>
      </c>
      <c r="L223" s="9">
        <f>(PricingDataTable[[#This Row],[Vendor Price ($)]]-PricingDataTable[[#This Row],[Current Price ($)]])/PricingDataTable[[#This Row],[Current Price ($)]]</f>
        <v>6.7585046699307247E-2</v>
      </c>
      <c r="M223" t="str">
        <f t="shared" si="6"/>
        <v>VENDOR DIFFERENCE</v>
      </c>
      <c r="N223" s="10" t="str">
        <f t="shared" si="7"/>
        <v>HIGH</v>
      </c>
    </row>
    <row r="224" spans="1:14">
      <c r="A224" s="4" t="s">
        <v>464</v>
      </c>
      <c r="B224" s="4" t="s">
        <v>465</v>
      </c>
      <c r="C224" s="4" t="s">
        <v>39</v>
      </c>
      <c r="D224" s="4" t="s">
        <v>32</v>
      </c>
      <c r="E224" s="5">
        <v>205.69499999999999</v>
      </c>
      <c r="F224" s="5">
        <v>205.78639999999999</v>
      </c>
      <c r="G224" s="5">
        <v>205.34549999999999</v>
      </c>
      <c r="H224" s="4">
        <v>0</v>
      </c>
      <c r="I224" s="6">
        <v>879497</v>
      </c>
      <c r="J224" s="7">
        <v>66.97</v>
      </c>
      <c r="K224" s="9">
        <f>(PricingDataTable[[#This Row],[Current Price ($)]]-PricingDataTable[[#This Row],[Prior Price ($)]])/PricingDataTable[[#This Row],[Prior Price ($)]]</f>
        <v>4.443472131067505E-4</v>
      </c>
      <c r="L224" s="9">
        <f>(PricingDataTable[[#This Row],[Vendor Price ($)]]-PricingDataTable[[#This Row],[Current Price ($)]])/PricingDataTable[[#This Row],[Current Price ($)]]</f>
        <v>-2.1425128191172945E-3</v>
      </c>
      <c r="M224" t="str">
        <f t="shared" si="6"/>
        <v>PASS</v>
      </c>
      <c r="N224" s="10" t="str">
        <f t="shared" si="7"/>
        <v>NONE</v>
      </c>
    </row>
    <row r="225" spans="1:14">
      <c r="A225" s="4" t="s">
        <v>466</v>
      </c>
      <c r="B225" s="4" t="s">
        <v>467</v>
      </c>
      <c r="C225" s="4" t="s">
        <v>19</v>
      </c>
      <c r="D225" s="4" t="s">
        <v>13</v>
      </c>
      <c r="E225" s="5">
        <v>330.10730000000001</v>
      </c>
      <c r="F225" s="5">
        <v>333.67070000000001</v>
      </c>
      <c r="G225" s="5">
        <v>333.54570000000001</v>
      </c>
      <c r="H225" s="4">
        <v>1</v>
      </c>
      <c r="I225" s="6">
        <v>3643336</v>
      </c>
      <c r="J225" s="7">
        <v>141.56</v>
      </c>
      <c r="K225" s="9">
        <f>(PricingDataTable[[#This Row],[Current Price ($)]]-PricingDataTable[[#This Row],[Prior Price ($)]])/PricingDataTable[[#This Row],[Prior Price ($)]]</f>
        <v>1.0794671914253338E-2</v>
      </c>
      <c r="L225" s="9">
        <f>(PricingDataTable[[#This Row],[Vendor Price ($)]]-PricingDataTable[[#This Row],[Current Price ($)]])/PricingDataTable[[#This Row],[Current Price ($)]]</f>
        <v>-3.7462084624151896E-4</v>
      </c>
      <c r="M225" t="str">
        <f t="shared" si="6"/>
        <v>PASS</v>
      </c>
      <c r="N225" s="10" t="str">
        <f t="shared" si="7"/>
        <v>NONE</v>
      </c>
    </row>
    <row r="226" spans="1:14">
      <c r="A226" s="4" t="s">
        <v>468</v>
      </c>
      <c r="B226" s="4" t="s">
        <v>469</v>
      </c>
      <c r="C226" s="4" t="s">
        <v>19</v>
      </c>
      <c r="D226" s="4" t="s">
        <v>13</v>
      </c>
      <c r="E226" s="5">
        <v>246.44130000000001</v>
      </c>
      <c r="F226" s="5">
        <v>245.60480000000001</v>
      </c>
      <c r="G226" s="5">
        <v>244.43090000000001</v>
      </c>
      <c r="H226" s="4">
        <v>0</v>
      </c>
      <c r="I226" s="6">
        <v>4119372</v>
      </c>
      <c r="J226" s="7">
        <v>138.4</v>
      </c>
      <c r="K226" s="9">
        <f>(PricingDataTable[[#This Row],[Current Price ($)]]-PricingDataTable[[#This Row],[Prior Price ($)]])/PricingDataTable[[#This Row],[Prior Price ($)]]</f>
        <v>-3.3943174297489946E-3</v>
      </c>
      <c r="L226" s="9">
        <f>(PricingDataTable[[#This Row],[Vendor Price ($)]]-PricingDataTable[[#This Row],[Current Price ($)]])/PricingDataTable[[#This Row],[Current Price ($)]]</f>
        <v>-4.7796297140772622E-3</v>
      </c>
      <c r="M226" t="str">
        <f t="shared" si="6"/>
        <v>PASS</v>
      </c>
      <c r="N226" s="10" t="str">
        <f t="shared" si="7"/>
        <v>NONE</v>
      </c>
    </row>
    <row r="227" spans="1:14">
      <c r="A227" s="4" t="s">
        <v>470</v>
      </c>
      <c r="B227" s="4" t="s">
        <v>471</v>
      </c>
      <c r="C227" s="4" t="s">
        <v>16</v>
      </c>
      <c r="D227" s="4" t="s">
        <v>13</v>
      </c>
      <c r="E227" s="5">
        <v>108.101</v>
      </c>
      <c r="F227" s="5">
        <v>90.268100000000004</v>
      </c>
      <c r="G227" s="5">
        <v>90.161600000000007</v>
      </c>
      <c r="H227" s="4">
        <v>0</v>
      </c>
      <c r="I227" s="6">
        <v>3951568</v>
      </c>
      <c r="J227" s="7">
        <v>440.29</v>
      </c>
      <c r="K227" s="9">
        <f>(PricingDataTable[[#This Row],[Current Price ($)]]-PricingDataTable[[#This Row],[Prior Price ($)]])/PricingDataTable[[#This Row],[Prior Price ($)]]</f>
        <v>-0.16496517146002346</v>
      </c>
      <c r="L227" s="9">
        <f>(PricingDataTable[[#This Row],[Vendor Price ($)]]-PricingDataTable[[#This Row],[Current Price ($)]])/PricingDataTable[[#This Row],[Current Price ($)]]</f>
        <v>-1.1798187842659469E-3</v>
      </c>
      <c r="M227" t="str">
        <f t="shared" si="6"/>
        <v>LARGE MOVE</v>
      </c>
      <c r="N227" s="10" t="str">
        <f t="shared" si="7"/>
        <v>HIGH</v>
      </c>
    </row>
    <row r="228" spans="1:14">
      <c r="A228" s="4" t="s">
        <v>472</v>
      </c>
      <c r="B228" s="4" t="s">
        <v>473</v>
      </c>
      <c r="C228" s="4" t="s">
        <v>19</v>
      </c>
      <c r="D228" s="4" t="s">
        <v>13</v>
      </c>
      <c r="E228" s="5">
        <v>71.229399999999998</v>
      </c>
      <c r="F228" s="5">
        <v>71.846800000000002</v>
      </c>
      <c r="G228" s="5">
        <v>71.710400000000007</v>
      </c>
      <c r="H228" s="4">
        <v>0</v>
      </c>
      <c r="I228" s="6">
        <v>518068</v>
      </c>
      <c r="J228" s="7">
        <v>136.19</v>
      </c>
      <c r="K228" s="9">
        <f>(PricingDataTable[[#This Row],[Current Price ($)]]-PricingDataTable[[#This Row],[Prior Price ($)]])/PricingDataTable[[#This Row],[Prior Price ($)]]</f>
        <v>8.6677692076586842E-3</v>
      </c>
      <c r="L228" s="9">
        <f>(PricingDataTable[[#This Row],[Vendor Price ($)]]-PricingDataTable[[#This Row],[Current Price ($)]])/PricingDataTable[[#This Row],[Current Price ($)]]</f>
        <v>-1.8984839965035985E-3</v>
      </c>
      <c r="M228" t="str">
        <f t="shared" si="6"/>
        <v>PASS</v>
      </c>
      <c r="N228" s="10" t="str">
        <f t="shared" si="7"/>
        <v>NONE</v>
      </c>
    </row>
    <row r="229" spans="1:14">
      <c r="A229" s="4" t="s">
        <v>474</v>
      </c>
      <c r="B229" s="4" t="s">
        <v>475</v>
      </c>
      <c r="C229" s="4" t="s">
        <v>19</v>
      </c>
      <c r="D229" s="4" t="s">
        <v>13</v>
      </c>
      <c r="E229" s="5">
        <v>193.1756</v>
      </c>
      <c r="F229" s="5">
        <v>196.2176</v>
      </c>
      <c r="G229" s="5">
        <v>196.07380000000001</v>
      </c>
      <c r="H229" s="4">
        <v>1</v>
      </c>
      <c r="I229" s="6">
        <v>3984115</v>
      </c>
      <c r="J229" s="7">
        <v>515.53</v>
      </c>
      <c r="K229" s="9">
        <f>(PricingDataTable[[#This Row],[Current Price ($)]]-PricingDataTable[[#This Row],[Prior Price ($)]])/PricingDataTable[[#This Row],[Prior Price ($)]]</f>
        <v>1.5747330408188206E-2</v>
      </c>
      <c r="L229" s="9">
        <f>(PricingDataTable[[#This Row],[Vendor Price ($)]]-PricingDataTable[[#This Row],[Current Price ($)]])/PricingDataTable[[#This Row],[Current Price ($)]]</f>
        <v>-7.3285984539612559E-4</v>
      </c>
      <c r="M229" t="str">
        <f t="shared" si="6"/>
        <v>PASS</v>
      </c>
      <c r="N229" s="10" t="str">
        <f t="shared" si="7"/>
        <v>NONE</v>
      </c>
    </row>
    <row r="230" spans="1:14">
      <c r="A230" s="4" t="s">
        <v>476</v>
      </c>
      <c r="B230" s="4" t="s">
        <v>477</v>
      </c>
      <c r="C230" s="4" t="s">
        <v>19</v>
      </c>
      <c r="D230" s="4" t="s">
        <v>13</v>
      </c>
      <c r="E230" s="5">
        <v>300.04739999999998</v>
      </c>
      <c r="F230" s="5">
        <v>304.62209999999999</v>
      </c>
      <c r="G230" s="5">
        <v>304.87950000000001</v>
      </c>
      <c r="H230" s="4">
        <v>5</v>
      </c>
      <c r="I230" s="6">
        <v>3767818</v>
      </c>
      <c r="J230" s="7">
        <v>155.76</v>
      </c>
      <c r="K230" s="9">
        <f>(PricingDataTable[[#This Row],[Current Price ($)]]-PricingDataTable[[#This Row],[Prior Price ($)]])/PricingDataTable[[#This Row],[Prior Price ($)]]</f>
        <v>1.5246591038615923E-2</v>
      </c>
      <c r="L230" s="9">
        <f>(PricingDataTable[[#This Row],[Vendor Price ($)]]-PricingDataTable[[#This Row],[Current Price ($)]])/PricingDataTable[[#This Row],[Current Price ($)]]</f>
        <v>8.4498137200163183E-4</v>
      </c>
      <c r="M230" t="str">
        <f t="shared" si="6"/>
        <v>STALE</v>
      </c>
      <c r="N230" s="10" t="str">
        <f t="shared" si="7"/>
        <v>MEDIUM</v>
      </c>
    </row>
    <row r="231" spans="1:14">
      <c r="A231" s="4" t="s">
        <v>478</v>
      </c>
      <c r="B231" s="4" t="s">
        <v>479</v>
      </c>
      <c r="C231" s="4" t="s">
        <v>39</v>
      </c>
      <c r="D231" s="4" t="s">
        <v>13</v>
      </c>
      <c r="E231" s="5">
        <v>152.79419999999999</v>
      </c>
      <c r="F231" s="5">
        <v>154.74940000000001</v>
      </c>
      <c r="G231" s="5">
        <v>154.71279999999999</v>
      </c>
      <c r="H231" s="4">
        <v>1</v>
      </c>
      <c r="I231" s="6">
        <v>563137</v>
      </c>
      <c r="J231" s="7">
        <v>78.510000000000005</v>
      </c>
      <c r="K231" s="9">
        <f>(PricingDataTable[[#This Row],[Current Price ($)]]-PricingDataTable[[#This Row],[Prior Price ($)]])/PricingDataTable[[#This Row],[Prior Price ($)]]</f>
        <v>1.2796297241649351E-2</v>
      </c>
      <c r="L231" s="9">
        <f>(PricingDataTable[[#This Row],[Vendor Price ($)]]-PricingDataTable[[#This Row],[Current Price ($)]])/PricingDataTable[[#This Row],[Current Price ($)]]</f>
        <v>-2.3651141781500464E-4</v>
      </c>
      <c r="M231" t="str">
        <f t="shared" si="6"/>
        <v>PASS</v>
      </c>
      <c r="N231" s="10" t="str">
        <f t="shared" si="7"/>
        <v>NONE</v>
      </c>
    </row>
    <row r="232" spans="1:14">
      <c r="A232" s="4" t="s">
        <v>480</v>
      </c>
      <c r="B232" s="4" t="s">
        <v>481</v>
      </c>
      <c r="C232" s="4" t="s">
        <v>16</v>
      </c>
      <c r="D232" s="4" t="s">
        <v>64</v>
      </c>
      <c r="E232" s="5">
        <v>100.98439999999999</v>
      </c>
      <c r="F232" s="5">
        <v>101.1502</v>
      </c>
      <c r="G232" s="5">
        <v>101.1264</v>
      </c>
      <c r="H232" s="4">
        <v>1</v>
      </c>
      <c r="I232" s="6">
        <v>4753934</v>
      </c>
      <c r="J232" s="7">
        <v>529.22</v>
      </c>
      <c r="K232" s="9">
        <f>(PricingDataTable[[#This Row],[Current Price ($)]]-PricingDataTable[[#This Row],[Prior Price ($)]])/PricingDataTable[[#This Row],[Prior Price ($)]]</f>
        <v>1.6418377491969492E-3</v>
      </c>
      <c r="L232" s="9">
        <f>(PricingDataTable[[#This Row],[Vendor Price ($)]]-PricingDataTable[[#This Row],[Current Price ($)]])/PricingDataTable[[#This Row],[Current Price ($)]]</f>
        <v>-2.3529365240992377E-4</v>
      </c>
      <c r="M232" t="str">
        <f t="shared" si="6"/>
        <v>PASS</v>
      </c>
      <c r="N232" s="10" t="str">
        <f t="shared" si="7"/>
        <v>NONE</v>
      </c>
    </row>
    <row r="233" spans="1:14">
      <c r="A233" s="4" t="s">
        <v>482</v>
      </c>
      <c r="B233" s="4" t="s">
        <v>483</v>
      </c>
      <c r="C233" s="4" t="s">
        <v>16</v>
      </c>
      <c r="D233" s="4" t="s">
        <v>13</v>
      </c>
      <c r="E233" s="5">
        <v>89.304599999999994</v>
      </c>
      <c r="F233" s="5">
        <v>88.345399999999998</v>
      </c>
      <c r="G233" s="5">
        <v>88.291399999999996</v>
      </c>
      <c r="H233" s="4">
        <v>0</v>
      </c>
      <c r="I233" s="6">
        <v>2311341</v>
      </c>
      <c r="J233" s="7">
        <v>362.8</v>
      </c>
      <c r="K233" s="9">
        <f>(PricingDataTable[[#This Row],[Current Price ($)]]-PricingDataTable[[#This Row],[Prior Price ($)]])/PricingDataTable[[#This Row],[Prior Price ($)]]</f>
        <v>-1.0740768112728748E-2</v>
      </c>
      <c r="L233" s="9">
        <f>(PricingDataTable[[#This Row],[Vendor Price ($)]]-PricingDataTable[[#This Row],[Current Price ($)]])/PricingDataTable[[#This Row],[Current Price ($)]]</f>
        <v>-6.1123725740108768E-4</v>
      </c>
      <c r="M233" t="str">
        <f t="shared" si="6"/>
        <v>PASS</v>
      </c>
      <c r="N233" s="10" t="str">
        <f t="shared" si="7"/>
        <v>NONE</v>
      </c>
    </row>
    <row r="234" spans="1:14">
      <c r="A234" s="4" t="s">
        <v>484</v>
      </c>
      <c r="B234" s="4" t="s">
        <v>485</v>
      </c>
      <c r="C234" s="4" t="s">
        <v>12</v>
      </c>
      <c r="D234" s="4" t="s">
        <v>13</v>
      </c>
      <c r="E234" s="5">
        <v>94.789599999999993</v>
      </c>
      <c r="F234" s="5">
        <v>96.051699999999997</v>
      </c>
      <c r="G234" s="5">
        <v>95.747500000000002</v>
      </c>
      <c r="H234" s="4">
        <v>0</v>
      </c>
      <c r="I234" s="6">
        <v>2543209</v>
      </c>
      <c r="J234" s="7">
        <v>279.99</v>
      </c>
      <c r="K234" s="9">
        <f>(PricingDataTable[[#This Row],[Current Price ($)]]-PricingDataTable[[#This Row],[Prior Price ($)]])/PricingDataTable[[#This Row],[Prior Price ($)]]</f>
        <v>1.331475182931465E-2</v>
      </c>
      <c r="L234" s="9">
        <f>(PricingDataTable[[#This Row],[Vendor Price ($)]]-PricingDataTable[[#This Row],[Current Price ($)]])/PricingDataTable[[#This Row],[Current Price ($)]]</f>
        <v>-3.1670444146224843E-3</v>
      </c>
      <c r="M234" t="str">
        <f t="shared" si="6"/>
        <v>PASS</v>
      </c>
      <c r="N234" s="10" t="str">
        <f t="shared" si="7"/>
        <v>NONE</v>
      </c>
    </row>
    <row r="235" spans="1:14">
      <c r="A235" s="4" t="s">
        <v>486</v>
      </c>
      <c r="B235" s="4" t="s">
        <v>487</v>
      </c>
      <c r="C235" s="4" t="s">
        <v>35</v>
      </c>
      <c r="D235" s="4" t="s">
        <v>13</v>
      </c>
      <c r="E235" s="5">
        <v>55.485500000000002</v>
      </c>
      <c r="F235" s="5">
        <v>55.440199999999997</v>
      </c>
      <c r="G235" s="5">
        <v>55.153599999999997</v>
      </c>
      <c r="H235" s="4">
        <v>0</v>
      </c>
      <c r="I235" s="6">
        <v>3416592</v>
      </c>
      <c r="J235" s="7">
        <v>666.9</v>
      </c>
      <c r="K235" s="9">
        <f>(PricingDataTable[[#This Row],[Current Price ($)]]-PricingDataTable[[#This Row],[Prior Price ($)]])/PricingDataTable[[#This Row],[Prior Price ($)]]</f>
        <v>-8.1642951762180309E-4</v>
      </c>
      <c r="L235" s="9">
        <f>(PricingDataTable[[#This Row],[Vendor Price ($)]]-PricingDataTable[[#This Row],[Current Price ($)]])/PricingDataTable[[#This Row],[Current Price ($)]]</f>
        <v>-5.1695340204400411E-3</v>
      </c>
      <c r="M235" t="str">
        <f t="shared" si="6"/>
        <v>PASS</v>
      </c>
      <c r="N235" s="10" t="str">
        <f t="shared" si="7"/>
        <v>NONE</v>
      </c>
    </row>
    <row r="236" spans="1:14">
      <c r="A236" s="4" t="s">
        <v>488</v>
      </c>
      <c r="B236" s="4" t="s">
        <v>489</v>
      </c>
      <c r="C236" s="4" t="s">
        <v>39</v>
      </c>
      <c r="D236" s="4" t="s">
        <v>13</v>
      </c>
      <c r="E236" s="5">
        <v>62.368600000000001</v>
      </c>
      <c r="F236" s="5">
        <v>62.035200000000003</v>
      </c>
      <c r="G236" s="5">
        <v>62.240299999999998</v>
      </c>
      <c r="H236" s="4">
        <v>2</v>
      </c>
      <c r="I236" s="6">
        <v>1684818</v>
      </c>
      <c r="J236" s="7">
        <v>753.31</v>
      </c>
      <c r="K236" s="9">
        <f>(PricingDataTable[[#This Row],[Current Price ($)]]-PricingDataTable[[#This Row],[Prior Price ($)]])/PricingDataTable[[#This Row],[Prior Price ($)]]</f>
        <v>-5.345638670741326E-3</v>
      </c>
      <c r="L236" s="9">
        <f>(PricingDataTable[[#This Row],[Vendor Price ($)]]-PricingDataTable[[#This Row],[Current Price ($)]])/PricingDataTable[[#This Row],[Current Price ($)]]</f>
        <v>3.3061874548642465E-3</v>
      </c>
      <c r="M236" t="str">
        <f t="shared" si="6"/>
        <v>PASS</v>
      </c>
      <c r="N236" s="10" t="str">
        <f t="shared" si="7"/>
        <v>NONE</v>
      </c>
    </row>
    <row r="237" spans="1:14">
      <c r="A237" s="4" t="s">
        <v>490</v>
      </c>
      <c r="B237" s="4" t="s">
        <v>491</v>
      </c>
      <c r="C237" s="4" t="s">
        <v>16</v>
      </c>
      <c r="D237" s="4" t="s">
        <v>36</v>
      </c>
      <c r="E237" s="5">
        <v>110.2317</v>
      </c>
      <c r="F237" s="5">
        <v>109.86190000000001</v>
      </c>
      <c r="G237" s="5">
        <v>110.4688</v>
      </c>
      <c r="H237" s="4">
        <v>0</v>
      </c>
      <c r="I237" s="6">
        <v>4984198</v>
      </c>
      <c r="J237" s="7">
        <v>401.6</v>
      </c>
      <c r="K237" s="9">
        <f>(PricingDataTable[[#This Row],[Current Price ($)]]-PricingDataTable[[#This Row],[Prior Price ($)]])/PricingDataTable[[#This Row],[Prior Price ($)]]</f>
        <v>-3.3547518545028144E-3</v>
      </c>
      <c r="L237" s="9">
        <f>(PricingDataTable[[#This Row],[Vendor Price ($)]]-PricingDataTable[[#This Row],[Current Price ($)]])/PricingDataTable[[#This Row],[Current Price ($)]]</f>
        <v>5.5242081194663119E-3</v>
      </c>
      <c r="M237" t="str">
        <f t="shared" si="6"/>
        <v>PASS</v>
      </c>
      <c r="N237" s="10" t="str">
        <f t="shared" si="7"/>
        <v>NONE</v>
      </c>
    </row>
    <row r="238" spans="1:14">
      <c r="A238" s="4" t="s">
        <v>492</v>
      </c>
      <c r="B238" s="4" t="s">
        <v>493</v>
      </c>
      <c r="C238" s="4" t="s">
        <v>16</v>
      </c>
      <c r="D238" s="4" t="s">
        <v>13</v>
      </c>
      <c r="E238" s="5">
        <v>116.8827</v>
      </c>
      <c r="F238" s="5">
        <v>116.7389</v>
      </c>
      <c r="G238" s="5">
        <v>117.3982</v>
      </c>
      <c r="H238" s="4">
        <v>0</v>
      </c>
      <c r="I238" s="6">
        <v>1798834</v>
      </c>
      <c r="J238" s="7">
        <v>771.43</v>
      </c>
      <c r="K238" s="9">
        <f>(PricingDataTable[[#This Row],[Current Price ($)]]-PricingDataTable[[#This Row],[Prior Price ($)]])/PricingDataTable[[#This Row],[Prior Price ($)]]</f>
        <v>-1.2302932769348999E-3</v>
      </c>
      <c r="L238" s="9">
        <f>(PricingDataTable[[#This Row],[Vendor Price ($)]]-PricingDataTable[[#This Row],[Current Price ($)]])/PricingDataTable[[#This Row],[Current Price ($)]]</f>
        <v>5.6476461573648695E-3</v>
      </c>
      <c r="M238" t="str">
        <f t="shared" si="6"/>
        <v>PASS</v>
      </c>
      <c r="N238" s="10" t="str">
        <f t="shared" si="7"/>
        <v>NONE</v>
      </c>
    </row>
    <row r="239" spans="1:14">
      <c r="A239" s="4" t="s">
        <v>494</v>
      </c>
      <c r="B239" s="4" t="s">
        <v>495</v>
      </c>
      <c r="C239" s="4" t="s">
        <v>12</v>
      </c>
      <c r="D239" s="4" t="s">
        <v>13</v>
      </c>
      <c r="E239" s="5">
        <v>95.475399999999993</v>
      </c>
      <c r="F239" s="5">
        <v>0</v>
      </c>
      <c r="G239" s="5">
        <v>89.088300000000004</v>
      </c>
      <c r="H239" s="4">
        <v>0</v>
      </c>
      <c r="I239" s="6">
        <v>2563381</v>
      </c>
      <c r="J239" s="7">
        <v>641.52</v>
      </c>
      <c r="K239" s="9">
        <f>(PricingDataTable[[#This Row],[Current Price ($)]]-PricingDataTable[[#This Row],[Prior Price ($)]])/PricingDataTable[[#This Row],[Prior Price ($)]]</f>
        <v>-1</v>
      </c>
      <c r="L239" s="9" t="e">
        <f>(PricingDataTable[[#This Row],[Vendor Price ($)]]-PricingDataTable[[#This Row],[Current Price ($)]])/PricingDataTable[[#This Row],[Current Price ($)]]</f>
        <v>#DIV/0!</v>
      </c>
      <c r="M239" t="str">
        <f t="shared" si="6"/>
        <v>MISSING</v>
      </c>
      <c r="N239" s="10" t="str">
        <f t="shared" si="7"/>
        <v>HIGH</v>
      </c>
    </row>
    <row r="240" spans="1:14">
      <c r="A240" s="4" t="s">
        <v>496</v>
      </c>
      <c r="B240" s="4" t="s">
        <v>497</v>
      </c>
      <c r="C240" s="4" t="s">
        <v>16</v>
      </c>
      <c r="D240" s="4" t="s">
        <v>13</v>
      </c>
      <c r="E240" s="5">
        <v>92.435500000000005</v>
      </c>
      <c r="F240" s="5">
        <v>92.419799999999995</v>
      </c>
      <c r="G240" s="5">
        <v>92.730699999999999</v>
      </c>
      <c r="H240" s="4">
        <v>0</v>
      </c>
      <c r="I240" s="6">
        <v>3140266</v>
      </c>
      <c r="J240" s="7">
        <v>505.4</v>
      </c>
      <c r="K240" s="9">
        <f>(PricingDataTable[[#This Row],[Current Price ($)]]-PricingDataTable[[#This Row],[Prior Price ($)]])/PricingDataTable[[#This Row],[Prior Price ($)]]</f>
        <v>-1.6984816439581757E-4</v>
      </c>
      <c r="L240" s="9">
        <f>(PricingDataTable[[#This Row],[Vendor Price ($)]]-PricingDataTable[[#This Row],[Current Price ($)]])/PricingDataTable[[#This Row],[Current Price ($)]]</f>
        <v>3.3639977580562147E-3</v>
      </c>
      <c r="M240" t="str">
        <f t="shared" si="6"/>
        <v>PASS</v>
      </c>
      <c r="N240" s="10" t="str">
        <f t="shared" si="7"/>
        <v>NONE</v>
      </c>
    </row>
    <row r="241" spans="1:14">
      <c r="A241" s="4" t="s">
        <v>498</v>
      </c>
      <c r="B241" s="4" t="s">
        <v>499</v>
      </c>
      <c r="C241" s="4" t="s">
        <v>19</v>
      </c>
      <c r="D241" s="4" t="s">
        <v>13</v>
      </c>
      <c r="E241" s="5">
        <v>172.75450000000001</v>
      </c>
      <c r="F241" s="5">
        <v>171.89400000000001</v>
      </c>
      <c r="G241" s="5">
        <v>172.24940000000001</v>
      </c>
      <c r="H241" s="4">
        <v>0</v>
      </c>
      <c r="I241" s="6">
        <v>1581078</v>
      </c>
      <c r="J241" s="7">
        <v>135.11000000000001</v>
      </c>
      <c r="K241" s="9">
        <f>(PricingDataTable[[#This Row],[Current Price ($)]]-PricingDataTable[[#This Row],[Prior Price ($)]])/PricingDataTable[[#This Row],[Prior Price ($)]]</f>
        <v>-4.9810569333939309E-3</v>
      </c>
      <c r="L241" s="9">
        <f>(PricingDataTable[[#This Row],[Vendor Price ($)]]-PricingDataTable[[#This Row],[Current Price ($)]])/PricingDataTable[[#This Row],[Current Price ($)]]</f>
        <v>2.0675532595669601E-3</v>
      </c>
      <c r="M241" t="str">
        <f t="shared" si="6"/>
        <v>PASS</v>
      </c>
      <c r="N241" s="10" t="str">
        <f t="shared" si="7"/>
        <v>NONE</v>
      </c>
    </row>
    <row r="242" spans="1:14">
      <c r="A242" s="4" t="s">
        <v>500</v>
      </c>
      <c r="B242" s="4" t="s">
        <v>501</v>
      </c>
      <c r="C242" s="4" t="s">
        <v>39</v>
      </c>
      <c r="D242" s="4" t="s">
        <v>32</v>
      </c>
      <c r="E242" s="5">
        <v>213.2114</v>
      </c>
      <c r="F242" s="5">
        <v>211.1506</v>
      </c>
      <c r="G242" s="5">
        <v>210.34059999999999</v>
      </c>
      <c r="H242" s="4">
        <v>5</v>
      </c>
      <c r="I242" s="6">
        <v>3258086</v>
      </c>
      <c r="J242" s="7">
        <v>663.11</v>
      </c>
      <c r="K242" s="9">
        <f>(PricingDataTable[[#This Row],[Current Price ($)]]-PricingDataTable[[#This Row],[Prior Price ($)]])/PricingDataTable[[#This Row],[Prior Price ($)]]</f>
        <v>-9.6655244513192094E-3</v>
      </c>
      <c r="L242" s="9">
        <f>(PricingDataTable[[#This Row],[Vendor Price ($)]]-PricingDataTable[[#This Row],[Current Price ($)]])/PricingDataTable[[#This Row],[Current Price ($)]]</f>
        <v>-3.8361245480713875E-3</v>
      </c>
      <c r="M242" t="str">
        <f t="shared" si="6"/>
        <v>STALE</v>
      </c>
      <c r="N242" s="10" t="str">
        <f t="shared" si="7"/>
        <v>MEDIUM</v>
      </c>
    </row>
    <row r="243" spans="1:14">
      <c r="A243" s="4" t="s">
        <v>502</v>
      </c>
      <c r="B243" s="4" t="s">
        <v>503</v>
      </c>
      <c r="C243" s="4" t="s">
        <v>39</v>
      </c>
      <c r="D243" s="4" t="s">
        <v>13</v>
      </c>
      <c r="E243" s="5">
        <v>251.97229999999999</v>
      </c>
      <c r="F243" s="5">
        <v>250.29249999999999</v>
      </c>
      <c r="G243" s="5">
        <v>249.30619999999999</v>
      </c>
      <c r="H243" s="4">
        <v>0</v>
      </c>
      <c r="I243" s="6">
        <v>4683924</v>
      </c>
      <c r="J243" s="7">
        <v>163.19</v>
      </c>
      <c r="K243" s="9">
        <f>(PricingDataTable[[#This Row],[Current Price ($)]]-PricingDataTable[[#This Row],[Prior Price ($)]])/PricingDataTable[[#This Row],[Prior Price ($)]]</f>
        <v>-6.666605813416793E-3</v>
      </c>
      <c r="L243" s="9">
        <f>(PricingDataTable[[#This Row],[Vendor Price ($)]]-PricingDataTable[[#This Row],[Current Price ($)]])/PricingDataTable[[#This Row],[Current Price ($)]]</f>
        <v>-3.9405895102729805E-3</v>
      </c>
      <c r="M243" t="str">
        <f t="shared" si="6"/>
        <v>PASS</v>
      </c>
      <c r="N243" s="10" t="str">
        <f t="shared" si="7"/>
        <v>NONE</v>
      </c>
    </row>
    <row r="244" spans="1:14">
      <c r="A244" s="4" t="s">
        <v>504</v>
      </c>
      <c r="B244" s="4" t="s">
        <v>505</v>
      </c>
      <c r="C244" s="4" t="s">
        <v>19</v>
      </c>
      <c r="D244" s="4" t="s">
        <v>13</v>
      </c>
      <c r="E244" s="5">
        <v>284.45359999999999</v>
      </c>
      <c r="F244" s="5">
        <v>284.62959999999998</v>
      </c>
      <c r="G244" s="5">
        <v>284.08839999999998</v>
      </c>
      <c r="H244" s="4">
        <v>0</v>
      </c>
      <c r="I244" s="6">
        <v>2577017</v>
      </c>
      <c r="J244" s="7">
        <v>378.54</v>
      </c>
      <c r="K244" s="9">
        <f>(PricingDataTable[[#This Row],[Current Price ($)]]-PricingDataTable[[#This Row],[Prior Price ($)]])/PricingDataTable[[#This Row],[Prior Price ($)]]</f>
        <v>6.18730084625358E-4</v>
      </c>
      <c r="L244" s="9">
        <f>(PricingDataTable[[#This Row],[Vendor Price ($)]]-PricingDataTable[[#This Row],[Current Price ($)]])/PricingDataTable[[#This Row],[Current Price ($)]]</f>
        <v>-1.9014185453656383E-3</v>
      </c>
      <c r="M244" t="str">
        <f t="shared" si="6"/>
        <v>PASS</v>
      </c>
      <c r="N244" s="10" t="str">
        <f t="shared" si="7"/>
        <v>NONE</v>
      </c>
    </row>
    <row r="245" spans="1:14">
      <c r="A245" s="4" t="s">
        <v>506</v>
      </c>
      <c r="B245" s="4" t="s">
        <v>507</v>
      </c>
      <c r="C245" s="4" t="s">
        <v>19</v>
      </c>
      <c r="D245" s="4" t="s">
        <v>13</v>
      </c>
      <c r="E245" s="5">
        <v>299.11509999999998</v>
      </c>
      <c r="F245" s="5">
        <v>292.03640000000001</v>
      </c>
      <c r="G245" s="5">
        <v>292.36</v>
      </c>
      <c r="H245" s="4">
        <v>0</v>
      </c>
      <c r="I245" s="6">
        <v>3202673</v>
      </c>
      <c r="J245" s="7">
        <v>476.95</v>
      </c>
      <c r="K245" s="9">
        <f>(PricingDataTable[[#This Row],[Current Price ($)]]-PricingDataTable[[#This Row],[Prior Price ($)]])/PricingDataTable[[#This Row],[Prior Price ($)]]</f>
        <v>-2.3665471920340932E-2</v>
      </c>
      <c r="L245" s="9">
        <f>(PricingDataTable[[#This Row],[Vendor Price ($)]]-PricingDataTable[[#This Row],[Current Price ($)]])/PricingDataTable[[#This Row],[Current Price ($)]]</f>
        <v>1.1080810474310703E-3</v>
      </c>
      <c r="M245" t="str">
        <f t="shared" si="6"/>
        <v>PASS</v>
      </c>
      <c r="N245" s="10" t="str">
        <f t="shared" si="7"/>
        <v>NONE</v>
      </c>
    </row>
    <row r="246" spans="1:14">
      <c r="A246" s="4" t="s">
        <v>508</v>
      </c>
      <c r="B246" s="4" t="s">
        <v>509</v>
      </c>
      <c r="C246" s="4" t="s">
        <v>39</v>
      </c>
      <c r="D246" s="4" t="s">
        <v>13</v>
      </c>
      <c r="E246" s="5">
        <v>347.38299999999998</v>
      </c>
      <c r="F246" s="5">
        <v>340.6155</v>
      </c>
      <c r="G246" s="5">
        <v>343.13510000000002</v>
      </c>
      <c r="H246" s="4">
        <v>0</v>
      </c>
      <c r="I246" s="6">
        <v>678895</v>
      </c>
      <c r="J246" s="7">
        <v>438.93</v>
      </c>
      <c r="K246" s="9">
        <f>(PricingDataTable[[#This Row],[Current Price ($)]]-PricingDataTable[[#This Row],[Prior Price ($)]])/PricingDataTable[[#This Row],[Prior Price ($)]]</f>
        <v>-1.9481379342109386E-2</v>
      </c>
      <c r="L246" s="9">
        <f>(PricingDataTable[[#This Row],[Vendor Price ($)]]-PricingDataTable[[#This Row],[Current Price ($)]])/PricingDataTable[[#This Row],[Current Price ($)]]</f>
        <v>7.3971971328375408E-3</v>
      </c>
      <c r="M246" t="str">
        <f t="shared" si="6"/>
        <v>PASS</v>
      </c>
      <c r="N246" s="10" t="str">
        <f t="shared" si="7"/>
        <v>NONE</v>
      </c>
    </row>
    <row r="247" spans="1:14">
      <c r="A247" s="4" t="s">
        <v>510</v>
      </c>
      <c r="B247" s="4" t="s">
        <v>511</v>
      </c>
      <c r="C247" s="4" t="s">
        <v>19</v>
      </c>
      <c r="D247" s="4" t="s">
        <v>13</v>
      </c>
      <c r="E247" s="5">
        <v>162.60220000000001</v>
      </c>
      <c r="F247" s="5">
        <v>163.4512</v>
      </c>
      <c r="G247" s="5">
        <v>164.2689</v>
      </c>
      <c r="H247" s="4">
        <v>1</v>
      </c>
      <c r="I247" s="6">
        <v>3639235</v>
      </c>
      <c r="J247" s="7">
        <v>570.21</v>
      </c>
      <c r="K247" s="9">
        <f>(PricingDataTable[[#This Row],[Current Price ($)]]-PricingDataTable[[#This Row],[Prior Price ($)]])/PricingDataTable[[#This Row],[Prior Price ($)]]</f>
        <v>5.2213315686994981E-3</v>
      </c>
      <c r="L247" s="9">
        <f>(PricingDataTable[[#This Row],[Vendor Price ($)]]-PricingDataTable[[#This Row],[Current Price ($)]])/PricingDataTable[[#This Row],[Current Price ($)]]</f>
        <v>5.0027164070988901E-3</v>
      </c>
      <c r="M247" t="str">
        <f t="shared" si="6"/>
        <v>PASS</v>
      </c>
      <c r="N247" s="10" t="str">
        <f t="shared" si="7"/>
        <v>NONE</v>
      </c>
    </row>
    <row r="248" spans="1:14">
      <c r="A248" s="4" t="s">
        <v>512</v>
      </c>
      <c r="B248" s="4" t="s">
        <v>513</v>
      </c>
      <c r="C248" s="4" t="s">
        <v>35</v>
      </c>
      <c r="D248" s="4" t="s">
        <v>13</v>
      </c>
      <c r="E248" s="5">
        <v>8.7150999999999996</v>
      </c>
      <c r="F248" s="5"/>
      <c r="G248" s="5">
        <v>10.332100000000001</v>
      </c>
      <c r="H248" s="4">
        <v>0</v>
      </c>
      <c r="I248" s="6">
        <v>1899054</v>
      </c>
      <c r="J248" s="7">
        <v>624.23</v>
      </c>
      <c r="K248" s="9">
        <f>(PricingDataTable[[#This Row],[Current Price ($)]]-PricingDataTable[[#This Row],[Prior Price ($)]])/PricingDataTable[[#This Row],[Prior Price ($)]]</f>
        <v>-1</v>
      </c>
      <c r="L248" s="9" t="e">
        <f>(PricingDataTable[[#This Row],[Vendor Price ($)]]-PricingDataTable[[#This Row],[Current Price ($)]])/PricingDataTable[[#This Row],[Current Price ($)]]</f>
        <v>#DIV/0!</v>
      </c>
      <c r="M248" t="str">
        <f t="shared" si="6"/>
        <v>MISSING</v>
      </c>
      <c r="N248" s="10" t="str">
        <f t="shared" si="7"/>
        <v>HIGH</v>
      </c>
    </row>
    <row r="249" spans="1:14">
      <c r="A249" s="4" t="s">
        <v>514</v>
      </c>
      <c r="B249" s="4" t="s">
        <v>515</v>
      </c>
      <c r="C249" s="4" t="s">
        <v>19</v>
      </c>
      <c r="D249" s="4" t="s">
        <v>13</v>
      </c>
      <c r="E249" s="5">
        <v>209.3254</v>
      </c>
      <c r="F249" s="5">
        <v>211.65690000000001</v>
      </c>
      <c r="G249" s="5">
        <v>212.68289999999999</v>
      </c>
      <c r="H249" s="4">
        <v>1</v>
      </c>
      <c r="I249" s="6">
        <v>1123307</v>
      </c>
      <c r="J249" s="7">
        <v>308.58999999999997</v>
      </c>
      <c r="K249" s="9">
        <f>(PricingDataTable[[#This Row],[Current Price ($)]]-PricingDataTable[[#This Row],[Prior Price ($)]])/PricingDataTable[[#This Row],[Prior Price ($)]]</f>
        <v>1.1138160968520808E-2</v>
      </c>
      <c r="L249" s="9">
        <f>(PricingDataTable[[#This Row],[Vendor Price ($)]]-PricingDataTable[[#This Row],[Current Price ($)]])/PricingDataTable[[#This Row],[Current Price ($)]]</f>
        <v>4.8474677650479714E-3</v>
      </c>
      <c r="M249" t="str">
        <f t="shared" si="6"/>
        <v>PASS</v>
      </c>
      <c r="N249" s="10" t="str">
        <f t="shared" si="7"/>
        <v>NONE</v>
      </c>
    </row>
    <row r="250" spans="1:14">
      <c r="A250" s="4" t="s">
        <v>516</v>
      </c>
      <c r="B250" s="4" t="s">
        <v>517</v>
      </c>
      <c r="C250" s="4" t="s">
        <v>39</v>
      </c>
      <c r="D250" s="4" t="s">
        <v>13</v>
      </c>
      <c r="E250" s="5">
        <v>318.15780000000001</v>
      </c>
      <c r="F250" s="5">
        <v>318.44279999999998</v>
      </c>
      <c r="G250" s="5">
        <v>318.26909999999998</v>
      </c>
      <c r="H250" s="4">
        <v>0</v>
      </c>
      <c r="I250" s="6">
        <v>1034157</v>
      </c>
      <c r="J250" s="7">
        <v>330.06</v>
      </c>
      <c r="K250" s="9">
        <f>(PricingDataTable[[#This Row],[Current Price ($)]]-PricingDataTable[[#This Row],[Prior Price ($)]])/PricingDataTable[[#This Row],[Prior Price ($)]]</f>
        <v>8.9578190445108738E-4</v>
      </c>
      <c r="L250" s="9">
        <f>(PricingDataTable[[#This Row],[Vendor Price ($)]]-PricingDataTable[[#This Row],[Current Price ($)]])/PricingDataTable[[#This Row],[Current Price ($)]]</f>
        <v>-5.4546687819601091E-4</v>
      </c>
      <c r="M250" t="str">
        <f t="shared" si="6"/>
        <v>PASS</v>
      </c>
      <c r="N250" s="10" t="str">
        <f t="shared" si="7"/>
        <v>NONE</v>
      </c>
    </row>
    <row r="251" spans="1:14">
      <c r="A251" s="4" t="s">
        <v>518</v>
      </c>
      <c r="B251" s="4" t="s">
        <v>519</v>
      </c>
      <c r="C251" s="4" t="s">
        <v>16</v>
      </c>
      <c r="D251" s="4" t="s">
        <v>13</v>
      </c>
      <c r="E251" s="5">
        <v>113.5625</v>
      </c>
      <c r="F251" s="5">
        <v>112.25369999999999</v>
      </c>
      <c r="G251" s="5">
        <v>111.9378</v>
      </c>
      <c r="H251" s="4">
        <v>1</v>
      </c>
      <c r="I251" s="6">
        <v>3728178</v>
      </c>
      <c r="J251" s="7">
        <v>342.35</v>
      </c>
      <c r="K251" s="9">
        <f>(PricingDataTable[[#This Row],[Current Price ($)]]-PricingDataTable[[#This Row],[Prior Price ($)]])/PricingDataTable[[#This Row],[Prior Price ($)]]</f>
        <v>-1.1524931205283478E-2</v>
      </c>
      <c r="L251" s="9">
        <f>(PricingDataTable[[#This Row],[Vendor Price ($)]]-PricingDataTable[[#This Row],[Current Price ($)]])/PricingDataTable[[#This Row],[Current Price ($)]]</f>
        <v>-2.8141611367821211E-3</v>
      </c>
      <c r="M251" t="str">
        <f t="shared" si="6"/>
        <v>PASS</v>
      </c>
      <c r="N251" s="10" t="str">
        <f t="shared" si="7"/>
        <v>NONE</v>
      </c>
    </row>
    <row r="252" spans="1:14">
      <c r="A252" s="4" t="s">
        <v>520</v>
      </c>
      <c r="B252" s="4" t="s">
        <v>521</v>
      </c>
      <c r="C252" s="4" t="s">
        <v>16</v>
      </c>
      <c r="D252" s="4" t="s">
        <v>13</v>
      </c>
      <c r="E252" s="5">
        <v>109.75960000000001</v>
      </c>
      <c r="F252" s="5">
        <v>108.998</v>
      </c>
      <c r="G252" s="5">
        <v>108.7958</v>
      </c>
      <c r="H252" s="4">
        <v>0</v>
      </c>
      <c r="I252" s="6">
        <v>881084</v>
      </c>
      <c r="J252" s="7">
        <v>460.52</v>
      </c>
      <c r="K252" s="9">
        <f>(PricingDataTable[[#This Row],[Current Price ($)]]-PricingDataTable[[#This Row],[Prior Price ($)]])/PricingDataTable[[#This Row],[Prior Price ($)]]</f>
        <v>-6.9388007973790111E-3</v>
      </c>
      <c r="L252" s="9">
        <f>(PricingDataTable[[#This Row],[Vendor Price ($)]]-PricingDataTable[[#This Row],[Current Price ($)]])/PricingDataTable[[#This Row],[Current Price ($)]]</f>
        <v>-1.8550799097231583E-3</v>
      </c>
      <c r="M252" t="str">
        <f t="shared" si="6"/>
        <v>PASS</v>
      </c>
      <c r="N252" s="10" t="str">
        <f t="shared" si="7"/>
        <v>NONE</v>
      </c>
    </row>
    <row r="253" spans="1:14">
      <c r="A253" s="4" t="s">
        <v>522</v>
      </c>
      <c r="B253" s="4" t="s">
        <v>523</v>
      </c>
      <c r="C253" s="4" t="s">
        <v>19</v>
      </c>
      <c r="D253" s="4" t="s">
        <v>32</v>
      </c>
      <c r="E253" s="5">
        <v>178.2268</v>
      </c>
      <c r="F253" s="5">
        <v>175.35310000000001</v>
      </c>
      <c r="G253" s="5">
        <v>174.7757</v>
      </c>
      <c r="H253" s="4">
        <v>0</v>
      </c>
      <c r="I253" s="6">
        <v>4599121</v>
      </c>
      <c r="J253" s="7">
        <v>446.82</v>
      </c>
      <c r="K253" s="9">
        <f>(PricingDataTable[[#This Row],[Current Price ($)]]-PricingDataTable[[#This Row],[Prior Price ($)]])/PricingDataTable[[#This Row],[Prior Price ($)]]</f>
        <v>-1.612383771688649E-2</v>
      </c>
      <c r="L253" s="9">
        <f>(PricingDataTable[[#This Row],[Vendor Price ($)]]-PricingDataTable[[#This Row],[Current Price ($)]])/PricingDataTable[[#This Row],[Current Price ($)]]</f>
        <v>-3.2927846727546384E-3</v>
      </c>
      <c r="M253" t="str">
        <f t="shared" si="6"/>
        <v>PASS</v>
      </c>
      <c r="N253" s="10" t="str">
        <f t="shared" si="7"/>
        <v>NONE</v>
      </c>
    </row>
    <row r="254" spans="1:14">
      <c r="A254" s="4" t="s">
        <v>524</v>
      </c>
      <c r="B254" s="4" t="s">
        <v>525</v>
      </c>
      <c r="C254" s="4" t="s">
        <v>19</v>
      </c>
      <c r="D254" s="4" t="s">
        <v>13</v>
      </c>
      <c r="E254" s="5">
        <v>237.6985</v>
      </c>
      <c r="F254" s="5">
        <v>242.21440000000001</v>
      </c>
      <c r="G254" s="5">
        <v>241.45230000000001</v>
      </c>
      <c r="H254" s="4">
        <v>0</v>
      </c>
      <c r="I254" s="6">
        <v>850686</v>
      </c>
      <c r="J254" s="7">
        <v>814.32</v>
      </c>
      <c r="K254" s="9">
        <f>(PricingDataTable[[#This Row],[Current Price ($)]]-PricingDataTable[[#This Row],[Prior Price ($)]])/PricingDataTable[[#This Row],[Prior Price ($)]]</f>
        <v>1.8998437095732689E-2</v>
      </c>
      <c r="L254" s="9">
        <f>(PricingDataTable[[#This Row],[Vendor Price ($)]]-PricingDataTable[[#This Row],[Current Price ($)]])/PricingDataTable[[#This Row],[Current Price ($)]]</f>
        <v>-3.1463860117317707E-3</v>
      </c>
      <c r="M254" t="str">
        <f t="shared" si="6"/>
        <v>PASS</v>
      </c>
      <c r="N254" s="10" t="str">
        <f t="shared" si="7"/>
        <v>NONE</v>
      </c>
    </row>
    <row r="255" spans="1:14">
      <c r="A255" s="4" t="s">
        <v>526</v>
      </c>
      <c r="B255" s="4" t="s">
        <v>527</v>
      </c>
      <c r="C255" s="4" t="s">
        <v>16</v>
      </c>
      <c r="D255" s="4" t="s">
        <v>237</v>
      </c>
      <c r="E255" s="5">
        <v>88.206299999999999</v>
      </c>
      <c r="F255" s="5">
        <v>90.049899999999994</v>
      </c>
      <c r="G255" s="5">
        <v>90.203000000000003</v>
      </c>
      <c r="H255" s="4">
        <v>0</v>
      </c>
      <c r="I255" s="6">
        <v>973248</v>
      </c>
      <c r="J255" s="7">
        <v>85.68</v>
      </c>
      <c r="K255" s="9">
        <f>(PricingDataTable[[#This Row],[Current Price ($)]]-PricingDataTable[[#This Row],[Prior Price ($)]])/PricingDataTable[[#This Row],[Prior Price ($)]]</f>
        <v>2.0901001402394103E-2</v>
      </c>
      <c r="L255" s="9">
        <f>(PricingDataTable[[#This Row],[Vendor Price ($)]]-PricingDataTable[[#This Row],[Current Price ($)]])/PricingDataTable[[#This Row],[Current Price ($)]]</f>
        <v>1.7001684621527522E-3</v>
      </c>
      <c r="M255" t="str">
        <f t="shared" si="6"/>
        <v>PASS</v>
      </c>
      <c r="N255" s="10" t="str">
        <f t="shared" si="7"/>
        <v>NONE</v>
      </c>
    </row>
    <row r="256" spans="1:14">
      <c r="A256" s="4" t="s">
        <v>528</v>
      </c>
      <c r="B256" s="4" t="s">
        <v>529</v>
      </c>
      <c r="C256" s="4" t="s">
        <v>39</v>
      </c>
      <c r="D256" s="4" t="s">
        <v>13</v>
      </c>
      <c r="E256" s="5">
        <v>66.315200000000004</v>
      </c>
      <c r="F256" s="5">
        <v>65.781199999999998</v>
      </c>
      <c r="G256" s="5">
        <v>65.946399999999997</v>
      </c>
      <c r="H256" s="4">
        <v>0</v>
      </c>
      <c r="I256" s="6">
        <v>3362965</v>
      </c>
      <c r="J256" s="7">
        <v>360.35</v>
      </c>
      <c r="K256" s="9">
        <f>(PricingDataTable[[#This Row],[Current Price ($)]]-PricingDataTable[[#This Row],[Prior Price ($)]])/PricingDataTable[[#This Row],[Prior Price ($)]]</f>
        <v>-8.0524525297368619E-3</v>
      </c>
      <c r="L256" s="9">
        <f>(PricingDataTable[[#This Row],[Vendor Price ($)]]-PricingDataTable[[#This Row],[Current Price ($)]])/PricingDataTable[[#This Row],[Current Price ($)]]</f>
        <v>2.5113558281089229E-3</v>
      </c>
      <c r="M256" t="str">
        <f t="shared" si="6"/>
        <v>PASS</v>
      </c>
      <c r="N256" s="10" t="str">
        <f t="shared" si="7"/>
        <v>NONE</v>
      </c>
    </row>
    <row r="257" spans="1:14">
      <c r="A257" s="4" t="s">
        <v>530</v>
      </c>
      <c r="B257" s="4" t="s">
        <v>531</v>
      </c>
      <c r="C257" s="4" t="s">
        <v>39</v>
      </c>
      <c r="D257" s="4" t="s">
        <v>13</v>
      </c>
      <c r="E257" s="5">
        <v>171.5598</v>
      </c>
      <c r="F257" s="5">
        <v>167.77680000000001</v>
      </c>
      <c r="G257" s="5">
        <v>168.2722</v>
      </c>
      <c r="H257" s="4">
        <v>1</v>
      </c>
      <c r="I257" s="6">
        <v>871008</v>
      </c>
      <c r="J257" s="7">
        <v>374.54</v>
      </c>
      <c r="K257" s="9">
        <f>(PricingDataTable[[#This Row],[Current Price ($)]]-PricingDataTable[[#This Row],[Prior Price ($)]])/PricingDataTable[[#This Row],[Prior Price ($)]]</f>
        <v>-2.2050620250198397E-2</v>
      </c>
      <c r="L257" s="9">
        <f>(PricingDataTable[[#This Row],[Vendor Price ($)]]-PricingDataTable[[#This Row],[Current Price ($)]])/PricingDataTable[[#This Row],[Current Price ($)]]</f>
        <v>2.9527324397651488E-3</v>
      </c>
      <c r="M257" t="str">
        <f t="shared" si="6"/>
        <v>PASS</v>
      </c>
      <c r="N257" s="10" t="str">
        <f t="shared" si="7"/>
        <v>NONE</v>
      </c>
    </row>
    <row r="258" spans="1:14">
      <c r="A258" s="4" t="s">
        <v>532</v>
      </c>
      <c r="B258" s="4" t="s">
        <v>533</v>
      </c>
      <c r="C258" s="4" t="s">
        <v>39</v>
      </c>
      <c r="D258" s="4" t="s">
        <v>13</v>
      </c>
      <c r="E258" s="5">
        <v>69.991100000000003</v>
      </c>
      <c r="F258" s="5">
        <v>60.167499999999997</v>
      </c>
      <c r="G258" s="5">
        <v>60.284100000000002</v>
      </c>
      <c r="H258" s="4">
        <v>2</v>
      </c>
      <c r="I258" s="6">
        <v>2637018</v>
      </c>
      <c r="J258" s="7">
        <v>11.32</v>
      </c>
      <c r="K258" s="9">
        <f>(PricingDataTable[[#This Row],[Current Price ($)]]-PricingDataTable[[#This Row],[Prior Price ($)]])/PricingDataTable[[#This Row],[Prior Price ($)]]</f>
        <v>-0.14035498799133042</v>
      </c>
      <c r="L258" s="9">
        <f>(PricingDataTable[[#This Row],[Vendor Price ($)]]-PricingDataTable[[#This Row],[Current Price ($)]])/PricingDataTable[[#This Row],[Current Price ($)]]</f>
        <v>1.9379232974613434E-3</v>
      </c>
      <c r="M258" t="str">
        <f t="shared" ref="M258:M321" si="8">IF(OR(F258="",F258=0),"MISSING",IF(H258&gt;=3,"STALE",IF(ABS(K258)&gt;=5%,"LARGE MOVE",IF(ABS(L258)&gt;=2%,"VENDOR DIFFERENCE","PASS"))))</f>
        <v>LARGE MOVE</v>
      </c>
      <c r="N258" s="10" t="str">
        <f t="shared" ref="N258:N321" si="9">IF(M258="PASS","NONE",IF(M258="MISSING","HIGH",IF(OR(ABS(K258)&gt;=10%,ABS(L258)&gt;=5%),"HIGH",IF(OR(ABS(K258)&gt;=7%,ABS(L258)&gt;=3%,H258&gt;=5),"MEDIUM","LOW"))))</f>
        <v>HIGH</v>
      </c>
    </row>
    <row r="259" spans="1:14">
      <c r="A259" s="4" t="s">
        <v>534</v>
      </c>
      <c r="B259" s="4" t="s">
        <v>535</v>
      </c>
      <c r="C259" s="4" t="s">
        <v>39</v>
      </c>
      <c r="D259" s="4" t="s">
        <v>13</v>
      </c>
      <c r="E259" s="5">
        <v>201.23419999999999</v>
      </c>
      <c r="F259" s="5">
        <v>204.7946</v>
      </c>
      <c r="G259" s="5">
        <v>204.66800000000001</v>
      </c>
      <c r="H259" s="4">
        <v>1</v>
      </c>
      <c r="I259" s="6">
        <v>2086214</v>
      </c>
      <c r="J259" s="7">
        <v>433.84</v>
      </c>
      <c r="K259" s="9">
        <f>(PricingDataTable[[#This Row],[Current Price ($)]]-PricingDataTable[[#This Row],[Prior Price ($)]])/PricingDataTable[[#This Row],[Prior Price ($)]]</f>
        <v>1.7692817622451926E-2</v>
      </c>
      <c r="L259" s="9">
        <f>(PricingDataTable[[#This Row],[Vendor Price ($)]]-PricingDataTable[[#This Row],[Current Price ($)]])/PricingDataTable[[#This Row],[Current Price ($)]]</f>
        <v>-6.1818036217750009E-4</v>
      </c>
      <c r="M259" t="str">
        <f t="shared" si="8"/>
        <v>PASS</v>
      </c>
      <c r="N259" s="10" t="str">
        <f t="shared" si="9"/>
        <v>NONE</v>
      </c>
    </row>
    <row r="260" spans="1:14">
      <c r="A260" s="4" t="s">
        <v>536</v>
      </c>
      <c r="B260" s="4" t="s">
        <v>537</v>
      </c>
      <c r="C260" s="4" t="s">
        <v>19</v>
      </c>
      <c r="D260" s="4" t="s">
        <v>64</v>
      </c>
      <c r="E260" s="5">
        <v>313.08519999999999</v>
      </c>
      <c r="F260" s="5">
        <v>312.64890000000003</v>
      </c>
      <c r="G260" s="5">
        <v>312.55540000000002</v>
      </c>
      <c r="H260" s="4">
        <v>0</v>
      </c>
      <c r="I260" s="6">
        <v>4125242</v>
      </c>
      <c r="J260" s="7">
        <v>288.70999999999998</v>
      </c>
      <c r="K260" s="9">
        <f>(PricingDataTable[[#This Row],[Current Price ($)]]-PricingDataTable[[#This Row],[Prior Price ($)]])/PricingDataTable[[#This Row],[Prior Price ($)]]</f>
        <v>-1.3935503818128746E-3</v>
      </c>
      <c r="L260" s="9">
        <f>(PricingDataTable[[#This Row],[Vendor Price ($)]]-PricingDataTable[[#This Row],[Current Price ($)]])/PricingDataTable[[#This Row],[Current Price ($)]]</f>
        <v>-2.9905750507999837E-4</v>
      </c>
      <c r="M260" t="str">
        <f t="shared" si="8"/>
        <v>PASS</v>
      </c>
      <c r="N260" s="10" t="str">
        <f t="shared" si="9"/>
        <v>NONE</v>
      </c>
    </row>
    <row r="261" spans="1:14">
      <c r="A261" s="4" t="s">
        <v>538</v>
      </c>
      <c r="B261" s="4" t="s">
        <v>539</v>
      </c>
      <c r="C261" s="4" t="s">
        <v>19</v>
      </c>
      <c r="D261" s="4" t="s">
        <v>13</v>
      </c>
      <c r="E261" s="5">
        <v>228.0145</v>
      </c>
      <c r="F261" s="5">
        <v>226.37039999999999</v>
      </c>
      <c r="G261" s="5">
        <v>226.6542</v>
      </c>
      <c r="H261" s="4">
        <v>0</v>
      </c>
      <c r="I261" s="6">
        <v>996785</v>
      </c>
      <c r="J261" s="7">
        <v>882.61</v>
      </c>
      <c r="K261" s="9">
        <f>(PricingDataTable[[#This Row],[Current Price ($)]]-PricingDataTable[[#This Row],[Prior Price ($)]])/PricingDataTable[[#This Row],[Prior Price ($)]]</f>
        <v>-7.2105063493769425E-3</v>
      </c>
      <c r="L261" s="9">
        <f>(PricingDataTable[[#This Row],[Vendor Price ($)]]-PricingDataTable[[#This Row],[Current Price ($)]])/PricingDataTable[[#This Row],[Current Price ($)]]</f>
        <v>1.253697479882589E-3</v>
      </c>
      <c r="M261" t="str">
        <f t="shared" si="8"/>
        <v>PASS</v>
      </c>
      <c r="N261" s="10" t="str">
        <f t="shared" si="9"/>
        <v>NONE</v>
      </c>
    </row>
    <row r="262" spans="1:14">
      <c r="A262" s="4" t="s">
        <v>540</v>
      </c>
      <c r="B262" s="4" t="s">
        <v>541</v>
      </c>
      <c r="C262" s="4" t="s">
        <v>19</v>
      </c>
      <c r="D262" s="4" t="s">
        <v>13</v>
      </c>
      <c r="E262" s="5">
        <v>198.53880000000001</v>
      </c>
      <c r="F262" s="5">
        <v>199.5789</v>
      </c>
      <c r="G262" s="5">
        <v>199.57919999999999</v>
      </c>
      <c r="H262" s="4">
        <v>0</v>
      </c>
      <c r="I262" s="6">
        <v>3827949</v>
      </c>
      <c r="J262" s="7">
        <v>855.33</v>
      </c>
      <c r="K262" s="9">
        <f>(PricingDataTable[[#This Row],[Current Price ($)]]-PricingDataTable[[#This Row],[Prior Price ($)]])/PricingDataTable[[#This Row],[Prior Price ($)]]</f>
        <v>5.2387744863975974E-3</v>
      </c>
      <c r="L262" s="9">
        <f>(PricingDataTable[[#This Row],[Vendor Price ($)]]-PricingDataTable[[#This Row],[Current Price ($)]])/PricingDataTable[[#This Row],[Current Price ($)]]</f>
        <v>1.5031649136333413E-6</v>
      </c>
      <c r="M262" t="str">
        <f t="shared" si="8"/>
        <v>PASS</v>
      </c>
      <c r="N262" s="10" t="str">
        <f t="shared" si="9"/>
        <v>NONE</v>
      </c>
    </row>
    <row r="263" spans="1:14">
      <c r="A263" s="4" t="s">
        <v>542</v>
      </c>
      <c r="B263" s="4" t="s">
        <v>543</v>
      </c>
      <c r="C263" s="4" t="s">
        <v>39</v>
      </c>
      <c r="D263" s="4" t="s">
        <v>64</v>
      </c>
      <c r="E263" s="5">
        <v>121.5346</v>
      </c>
      <c r="F263" s="5">
        <v>121.75020000000001</v>
      </c>
      <c r="G263" s="5">
        <v>121.25879999999999</v>
      </c>
      <c r="H263" s="4">
        <v>0</v>
      </c>
      <c r="I263" s="6">
        <v>19429</v>
      </c>
      <c r="J263" s="7">
        <v>307.35000000000002</v>
      </c>
      <c r="K263" s="9">
        <f>(PricingDataTable[[#This Row],[Current Price ($)]]-PricingDataTable[[#This Row],[Prior Price ($)]])/PricingDataTable[[#This Row],[Prior Price ($)]]</f>
        <v>1.7739804138081593E-3</v>
      </c>
      <c r="L263" s="9">
        <f>(PricingDataTable[[#This Row],[Vendor Price ($)]]-PricingDataTable[[#This Row],[Current Price ($)]])/PricingDataTable[[#This Row],[Current Price ($)]]</f>
        <v>-4.0361330001923027E-3</v>
      </c>
      <c r="M263" t="str">
        <f t="shared" si="8"/>
        <v>PASS</v>
      </c>
      <c r="N263" s="10" t="str">
        <f t="shared" si="9"/>
        <v>NONE</v>
      </c>
    </row>
    <row r="264" spans="1:14">
      <c r="A264" s="4" t="s">
        <v>544</v>
      </c>
      <c r="B264" s="4" t="s">
        <v>545</v>
      </c>
      <c r="C264" s="4" t="s">
        <v>16</v>
      </c>
      <c r="D264" s="4" t="s">
        <v>13</v>
      </c>
      <c r="E264" s="5">
        <v>80.316100000000006</v>
      </c>
      <c r="F264" s="5">
        <v>81.210999999999999</v>
      </c>
      <c r="G264" s="5">
        <v>81.0398</v>
      </c>
      <c r="H264" s="4">
        <v>0</v>
      </c>
      <c r="I264" s="6">
        <v>1013889</v>
      </c>
      <c r="J264" s="7">
        <v>837.21</v>
      </c>
      <c r="K264" s="9">
        <f>(PricingDataTable[[#This Row],[Current Price ($)]]-PricingDataTable[[#This Row],[Prior Price ($)]])/PricingDataTable[[#This Row],[Prior Price ($)]]</f>
        <v>1.1142224286288709E-2</v>
      </c>
      <c r="L264" s="9">
        <f>(PricingDataTable[[#This Row],[Vendor Price ($)]]-PricingDataTable[[#This Row],[Current Price ($)]])/PricingDataTable[[#This Row],[Current Price ($)]]</f>
        <v>-2.1080888057036476E-3</v>
      </c>
      <c r="M264" t="str">
        <f t="shared" si="8"/>
        <v>PASS</v>
      </c>
      <c r="N264" s="10" t="str">
        <f t="shared" si="9"/>
        <v>NONE</v>
      </c>
    </row>
    <row r="265" spans="1:14">
      <c r="A265" s="4" t="s">
        <v>546</v>
      </c>
      <c r="B265" s="4" t="s">
        <v>547</v>
      </c>
      <c r="C265" s="4" t="s">
        <v>16</v>
      </c>
      <c r="D265" s="4" t="s">
        <v>32</v>
      </c>
      <c r="E265" s="5">
        <v>110.8394</v>
      </c>
      <c r="F265" s="5">
        <v>111.9119</v>
      </c>
      <c r="G265" s="5">
        <v>112.1296</v>
      </c>
      <c r="H265" s="4">
        <v>0</v>
      </c>
      <c r="I265" s="6">
        <v>4944542</v>
      </c>
      <c r="J265" s="7">
        <v>860.58</v>
      </c>
      <c r="K265" s="9">
        <f>(PricingDataTable[[#This Row],[Current Price ($)]]-PricingDataTable[[#This Row],[Prior Price ($)]])/PricingDataTable[[#This Row],[Prior Price ($)]]</f>
        <v>9.6761620867670262E-3</v>
      </c>
      <c r="L265" s="9">
        <f>(PricingDataTable[[#This Row],[Vendor Price ($)]]-PricingDataTable[[#This Row],[Current Price ($)]])/PricingDataTable[[#This Row],[Current Price ($)]]</f>
        <v>1.9452801712775277E-3</v>
      </c>
      <c r="M265" t="str">
        <f t="shared" si="8"/>
        <v>PASS</v>
      </c>
      <c r="N265" s="10" t="str">
        <f t="shared" si="9"/>
        <v>NONE</v>
      </c>
    </row>
    <row r="266" spans="1:14">
      <c r="A266" s="4" t="s">
        <v>548</v>
      </c>
      <c r="B266" s="4" t="s">
        <v>549</v>
      </c>
      <c r="C266" s="4" t="s">
        <v>19</v>
      </c>
      <c r="D266" s="4" t="s">
        <v>32</v>
      </c>
      <c r="E266" s="5">
        <v>197.20339999999999</v>
      </c>
      <c r="F266" s="5">
        <v>194.34</v>
      </c>
      <c r="G266" s="5">
        <v>194.6568</v>
      </c>
      <c r="H266" s="4">
        <v>3</v>
      </c>
      <c r="I266" s="6">
        <v>1077944</v>
      </c>
      <c r="J266" s="7">
        <v>93.38</v>
      </c>
      <c r="K266" s="9">
        <f>(PricingDataTable[[#This Row],[Current Price ($)]]-PricingDataTable[[#This Row],[Prior Price ($)]])/PricingDataTable[[#This Row],[Prior Price ($)]]</f>
        <v>-1.4520033630251733E-2</v>
      </c>
      <c r="L266" s="9">
        <f>(PricingDataTable[[#This Row],[Vendor Price ($)]]-PricingDataTable[[#This Row],[Current Price ($)]])/PricingDataTable[[#This Row],[Current Price ($)]]</f>
        <v>1.630132757023776E-3</v>
      </c>
      <c r="M266" t="str">
        <f t="shared" si="8"/>
        <v>STALE</v>
      </c>
      <c r="N266" s="10" t="str">
        <f t="shared" si="9"/>
        <v>LOW</v>
      </c>
    </row>
    <row r="267" spans="1:14">
      <c r="A267" s="4" t="s">
        <v>550</v>
      </c>
      <c r="B267" s="4" t="s">
        <v>551</v>
      </c>
      <c r="C267" s="4" t="s">
        <v>12</v>
      </c>
      <c r="D267" s="4" t="s">
        <v>13</v>
      </c>
      <c r="E267" s="5">
        <v>119.06950000000001</v>
      </c>
      <c r="F267" s="5">
        <v>117.3616</v>
      </c>
      <c r="G267" s="5">
        <v>117.5976</v>
      </c>
      <c r="H267" s="4">
        <v>0</v>
      </c>
      <c r="I267" s="6">
        <v>1119804</v>
      </c>
      <c r="J267" s="7">
        <v>124.53</v>
      </c>
      <c r="K267" s="9">
        <f>(PricingDataTable[[#This Row],[Current Price ($)]]-PricingDataTable[[#This Row],[Prior Price ($)]])/PricingDataTable[[#This Row],[Prior Price ($)]]</f>
        <v>-1.434372362359806E-2</v>
      </c>
      <c r="L267" s="9">
        <f>(PricingDataTable[[#This Row],[Vendor Price ($)]]-PricingDataTable[[#This Row],[Current Price ($)]])/PricingDataTable[[#This Row],[Current Price ($)]]</f>
        <v>2.0108791972843266E-3</v>
      </c>
      <c r="M267" t="str">
        <f t="shared" si="8"/>
        <v>PASS</v>
      </c>
      <c r="N267" s="10" t="str">
        <f t="shared" si="9"/>
        <v>NONE</v>
      </c>
    </row>
    <row r="268" spans="1:14">
      <c r="A268" s="4" t="s">
        <v>552</v>
      </c>
      <c r="B268" s="4" t="s">
        <v>553</v>
      </c>
      <c r="C268" s="4" t="s">
        <v>19</v>
      </c>
      <c r="D268" s="4" t="s">
        <v>13</v>
      </c>
      <c r="E268" s="5">
        <v>302.36200000000002</v>
      </c>
      <c r="F268" s="5">
        <v>300.34620000000001</v>
      </c>
      <c r="G268" s="5">
        <v>298.29669999999999</v>
      </c>
      <c r="H268" s="4">
        <v>0</v>
      </c>
      <c r="I268" s="6">
        <v>1113931</v>
      </c>
      <c r="J268" s="7">
        <v>883.21</v>
      </c>
      <c r="K268" s="9">
        <f>(PricingDataTable[[#This Row],[Current Price ($)]]-PricingDataTable[[#This Row],[Prior Price ($)]])/PricingDataTable[[#This Row],[Prior Price ($)]]</f>
        <v>-6.6668430556750275E-3</v>
      </c>
      <c r="L268" s="9">
        <f>(PricingDataTable[[#This Row],[Vendor Price ($)]]-PricingDataTable[[#This Row],[Current Price ($)]])/PricingDataTable[[#This Row],[Current Price ($)]]</f>
        <v>-6.8237920106864114E-3</v>
      </c>
      <c r="M268" t="str">
        <f t="shared" si="8"/>
        <v>PASS</v>
      </c>
      <c r="N268" s="10" t="str">
        <f t="shared" si="9"/>
        <v>NONE</v>
      </c>
    </row>
    <row r="269" spans="1:14">
      <c r="A269" s="4" t="s">
        <v>554</v>
      </c>
      <c r="B269" s="4" t="s">
        <v>555</v>
      </c>
      <c r="C269" s="4" t="s">
        <v>16</v>
      </c>
      <c r="D269" s="4" t="s">
        <v>13</v>
      </c>
      <c r="E269" s="5">
        <v>91.119100000000003</v>
      </c>
      <c r="F269" s="5">
        <v>91.881699999999995</v>
      </c>
      <c r="G269" s="5">
        <v>92.052099999999996</v>
      </c>
      <c r="H269" s="4">
        <v>0</v>
      </c>
      <c r="I269" s="6">
        <v>4479701</v>
      </c>
      <c r="J269" s="7">
        <v>257.48</v>
      </c>
      <c r="K269" s="9">
        <f>(PricingDataTable[[#This Row],[Current Price ($)]]-PricingDataTable[[#This Row],[Prior Price ($)]])/PricingDataTable[[#This Row],[Prior Price ($)]]</f>
        <v>8.3692661582477432E-3</v>
      </c>
      <c r="L269" s="9">
        <f>(PricingDataTable[[#This Row],[Vendor Price ($)]]-PricingDataTable[[#This Row],[Current Price ($)]])/PricingDataTable[[#This Row],[Current Price ($)]]</f>
        <v>1.8545586335472763E-3</v>
      </c>
      <c r="M269" t="str">
        <f t="shared" si="8"/>
        <v>PASS</v>
      </c>
      <c r="N269" s="10" t="str">
        <f t="shared" si="9"/>
        <v>NONE</v>
      </c>
    </row>
    <row r="270" spans="1:14">
      <c r="A270" s="4" t="s">
        <v>556</v>
      </c>
      <c r="B270" s="4" t="s">
        <v>557</v>
      </c>
      <c r="C270" s="4" t="s">
        <v>16</v>
      </c>
      <c r="D270" s="4" t="s">
        <v>13</v>
      </c>
      <c r="E270" s="5">
        <v>82.266300000000001</v>
      </c>
      <c r="F270" s="5">
        <v>81.949600000000004</v>
      </c>
      <c r="G270" s="5">
        <v>81.805599999999998</v>
      </c>
      <c r="H270" s="4">
        <v>0</v>
      </c>
      <c r="I270" s="6">
        <v>2476818</v>
      </c>
      <c r="J270" s="7">
        <v>183.76</v>
      </c>
      <c r="K270" s="9">
        <f>(PricingDataTable[[#This Row],[Current Price ($)]]-PricingDataTable[[#This Row],[Prior Price ($)]])/PricingDataTable[[#This Row],[Prior Price ($)]]</f>
        <v>-3.8496930091665399E-3</v>
      </c>
      <c r="L270" s="9">
        <f>(PricingDataTable[[#This Row],[Vendor Price ($)]]-PricingDataTable[[#This Row],[Current Price ($)]])/PricingDataTable[[#This Row],[Current Price ($)]]</f>
        <v>-1.7571775823189552E-3</v>
      </c>
      <c r="M270" t="str">
        <f t="shared" si="8"/>
        <v>PASS</v>
      </c>
      <c r="N270" s="10" t="str">
        <f t="shared" si="9"/>
        <v>NONE</v>
      </c>
    </row>
    <row r="271" spans="1:14">
      <c r="A271" s="4" t="s">
        <v>558</v>
      </c>
      <c r="B271" s="4" t="s">
        <v>559</v>
      </c>
      <c r="C271" s="4" t="s">
        <v>16</v>
      </c>
      <c r="D271" s="4" t="s">
        <v>13</v>
      </c>
      <c r="E271" s="5">
        <v>105.80540000000001</v>
      </c>
      <c r="F271" s="5">
        <v>105.0697</v>
      </c>
      <c r="G271" s="5">
        <v>104.70829999999999</v>
      </c>
      <c r="H271" s="4">
        <v>0</v>
      </c>
      <c r="I271" s="6">
        <v>2413887</v>
      </c>
      <c r="J271" s="7">
        <v>623.70000000000005</v>
      </c>
      <c r="K271" s="9">
        <f>(PricingDataTable[[#This Row],[Current Price ($)]]-PricingDataTable[[#This Row],[Prior Price ($)]])/PricingDataTable[[#This Row],[Prior Price ($)]]</f>
        <v>-6.9533313044514589E-3</v>
      </c>
      <c r="L271" s="9">
        <f>(PricingDataTable[[#This Row],[Vendor Price ($)]]-PricingDataTable[[#This Row],[Current Price ($)]])/PricingDataTable[[#This Row],[Current Price ($)]]</f>
        <v>-3.4396215083892243E-3</v>
      </c>
      <c r="M271" t="str">
        <f t="shared" si="8"/>
        <v>PASS</v>
      </c>
      <c r="N271" s="10" t="str">
        <f t="shared" si="9"/>
        <v>NONE</v>
      </c>
    </row>
    <row r="272" spans="1:14">
      <c r="A272" s="4" t="s">
        <v>560</v>
      </c>
      <c r="B272" s="4" t="s">
        <v>561</v>
      </c>
      <c r="C272" s="4" t="s">
        <v>16</v>
      </c>
      <c r="D272" s="4" t="s">
        <v>237</v>
      </c>
      <c r="E272" s="5">
        <v>123.7911</v>
      </c>
      <c r="F272" s="5">
        <v>133.5324</v>
      </c>
      <c r="G272" s="5">
        <v>134.00129999999999</v>
      </c>
      <c r="H272" s="4">
        <v>2</v>
      </c>
      <c r="I272" s="6">
        <v>3085836</v>
      </c>
      <c r="J272" s="7">
        <v>679.65</v>
      </c>
      <c r="K272" s="9">
        <f>(PricingDataTable[[#This Row],[Current Price ($)]]-PricingDataTable[[#This Row],[Prior Price ($)]])/PricingDataTable[[#This Row],[Prior Price ($)]]</f>
        <v>7.8691440660919848E-2</v>
      </c>
      <c r="L272" s="9">
        <f>(PricingDataTable[[#This Row],[Vendor Price ($)]]-PricingDataTable[[#This Row],[Current Price ($)]])/PricingDataTable[[#This Row],[Current Price ($)]]</f>
        <v>3.5115073195718101E-3</v>
      </c>
      <c r="M272" t="str">
        <f t="shared" si="8"/>
        <v>LARGE MOVE</v>
      </c>
      <c r="N272" s="10" t="str">
        <f t="shared" si="9"/>
        <v>MEDIUM</v>
      </c>
    </row>
    <row r="273" spans="1:14">
      <c r="A273" s="4" t="s">
        <v>562</v>
      </c>
      <c r="B273" s="4" t="s">
        <v>563</v>
      </c>
      <c r="C273" s="4" t="s">
        <v>19</v>
      </c>
      <c r="D273" s="4" t="s">
        <v>32</v>
      </c>
      <c r="E273" s="5">
        <v>74.176199999999994</v>
      </c>
      <c r="F273" s="5">
        <v>71.757499999999993</v>
      </c>
      <c r="G273" s="5">
        <v>71.952399999999997</v>
      </c>
      <c r="H273" s="4">
        <v>1</v>
      </c>
      <c r="I273" s="6">
        <v>2342363</v>
      </c>
      <c r="J273" s="7">
        <v>501.03</v>
      </c>
      <c r="K273" s="9">
        <f>(PricingDataTable[[#This Row],[Current Price ($)]]-PricingDataTable[[#This Row],[Prior Price ($)]])/PricingDataTable[[#This Row],[Prior Price ($)]]</f>
        <v>-3.2607494047956098E-2</v>
      </c>
      <c r="L273" s="9">
        <f>(PricingDataTable[[#This Row],[Vendor Price ($)]]-PricingDataTable[[#This Row],[Current Price ($)]])/PricingDataTable[[#This Row],[Current Price ($)]]</f>
        <v>2.7160923945232776E-3</v>
      </c>
      <c r="M273" t="str">
        <f t="shared" si="8"/>
        <v>PASS</v>
      </c>
      <c r="N273" s="10" t="str">
        <f t="shared" si="9"/>
        <v>NONE</v>
      </c>
    </row>
    <row r="274" spans="1:14">
      <c r="A274" s="4" t="s">
        <v>564</v>
      </c>
      <c r="B274" s="4" t="s">
        <v>565</v>
      </c>
      <c r="C274" s="4" t="s">
        <v>12</v>
      </c>
      <c r="D274" s="4" t="s">
        <v>13</v>
      </c>
      <c r="E274" s="5">
        <v>91.528099999999995</v>
      </c>
      <c r="F274" s="5">
        <v>91.368499999999997</v>
      </c>
      <c r="G274" s="5">
        <v>91.214600000000004</v>
      </c>
      <c r="H274" s="4">
        <v>0</v>
      </c>
      <c r="I274" s="6">
        <v>2527269</v>
      </c>
      <c r="J274" s="7">
        <v>441.6</v>
      </c>
      <c r="K274" s="9">
        <f>(PricingDataTable[[#This Row],[Current Price ($)]]-PricingDataTable[[#This Row],[Prior Price ($)]])/PricingDataTable[[#This Row],[Prior Price ($)]]</f>
        <v>-1.7437267899147642E-3</v>
      </c>
      <c r="L274" s="9">
        <f>(PricingDataTable[[#This Row],[Vendor Price ($)]]-PricingDataTable[[#This Row],[Current Price ($)]])/PricingDataTable[[#This Row],[Current Price ($)]]</f>
        <v>-1.684387945517252E-3</v>
      </c>
      <c r="M274" t="str">
        <f t="shared" si="8"/>
        <v>PASS</v>
      </c>
      <c r="N274" s="10" t="str">
        <f t="shared" si="9"/>
        <v>NONE</v>
      </c>
    </row>
    <row r="275" spans="1:14">
      <c r="A275" s="4" t="s">
        <v>566</v>
      </c>
      <c r="B275" s="4" t="s">
        <v>567</v>
      </c>
      <c r="C275" s="4" t="s">
        <v>16</v>
      </c>
      <c r="D275" s="4" t="s">
        <v>32</v>
      </c>
      <c r="E275" s="5">
        <v>90.893000000000001</v>
      </c>
      <c r="F275" s="5">
        <v>91.023399999999995</v>
      </c>
      <c r="G275" s="5">
        <v>91.194400000000002</v>
      </c>
      <c r="H275" s="4">
        <v>0</v>
      </c>
      <c r="I275" s="6">
        <v>1856543</v>
      </c>
      <c r="J275" s="7">
        <v>795.08</v>
      </c>
      <c r="K275" s="9">
        <f>(PricingDataTable[[#This Row],[Current Price ($)]]-PricingDataTable[[#This Row],[Prior Price ($)]])/PricingDataTable[[#This Row],[Prior Price ($)]]</f>
        <v>1.4346539337462129E-3</v>
      </c>
      <c r="L275" s="9">
        <f>(PricingDataTable[[#This Row],[Vendor Price ($)]]-PricingDataTable[[#This Row],[Current Price ($)]])/PricingDataTable[[#This Row],[Current Price ($)]]</f>
        <v>1.8786378008293085E-3</v>
      </c>
      <c r="M275" t="str">
        <f t="shared" si="8"/>
        <v>PASS</v>
      </c>
      <c r="N275" s="10" t="str">
        <f t="shared" si="9"/>
        <v>NONE</v>
      </c>
    </row>
    <row r="276" spans="1:14">
      <c r="A276" s="4" t="s">
        <v>568</v>
      </c>
      <c r="B276" s="4" t="s">
        <v>569</v>
      </c>
      <c r="C276" s="4" t="s">
        <v>19</v>
      </c>
      <c r="D276" s="4" t="s">
        <v>13</v>
      </c>
      <c r="E276" s="5">
        <v>333.00540000000001</v>
      </c>
      <c r="F276" s="5">
        <v>329.66590000000002</v>
      </c>
      <c r="G276" s="5">
        <v>328.90640000000002</v>
      </c>
      <c r="H276" s="4">
        <v>0</v>
      </c>
      <c r="I276" s="6">
        <v>2017184</v>
      </c>
      <c r="J276" s="7">
        <v>814.07</v>
      </c>
      <c r="K276" s="9">
        <f>(PricingDataTable[[#This Row],[Current Price ($)]]-PricingDataTable[[#This Row],[Prior Price ($)]])/PricingDataTable[[#This Row],[Prior Price ($)]]</f>
        <v>-1.0028365906378655E-2</v>
      </c>
      <c r="L276" s="9">
        <f>(PricingDataTable[[#This Row],[Vendor Price ($)]]-PricingDataTable[[#This Row],[Current Price ($)]])/PricingDataTable[[#This Row],[Current Price ($)]]</f>
        <v>-2.3038476226992319E-3</v>
      </c>
      <c r="M276" t="str">
        <f t="shared" si="8"/>
        <v>PASS</v>
      </c>
      <c r="N276" s="10" t="str">
        <f t="shared" si="9"/>
        <v>NONE</v>
      </c>
    </row>
    <row r="277" spans="1:14">
      <c r="A277" s="4" t="s">
        <v>570</v>
      </c>
      <c r="B277" s="4" t="s">
        <v>571</v>
      </c>
      <c r="C277" s="4" t="s">
        <v>19</v>
      </c>
      <c r="D277" s="4" t="s">
        <v>13</v>
      </c>
      <c r="E277" s="5">
        <v>310.89580000000001</v>
      </c>
      <c r="F277" s="5">
        <v>306.0059</v>
      </c>
      <c r="G277" s="5">
        <v>307.11649999999997</v>
      </c>
      <c r="H277" s="4">
        <v>1</v>
      </c>
      <c r="I277" s="6">
        <v>3146376</v>
      </c>
      <c r="J277" s="7">
        <v>462.98</v>
      </c>
      <c r="K277" s="9">
        <f>(PricingDataTable[[#This Row],[Current Price ($)]]-PricingDataTable[[#This Row],[Prior Price ($)]])/PricingDataTable[[#This Row],[Prior Price ($)]]</f>
        <v>-1.5728420905010653E-2</v>
      </c>
      <c r="L277" s="9">
        <f>(PricingDataTable[[#This Row],[Vendor Price ($)]]-PricingDataTable[[#This Row],[Current Price ($)]])/PricingDataTable[[#This Row],[Current Price ($)]]</f>
        <v>3.6293417872007589E-3</v>
      </c>
      <c r="M277" t="str">
        <f t="shared" si="8"/>
        <v>PASS</v>
      </c>
      <c r="N277" s="10" t="str">
        <f t="shared" si="9"/>
        <v>NONE</v>
      </c>
    </row>
    <row r="278" spans="1:14">
      <c r="A278" s="4" t="s">
        <v>572</v>
      </c>
      <c r="B278" s="4" t="s">
        <v>573</v>
      </c>
      <c r="C278" s="4" t="s">
        <v>16</v>
      </c>
      <c r="D278" s="4" t="s">
        <v>13</v>
      </c>
      <c r="E278" s="5">
        <v>107.57640000000001</v>
      </c>
      <c r="F278" s="5">
        <v>107.3476</v>
      </c>
      <c r="G278" s="5">
        <v>107.4683</v>
      </c>
      <c r="H278" s="4">
        <v>1</v>
      </c>
      <c r="I278" s="6">
        <v>1769163</v>
      </c>
      <c r="J278" s="7">
        <v>603.37</v>
      </c>
      <c r="K278" s="9">
        <f>(PricingDataTable[[#This Row],[Current Price ($)]]-PricingDataTable[[#This Row],[Prior Price ($)]])/PricingDataTable[[#This Row],[Prior Price ($)]]</f>
        <v>-2.1268605381850178E-3</v>
      </c>
      <c r="L278" s="9">
        <f>(PricingDataTable[[#This Row],[Vendor Price ($)]]-PricingDataTable[[#This Row],[Current Price ($)]])/PricingDataTable[[#This Row],[Current Price ($)]]</f>
        <v>1.1243847091131926E-3</v>
      </c>
      <c r="M278" t="str">
        <f t="shared" si="8"/>
        <v>PASS</v>
      </c>
      <c r="N278" s="10" t="str">
        <f t="shared" si="9"/>
        <v>NONE</v>
      </c>
    </row>
    <row r="279" spans="1:14">
      <c r="A279" s="4" t="s">
        <v>574</v>
      </c>
      <c r="B279" s="4" t="s">
        <v>575</v>
      </c>
      <c r="C279" s="4" t="s">
        <v>39</v>
      </c>
      <c r="D279" s="4" t="s">
        <v>13</v>
      </c>
      <c r="E279" s="5">
        <v>291.43200000000002</v>
      </c>
      <c r="F279" s="5">
        <v>295.59089999999998</v>
      </c>
      <c r="G279" s="5">
        <v>294.58339999999998</v>
      </c>
      <c r="H279" s="4">
        <v>0</v>
      </c>
      <c r="I279" s="6">
        <v>2783630</v>
      </c>
      <c r="J279" s="7">
        <v>34.29</v>
      </c>
      <c r="K279" s="9">
        <f>(PricingDataTable[[#This Row],[Current Price ($)]]-PricingDataTable[[#This Row],[Prior Price ($)]])/PricingDataTable[[#This Row],[Prior Price ($)]]</f>
        <v>1.4270567405089214E-2</v>
      </c>
      <c r="L279" s="9">
        <f>(PricingDataTable[[#This Row],[Vendor Price ($)]]-PricingDataTable[[#This Row],[Current Price ($)]])/PricingDataTable[[#This Row],[Current Price ($)]]</f>
        <v>-3.4084269847278561E-3</v>
      </c>
      <c r="M279" t="str">
        <f t="shared" si="8"/>
        <v>PASS</v>
      </c>
      <c r="N279" s="10" t="str">
        <f t="shared" si="9"/>
        <v>NONE</v>
      </c>
    </row>
    <row r="280" spans="1:14">
      <c r="A280" s="4" t="s">
        <v>576</v>
      </c>
      <c r="B280" s="4" t="s">
        <v>577</v>
      </c>
      <c r="C280" s="4" t="s">
        <v>19</v>
      </c>
      <c r="D280" s="4" t="s">
        <v>13</v>
      </c>
      <c r="E280" s="5">
        <v>32.091200000000001</v>
      </c>
      <c r="F280" s="5">
        <v>32.459600000000002</v>
      </c>
      <c r="G280" s="5">
        <v>32.266800000000003</v>
      </c>
      <c r="H280" s="4">
        <v>0</v>
      </c>
      <c r="I280" s="6">
        <v>993420</v>
      </c>
      <c r="J280" s="7">
        <v>481.44</v>
      </c>
      <c r="K280" s="9">
        <f>(PricingDataTable[[#This Row],[Current Price ($)]]-PricingDataTable[[#This Row],[Prior Price ($)]])/PricingDataTable[[#This Row],[Prior Price ($)]]</f>
        <v>1.1479782619534364E-2</v>
      </c>
      <c r="L280" s="9">
        <f>(PricingDataTable[[#This Row],[Vendor Price ($)]]-PricingDataTable[[#This Row],[Current Price ($)]])/PricingDataTable[[#This Row],[Current Price ($)]]</f>
        <v>-5.9396911853503527E-3</v>
      </c>
      <c r="M280" t="str">
        <f t="shared" si="8"/>
        <v>PASS</v>
      </c>
      <c r="N280" s="10" t="str">
        <f t="shared" si="9"/>
        <v>NONE</v>
      </c>
    </row>
    <row r="281" spans="1:14">
      <c r="A281" s="4" t="s">
        <v>578</v>
      </c>
      <c r="B281" s="4" t="s">
        <v>579</v>
      </c>
      <c r="C281" s="4" t="s">
        <v>19</v>
      </c>
      <c r="D281" s="4" t="s">
        <v>32</v>
      </c>
      <c r="E281" s="5">
        <v>23.566800000000001</v>
      </c>
      <c r="F281" s="5">
        <v>23.720800000000001</v>
      </c>
      <c r="G281" s="5">
        <v>23.6662</v>
      </c>
      <c r="H281" s="4">
        <v>1</v>
      </c>
      <c r="I281" s="6">
        <v>3672493</v>
      </c>
      <c r="J281" s="7">
        <v>343.4</v>
      </c>
      <c r="K281" s="9">
        <f>(PricingDataTable[[#This Row],[Current Price ($)]]-PricingDataTable[[#This Row],[Prior Price ($)]])/PricingDataTable[[#This Row],[Prior Price ($)]]</f>
        <v>6.5346164943904097E-3</v>
      </c>
      <c r="L281" s="9">
        <f>(PricingDataTable[[#This Row],[Vendor Price ($)]]-PricingDataTable[[#This Row],[Current Price ($)]])/PricingDataTable[[#This Row],[Current Price ($)]]</f>
        <v>-2.3017773430913228E-3</v>
      </c>
      <c r="M281" t="str">
        <f t="shared" si="8"/>
        <v>PASS</v>
      </c>
      <c r="N281" s="10" t="str">
        <f t="shared" si="9"/>
        <v>NONE</v>
      </c>
    </row>
    <row r="282" spans="1:14">
      <c r="A282" s="4" t="s">
        <v>580</v>
      </c>
      <c r="B282" s="4" t="s">
        <v>581</v>
      </c>
      <c r="C282" s="4" t="s">
        <v>16</v>
      </c>
      <c r="D282" s="4" t="s">
        <v>13</v>
      </c>
      <c r="E282" s="5">
        <v>81.819100000000006</v>
      </c>
      <c r="F282" s="5">
        <v>80.460099999999997</v>
      </c>
      <c r="G282" s="5">
        <v>80.733000000000004</v>
      </c>
      <c r="H282" s="4">
        <v>0</v>
      </c>
      <c r="I282" s="6">
        <v>3131045</v>
      </c>
      <c r="J282" s="7">
        <v>861.66</v>
      </c>
      <c r="K282" s="9">
        <f>(PricingDataTable[[#This Row],[Current Price ($)]]-PricingDataTable[[#This Row],[Prior Price ($)]])/PricingDataTable[[#This Row],[Prior Price ($)]]</f>
        <v>-1.6609813600980808E-2</v>
      </c>
      <c r="L282" s="9">
        <f>(PricingDataTable[[#This Row],[Vendor Price ($)]]-PricingDataTable[[#This Row],[Current Price ($)]])/PricingDataTable[[#This Row],[Current Price ($)]]</f>
        <v>3.3917432367099598E-3</v>
      </c>
      <c r="M282" t="str">
        <f t="shared" si="8"/>
        <v>PASS</v>
      </c>
      <c r="N282" s="10" t="str">
        <f t="shared" si="9"/>
        <v>NONE</v>
      </c>
    </row>
    <row r="283" spans="1:14">
      <c r="A283" s="4" t="s">
        <v>582</v>
      </c>
      <c r="B283" s="4" t="s">
        <v>583</v>
      </c>
      <c r="C283" s="4" t="s">
        <v>39</v>
      </c>
      <c r="D283" s="4" t="s">
        <v>13</v>
      </c>
      <c r="E283" s="5">
        <v>22.2864</v>
      </c>
      <c r="F283" s="5">
        <v>22.046199999999999</v>
      </c>
      <c r="G283" s="5">
        <v>22.016999999999999</v>
      </c>
      <c r="H283" s="4">
        <v>0</v>
      </c>
      <c r="I283" s="6">
        <v>1777178</v>
      </c>
      <c r="J283" s="7">
        <v>371.51</v>
      </c>
      <c r="K283" s="9">
        <f>(PricingDataTable[[#This Row],[Current Price ($)]]-PricingDataTable[[#This Row],[Prior Price ($)]])/PricingDataTable[[#This Row],[Prior Price ($)]]</f>
        <v>-1.0777873501328233E-2</v>
      </c>
      <c r="L283" s="9">
        <f>(PricingDataTable[[#This Row],[Vendor Price ($)]]-PricingDataTable[[#This Row],[Current Price ($)]])/PricingDataTable[[#This Row],[Current Price ($)]]</f>
        <v>-1.324491295552043E-3</v>
      </c>
      <c r="M283" t="str">
        <f t="shared" si="8"/>
        <v>PASS</v>
      </c>
      <c r="N283" s="10" t="str">
        <f t="shared" si="9"/>
        <v>NONE</v>
      </c>
    </row>
    <row r="284" spans="1:14">
      <c r="A284" s="4" t="s">
        <v>584</v>
      </c>
      <c r="B284" s="4" t="s">
        <v>585</v>
      </c>
      <c r="C284" s="4" t="s">
        <v>19</v>
      </c>
      <c r="D284" s="4" t="s">
        <v>13</v>
      </c>
      <c r="E284" s="5">
        <v>218.97460000000001</v>
      </c>
      <c r="F284" s="5">
        <v>218.95230000000001</v>
      </c>
      <c r="G284" s="5">
        <v>219.2764</v>
      </c>
      <c r="H284" s="4">
        <v>0</v>
      </c>
      <c r="I284" s="6">
        <v>4605096</v>
      </c>
      <c r="J284" s="7">
        <v>415.25</v>
      </c>
      <c r="K284" s="9">
        <f>(PricingDataTable[[#This Row],[Current Price ($)]]-PricingDataTable[[#This Row],[Prior Price ($)]])/PricingDataTable[[#This Row],[Prior Price ($)]]</f>
        <v>-1.0183829540047712E-4</v>
      </c>
      <c r="L284" s="9">
        <f>(PricingDataTable[[#This Row],[Vendor Price ($)]]-PricingDataTable[[#This Row],[Current Price ($)]])/PricingDataTable[[#This Row],[Current Price ($)]]</f>
        <v>1.480231082295035E-3</v>
      </c>
      <c r="M284" t="str">
        <f t="shared" si="8"/>
        <v>PASS</v>
      </c>
      <c r="N284" s="10" t="str">
        <f t="shared" si="9"/>
        <v>NONE</v>
      </c>
    </row>
    <row r="285" spans="1:14">
      <c r="A285" s="4" t="s">
        <v>586</v>
      </c>
      <c r="B285" s="4" t="s">
        <v>587</v>
      </c>
      <c r="C285" s="4" t="s">
        <v>19</v>
      </c>
      <c r="D285" s="4" t="s">
        <v>13</v>
      </c>
      <c r="E285" s="5">
        <v>41.5852</v>
      </c>
      <c r="F285" s="5">
        <v>41.497100000000003</v>
      </c>
      <c r="G285" s="5">
        <v>41.354900000000001</v>
      </c>
      <c r="H285" s="4">
        <v>0</v>
      </c>
      <c r="I285" s="6">
        <v>1624183</v>
      </c>
      <c r="J285" s="7">
        <v>286.14</v>
      </c>
      <c r="K285" s="9">
        <f>(PricingDataTable[[#This Row],[Current Price ($)]]-PricingDataTable[[#This Row],[Prior Price ($)]])/PricingDataTable[[#This Row],[Prior Price ($)]]</f>
        <v>-2.1185421736578682E-3</v>
      </c>
      <c r="L285" s="9">
        <f>(PricingDataTable[[#This Row],[Vendor Price ($)]]-PricingDataTable[[#This Row],[Current Price ($)]])/PricingDataTable[[#This Row],[Current Price ($)]]</f>
        <v>-3.4267454834193845E-3</v>
      </c>
      <c r="M285" t="str">
        <f t="shared" si="8"/>
        <v>PASS</v>
      </c>
      <c r="N285" s="10" t="str">
        <f t="shared" si="9"/>
        <v>NONE</v>
      </c>
    </row>
    <row r="286" spans="1:14">
      <c r="A286" s="4" t="s">
        <v>588</v>
      </c>
      <c r="B286" s="4" t="s">
        <v>589</v>
      </c>
      <c r="C286" s="4" t="s">
        <v>12</v>
      </c>
      <c r="D286" s="4" t="s">
        <v>13</v>
      </c>
      <c r="E286" s="5">
        <v>104.2085</v>
      </c>
      <c r="F286" s="5">
        <v>103.1174</v>
      </c>
      <c r="G286" s="5">
        <v>102.99939999999999</v>
      </c>
      <c r="H286" s="4">
        <v>0</v>
      </c>
      <c r="I286" s="6">
        <v>3659473</v>
      </c>
      <c r="J286" s="7">
        <v>249.16</v>
      </c>
      <c r="K286" s="9">
        <f>(PricingDataTable[[#This Row],[Current Price ($)]]-PricingDataTable[[#This Row],[Prior Price ($)]])/PricingDataTable[[#This Row],[Prior Price ($)]]</f>
        <v>-1.0470355105389649E-2</v>
      </c>
      <c r="L286" s="9">
        <f>(PricingDataTable[[#This Row],[Vendor Price ($)]]-PricingDataTable[[#This Row],[Current Price ($)]])/PricingDataTable[[#This Row],[Current Price ($)]]</f>
        <v>-1.144326757656896E-3</v>
      </c>
      <c r="M286" t="str">
        <f t="shared" si="8"/>
        <v>PASS</v>
      </c>
      <c r="N286" s="10" t="str">
        <f t="shared" si="9"/>
        <v>NONE</v>
      </c>
    </row>
    <row r="287" spans="1:14">
      <c r="A287" s="4" t="s">
        <v>590</v>
      </c>
      <c r="B287" s="4" t="s">
        <v>591</v>
      </c>
      <c r="C287" s="4" t="s">
        <v>12</v>
      </c>
      <c r="D287" s="4" t="s">
        <v>13</v>
      </c>
      <c r="E287" s="5">
        <v>98.997699999999995</v>
      </c>
      <c r="F287" s="5">
        <v>97.066199999999995</v>
      </c>
      <c r="G287" s="5">
        <v>97.235500000000002</v>
      </c>
      <c r="H287" s="4">
        <v>0</v>
      </c>
      <c r="I287" s="6">
        <v>1175419</v>
      </c>
      <c r="J287" s="7">
        <v>802.19</v>
      </c>
      <c r="K287" s="9">
        <f>(PricingDataTable[[#This Row],[Current Price ($)]]-PricingDataTable[[#This Row],[Prior Price ($)]])/PricingDataTable[[#This Row],[Prior Price ($)]]</f>
        <v>-1.9510554285604612E-2</v>
      </c>
      <c r="L287" s="9">
        <f>(PricingDataTable[[#This Row],[Vendor Price ($)]]-PricingDataTable[[#This Row],[Current Price ($)]])/PricingDataTable[[#This Row],[Current Price ($)]]</f>
        <v>1.7441704733471271E-3</v>
      </c>
      <c r="M287" t="str">
        <f t="shared" si="8"/>
        <v>PASS</v>
      </c>
      <c r="N287" s="10" t="str">
        <f t="shared" si="9"/>
        <v>NONE</v>
      </c>
    </row>
    <row r="288" spans="1:14">
      <c r="A288" s="4" t="s">
        <v>592</v>
      </c>
      <c r="B288" s="4" t="s">
        <v>593</v>
      </c>
      <c r="C288" s="4" t="s">
        <v>39</v>
      </c>
      <c r="D288" s="4" t="s">
        <v>13</v>
      </c>
      <c r="E288" s="5">
        <v>256.77949999999998</v>
      </c>
      <c r="F288" s="5">
        <v>261.45100000000002</v>
      </c>
      <c r="G288" s="5">
        <v>260.49349999999998</v>
      </c>
      <c r="H288" s="4">
        <v>0</v>
      </c>
      <c r="I288" s="6">
        <v>308495</v>
      </c>
      <c r="J288" s="7">
        <v>496.52</v>
      </c>
      <c r="K288" s="9">
        <f>(PricingDataTable[[#This Row],[Current Price ($)]]-PricingDataTable[[#This Row],[Prior Price ($)]])/PricingDataTable[[#This Row],[Prior Price ($)]]</f>
        <v>1.819265167195994E-2</v>
      </c>
      <c r="L288" s="9">
        <f>(PricingDataTable[[#This Row],[Vendor Price ($)]]-PricingDataTable[[#This Row],[Current Price ($)]])/PricingDataTable[[#This Row],[Current Price ($)]]</f>
        <v>-3.6622541126254578E-3</v>
      </c>
      <c r="M288" t="str">
        <f t="shared" si="8"/>
        <v>PASS</v>
      </c>
      <c r="N288" s="10" t="str">
        <f t="shared" si="9"/>
        <v>NONE</v>
      </c>
    </row>
    <row r="289" spans="1:14">
      <c r="A289" s="4" t="s">
        <v>594</v>
      </c>
      <c r="B289" s="4" t="s">
        <v>595</v>
      </c>
      <c r="C289" s="4" t="s">
        <v>16</v>
      </c>
      <c r="D289" s="4" t="s">
        <v>32</v>
      </c>
      <c r="E289" s="5">
        <v>93.290899999999993</v>
      </c>
      <c r="F289" s="5">
        <v>93.612399999999994</v>
      </c>
      <c r="G289" s="5">
        <v>94.0886</v>
      </c>
      <c r="H289" s="4">
        <v>0</v>
      </c>
      <c r="I289" s="6">
        <v>4213484</v>
      </c>
      <c r="J289" s="7">
        <v>9.73</v>
      </c>
      <c r="K289" s="9">
        <f>(PricingDataTable[[#This Row],[Current Price ($)]]-PricingDataTable[[#This Row],[Prior Price ($)]])/PricingDataTable[[#This Row],[Prior Price ($)]]</f>
        <v>3.4462096517452437E-3</v>
      </c>
      <c r="L289" s="9">
        <f>(PricingDataTable[[#This Row],[Vendor Price ($)]]-PricingDataTable[[#This Row],[Current Price ($)]])/PricingDataTable[[#This Row],[Current Price ($)]]</f>
        <v>5.0869329276891284E-3</v>
      </c>
      <c r="M289" t="str">
        <f t="shared" si="8"/>
        <v>PASS</v>
      </c>
      <c r="N289" s="10" t="str">
        <f t="shared" si="9"/>
        <v>NONE</v>
      </c>
    </row>
    <row r="290" spans="1:14">
      <c r="A290" s="4" t="s">
        <v>596</v>
      </c>
      <c r="B290" s="4" t="s">
        <v>597</v>
      </c>
      <c r="C290" s="4" t="s">
        <v>12</v>
      </c>
      <c r="D290" s="4" t="s">
        <v>32</v>
      </c>
      <c r="E290" s="5">
        <v>82.018500000000003</v>
      </c>
      <c r="F290" s="5">
        <v>82.705500000000001</v>
      </c>
      <c r="G290" s="5">
        <v>82.975499999999997</v>
      </c>
      <c r="H290" s="4">
        <v>0</v>
      </c>
      <c r="I290" s="6">
        <v>340066</v>
      </c>
      <c r="J290" s="7">
        <v>197.09</v>
      </c>
      <c r="K290" s="9">
        <f>(PricingDataTable[[#This Row],[Current Price ($)]]-PricingDataTable[[#This Row],[Prior Price ($)]])/PricingDataTable[[#This Row],[Prior Price ($)]]</f>
        <v>8.3761590372903386E-3</v>
      </c>
      <c r="L290" s="9">
        <f>(PricingDataTable[[#This Row],[Vendor Price ($)]]-PricingDataTable[[#This Row],[Current Price ($)]])/PricingDataTable[[#This Row],[Current Price ($)]]</f>
        <v>3.2645954622122593E-3</v>
      </c>
      <c r="M290" t="str">
        <f t="shared" si="8"/>
        <v>PASS</v>
      </c>
      <c r="N290" s="10" t="str">
        <f t="shared" si="9"/>
        <v>NONE</v>
      </c>
    </row>
    <row r="291" spans="1:14">
      <c r="A291" s="4" t="s">
        <v>598</v>
      </c>
      <c r="B291" s="4" t="s">
        <v>599</v>
      </c>
      <c r="C291" s="4" t="s">
        <v>19</v>
      </c>
      <c r="D291" s="4" t="s">
        <v>13</v>
      </c>
      <c r="E291" s="5">
        <v>22.640499999999999</v>
      </c>
      <c r="F291" s="5">
        <v>22.799600000000002</v>
      </c>
      <c r="G291" s="5">
        <v>22.9435</v>
      </c>
      <c r="H291" s="4">
        <v>0</v>
      </c>
      <c r="I291" s="6">
        <v>2719505</v>
      </c>
      <c r="J291" s="7">
        <v>93.08</v>
      </c>
      <c r="K291" s="9">
        <f>(PricingDataTable[[#This Row],[Current Price ($)]]-PricingDataTable[[#This Row],[Prior Price ($)]])/PricingDataTable[[#This Row],[Prior Price ($)]]</f>
        <v>7.027229964002661E-3</v>
      </c>
      <c r="L291" s="9">
        <f>(PricingDataTable[[#This Row],[Vendor Price ($)]]-PricingDataTable[[#This Row],[Current Price ($)]])/PricingDataTable[[#This Row],[Current Price ($)]]</f>
        <v>6.3115142370918165E-3</v>
      </c>
      <c r="M291" t="str">
        <f t="shared" si="8"/>
        <v>PASS</v>
      </c>
      <c r="N291" s="10" t="str">
        <f t="shared" si="9"/>
        <v>NONE</v>
      </c>
    </row>
    <row r="292" spans="1:14">
      <c r="A292" s="4" t="s">
        <v>600</v>
      </c>
      <c r="B292" s="4" t="s">
        <v>601</v>
      </c>
      <c r="C292" s="4" t="s">
        <v>39</v>
      </c>
      <c r="D292" s="4" t="s">
        <v>13</v>
      </c>
      <c r="E292" s="5">
        <v>194.1677</v>
      </c>
      <c r="F292" s="5">
        <v>195.73</v>
      </c>
      <c r="G292" s="5">
        <v>196.48910000000001</v>
      </c>
      <c r="H292" s="4">
        <v>1</v>
      </c>
      <c r="I292" s="6">
        <v>1870814</v>
      </c>
      <c r="J292" s="7">
        <v>464.83</v>
      </c>
      <c r="K292" s="9">
        <f>(PricingDataTable[[#This Row],[Current Price ($)]]-PricingDataTable[[#This Row],[Prior Price ($)]])/PricingDataTable[[#This Row],[Prior Price ($)]]</f>
        <v>8.0461374368651084E-3</v>
      </c>
      <c r="L292" s="9">
        <f>(PricingDataTable[[#This Row],[Vendor Price ($)]]-PricingDataTable[[#This Row],[Current Price ($)]])/PricingDataTable[[#This Row],[Current Price ($)]]</f>
        <v>3.8783017421959737E-3</v>
      </c>
      <c r="M292" t="str">
        <f t="shared" si="8"/>
        <v>PASS</v>
      </c>
      <c r="N292" s="10" t="str">
        <f t="shared" si="9"/>
        <v>NONE</v>
      </c>
    </row>
    <row r="293" spans="1:14">
      <c r="A293" s="4" t="s">
        <v>602</v>
      </c>
      <c r="B293" s="4" t="s">
        <v>603</v>
      </c>
      <c r="C293" s="4" t="s">
        <v>16</v>
      </c>
      <c r="D293" s="4" t="s">
        <v>13</v>
      </c>
      <c r="E293" s="5">
        <v>105.2105</v>
      </c>
      <c r="F293" s="5">
        <v>104.51990000000001</v>
      </c>
      <c r="G293" s="5">
        <v>104.518</v>
      </c>
      <c r="H293" s="4">
        <v>0</v>
      </c>
      <c r="I293" s="6">
        <v>3039546</v>
      </c>
      <c r="J293" s="7">
        <v>541.9</v>
      </c>
      <c r="K293" s="9">
        <f>(PricingDataTable[[#This Row],[Current Price ($)]]-PricingDataTable[[#This Row],[Prior Price ($)]])/PricingDataTable[[#This Row],[Prior Price ($)]]</f>
        <v>-6.5639836328122122E-3</v>
      </c>
      <c r="L293" s="9">
        <f>(PricingDataTable[[#This Row],[Vendor Price ($)]]-PricingDataTable[[#This Row],[Current Price ($)]])/PricingDataTable[[#This Row],[Current Price ($)]]</f>
        <v>-1.8178356466148836E-5</v>
      </c>
      <c r="M293" t="str">
        <f t="shared" si="8"/>
        <v>PASS</v>
      </c>
      <c r="N293" s="10" t="str">
        <f t="shared" si="9"/>
        <v>NONE</v>
      </c>
    </row>
    <row r="294" spans="1:14">
      <c r="A294" s="4" t="s">
        <v>604</v>
      </c>
      <c r="B294" s="4" t="s">
        <v>605</v>
      </c>
      <c r="C294" s="4" t="s">
        <v>16</v>
      </c>
      <c r="D294" s="4" t="s">
        <v>13</v>
      </c>
      <c r="E294" s="5">
        <v>80.666899999999998</v>
      </c>
      <c r="F294" s="5">
        <v>80.166499999999999</v>
      </c>
      <c r="G294" s="5">
        <v>79.921599999999998</v>
      </c>
      <c r="H294" s="4">
        <v>0</v>
      </c>
      <c r="I294" s="6">
        <v>4969972</v>
      </c>
      <c r="J294" s="7">
        <v>145.18</v>
      </c>
      <c r="K294" s="9">
        <f>(PricingDataTable[[#This Row],[Current Price ($)]]-PricingDataTable[[#This Row],[Prior Price ($)]])/PricingDataTable[[#This Row],[Prior Price ($)]]</f>
        <v>-6.203287841729372E-3</v>
      </c>
      <c r="L294" s="9">
        <f>(PricingDataTable[[#This Row],[Vendor Price ($)]]-PricingDataTable[[#This Row],[Current Price ($)]])/PricingDataTable[[#This Row],[Current Price ($)]]</f>
        <v>-3.0548920060125017E-3</v>
      </c>
      <c r="M294" t="str">
        <f t="shared" si="8"/>
        <v>PASS</v>
      </c>
      <c r="N294" s="10" t="str">
        <f t="shared" si="9"/>
        <v>NONE</v>
      </c>
    </row>
    <row r="295" spans="1:14">
      <c r="A295" s="4" t="s">
        <v>606</v>
      </c>
      <c r="B295" s="4" t="s">
        <v>607</v>
      </c>
      <c r="C295" s="4" t="s">
        <v>19</v>
      </c>
      <c r="D295" s="4" t="s">
        <v>13</v>
      </c>
      <c r="E295" s="5">
        <v>27.1219</v>
      </c>
      <c r="F295" s="5">
        <v>27.1113</v>
      </c>
      <c r="G295" s="5">
        <v>27.162400000000002</v>
      </c>
      <c r="H295" s="4">
        <v>0</v>
      </c>
      <c r="I295" s="6">
        <v>2378789</v>
      </c>
      <c r="J295" s="7">
        <v>852.54</v>
      </c>
      <c r="K295" s="9">
        <f>(PricingDataTable[[#This Row],[Current Price ($)]]-PricingDataTable[[#This Row],[Prior Price ($)]])/PricingDataTable[[#This Row],[Prior Price ($)]]</f>
        <v>-3.9082807620410685E-4</v>
      </c>
      <c r="L295" s="9">
        <f>(PricingDataTable[[#This Row],[Vendor Price ($)]]-PricingDataTable[[#This Row],[Current Price ($)]])/PricingDataTable[[#This Row],[Current Price ($)]]</f>
        <v>1.8848229336107711E-3</v>
      </c>
      <c r="M295" t="str">
        <f t="shared" si="8"/>
        <v>PASS</v>
      </c>
      <c r="N295" s="10" t="str">
        <f t="shared" si="9"/>
        <v>NONE</v>
      </c>
    </row>
    <row r="296" spans="1:14">
      <c r="A296" s="4" t="s">
        <v>608</v>
      </c>
      <c r="B296" s="4" t="s">
        <v>609</v>
      </c>
      <c r="C296" s="4" t="s">
        <v>12</v>
      </c>
      <c r="D296" s="4" t="s">
        <v>13</v>
      </c>
      <c r="E296" s="5">
        <v>99.083399999999997</v>
      </c>
      <c r="F296" s="5">
        <v>99.317400000000006</v>
      </c>
      <c r="G296" s="5">
        <v>99.618200000000002</v>
      </c>
      <c r="H296" s="4">
        <v>1</v>
      </c>
      <c r="I296" s="6">
        <v>1407951</v>
      </c>
      <c r="J296" s="7">
        <v>651.82000000000005</v>
      </c>
      <c r="K296" s="9">
        <f>(PricingDataTable[[#This Row],[Current Price ($)]]-PricingDataTable[[#This Row],[Prior Price ($)]])/PricingDataTable[[#This Row],[Prior Price ($)]]</f>
        <v>2.3616468550736944E-3</v>
      </c>
      <c r="L296" s="9">
        <f>(PricingDataTable[[#This Row],[Vendor Price ($)]]-PricingDataTable[[#This Row],[Current Price ($)]])/PricingDataTable[[#This Row],[Current Price ($)]]</f>
        <v>3.0286737268594957E-3</v>
      </c>
      <c r="M296" t="str">
        <f t="shared" si="8"/>
        <v>PASS</v>
      </c>
      <c r="N296" s="10" t="str">
        <f t="shared" si="9"/>
        <v>NONE</v>
      </c>
    </row>
    <row r="297" spans="1:14">
      <c r="A297" s="4" t="s">
        <v>610</v>
      </c>
      <c r="B297" s="4" t="s">
        <v>611</v>
      </c>
      <c r="C297" s="4" t="s">
        <v>12</v>
      </c>
      <c r="D297" s="4" t="s">
        <v>13</v>
      </c>
      <c r="E297" s="5">
        <v>93.910600000000002</v>
      </c>
      <c r="F297" s="5">
        <v>94.049499999999995</v>
      </c>
      <c r="G297" s="5">
        <v>94.087500000000006</v>
      </c>
      <c r="H297" s="4">
        <v>1</v>
      </c>
      <c r="I297" s="6">
        <v>1489325</v>
      </c>
      <c r="J297" s="7">
        <v>428.39</v>
      </c>
      <c r="K297" s="9">
        <f>(PricingDataTable[[#This Row],[Current Price ($)]]-PricingDataTable[[#This Row],[Prior Price ($)]])/PricingDataTable[[#This Row],[Prior Price ($)]]</f>
        <v>1.4790662608905967E-3</v>
      </c>
      <c r="L297" s="9">
        <f>(PricingDataTable[[#This Row],[Vendor Price ($)]]-PricingDataTable[[#This Row],[Current Price ($)]])/PricingDataTable[[#This Row],[Current Price ($)]]</f>
        <v>4.0404255206046729E-4</v>
      </c>
      <c r="M297" t="str">
        <f t="shared" si="8"/>
        <v>PASS</v>
      </c>
      <c r="N297" s="10" t="str">
        <f t="shared" si="9"/>
        <v>NONE</v>
      </c>
    </row>
    <row r="298" spans="1:14">
      <c r="A298" s="4" t="s">
        <v>612</v>
      </c>
      <c r="B298" s="4" t="s">
        <v>613</v>
      </c>
      <c r="C298" s="4" t="s">
        <v>19</v>
      </c>
      <c r="D298" s="4" t="s">
        <v>32</v>
      </c>
      <c r="E298" s="5">
        <v>180.1386</v>
      </c>
      <c r="F298" s="5">
        <v>181.97290000000001</v>
      </c>
      <c r="G298" s="5">
        <v>182.39449999999999</v>
      </c>
      <c r="H298" s="4">
        <v>1</v>
      </c>
      <c r="I298" s="6">
        <v>3620657</v>
      </c>
      <c r="J298" s="7">
        <v>469.94</v>
      </c>
      <c r="K298" s="9">
        <f>(PricingDataTable[[#This Row],[Current Price ($)]]-PricingDataTable[[#This Row],[Prior Price ($)]])/PricingDataTable[[#This Row],[Prior Price ($)]]</f>
        <v>1.0182714865109495E-2</v>
      </c>
      <c r="L298" s="9">
        <f>(PricingDataTable[[#This Row],[Vendor Price ($)]]-PricingDataTable[[#This Row],[Current Price ($)]])/PricingDataTable[[#This Row],[Current Price ($)]]</f>
        <v>2.316828494792267E-3</v>
      </c>
      <c r="M298" t="str">
        <f t="shared" si="8"/>
        <v>PASS</v>
      </c>
      <c r="N298" s="10" t="str">
        <f t="shared" si="9"/>
        <v>NONE</v>
      </c>
    </row>
    <row r="299" spans="1:14">
      <c r="A299" s="4" t="s">
        <v>614</v>
      </c>
      <c r="B299" s="4" t="s">
        <v>615</v>
      </c>
      <c r="C299" s="4" t="s">
        <v>12</v>
      </c>
      <c r="D299" s="4" t="s">
        <v>13</v>
      </c>
      <c r="E299" s="5">
        <v>121.9211</v>
      </c>
      <c r="F299" s="5">
        <v>119.43340000000001</v>
      </c>
      <c r="G299" s="5">
        <v>119.5022</v>
      </c>
      <c r="H299" s="4">
        <v>2</v>
      </c>
      <c r="I299" s="6">
        <v>3570263</v>
      </c>
      <c r="J299" s="7">
        <v>120.67</v>
      </c>
      <c r="K299" s="9">
        <f>(PricingDataTable[[#This Row],[Current Price ($)]]-PricingDataTable[[#This Row],[Prior Price ($)]])/PricingDataTable[[#This Row],[Prior Price ($)]]</f>
        <v>-2.0404179424234111E-2</v>
      </c>
      <c r="L299" s="9">
        <f>(PricingDataTable[[#This Row],[Vendor Price ($)]]-PricingDataTable[[#This Row],[Current Price ($)]])/PricingDataTable[[#This Row],[Current Price ($)]]</f>
        <v>5.7605326483208192E-4</v>
      </c>
      <c r="M299" t="str">
        <f t="shared" si="8"/>
        <v>PASS</v>
      </c>
      <c r="N299" s="10" t="str">
        <f t="shared" si="9"/>
        <v>NONE</v>
      </c>
    </row>
    <row r="300" spans="1:14">
      <c r="A300" s="4" t="s">
        <v>616</v>
      </c>
      <c r="B300" s="4" t="s">
        <v>617</v>
      </c>
      <c r="C300" s="4" t="s">
        <v>35</v>
      </c>
      <c r="D300" s="4" t="s">
        <v>13</v>
      </c>
      <c r="E300" s="5">
        <v>108.496</v>
      </c>
      <c r="F300" s="5">
        <v>91.442999999999998</v>
      </c>
      <c r="G300" s="5">
        <v>91.385499999999993</v>
      </c>
      <c r="H300" s="4">
        <v>0</v>
      </c>
      <c r="I300" s="6">
        <v>2650975</v>
      </c>
      <c r="J300" s="7">
        <v>368.08</v>
      </c>
      <c r="K300" s="9">
        <f>(PricingDataTable[[#This Row],[Current Price ($)]]-PricingDataTable[[#This Row],[Prior Price ($)]])/PricingDataTable[[#This Row],[Prior Price ($)]]</f>
        <v>-0.15717630143046746</v>
      </c>
      <c r="L300" s="9">
        <f>(PricingDataTable[[#This Row],[Vendor Price ($)]]-PricingDataTable[[#This Row],[Current Price ($)]])/PricingDataTable[[#This Row],[Current Price ($)]]</f>
        <v>-6.2880701639277527E-4</v>
      </c>
      <c r="M300" t="str">
        <f t="shared" si="8"/>
        <v>LARGE MOVE</v>
      </c>
      <c r="N300" s="10" t="str">
        <f t="shared" si="9"/>
        <v>HIGH</v>
      </c>
    </row>
    <row r="301" spans="1:14">
      <c r="A301" s="4" t="s">
        <v>618</v>
      </c>
      <c r="B301" s="4" t="s">
        <v>619</v>
      </c>
      <c r="C301" s="4" t="s">
        <v>16</v>
      </c>
      <c r="D301" s="4" t="s">
        <v>13</v>
      </c>
      <c r="E301" s="5">
        <v>88.065100000000001</v>
      </c>
      <c r="F301" s="5">
        <v>86.737099999999998</v>
      </c>
      <c r="G301" s="5">
        <v>86.661699999999996</v>
      </c>
      <c r="H301" s="4">
        <v>0</v>
      </c>
      <c r="I301" s="6">
        <v>4678174</v>
      </c>
      <c r="J301" s="7">
        <v>434.32</v>
      </c>
      <c r="K301" s="9">
        <f>(PricingDataTable[[#This Row],[Current Price ($)]]-PricingDataTable[[#This Row],[Prior Price ($)]])/PricingDataTable[[#This Row],[Prior Price ($)]]</f>
        <v>-1.5079753500535432E-2</v>
      </c>
      <c r="L301" s="9">
        <f>(PricingDataTable[[#This Row],[Vendor Price ($)]]-PricingDataTable[[#This Row],[Current Price ($)]])/PricingDataTable[[#This Row],[Current Price ($)]]</f>
        <v>-8.6929353183357418E-4</v>
      </c>
      <c r="M301" t="str">
        <f t="shared" si="8"/>
        <v>PASS</v>
      </c>
      <c r="N301" s="10" t="str">
        <f t="shared" si="9"/>
        <v>NONE</v>
      </c>
    </row>
    <row r="302" spans="1:14">
      <c r="A302" s="4" t="s">
        <v>620</v>
      </c>
      <c r="B302" s="4" t="s">
        <v>621</v>
      </c>
      <c r="C302" s="4" t="s">
        <v>16</v>
      </c>
      <c r="D302" s="4" t="s">
        <v>13</v>
      </c>
      <c r="E302" s="5">
        <v>90.332700000000003</v>
      </c>
      <c r="F302" s="5">
        <v>89.385599999999997</v>
      </c>
      <c r="G302" s="5">
        <v>89.733400000000003</v>
      </c>
      <c r="H302" s="4">
        <v>0</v>
      </c>
      <c r="I302" s="6">
        <v>1358235</v>
      </c>
      <c r="J302" s="7">
        <v>90.43</v>
      </c>
      <c r="K302" s="9">
        <f>(PricingDataTable[[#This Row],[Current Price ($)]]-PricingDataTable[[#This Row],[Prior Price ($)]])/PricingDataTable[[#This Row],[Prior Price ($)]]</f>
        <v>-1.0484575353111399E-2</v>
      </c>
      <c r="L302" s="9">
        <f>(PricingDataTable[[#This Row],[Vendor Price ($)]]-PricingDataTable[[#This Row],[Current Price ($)]])/PricingDataTable[[#This Row],[Current Price ($)]]</f>
        <v>3.8910070525901997E-3</v>
      </c>
      <c r="M302" t="str">
        <f t="shared" si="8"/>
        <v>PASS</v>
      </c>
      <c r="N302" s="10" t="str">
        <f t="shared" si="9"/>
        <v>NONE</v>
      </c>
    </row>
    <row r="303" spans="1:14">
      <c r="A303" s="4" t="s">
        <v>622</v>
      </c>
      <c r="B303" s="4" t="s">
        <v>623</v>
      </c>
      <c r="C303" s="4" t="s">
        <v>39</v>
      </c>
      <c r="D303" s="4" t="s">
        <v>32</v>
      </c>
      <c r="E303" s="5">
        <v>217.9967</v>
      </c>
      <c r="F303" s="5">
        <v>217.65479999999999</v>
      </c>
      <c r="G303" s="5">
        <v>217.45910000000001</v>
      </c>
      <c r="H303" s="4">
        <v>1</v>
      </c>
      <c r="I303" s="6">
        <v>3653210</v>
      </c>
      <c r="J303" s="7">
        <v>79.510000000000005</v>
      </c>
      <c r="K303" s="9">
        <f>(PricingDataTable[[#This Row],[Current Price ($)]]-PricingDataTable[[#This Row],[Prior Price ($)]])/PricingDataTable[[#This Row],[Prior Price ($)]]</f>
        <v>-1.5683723652697937E-3</v>
      </c>
      <c r="L303" s="9">
        <f>(PricingDataTable[[#This Row],[Vendor Price ($)]]-PricingDataTable[[#This Row],[Current Price ($)]])/PricingDataTable[[#This Row],[Current Price ($)]]</f>
        <v>-8.9913018228859648E-4</v>
      </c>
      <c r="M303" t="str">
        <f t="shared" si="8"/>
        <v>PASS</v>
      </c>
      <c r="N303" s="10" t="str">
        <f t="shared" si="9"/>
        <v>NONE</v>
      </c>
    </row>
    <row r="304" spans="1:14">
      <c r="A304" s="4" t="s">
        <v>624</v>
      </c>
      <c r="B304" s="4" t="s">
        <v>625</v>
      </c>
      <c r="C304" s="4" t="s">
        <v>16</v>
      </c>
      <c r="D304" s="4" t="s">
        <v>13</v>
      </c>
      <c r="E304" s="5">
        <v>111.2247</v>
      </c>
      <c r="F304" s="5">
        <v>112.4492</v>
      </c>
      <c r="G304" s="5">
        <v>112.3052</v>
      </c>
      <c r="H304" s="4">
        <v>4</v>
      </c>
      <c r="I304" s="6">
        <v>1471280</v>
      </c>
      <c r="J304" s="7">
        <v>576.33000000000004</v>
      </c>
      <c r="K304" s="9">
        <f>(PricingDataTable[[#This Row],[Current Price ($)]]-PricingDataTable[[#This Row],[Prior Price ($)]])/PricingDataTable[[#This Row],[Prior Price ($)]]</f>
        <v>1.100924524858243E-2</v>
      </c>
      <c r="L304" s="9">
        <f>(PricingDataTable[[#This Row],[Vendor Price ($)]]-PricingDataTable[[#This Row],[Current Price ($)]])/PricingDataTable[[#This Row],[Current Price ($)]]</f>
        <v>-1.280578252224164E-3</v>
      </c>
      <c r="M304" t="str">
        <f t="shared" si="8"/>
        <v>STALE</v>
      </c>
      <c r="N304" s="10" t="str">
        <f t="shared" si="9"/>
        <v>LOW</v>
      </c>
    </row>
    <row r="305" spans="1:14">
      <c r="A305" s="4" t="s">
        <v>626</v>
      </c>
      <c r="B305" s="4" t="s">
        <v>627</v>
      </c>
      <c r="C305" s="4" t="s">
        <v>19</v>
      </c>
      <c r="D305" s="4" t="s">
        <v>13</v>
      </c>
      <c r="E305" s="5">
        <v>282.93720000000002</v>
      </c>
      <c r="F305" s="5">
        <v>282.738</v>
      </c>
      <c r="G305" s="5">
        <v>282.95420000000001</v>
      </c>
      <c r="H305" s="4">
        <v>0</v>
      </c>
      <c r="I305" s="6">
        <v>2008030</v>
      </c>
      <c r="J305" s="7">
        <v>589.59</v>
      </c>
      <c r="K305" s="9">
        <f>(PricingDataTable[[#This Row],[Current Price ($)]]-PricingDataTable[[#This Row],[Prior Price ($)]])/PricingDataTable[[#This Row],[Prior Price ($)]]</f>
        <v>-7.0404315869393951E-4</v>
      </c>
      <c r="L305" s="9">
        <f>(PricingDataTable[[#This Row],[Vendor Price ($)]]-PricingDataTable[[#This Row],[Current Price ($)]])/PricingDataTable[[#This Row],[Current Price ($)]]</f>
        <v>7.6466552072949098E-4</v>
      </c>
      <c r="M305" t="str">
        <f t="shared" si="8"/>
        <v>PASS</v>
      </c>
      <c r="N305" s="10" t="str">
        <f t="shared" si="9"/>
        <v>NONE</v>
      </c>
    </row>
    <row r="306" spans="1:14">
      <c r="A306" s="4" t="s">
        <v>628</v>
      </c>
      <c r="B306" s="4" t="s">
        <v>629</v>
      </c>
      <c r="C306" s="4" t="s">
        <v>35</v>
      </c>
      <c r="D306" s="4" t="s">
        <v>32</v>
      </c>
      <c r="E306" s="5">
        <v>64.856700000000004</v>
      </c>
      <c r="F306" s="5">
        <v>64.039299999999997</v>
      </c>
      <c r="G306" s="5">
        <v>64.195599999999999</v>
      </c>
      <c r="H306" s="4">
        <v>0</v>
      </c>
      <c r="I306" s="6">
        <v>4691187</v>
      </c>
      <c r="J306" s="7">
        <v>823.53</v>
      </c>
      <c r="K306" s="9">
        <f>(PricingDataTable[[#This Row],[Current Price ($)]]-PricingDataTable[[#This Row],[Prior Price ($)]])/PricingDataTable[[#This Row],[Prior Price ($)]]</f>
        <v>-1.2603169757326635E-2</v>
      </c>
      <c r="L306" s="9">
        <f>(PricingDataTable[[#This Row],[Vendor Price ($)]]-PricingDataTable[[#This Row],[Current Price ($)]])/PricingDataTable[[#This Row],[Current Price ($)]]</f>
        <v>2.4406887645555412E-3</v>
      </c>
      <c r="M306" t="str">
        <f t="shared" si="8"/>
        <v>PASS</v>
      </c>
      <c r="N306" s="10" t="str">
        <f t="shared" si="9"/>
        <v>NONE</v>
      </c>
    </row>
    <row r="307" spans="1:14">
      <c r="A307" s="4" t="s">
        <v>630</v>
      </c>
      <c r="B307" s="4" t="s">
        <v>631</v>
      </c>
      <c r="C307" s="4" t="s">
        <v>35</v>
      </c>
      <c r="D307" s="4" t="s">
        <v>13</v>
      </c>
      <c r="E307" s="5">
        <v>109.9327</v>
      </c>
      <c r="F307" s="5">
        <v>110.971</v>
      </c>
      <c r="G307" s="5">
        <v>111.69199999999999</v>
      </c>
      <c r="H307" s="4">
        <v>0</v>
      </c>
      <c r="I307" s="6">
        <v>2469363</v>
      </c>
      <c r="J307" s="7">
        <v>306.10000000000002</v>
      </c>
      <c r="K307" s="9">
        <f>(PricingDataTable[[#This Row],[Current Price ($)]]-PricingDataTable[[#This Row],[Prior Price ($)]])/PricingDataTable[[#This Row],[Prior Price ($)]]</f>
        <v>9.4448694519465703E-3</v>
      </c>
      <c r="L307" s="9">
        <f>(PricingDataTable[[#This Row],[Vendor Price ($)]]-PricingDataTable[[#This Row],[Current Price ($)]])/PricingDataTable[[#This Row],[Current Price ($)]]</f>
        <v>6.4971929603228722E-3</v>
      </c>
      <c r="M307" t="str">
        <f t="shared" si="8"/>
        <v>PASS</v>
      </c>
      <c r="N307" s="10" t="str">
        <f t="shared" si="9"/>
        <v>NONE</v>
      </c>
    </row>
    <row r="308" spans="1:14">
      <c r="A308" s="4" t="s">
        <v>632</v>
      </c>
      <c r="B308" s="4" t="s">
        <v>633</v>
      </c>
      <c r="C308" s="4" t="s">
        <v>35</v>
      </c>
      <c r="D308" s="4" t="s">
        <v>64</v>
      </c>
      <c r="E308" s="5">
        <v>146.74019999999999</v>
      </c>
      <c r="F308" s="5">
        <v>144.32419999999999</v>
      </c>
      <c r="G308" s="5">
        <v>144.02199999999999</v>
      </c>
      <c r="H308" s="4">
        <v>1</v>
      </c>
      <c r="I308" s="6">
        <v>3850099</v>
      </c>
      <c r="J308" s="7">
        <v>613.5</v>
      </c>
      <c r="K308" s="9">
        <f>(PricingDataTable[[#This Row],[Current Price ($)]]-PricingDataTable[[#This Row],[Prior Price ($)]])/PricingDataTable[[#This Row],[Prior Price ($)]]</f>
        <v>-1.6464472584881287E-2</v>
      </c>
      <c r="L308" s="9">
        <f>(PricingDataTable[[#This Row],[Vendor Price ($)]]-PricingDataTable[[#This Row],[Current Price ($)]])/PricingDataTable[[#This Row],[Current Price ($)]]</f>
        <v>-2.0938969348175784E-3</v>
      </c>
      <c r="M308" t="str">
        <f t="shared" si="8"/>
        <v>PASS</v>
      </c>
      <c r="N308" s="10" t="str">
        <f t="shared" si="9"/>
        <v>NONE</v>
      </c>
    </row>
    <row r="309" spans="1:14">
      <c r="A309" s="4" t="s">
        <v>634</v>
      </c>
      <c r="B309" s="4" t="s">
        <v>635</v>
      </c>
      <c r="C309" s="4" t="s">
        <v>16</v>
      </c>
      <c r="D309" s="4" t="s">
        <v>13</v>
      </c>
      <c r="E309" s="5">
        <v>94.133700000000005</v>
      </c>
      <c r="F309" s="5">
        <v>94.325400000000002</v>
      </c>
      <c r="G309" s="5">
        <v>94.131500000000003</v>
      </c>
      <c r="H309" s="4">
        <v>0</v>
      </c>
      <c r="I309" s="6">
        <v>2210137</v>
      </c>
      <c r="J309" s="7">
        <v>223.58</v>
      </c>
      <c r="K309" s="9">
        <f>(PricingDataTable[[#This Row],[Current Price ($)]]-PricingDataTable[[#This Row],[Prior Price ($)]])/PricingDataTable[[#This Row],[Prior Price ($)]]</f>
        <v>2.0364651554119016E-3</v>
      </c>
      <c r="L309" s="9">
        <f>(PricingDataTable[[#This Row],[Vendor Price ($)]]-PricingDataTable[[#This Row],[Current Price ($)]])/PricingDataTable[[#This Row],[Current Price ($)]]</f>
        <v>-2.0556499097803909E-3</v>
      </c>
      <c r="M309" t="str">
        <f t="shared" si="8"/>
        <v>PASS</v>
      </c>
      <c r="N309" s="10" t="str">
        <f t="shared" si="9"/>
        <v>NONE</v>
      </c>
    </row>
    <row r="310" spans="1:14">
      <c r="A310" s="4" t="s">
        <v>636</v>
      </c>
      <c r="B310" s="4" t="s">
        <v>637</v>
      </c>
      <c r="C310" s="4" t="s">
        <v>12</v>
      </c>
      <c r="D310" s="4" t="s">
        <v>64</v>
      </c>
      <c r="E310" s="5">
        <v>78.801400000000001</v>
      </c>
      <c r="F310" s="5">
        <v>79.778999999999996</v>
      </c>
      <c r="G310" s="5">
        <v>79.665199999999999</v>
      </c>
      <c r="H310" s="4">
        <v>0</v>
      </c>
      <c r="I310" s="6">
        <v>1596240</v>
      </c>
      <c r="J310" s="7">
        <v>449.2</v>
      </c>
      <c r="K310" s="9">
        <f>(PricingDataTable[[#This Row],[Current Price ($)]]-PricingDataTable[[#This Row],[Prior Price ($)]])/PricingDataTable[[#This Row],[Prior Price ($)]]</f>
        <v>1.2405870961683363E-2</v>
      </c>
      <c r="L310" s="9">
        <f>(PricingDataTable[[#This Row],[Vendor Price ($)]]-PricingDataTable[[#This Row],[Current Price ($)]])/PricingDataTable[[#This Row],[Current Price ($)]]</f>
        <v>-1.4264405419972385E-3</v>
      </c>
      <c r="M310" t="str">
        <f t="shared" si="8"/>
        <v>PASS</v>
      </c>
      <c r="N310" s="10" t="str">
        <f t="shared" si="9"/>
        <v>NONE</v>
      </c>
    </row>
    <row r="311" spans="1:14">
      <c r="A311" s="4" t="s">
        <v>638</v>
      </c>
      <c r="B311" s="4" t="s">
        <v>639</v>
      </c>
      <c r="C311" s="4" t="s">
        <v>39</v>
      </c>
      <c r="D311" s="4" t="s">
        <v>64</v>
      </c>
      <c r="E311" s="5">
        <v>78.718299999999999</v>
      </c>
      <c r="F311" s="5">
        <v>78.927700000000002</v>
      </c>
      <c r="G311" s="5">
        <v>79.099299999999999</v>
      </c>
      <c r="H311" s="4">
        <v>0</v>
      </c>
      <c r="I311" s="6">
        <v>4133772</v>
      </c>
      <c r="J311" s="7">
        <v>552.52</v>
      </c>
      <c r="K311" s="9">
        <f>(PricingDataTable[[#This Row],[Current Price ($)]]-PricingDataTable[[#This Row],[Prior Price ($)]])/PricingDataTable[[#This Row],[Prior Price ($)]]</f>
        <v>2.6601184222728672E-3</v>
      </c>
      <c r="L311" s="9">
        <f>(PricingDataTable[[#This Row],[Vendor Price ($)]]-PricingDataTable[[#This Row],[Current Price ($)]])/PricingDataTable[[#This Row],[Current Price ($)]]</f>
        <v>2.174141651156666E-3</v>
      </c>
      <c r="M311" t="str">
        <f t="shared" si="8"/>
        <v>PASS</v>
      </c>
      <c r="N311" s="10" t="str">
        <f t="shared" si="9"/>
        <v>NONE</v>
      </c>
    </row>
    <row r="312" spans="1:14">
      <c r="A312" s="4" t="s">
        <v>640</v>
      </c>
      <c r="B312" s="4" t="s">
        <v>641</v>
      </c>
      <c r="C312" s="4" t="s">
        <v>39</v>
      </c>
      <c r="D312" s="4" t="s">
        <v>13</v>
      </c>
      <c r="E312" s="5">
        <v>115.87260000000001</v>
      </c>
      <c r="F312" s="5">
        <v>118.1735</v>
      </c>
      <c r="G312" s="5">
        <v>117.7366</v>
      </c>
      <c r="H312" s="4">
        <v>0</v>
      </c>
      <c r="I312" s="6">
        <v>3338655</v>
      </c>
      <c r="J312" s="7">
        <v>200.04</v>
      </c>
      <c r="K312" s="9">
        <f>(PricingDataTable[[#This Row],[Current Price ($)]]-PricingDataTable[[#This Row],[Prior Price ($)]])/PricingDataTable[[#This Row],[Prior Price ($)]]</f>
        <v>1.9857153459920625E-2</v>
      </c>
      <c r="L312" s="9">
        <f>(PricingDataTable[[#This Row],[Vendor Price ($)]]-PricingDataTable[[#This Row],[Current Price ($)]])/PricingDataTable[[#This Row],[Current Price ($)]]</f>
        <v>-3.6971063732563433E-3</v>
      </c>
      <c r="M312" t="str">
        <f t="shared" si="8"/>
        <v>PASS</v>
      </c>
      <c r="N312" s="10" t="str">
        <f t="shared" si="9"/>
        <v>NONE</v>
      </c>
    </row>
    <row r="313" spans="1:14">
      <c r="A313" s="4" t="s">
        <v>642</v>
      </c>
      <c r="B313" s="4" t="s">
        <v>643</v>
      </c>
      <c r="C313" s="4" t="s">
        <v>19</v>
      </c>
      <c r="D313" s="4" t="s">
        <v>32</v>
      </c>
      <c r="E313" s="5">
        <v>171.5855</v>
      </c>
      <c r="F313" s="5">
        <v>169.2319</v>
      </c>
      <c r="G313" s="5">
        <v>169.07990000000001</v>
      </c>
      <c r="H313" s="4">
        <v>0</v>
      </c>
      <c r="I313" s="6">
        <v>3860351</v>
      </c>
      <c r="J313" s="7">
        <v>284.22000000000003</v>
      </c>
      <c r="K313" s="9">
        <f>(PricingDataTable[[#This Row],[Current Price ($)]]-PricingDataTable[[#This Row],[Prior Price ($)]])/PricingDataTable[[#This Row],[Prior Price ($)]]</f>
        <v>-1.3716776767267631E-2</v>
      </c>
      <c r="L313" s="9">
        <f>(PricingDataTable[[#This Row],[Vendor Price ($)]]-PricingDataTable[[#This Row],[Current Price ($)]])/PricingDataTable[[#This Row],[Current Price ($)]]</f>
        <v>-8.981758167342375E-4</v>
      </c>
      <c r="M313" t="str">
        <f t="shared" si="8"/>
        <v>PASS</v>
      </c>
      <c r="N313" s="10" t="str">
        <f t="shared" si="9"/>
        <v>NONE</v>
      </c>
    </row>
    <row r="314" spans="1:14">
      <c r="A314" s="4" t="s">
        <v>644</v>
      </c>
      <c r="B314" s="4" t="s">
        <v>645</v>
      </c>
      <c r="C314" s="4" t="s">
        <v>12</v>
      </c>
      <c r="D314" s="4" t="s">
        <v>13</v>
      </c>
      <c r="E314" s="5">
        <v>80.037400000000005</v>
      </c>
      <c r="F314" s="5">
        <v>78.804500000000004</v>
      </c>
      <c r="G314" s="5">
        <v>79.163899999999998</v>
      </c>
      <c r="H314" s="4">
        <v>0</v>
      </c>
      <c r="I314" s="6">
        <v>1543779</v>
      </c>
      <c r="J314" s="7">
        <v>448.99</v>
      </c>
      <c r="K314" s="9">
        <f>(PricingDataTable[[#This Row],[Current Price ($)]]-PricingDataTable[[#This Row],[Prior Price ($)]])/PricingDataTable[[#This Row],[Prior Price ($)]]</f>
        <v>-1.5404048607276108E-2</v>
      </c>
      <c r="L314" s="9">
        <f>(PricingDataTable[[#This Row],[Vendor Price ($)]]-PricingDataTable[[#This Row],[Current Price ($)]])/PricingDataTable[[#This Row],[Current Price ($)]]</f>
        <v>4.5606532621867242E-3</v>
      </c>
      <c r="M314" t="str">
        <f t="shared" si="8"/>
        <v>PASS</v>
      </c>
      <c r="N314" s="10" t="str">
        <f t="shared" si="9"/>
        <v>NONE</v>
      </c>
    </row>
    <row r="315" spans="1:14">
      <c r="A315" s="4" t="s">
        <v>646</v>
      </c>
      <c r="B315" s="4" t="s">
        <v>647</v>
      </c>
      <c r="C315" s="4" t="s">
        <v>12</v>
      </c>
      <c r="D315" s="4" t="s">
        <v>13</v>
      </c>
      <c r="E315" s="5">
        <v>117.7163</v>
      </c>
      <c r="F315" s="5">
        <v>117.55159999999999</v>
      </c>
      <c r="G315" s="5">
        <v>117.76990000000001</v>
      </c>
      <c r="H315" s="4">
        <v>0</v>
      </c>
      <c r="I315" s="6">
        <v>1979077</v>
      </c>
      <c r="J315" s="7">
        <v>499.89</v>
      </c>
      <c r="K315" s="9">
        <f>(PricingDataTable[[#This Row],[Current Price ($)]]-PricingDataTable[[#This Row],[Prior Price ($)]])/PricingDataTable[[#This Row],[Prior Price ($)]]</f>
        <v>-1.3991265440725753E-3</v>
      </c>
      <c r="L315" s="9">
        <f>(PricingDataTable[[#This Row],[Vendor Price ($)]]-PricingDataTable[[#This Row],[Current Price ($)]])/PricingDataTable[[#This Row],[Current Price ($)]]</f>
        <v>1.8570568159005363E-3</v>
      </c>
      <c r="M315" t="str">
        <f t="shared" si="8"/>
        <v>PASS</v>
      </c>
      <c r="N315" s="10" t="str">
        <f t="shared" si="9"/>
        <v>NONE</v>
      </c>
    </row>
    <row r="316" spans="1:14">
      <c r="A316" s="4" t="s">
        <v>648</v>
      </c>
      <c r="B316" s="4" t="s">
        <v>649</v>
      </c>
      <c r="C316" s="4" t="s">
        <v>19</v>
      </c>
      <c r="D316" s="4" t="s">
        <v>237</v>
      </c>
      <c r="E316" s="5">
        <v>59.145400000000002</v>
      </c>
      <c r="F316" s="5">
        <v>59.2971</v>
      </c>
      <c r="G316" s="5">
        <v>59.192900000000002</v>
      </c>
      <c r="H316" s="4">
        <v>2</v>
      </c>
      <c r="I316" s="6">
        <v>4083066</v>
      </c>
      <c r="J316" s="7">
        <v>270.17</v>
      </c>
      <c r="K316" s="9">
        <f>(PricingDataTable[[#This Row],[Current Price ($)]]-PricingDataTable[[#This Row],[Prior Price ($)]])/PricingDataTable[[#This Row],[Prior Price ($)]]</f>
        <v>2.5648655685818027E-3</v>
      </c>
      <c r="L316" s="9">
        <f>(PricingDataTable[[#This Row],[Vendor Price ($)]]-PricingDataTable[[#This Row],[Current Price ($)]])/PricingDataTable[[#This Row],[Current Price ($)]]</f>
        <v>-1.7572528842051084E-3</v>
      </c>
      <c r="M316" t="str">
        <f t="shared" si="8"/>
        <v>PASS</v>
      </c>
      <c r="N316" s="10" t="str">
        <f t="shared" si="9"/>
        <v>NONE</v>
      </c>
    </row>
    <row r="317" spans="1:14">
      <c r="A317" s="4" t="s">
        <v>650</v>
      </c>
      <c r="B317" s="4" t="s">
        <v>651</v>
      </c>
      <c r="C317" s="4" t="s">
        <v>19</v>
      </c>
      <c r="D317" s="4" t="s">
        <v>13</v>
      </c>
      <c r="E317" s="5">
        <v>63.862900000000003</v>
      </c>
      <c r="F317" s="5">
        <v>63.9893</v>
      </c>
      <c r="G317" s="5">
        <v>64.132900000000006</v>
      </c>
      <c r="H317" s="4">
        <v>1</v>
      </c>
      <c r="I317" s="6">
        <v>4677577</v>
      </c>
      <c r="J317" s="7">
        <v>838.67</v>
      </c>
      <c r="K317" s="9">
        <f>(PricingDataTable[[#This Row],[Current Price ($)]]-PricingDataTable[[#This Row],[Prior Price ($)]])/PricingDataTable[[#This Row],[Prior Price ($)]]</f>
        <v>1.9792399029796132E-3</v>
      </c>
      <c r="L317" s="9">
        <f>(PricingDataTable[[#This Row],[Vendor Price ($)]]-PricingDataTable[[#This Row],[Current Price ($)]])/PricingDataTable[[#This Row],[Current Price ($)]]</f>
        <v>2.2441251896802494E-3</v>
      </c>
      <c r="M317" t="str">
        <f t="shared" si="8"/>
        <v>PASS</v>
      </c>
      <c r="N317" s="10" t="str">
        <f t="shared" si="9"/>
        <v>NONE</v>
      </c>
    </row>
    <row r="318" spans="1:14">
      <c r="A318" s="4" t="s">
        <v>652</v>
      </c>
      <c r="B318" s="4" t="s">
        <v>653</v>
      </c>
      <c r="C318" s="4" t="s">
        <v>19</v>
      </c>
      <c r="D318" s="4" t="s">
        <v>13</v>
      </c>
      <c r="E318" s="5">
        <v>304.64010000000002</v>
      </c>
      <c r="F318" s="5">
        <v>307.01</v>
      </c>
      <c r="G318" s="5">
        <v>306.8691</v>
      </c>
      <c r="H318" s="4">
        <v>0</v>
      </c>
      <c r="I318" s="6">
        <v>4282919</v>
      </c>
      <c r="J318" s="7">
        <v>438.85</v>
      </c>
      <c r="K318" s="9">
        <f>(PricingDataTable[[#This Row],[Current Price ($)]]-PricingDataTable[[#This Row],[Prior Price ($)]])/PricingDataTable[[#This Row],[Prior Price ($)]]</f>
        <v>7.7793435598267355E-3</v>
      </c>
      <c r="L318" s="9">
        <f>(PricingDataTable[[#This Row],[Vendor Price ($)]]-PricingDataTable[[#This Row],[Current Price ($)]])/PricingDataTable[[#This Row],[Current Price ($)]]</f>
        <v>-4.5894270544929419E-4</v>
      </c>
      <c r="M318" t="str">
        <f t="shared" si="8"/>
        <v>PASS</v>
      </c>
      <c r="N318" s="10" t="str">
        <f t="shared" si="9"/>
        <v>NONE</v>
      </c>
    </row>
    <row r="319" spans="1:14">
      <c r="A319" s="4" t="s">
        <v>654</v>
      </c>
      <c r="B319" s="4" t="s">
        <v>655</v>
      </c>
      <c r="C319" s="4" t="s">
        <v>35</v>
      </c>
      <c r="D319" s="4" t="s">
        <v>13</v>
      </c>
      <c r="E319" s="5">
        <v>53.001199999999997</v>
      </c>
      <c r="F319" s="5">
        <v>52.760399999999997</v>
      </c>
      <c r="G319" s="5">
        <v>52.6952</v>
      </c>
      <c r="H319" s="4">
        <v>0</v>
      </c>
      <c r="I319" s="6">
        <v>599477</v>
      </c>
      <c r="J319" s="7">
        <v>71.38</v>
      </c>
      <c r="K319" s="9">
        <f>(PricingDataTable[[#This Row],[Current Price ($)]]-PricingDataTable[[#This Row],[Prior Price ($)]])/PricingDataTable[[#This Row],[Prior Price ($)]]</f>
        <v>-4.5432933593956386E-3</v>
      </c>
      <c r="L319" s="9">
        <f>(PricingDataTable[[#This Row],[Vendor Price ($)]]-PricingDataTable[[#This Row],[Current Price ($)]])/PricingDataTable[[#This Row],[Current Price ($)]]</f>
        <v>-1.2357753163356848E-3</v>
      </c>
      <c r="M319" t="str">
        <f t="shared" si="8"/>
        <v>PASS</v>
      </c>
      <c r="N319" s="10" t="str">
        <f t="shared" si="9"/>
        <v>NONE</v>
      </c>
    </row>
    <row r="320" spans="1:14">
      <c r="A320" s="4" t="s">
        <v>656</v>
      </c>
      <c r="B320" s="4" t="s">
        <v>657</v>
      </c>
      <c r="C320" s="4" t="s">
        <v>19</v>
      </c>
      <c r="D320" s="4" t="s">
        <v>13</v>
      </c>
      <c r="E320" s="5">
        <v>250.9683</v>
      </c>
      <c r="F320" s="5">
        <v>248.58529999999999</v>
      </c>
      <c r="G320" s="5">
        <v>248.12530000000001</v>
      </c>
      <c r="H320" s="4">
        <v>3</v>
      </c>
      <c r="I320" s="6">
        <v>3778295</v>
      </c>
      <c r="J320" s="7">
        <v>372.71</v>
      </c>
      <c r="K320" s="9">
        <f>(PricingDataTable[[#This Row],[Current Price ($)]]-PricingDataTable[[#This Row],[Prior Price ($)]])/PricingDataTable[[#This Row],[Prior Price ($)]]</f>
        <v>-9.4952231018818299E-3</v>
      </c>
      <c r="L320" s="9">
        <f>(PricingDataTable[[#This Row],[Vendor Price ($)]]-PricingDataTable[[#This Row],[Current Price ($)]])/PricingDataTable[[#This Row],[Current Price ($)]]</f>
        <v>-1.8504714478288923E-3</v>
      </c>
      <c r="M320" t="str">
        <f t="shared" si="8"/>
        <v>STALE</v>
      </c>
      <c r="N320" s="10" t="str">
        <f t="shared" si="9"/>
        <v>LOW</v>
      </c>
    </row>
    <row r="321" spans="1:14">
      <c r="A321" s="4" t="s">
        <v>658</v>
      </c>
      <c r="B321" s="4" t="s">
        <v>659</v>
      </c>
      <c r="C321" s="4" t="s">
        <v>19</v>
      </c>
      <c r="D321" s="4" t="s">
        <v>13</v>
      </c>
      <c r="E321" s="5">
        <v>94.063299999999998</v>
      </c>
      <c r="F321" s="5">
        <v>93.991</v>
      </c>
      <c r="G321" s="5">
        <v>93.522000000000006</v>
      </c>
      <c r="H321" s="4">
        <v>0</v>
      </c>
      <c r="I321" s="6">
        <v>452520</v>
      </c>
      <c r="J321" s="7">
        <v>23.92</v>
      </c>
      <c r="K321" s="9">
        <f>(PricingDataTable[[#This Row],[Current Price ($)]]-PricingDataTable[[#This Row],[Prior Price ($)]])/PricingDataTable[[#This Row],[Prior Price ($)]]</f>
        <v>-7.6863133655738719E-4</v>
      </c>
      <c r="L321" s="9">
        <f>(PricingDataTable[[#This Row],[Vendor Price ($)]]-PricingDataTable[[#This Row],[Current Price ($)]])/PricingDataTable[[#This Row],[Current Price ($)]]</f>
        <v>-4.9898394527134945E-3</v>
      </c>
      <c r="M321" t="str">
        <f t="shared" si="8"/>
        <v>PASS</v>
      </c>
      <c r="N321" s="10" t="str">
        <f t="shared" si="9"/>
        <v>NONE</v>
      </c>
    </row>
    <row r="322" spans="1:14">
      <c r="A322" s="4" t="s">
        <v>660</v>
      </c>
      <c r="B322" s="4" t="s">
        <v>661</v>
      </c>
      <c r="C322" s="4" t="s">
        <v>39</v>
      </c>
      <c r="D322" s="4" t="s">
        <v>13</v>
      </c>
      <c r="E322" s="5">
        <v>97.758700000000005</v>
      </c>
      <c r="F322" s="5">
        <v>98.718000000000004</v>
      </c>
      <c r="G322" s="5">
        <v>99.075699999999998</v>
      </c>
      <c r="H322" s="4">
        <v>0</v>
      </c>
      <c r="I322" s="6">
        <v>1102232</v>
      </c>
      <c r="J322" s="7">
        <v>474.16</v>
      </c>
      <c r="K322" s="9">
        <f>(PricingDataTable[[#This Row],[Current Price ($)]]-PricingDataTable[[#This Row],[Prior Price ($)]])/PricingDataTable[[#This Row],[Prior Price ($)]]</f>
        <v>9.812937365165442E-3</v>
      </c>
      <c r="L322" s="9">
        <f>(PricingDataTable[[#This Row],[Vendor Price ($)]]-PricingDataTable[[#This Row],[Current Price ($)]])/PricingDataTable[[#This Row],[Current Price ($)]]</f>
        <v>3.6234526631414143E-3</v>
      </c>
      <c r="M322" t="str">
        <f t="shared" ref="M322:M385" si="10">IF(OR(F322="",F322=0),"MISSING",IF(H322&gt;=3,"STALE",IF(ABS(K322)&gt;=5%,"LARGE MOVE",IF(ABS(L322)&gt;=2%,"VENDOR DIFFERENCE","PASS"))))</f>
        <v>PASS</v>
      </c>
      <c r="N322" s="10" t="str">
        <f t="shared" ref="N322:N385" si="11">IF(M322="PASS","NONE",IF(M322="MISSING","HIGH",IF(OR(ABS(K322)&gt;=10%,ABS(L322)&gt;=5%),"HIGH",IF(OR(ABS(K322)&gt;=7%,ABS(L322)&gt;=3%,H322&gt;=5),"MEDIUM","LOW"))))</f>
        <v>NONE</v>
      </c>
    </row>
    <row r="323" spans="1:14">
      <c r="A323" s="4" t="s">
        <v>662</v>
      </c>
      <c r="B323" s="4" t="s">
        <v>663</v>
      </c>
      <c r="C323" s="4" t="s">
        <v>19</v>
      </c>
      <c r="D323" s="4" t="s">
        <v>13</v>
      </c>
      <c r="E323" s="5">
        <v>321.02319999999997</v>
      </c>
      <c r="F323" s="5">
        <v>323.8664</v>
      </c>
      <c r="G323" s="5">
        <v>323.04509999999999</v>
      </c>
      <c r="H323" s="4">
        <v>0</v>
      </c>
      <c r="I323" s="6">
        <v>4524872</v>
      </c>
      <c r="J323" s="7">
        <v>159.5</v>
      </c>
      <c r="K323" s="9">
        <f>(PricingDataTable[[#This Row],[Current Price ($)]]-PricingDataTable[[#This Row],[Prior Price ($)]])/PricingDataTable[[#This Row],[Prior Price ($)]]</f>
        <v>8.856680763259555E-3</v>
      </c>
      <c r="L323" s="9">
        <f>(PricingDataTable[[#This Row],[Vendor Price ($)]]-PricingDataTable[[#This Row],[Current Price ($)]])/PricingDataTable[[#This Row],[Current Price ($)]]</f>
        <v>-2.5359222197795387E-3</v>
      </c>
      <c r="M323" t="str">
        <f t="shared" si="10"/>
        <v>PASS</v>
      </c>
      <c r="N323" s="10" t="str">
        <f t="shared" si="11"/>
        <v>NONE</v>
      </c>
    </row>
    <row r="324" spans="1:14">
      <c r="A324" s="4" t="s">
        <v>664</v>
      </c>
      <c r="B324" s="4" t="s">
        <v>665</v>
      </c>
      <c r="C324" s="4" t="s">
        <v>12</v>
      </c>
      <c r="D324" s="4" t="s">
        <v>13</v>
      </c>
      <c r="E324" s="5">
        <v>103.1992</v>
      </c>
      <c r="F324" s="5">
        <v>101.44929999999999</v>
      </c>
      <c r="G324" s="5">
        <v>101.38549999999999</v>
      </c>
      <c r="H324" s="4">
        <v>0</v>
      </c>
      <c r="I324" s="6">
        <v>3069412</v>
      </c>
      <c r="J324" s="7">
        <v>371.1</v>
      </c>
      <c r="K324" s="9">
        <f>(PricingDataTable[[#This Row],[Current Price ($)]]-PricingDataTable[[#This Row],[Prior Price ($)]])/PricingDataTable[[#This Row],[Prior Price ($)]]</f>
        <v>-1.6956526794781459E-2</v>
      </c>
      <c r="L324" s="9">
        <f>(PricingDataTable[[#This Row],[Vendor Price ($)]]-PricingDataTable[[#This Row],[Current Price ($)]])/PricingDataTable[[#This Row],[Current Price ($)]]</f>
        <v>-6.2888556155636882E-4</v>
      </c>
      <c r="M324" t="str">
        <f t="shared" si="10"/>
        <v>PASS</v>
      </c>
      <c r="N324" s="10" t="str">
        <f t="shared" si="11"/>
        <v>NONE</v>
      </c>
    </row>
    <row r="325" spans="1:14">
      <c r="A325" s="4" t="s">
        <v>666</v>
      </c>
      <c r="B325" s="4" t="s">
        <v>667</v>
      </c>
      <c r="C325" s="4" t="s">
        <v>19</v>
      </c>
      <c r="D325" s="4" t="s">
        <v>13</v>
      </c>
      <c r="E325" s="5">
        <v>267.33640000000003</v>
      </c>
      <c r="F325" s="5">
        <v>269.0643</v>
      </c>
      <c r="G325" s="5">
        <v>269.56560000000002</v>
      </c>
      <c r="H325" s="4">
        <v>0</v>
      </c>
      <c r="I325" s="6">
        <v>3611753</v>
      </c>
      <c r="J325" s="7">
        <v>718.21</v>
      </c>
      <c r="K325" s="9">
        <f>(PricingDataTable[[#This Row],[Current Price ($)]]-PricingDataTable[[#This Row],[Prior Price ($)]])/PricingDataTable[[#This Row],[Prior Price ($)]]</f>
        <v>6.4633921905134385E-3</v>
      </c>
      <c r="L325" s="9">
        <f>(PricingDataTable[[#This Row],[Vendor Price ($)]]-PricingDataTable[[#This Row],[Current Price ($)]])/PricingDataTable[[#This Row],[Current Price ($)]]</f>
        <v>1.8631234244008393E-3</v>
      </c>
      <c r="M325" t="str">
        <f t="shared" si="10"/>
        <v>PASS</v>
      </c>
      <c r="N325" s="10" t="str">
        <f t="shared" si="11"/>
        <v>NONE</v>
      </c>
    </row>
    <row r="326" spans="1:14">
      <c r="A326" s="4" t="s">
        <v>668</v>
      </c>
      <c r="B326" s="4" t="s">
        <v>669</v>
      </c>
      <c r="C326" s="4" t="s">
        <v>39</v>
      </c>
      <c r="D326" s="4" t="s">
        <v>13</v>
      </c>
      <c r="E326" s="5">
        <v>72.491299999999995</v>
      </c>
      <c r="F326" s="5">
        <v>73.179699999999997</v>
      </c>
      <c r="G326" s="5">
        <v>73.020899999999997</v>
      </c>
      <c r="H326" s="4">
        <v>0</v>
      </c>
      <c r="I326" s="6">
        <v>665459</v>
      </c>
      <c r="J326" s="7">
        <v>380.13</v>
      </c>
      <c r="K326" s="9">
        <f>(PricingDataTable[[#This Row],[Current Price ($)]]-PricingDataTable[[#This Row],[Prior Price ($)]])/PricingDataTable[[#This Row],[Prior Price ($)]]</f>
        <v>9.4963119712296717E-3</v>
      </c>
      <c r="L326" s="9">
        <f>(PricingDataTable[[#This Row],[Vendor Price ($)]]-PricingDataTable[[#This Row],[Current Price ($)]])/PricingDataTable[[#This Row],[Current Price ($)]]</f>
        <v>-2.1700006969145734E-3</v>
      </c>
      <c r="M326" t="str">
        <f t="shared" si="10"/>
        <v>PASS</v>
      </c>
      <c r="N326" s="10" t="str">
        <f t="shared" si="11"/>
        <v>NONE</v>
      </c>
    </row>
    <row r="327" spans="1:14">
      <c r="A327" s="4" t="s">
        <v>670</v>
      </c>
      <c r="B327" s="4" t="s">
        <v>671</v>
      </c>
      <c r="C327" s="4" t="s">
        <v>39</v>
      </c>
      <c r="D327" s="4" t="s">
        <v>36</v>
      </c>
      <c r="E327" s="5">
        <v>284.19060000000002</v>
      </c>
      <c r="F327" s="5">
        <v>283.07619999999997</v>
      </c>
      <c r="G327" s="5">
        <v>282.43880000000001</v>
      </c>
      <c r="H327" s="4">
        <v>0</v>
      </c>
      <c r="I327" s="6">
        <v>2430301</v>
      </c>
      <c r="J327" s="7">
        <v>99.5</v>
      </c>
      <c r="K327" s="9">
        <f>(PricingDataTable[[#This Row],[Current Price ($)]]-PricingDataTable[[#This Row],[Prior Price ($)]])/PricingDataTable[[#This Row],[Prior Price ($)]]</f>
        <v>-3.9213119645760486E-3</v>
      </c>
      <c r="L327" s="9">
        <f>(PricingDataTable[[#This Row],[Vendor Price ($)]]-PricingDataTable[[#This Row],[Current Price ($)]])/PricingDataTable[[#This Row],[Current Price ($)]]</f>
        <v>-2.2516905342093649E-3</v>
      </c>
      <c r="M327" t="str">
        <f t="shared" si="10"/>
        <v>PASS</v>
      </c>
      <c r="N327" s="10" t="str">
        <f t="shared" si="11"/>
        <v>NONE</v>
      </c>
    </row>
    <row r="328" spans="1:14">
      <c r="A328" s="4" t="s">
        <v>672</v>
      </c>
      <c r="B328" s="4" t="s">
        <v>673</v>
      </c>
      <c r="C328" s="4" t="s">
        <v>16</v>
      </c>
      <c r="D328" s="4" t="s">
        <v>13</v>
      </c>
      <c r="E328" s="5">
        <v>99.599800000000002</v>
      </c>
      <c r="F328" s="5">
        <v>99.304900000000004</v>
      </c>
      <c r="G328" s="5">
        <v>94.315399999999997</v>
      </c>
      <c r="H328" s="4">
        <v>0</v>
      </c>
      <c r="I328" s="6">
        <v>757627</v>
      </c>
      <c r="J328" s="7">
        <v>135.79</v>
      </c>
      <c r="K328" s="9">
        <f>(PricingDataTable[[#This Row],[Current Price ($)]]-PricingDataTable[[#This Row],[Prior Price ($)]])/PricingDataTable[[#This Row],[Prior Price ($)]]</f>
        <v>-2.9608493189745197E-3</v>
      </c>
      <c r="L328" s="9">
        <f>(PricingDataTable[[#This Row],[Vendor Price ($)]]-PricingDataTable[[#This Row],[Current Price ($)]])/PricingDataTable[[#This Row],[Current Price ($)]]</f>
        <v>-5.0244247766223084E-2</v>
      </c>
      <c r="M328" t="str">
        <f t="shared" si="10"/>
        <v>VENDOR DIFFERENCE</v>
      </c>
      <c r="N328" s="10" t="str">
        <f t="shared" si="11"/>
        <v>HIGH</v>
      </c>
    </row>
    <row r="329" spans="1:14">
      <c r="A329" s="4" t="s">
        <v>674</v>
      </c>
      <c r="B329" s="4" t="s">
        <v>675</v>
      </c>
      <c r="C329" s="4" t="s">
        <v>19</v>
      </c>
      <c r="D329" s="4" t="s">
        <v>13</v>
      </c>
      <c r="E329" s="5">
        <v>281.41609999999997</v>
      </c>
      <c r="F329" s="5">
        <v>285.18549999999999</v>
      </c>
      <c r="G329" s="5">
        <v>285.17320000000001</v>
      </c>
      <c r="H329" s="4">
        <v>2</v>
      </c>
      <c r="I329" s="6">
        <v>3292872</v>
      </c>
      <c r="J329" s="7">
        <v>64.430000000000007</v>
      </c>
      <c r="K329" s="9">
        <f>(PricingDataTable[[#This Row],[Current Price ($)]]-PricingDataTable[[#This Row],[Prior Price ($)]])/PricingDataTable[[#This Row],[Prior Price ($)]]</f>
        <v>1.3394400675725443E-2</v>
      </c>
      <c r="L329" s="9">
        <f>(PricingDataTable[[#This Row],[Vendor Price ($)]]-PricingDataTable[[#This Row],[Current Price ($)]])/PricingDataTable[[#This Row],[Current Price ($)]]</f>
        <v>-4.3129822518963943E-5</v>
      </c>
      <c r="M329" t="str">
        <f t="shared" si="10"/>
        <v>PASS</v>
      </c>
      <c r="N329" s="10" t="str">
        <f t="shared" si="11"/>
        <v>NONE</v>
      </c>
    </row>
    <row r="330" spans="1:14">
      <c r="A330" s="4" t="s">
        <v>676</v>
      </c>
      <c r="B330" s="4" t="s">
        <v>677</v>
      </c>
      <c r="C330" s="4" t="s">
        <v>19</v>
      </c>
      <c r="D330" s="4" t="s">
        <v>64</v>
      </c>
      <c r="E330" s="5">
        <v>287.49970000000002</v>
      </c>
      <c r="F330" s="5">
        <v>288.33049999999997</v>
      </c>
      <c r="G330" s="5">
        <v>287.94150000000002</v>
      </c>
      <c r="H330" s="4">
        <v>1</v>
      </c>
      <c r="I330" s="6">
        <v>282104</v>
      </c>
      <c r="J330" s="7">
        <v>179.42</v>
      </c>
      <c r="K330" s="9">
        <f>(PricingDataTable[[#This Row],[Current Price ($)]]-PricingDataTable[[#This Row],[Prior Price ($)]])/PricingDataTable[[#This Row],[Prior Price ($)]]</f>
        <v>2.8897421458177306E-3</v>
      </c>
      <c r="L330" s="9">
        <f>(PricingDataTable[[#This Row],[Vendor Price ($)]]-PricingDataTable[[#This Row],[Current Price ($)]])/PricingDataTable[[#This Row],[Current Price ($)]]</f>
        <v>-1.3491462054827817E-3</v>
      </c>
      <c r="M330" t="str">
        <f t="shared" si="10"/>
        <v>PASS</v>
      </c>
      <c r="N330" s="10" t="str">
        <f t="shared" si="11"/>
        <v>NONE</v>
      </c>
    </row>
    <row r="331" spans="1:14">
      <c r="A331" s="4" t="s">
        <v>678</v>
      </c>
      <c r="B331" s="4" t="s">
        <v>679</v>
      </c>
      <c r="C331" s="4" t="s">
        <v>16</v>
      </c>
      <c r="D331" s="4" t="s">
        <v>237</v>
      </c>
      <c r="E331" s="5">
        <v>98.641300000000001</v>
      </c>
      <c r="F331" s="5">
        <v>98.213700000000003</v>
      </c>
      <c r="G331" s="5">
        <v>97.982100000000003</v>
      </c>
      <c r="H331" s="4">
        <v>0</v>
      </c>
      <c r="I331" s="6">
        <v>2125941</v>
      </c>
      <c r="J331" s="7">
        <v>433.21</v>
      </c>
      <c r="K331" s="9">
        <f>(PricingDataTable[[#This Row],[Current Price ($)]]-PricingDataTable[[#This Row],[Prior Price ($)]])/PricingDataTable[[#This Row],[Prior Price ($)]]</f>
        <v>-4.3348982626952217E-3</v>
      </c>
      <c r="L331" s="9">
        <f>(PricingDataTable[[#This Row],[Vendor Price ($)]]-PricingDataTable[[#This Row],[Current Price ($)]])/PricingDataTable[[#This Row],[Current Price ($)]]</f>
        <v>-2.3581231538980841E-3</v>
      </c>
      <c r="M331" t="str">
        <f t="shared" si="10"/>
        <v>PASS</v>
      </c>
      <c r="N331" s="10" t="str">
        <f t="shared" si="11"/>
        <v>NONE</v>
      </c>
    </row>
    <row r="332" spans="1:14">
      <c r="A332" s="4" t="s">
        <v>680</v>
      </c>
      <c r="B332" s="4" t="s">
        <v>681</v>
      </c>
      <c r="C332" s="4" t="s">
        <v>16</v>
      </c>
      <c r="D332" s="4" t="s">
        <v>13</v>
      </c>
      <c r="E332" s="5">
        <v>108.3347</v>
      </c>
      <c r="F332" s="5">
        <v>109.27509999999999</v>
      </c>
      <c r="G332" s="5">
        <v>118.03660000000001</v>
      </c>
      <c r="H332" s="4">
        <v>0</v>
      </c>
      <c r="I332" s="6">
        <v>4875427</v>
      </c>
      <c r="J332" s="7">
        <v>705.17</v>
      </c>
      <c r="K332" s="9">
        <f>(PricingDataTable[[#This Row],[Current Price ($)]]-PricingDataTable[[#This Row],[Prior Price ($)]])/PricingDataTable[[#This Row],[Prior Price ($)]]</f>
        <v>8.6805058766950653E-3</v>
      </c>
      <c r="L332" s="9">
        <f>(PricingDataTable[[#This Row],[Vendor Price ($)]]-PricingDataTable[[#This Row],[Current Price ($)]])/PricingDataTable[[#This Row],[Current Price ($)]]</f>
        <v>8.017837549450893E-2</v>
      </c>
      <c r="M332" t="str">
        <f t="shared" si="10"/>
        <v>VENDOR DIFFERENCE</v>
      </c>
      <c r="N332" s="10" t="str">
        <f t="shared" si="11"/>
        <v>HIGH</v>
      </c>
    </row>
    <row r="333" spans="1:14">
      <c r="A333" s="4" t="s">
        <v>682</v>
      </c>
      <c r="B333" s="4" t="s">
        <v>683</v>
      </c>
      <c r="C333" s="4" t="s">
        <v>19</v>
      </c>
      <c r="D333" s="4" t="s">
        <v>32</v>
      </c>
      <c r="E333" s="5">
        <v>93.063000000000002</v>
      </c>
      <c r="F333" s="5">
        <v>91.363399999999999</v>
      </c>
      <c r="G333" s="5">
        <v>91.363600000000005</v>
      </c>
      <c r="H333" s="4">
        <v>1</v>
      </c>
      <c r="I333" s="6">
        <v>1292161</v>
      </c>
      <c r="J333" s="7">
        <v>631.26</v>
      </c>
      <c r="K333" s="9">
        <f>(PricingDataTable[[#This Row],[Current Price ($)]]-PricingDataTable[[#This Row],[Prior Price ($)]])/PricingDataTable[[#This Row],[Prior Price ($)]]</f>
        <v>-1.8262897177181089E-2</v>
      </c>
      <c r="L333" s="9">
        <f>(PricingDataTable[[#This Row],[Vendor Price ($)]]-PricingDataTable[[#This Row],[Current Price ($)]])/PricingDataTable[[#This Row],[Current Price ($)]]</f>
        <v>2.1890603896816376E-6</v>
      </c>
      <c r="M333" t="str">
        <f t="shared" si="10"/>
        <v>PASS</v>
      </c>
      <c r="N333" s="10" t="str">
        <f t="shared" si="11"/>
        <v>NONE</v>
      </c>
    </row>
    <row r="334" spans="1:14">
      <c r="A334" s="4" t="s">
        <v>684</v>
      </c>
      <c r="B334" s="4" t="s">
        <v>685</v>
      </c>
      <c r="C334" s="4" t="s">
        <v>16</v>
      </c>
      <c r="D334" s="4" t="s">
        <v>13</v>
      </c>
      <c r="E334" s="5">
        <v>102.9175</v>
      </c>
      <c r="F334" s="5">
        <v>102.2163</v>
      </c>
      <c r="G334" s="5">
        <v>101.9928</v>
      </c>
      <c r="H334" s="4">
        <v>0</v>
      </c>
      <c r="I334" s="6">
        <v>2103992</v>
      </c>
      <c r="J334" s="7">
        <v>808.82</v>
      </c>
      <c r="K334" s="9">
        <f>(PricingDataTable[[#This Row],[Current Price ($)]]-PricingDataTable[[#This Row],[Prior Price ($)]])/PricingDataTable[[#This Row],[Prior Price ($)]]</f>
        <v>-6.8132241844195592E-3</v>
      </c>
      <c r="L334" s="9">
        <f>(PricingDataTable[[#This Row],[Vendor Price ($)]]-PricingDataTable[[#This Row],[Current Price ($)]])/PricingDataTable[[#This Row],[Current Price ($)]]</f>
        <v>-2.1865397201816282E-3</v>
      </c>
      <c r="M334" t="str">
        <f t="shared" si="10"/>
        <v>PASS</v>
      </c>
      <c r="N334" s="10" t="str">
        <f t="shared" si="11"/>
        <v>NONE</v>
      </c>
    </row>
    <row r="335" spans="1:14">
      <c r="A335" s="4" t="s">
        <v>686</v>
      </c>
      <c r="B335" s="4" t="s">
        <v>687</v>
      </c>
      <c r="C335" s="4" t="s">
        <v>16</v>
      </c>
      <c r="D335" s="4" t="s">
        <v>13</v>
      </c>
      <c r="E335" s="5">
        <v>99.504599999999996</v>
      </c>
      <c r="F335" s="5">
        <v>98.138400000000004</v>
      </c>
      <c r="G335" s="5">
        <v>97.988399999999999</v>
      </c>
      <c r="H335" s="4">
        <v>2</v>
      </c>
      <c r="I335" s="6">
        <v>1346058</v>
      </c>
      <c r="J335" s="7">
        <v>62.18</v>
      </c>
      <c r="K335" s="9">
        <f>(PricingDataTable[[#This Row],[Current Price ($)]]-PricingDataTable[[#This Row],[Prior Price ($)]])/PricingDataTable[[#This Row],[Prior Price ($)]]</f>
        <v>-1.3730018511706918E-2</v>
      </c>
      <c r="L335" s="9">
        <f>(PricingDataTable[[#This Row],[Vendor Price ($)]]-PricingDataTable[[#This Row],[Current Price ($)]])/PricingDataTable[[#This Row],[Current Price ($)]]</f>
        <v>-1.5284536939669455E-3</v>
      </c>
      <c r="M335" t="str">
        <f t="shared" si="10"/>
        <v>PASS</v>
      </c>
      <c r="N335" s="10" t="str">
        <f t="shared" si="11"/>
        <v>NONE</v>
      </c>
    </row>
    <row r="336" spans="1:14">
      <c r="A336" s="4" t="s">
        <v>688</v>
      </c>
      <c r="B336" s="4" t="s">
        <v>689</v>
      </c>
      <c r="C336" s="4" t="s">
        <v>19</v>
      </c>
      <c r="D336" s="4" t="s">
        <v>13</v>
      </c>
      <c r="E336" s="5">
        <v>133.55250000000001</v>
      </c>
      <c r="F336" s="5">
        <v>135.8372</v>
      </c>
      <c r="G336" s="5">
        <v>135.8399</v>
      </c>
      <c r="H336" s="4">
        <v>0</v>
      </c>
      <c r="I336" s="6">
        <v>2004086</v>
      </c>
      <c r="J336" s="7">
        <v>288.76</v>
      </c>
      <c r="K336" s="9">
        <f>(PricingDataTable[[#This Row],[Current Price ($)]]-PricingDataTable[[#This Row],[Prior Price ($)]])/PricingDataTable[[#This Row],[Prior Price ($)]]</f>
        <v>1.7107130154807932E-2</v>
      </c>
      <c r="L336" s="9">
        <f>(PricingDataTable[[#This Row],[Vendor Price ($)]]-PricingDataTable[[#This Row],[Current Price ($)]])/PricingDataTable[[#This Row],[Current Price ($)]]</f>
        <v>1.987673479727472E-5</v>
      </c>
      <c r="M336" t="str">
        <f t="shared" si="10"/>
        <v>PASS</v>
      </c>
      <c r="N336" s="10" t="str">
        <f t="shared" si="11"/>
        <v>NONE</v>
      </c>
    </row>
    <row r="337" spans="1:14">
      <c r="A337" s="4" t="s">
        <v>690</v>
      </c>
      <c r="B337" s="4" t="s">
        <v>691</v>
      </c>
      <c r="C337" s="4" t="s">
        <v>39</v>
      </c>
      <c r="D337" s="4" t="s">
        <v>13</v>
      </c>
      <c r="E337" s="5">
        <v>241.6627</v>
      </c>
      <c r="F337" s="5">
        <v>241.82830000000001</v>
      </c>
      <c r="G337" s="5">
        <v>241.41059999999999</v>
      </c>
      <c r="H337" s="4">
        <v>0</v>
      </c>
      <c r="I337" s="6">
        <v>368230</v>
      </c>
      <c r="J337" s="7">
        <v>751.71</v>
      </c>
      <c r="K337" s="9">
        <f>(PricingDataTable[[#This Row],[Current Price ($)]]-PricingDataTable[[#This Row],[Prior Price ($)]])/PricingDataTable[[#This Row],[Prior Price ($)]]</f>
        <v>6.8525262690523597E-4</v>
      </c>
      <c r="L337" s="9">
        <f>(PricingDataTable[[#This Row],[Vendor Price ($)]]-PricingDataTable[[#This Row],[Current Price ($)]])/PricingDataTable[[#This Row],[Current Price ($)]]</f>
        <v>-1.7272585549334995E-3</v>
      </c>
      <c r="M337" t="str">
        <f t="shared" si="10"/>
        <v>PASS</v>
      </c>
      <c r="N337" s="10" t="str">
        <f t="shared" si="11"/>
        <v>NONE</v>
      </c>
    </row>
    <row r="338" spans="1:14">
      <c r="A338" s="4" t="s">
        <v>692</v>
      </c>
      <c r="B338" s="4" t="s">
        <v>693</v>
      </c>
      <c r="C338" s="4" t="s">
        <v>39</v>
      </c>
      <c r="D338" s="4" t="s">
        <v>13</v>
      </c>
      <c r="E338" s="5">
        <v>173.9966</v>
      </c>
      <c r="F338" s="5">
        <v>176.20679999999999</v>
      </c>
      <c r="G338" s="5">
        <v>176.60659999999999</v>
      </c>
      <c r="H338" s="4">
        <v>0</v>
      </c>
      <c r="I338" s="6">
        <v>3074200</v>
      </c>
      <c r="J338" s="7">
        <v>198.81</v>
      </c>
      <c r="K338" s="9">
        <f>(PricingDataTable[[#This Row],[Current Price ($)]]-PricingDataTable[[#This Row],[Prior Price ($)]])/PricingDataTable[[#This Row],[Prior Price ($)]]</f>
        <v>1.2702547061264335E-2</v>
      </c>
      <c r="L338" s="9">
        <f>(PricingDataTable[[#This Row],[Vendor Price ($)]]-PricingDataTable[[#This Row],[Current Price ($)]])/PricingDataTable[[#This Row],[Current Price ($)]]</f>
        <v>2.2689249223071927E-3</v>
      </c>
      <c r="M338" t="str">
        <f t="shared" si="10"/>
        <v>PASS</v>
      </c>
      <c r="N338" s="10" t="str">
        <f t="shared" si="11"/>
        <v>NONE</v>
      </c>
    </row>
    <row r="339" spans="1:14">
      <c r="A339" s="4" t="s">
        <v>694</v>
      </c>
      <c r="B339" s="4" t="s">
        <v>695</v>
      </c>
      <c r="C339" s="4" t="s">
        <v>19</v>
      </c>
      <c r="D339" s="4" t="s">
        <v>36</v>
      </c>
      <c r="E339" s="5">
        <v>232.2663</v>
      </c>
      <c r="F339" s="5">
        <v>237.0076</v>
      </c>
      <c r="G339" s="5">
        <v>236.42359999999999</v>
      </c>
      <c r="H339" s="4">
        <v>0</v>
      </c>
      <c r="I339" s="6">
        <v>3096972</v>
      </c>
      <c r="J339" s="7">
        <v>714.87</v>
      </c>
      <c r="K339" s="9">
        <f>(PricingDataTable[[#This Row],[Current Price ($)]]-PricingDataTable[[#This Row],[Prior Price ($)]])/PricingDataTable[[#This Row],[Prior Price ($)]]</f>
        <v>2.0413206737266643E-2</v>
      </c>
      <c r="L339" s="9">
        <f>(PricingDataTable[[#This Row],[Vendor Price ($)]]-PricingDataTable[[#This Row],[Current Price ($)]])/PricingDataTable[[#This Row],[Current Price ($)]]</f>
        <v>-2.4640560049551288E-3</v>
      </c>
      <c r="M339" t="str">
        <f t="shared" si="10"/>
        <v>PASS</v>
      </c>
      <c r="N339" s="10" t="str">
        <f t="shared" si="11"/>
        <v>NONE</v>
      </c>
    </row>
    <row r="340" spans="1:14">
      <c r="A340" s="4" t="s">
        <v>696</v>
      </c>
      <c r="B340" s="4" t="s">
        <v>697</v>
      </c>
      <c r="C340" s="4" t="s">
        <v>19</v>
      </c>
      <c r="D340" s="4" t="s">
        <v>13</v>
      </c>
      <c r="E340" s="5">
        <v>32.072699999999998</v>
      </c>
      <c r="F340" s="5">
        <v>31.7651</v>
      </c>
      <c r="G340" s="5">
        <v>31.981300000000001</v>
      </c>
      <c r="H340" s="4">
        <v>1</v>
      </c>
      <c r="I340" s="6">
        <v>4415018</v>
      </c>
      <c r="J340" s="7">
        <v>591.26</v>
      </c>
      <c r="K340" s="9">
        <f>(PricingDataTable[[#This Row],[Current Price ($)]]-PricingDataTable[[#This Row],[Prior Price ($)]])/PricingDataTable[[#This Row],[Prior Price ($)]]</f>
        <v>-9.5907111032123033E-3</v>
      </c>
      <c r="L340" s="9">
        <f>(PricingDataTable[[#This Row],[Vendor Price ($)]]-PricingDataTable[[#This Row],[Current Price ($)]])/PricingDataTable[[#This Row],[Current Price ($)]]</f>
        <v>6.8062118488530056E-3</v>
      </c>
      <c r="M340" t="str">
        <f t="shared" si="10"/>
        <v>PASS</v>
      </c>
      <c r="N340" s="10" t="str">
        <f t="shared" si="11"/>
        <v>NONE</v>
      </c>
    </row>
    <row r="341" spans="1:14">
      <c r="A341" s="4" t="s">
        <v>698</v>
      </c>
      <c r="B341" s="4" t="s">
        <v>699</v>
      </c>
      <c r="C341" s="4" t="s">
        <v>16</v>
      </c>
      <c r="D341" s="4" t="s">
        <v>13</v>
      </c>
      <c r="E341" s="5">
        <v>112.30540000000001</v>
      </c>
      <c r="F341" s="5">
        <v>112.4859</v>
      </c>
      <c r="G341" s="5">
        <v>112.0458</v>
      </c>
      <c r="H341" s="4">
        <v>0</v>
      </c>
      <c r="I341" s="6">
        <v>4614444</v>
      </c>
      <c r="J341" s="7">
        <v>361.52</v>
      </c>
      <c r="K341" s="9">
        <f>(PricingDataTable[[#This Row],[Current Price ($)]]-PricingDataTable[[#This Row],[Prior Price ($)]])/PricingDataTable[[#This Row],[Prior Price ($)]]</f>
        <v>1.607224585816844E-3</v>
      </c>
      <c r="L341" s="9">
        <f>(PricingDataTable[[#This Row],[Vendor Price ($)]]-PricingDataTable[[#This Row],[Current Price ($)]])/PricingDataTable[[#This Row],[Current Price ($)]]</f>
        <v>-3.9124903654591467E-3</v>
      </c>
      <c r="M341" t="str">
        <f t="shared" si="10"/>
        <v>PASS</v>
      </c>
      <c r="N341" s="10" t="str">
        <f t="shared" si="11"/>
        <v>NONE</v>
      </c>
    </row>
    <row r="342" spans="1:14">
      <c r="A342" s="4" t="s">
        <v>700</v>
      </c>
      <c r="B342" s="4" t="s">
        <v>701</v>
      </c>
      <c r="C342" s="4" t="s">
        <v>16</v>
      </c>
      <c r="D342" s="4" t="s">
        <v>13</v>
      </c>
      <c r="E342" s="5">
        <v>121.676</v>
      </c>
      <c r="F342" s="5">
        <v>123.1857</v>
      </c>
      <c r="G342" s="5">
        <v>122.9171</v>
      </c>
      <c r="H342" s="4">
        <v>0</v>
      </c>
      <c r="I342" s="6">
        <v>2714302</v>
      </c>
      <c r="J342" s="7">
        <v>547.65</v>
      </c>
      <c r="K342" s="9">
        <f>(PricingDataTable[[#This Row],[Current Price ($)]]-PricingDataTable[[#This Row],[Prior Price ($)]])/PricingDataTable[[#This Row],[Prior Price ($)]]</f>
        <v>1.2407541339294479E-2</v>
      </c>
      <c r="L342" s="9">
        <f>(PricingDataTable[[#This Row],[Vendor Price ($)]]-PricingDataTable[[#This Row],[Current Price ($)]])/PricingDataTable[[#This Row],[Current Price ($)]]</f>
        <v>-2.1804478928965959E-3</v>
      </c>
      <c r="M342" t="str">
        <f t="shared" si="10"/>
        <v>PASS</v>
      </c>
      <c r="N342" s="10" t="str">
        <f t="shared" si="11"/>
        <v>NONE</v>
      </c>
    </row>
    <row r="343" spans="1:14">
      <c r="A343" s="4" t="s">
        <v>702</v>
      </c>
      <c r="B343" s="4" t="s">
        <v>703</v>
      </c>
      <c r="C343" s="4" t="s">
        <v>19</v>
      </c>
      <c r="D343" s="4" t="s">
        <v>32</v>
      </c>
      <c r="E343" s="5">
        <v>324.74220000000003</v>
      </c>
      <c r="F343" s="5">
        <v>324.48660000000001</v>
      </c>
      <c r="G343" s="5">
        <v>326.97179999999997</v>
      </c>
      <c r="H343" s="4">
        <v>1</v>
      </c>
      <c r="I343" s="6">
        <v>4343022</v>
      </c>
      <c r="J343" s="7">
        <v>121.75</v>
      </c>
      <c r="K343" s="9">
        <f>(PricingDataTable[[#This Row],[Current Price ($)]]-PricingDataTable[[#This Row],[Prior Price ($)]])/PricingDataTable[[#This Row],[Prior Price ($)]]</f>
        <v>-7.8708587919899342E-4</v>
      </c>
      <c r="L343" s="9">
        <f>(PricingDataTable[[#This Row],[Vendor Price ($)]]-PricingDataTable[[#This Row],[Current Price ($)]])/PricingDataTable[[#This Row],[Current Price ($)]]</f>
        <v>7.6588678854534005E-3</v>
      </c>
      <c r="M343" t="str">
        <f t="shared" si="10"/>
        <v>PASS</v>
      </c>
      <c r="N343" s="10" t="str">
        <f t="shared" si="11"/>
        <v>NONE</v>
      </c>
    </row>
    <row r="344" spans="1:14">
      <c r="A344" s="4" t="s">
        <v>704</v>
      </c>
      <c r="B344" s="4" t="s">
        <v>705</v>
      </c>
      <c r="C344" s="4" t="s">
        <v>19</v>
      </c>
      <c r="D344" s="4" t="s">
        <v>13</v>
      </c>
      <c r="E344" s="5">
        <v>300.65640000000002</v>
      </c>
      <c r="F344" s="5">
        <v>307.29669999999999</v>
      </c>
      <c r="G344" s="5">
        <v>307.52949999999998</v>
      </c>
      <c r="H344" s="4">
        <v>0</v>
      </c>
      <c r="I344" s="6">
        <v>1298841</v>
      </c>
      <c r="J344" s="7">
        <v>85.04</v>
      </c>
      <c r="K344" s="9">
        <f>(PricingDataTable[[#This Row],[Current Price ($)]]-PricingDataTable[[#This Row],[Prior Price ($)]])/PricingDataTable[[#This Row],[Prior Price ($)]]</f>
        <v>2.2086009145323257E-2</v>
      </c>
      <c r="L344" s="9">
        <f>(PricingDataTable[[#This Row],[Vendor Price ($)]]-PricingDataTable[[#This Row],[Current Price ($)]])/PricingDataTable[[#This Row],[Current Price ($)]]</f>
        <v>7.5757403187212051E-4</v>
      </c>
      <c r="M344" t="str">
        <f t="shared" si="10"/>
        <v>PASS</v>
      </c>
      <c r="N344" s="10" t="str">
        <f t="shared" si="11"/>
        <v>NONE</v>
      </c>
    </row>
    <row r="345" spans="1:14">
      <c r="A345" s="4" t="s">
        <v>706</v>
      </c>
      <c r="B345" s="4" t="s">
        <v>707</v>
      </c>
      <c r="C345" s="4" t="s">
        <v>19</v>
      </c>
      <c r="D345" s="4" t="s">
        <v>13</v>
      </c>
      <c r="E345" s="5">
        <v>312.25189999999998</v>
      </c>
      <c r="F345" s="5">
        <v>312.25450000000001</v>
      </c>
      <c r="G345" s="5">
        <v>312.9753</v>
      </c>
      <c r="H345" s="4">
        <v>0</v>
      </c>
      <c r="I345" s="6">
        <v>2724714</v>
      </c>
      <c r="J345" s="7">
        <v>713.66</v>
      </c>
      <c r="K345" s="9">
        <f>(PricingDataTable[[#This Row],[Current Price ($)]]-PricingDataTable[[#This Row],[Prior Price ($)]])/PricingDataTable[[#This Row],[Prior Price ($)]]</f>
        <v>8.326610662831733E-6</v>
      </c>
      <c r="L345" s="9">
        <f>(PricingDataTable[[#This Row],[Vendor Price ($)]]-PricingDataTable[[#This Row],[Current Price ($)]])/PricingDataTable[[#This Row],[Current Price ($)]]</f>
        <v>2.3083734581887433E-3</v>
      </c>
      <c r="M345" t="str">
        <f t="shared" si="10"/>
        <v>PASS</v>
      </c>
      <c r="N345" s="10" t="str">
        <f t="shared" si="11"/>
        <v>NONE</v>
      </c>
    </row>
    <row r="346" spans="1:14">
      <c r="A346" s="4" t="s">
        <v>708</v>
      </c>
      <c r="B346" s="4" t="s">
        <v>709</v>
      </c>
      <c r="C346" s="4" t="s">
        <v>39</v>
      </c>
      <c r="D346" s="4" t="s">
        <v>13</v>
      </c>
      <c r="E346" s="5">
        <v>205.07149999999999</v>
      </c>
      <c r="F346" s="5">
        <v>207.83959999999999</v>
      </c>
      <c r="G346" s="5">
        <v>207.37979999999999</v>
      </c>
      <c r="H346" s="4">
        <v>0</v>
      </c>
      <c r="I346" s="6">
        <v>2806063</v>
      </c>
      <c r="J346" s="7">
        <v>313.27</v>
      </c>
      <c r="K346" s="9">
        <f>(PricingDataTable[[#This Row],[Current Price ($)]]-PricingDataTable[[#This Row],[Prior Price ($)]])/PricingDataTable[[#This Row],[Prior Price ($)]]</f>
        <v>1.349821891389103E-2</v>
      </c>
      <c r="L346" s="9">
        <f>(PricingDataTable[[#This Row],[Vendor Price ($)]]-PricingDataTable[[#This Row],[Current Price ($)]])/PricingDataTable[[#This Row],[Current Price ($)]]</f>
        <v>-2.2122829335699326E-3</v>
      </c>
      <c r="M346" t="str">
        <f t="shared" si="10"/>
        <v>PASS</v>
      </c>
      <c r="N346" s="10" t="str">
        <f t="shared" si="11"/>
        <v>NONE</v>
      </c>
    </row>
    <row r="347" spans="1:14">
      <c r="A347" s="4" t="s">
        <v>710</v>
      </c>
      <c r="B347" s="4" t="s">
        <v>711</v>
      </c>
      <c r="C347" s="4" t="s">
        <v>35</v>
      </c>
      <c r="D347" s="4" t="s">
        <v>13</v>
      </c>
      <c r="E347" s="5">
        <v>139.1294</v>
      </c>
      <c r="F347" s="5">
        <v>139.08199999999999</v>
      </c>
      <c r="G347" s="5">
        <v>138.27010000000001</v>
      </c>
      <c r="H347" s="4">
        <v>0</v>
      </c>
      <c r="I347" s="6">
        <v>2679621</v>
      </c>
      <c r="J347" s="7">
        <v>486.03</v>
      </c>
      <c r="K347" s="9">
        <f>(PricingDataTable[[#This Row],[Current Price ($)]]-PricingDataTable[[#This Row],[Prior Price ($)]])/PricingDataTable[[#This Row],[Prior Price ($)]]</f>
        <v>-3.4069003388220118E-4</v>
      </c>
      <c r="L347" s="9">
        <f>(PricingDataTable[[#This Row],[Vendor Price ($)]]-PricingDataTable[[#This Row],[Current Price ($)]])/PricingDataTable[[#This Row],[Current Price ($)]]</f>
        <v>-5.8375634517765064E-3</v>
      </c>
      <c r="M347" t="str">
        <f t="shared" si="10"/>
        <v>PASS</v>
      </c>
      <c r="N347" s="10" t="str">
        <f t="shared" si="11"/>
        <v>NONE</v>
      </c>
    </row>
    <row r="348" spans="1:14">
      <c r="A348" s="4" t="s">
        <v>712</v>
      </c>
      <c r="B348" s="4" t="s">
        <v>713</v>
      </c>
      <c r="C348" s="4" t="s">
        <v>16</v>
      </c>
      <c r="D348" s="4" t="s">
        <v>13</v>
      </c>
      <c r="E348" s="5">
        <v>77.525999999999996</v>
      </c>
      <c r="F348" s="5">
        <v>77.418700000000001</v>
      </c>
      <c r="G348" s="5">
        <v>77.188199999999995</v>
      </c>
      <c r="H348" s="4">
        <v>0</v>
      </c>
      <c r="I348" s="6">
        <v>3308816</v>
      </c>
      <c r="J348" s="7">
        <v>133.38</v>
      </c>
      <c r="K348" s="9">
        <f>(PricingDataTable[[#This Row],[Current Price ($)]]-PricingDataTable[[#This Row],[Prior Price ($)]])/PricingDataTable[[#This Row],[Prior Price ($)]]</f>
        <v>-1.3840518019760477E-3</v>
      </c>
      <c r="L348" s="9">
        <f>(PricingDataTable[[#This Row],[Vendor Price ($)]]-PricingDataTable[[#This Row],[Current Price ($)]])/PricingDataTable[[#This Row],[Current Price ($)]]</f>
        <v>-2.9773168498051033E-3</v>
      </c>
      <c r="M348" t="str">
        <f t="shared" si="10"/>
        <v>PASS</v>
      </c>
      <c r="N348" s="10" t="str">
        <f t="shared" si="11"/>
        <v>NONE</v>
      </c>
    </row>
    <row r="349" spans="1:14">
      <c r="A349" s="4" t="s">
        <v>714</v>
      </c>
      <c r="B349" s="4" t="s">
        <v>715</v>
      </c>
      <c r="C349" s="4" t="s">
        <v>16</v>
      </c>
      <c r="D349" s="4" t="s">
        <v>32</v>
      </c>
      <c r="E349" s="5">
        <v>102.4076</v>
      </c>
      <c r="F349" s="5">
        <v>102.3099</v>
      </c>
      <c r="G349" s="5">
        <v>102.6185</v>
      </c>
      <c r="H349" s="4">
        <v>1</v>
      </c>
      <c r="I349" s="6">
        <v>3317174</v>
      </c>
      <c r="J349" s="7">
        <v>587.09</v>
      </c>
      <c r="K349" s="9">
        <f>(PricingDataTable[[#This Row],[Current Price ($)]]-PricingDataTable[[#This Row],[Prior Price ($)]])/PricingDataTable[[#This Row],[Prior Price ($)]]</f>
        <v>-9.5403075552989453E-4</v>
      </c>
      <c r="L349" s="9">
        <f>(PricingDataTable[[#This Row],[Vendor Price ($)]]-PricingDataTable[[#This Row],[Current Price ($)]])/PricingDataTable[[#This Row],[Current Price ($)]]</f>
        <v>3.0163258883060041E-3</v>
      </c>
      <c r="M349" t="str">
        <f t="shared" si="10"/>
        <v>PASS</v>
      </c>
      <c r="N349" s="10" t="str">
        <f t="shared" si="11"/>
        <v>NONE</v>
      </c>
    </row>
    <row r="350" spans="1:14">
      <c r="A350" s="4" t="s">
        <v>716</v>
      </c>
      <c r="B350" s="4" t="s">
        <v>717</v>
      </c>
      <c r="C350" s="4" t="s">
        <v>12</v>
      </c>
      <c r="D350" s="4" t="s">
        <v>32</v>
      </c>
      <c r="E350" s="5">
        <v>87.312299999999993</v>
      </c>
      <c r="F350" s="5">
        <v>88.945999999999998</v>
      </c>
      <c r="G350" s="5">
        <v>89.147099999999995</v>
      </c>
      <c r="H350" s="4">
        <v>0</v>
      </c>
      <c r="I350" s="6">
        <v>2922818</v>
      </c>
      <c r="J350" s="7">
        <v>171.6</v>
      </c>
      <c r="K350" s="9">
        <f>(PricingDataTable[[#This Row],[Current Price ($)]]-PricingDataTable[[#This Row],[Prior Price ($)]])/PricingDataTable[[#This Row],[Prior Price ($)]]</f>
        <v>1.8710994899916789E-2</v>
      </c>
      <c r="L350" s="9">
        <f>(PricingDataTable[[#This Row],[Vendor Price ($)]]-PricingDataTable[[#This Row],[Current Price ($)]])/PricingDataTable[[#This Row],[Current Price ($)]]</f>
        <v>2.260922357385343E-3</v>
      </c>
      <c r="M350" t="str">
        <f t="shared" si="10"/>
        <v>PASS</v>
      </c>
      <c r="N350" s="10" t="str">
        <f t="shared" si="11"/>
        <v>NONE</v>
      </c>
    </row>
    <row r="351" spans="1:14">
      <c r="A351" s="4" t="s">
        <v>718</v>
      </c>
      <c r="B351" s="4" t="s">
        <v>719</v>
      </c>
      <c r="C351" s="4" t="s">
        <v>12</v>
      </c>
      <c r="D351" s="4" t="s">
        <v>32</v>
      </c>
      <c r="E351" s="5">
        <v>83.462800000000001</v>
      </c>
      <c r="F351" s="5">
        <v>82.372399999999999</v>
      </c>
      <c r="G351" s="5">
        <v>82.744100000000003</v>
      </c>
      <c r="H351" s="4">
        <v>0</v>
      </c>
      <c r="I351" s="6">
        <v>3136836</v>
      </c>
      <c r="J351" s="7">
        <v>140.56</v>
      </c>
      <c r="K351" s="9">
        <f>(PricingDataTable[[#This Row],[Current Price ($)]]-PricingDataTable[[#This Row],[Prior Price ($)]])/PricingDataTable[[#This Row],[Prior Price ($)]]</f>
        <v>-1.3064502988157627E-2</v>
      </c>
      <c r="L351" s="9">
        <f>(PricingDataTable[[#This Row],[Vendor Price ($)]]-PricingDataTable[[#This Row],[Current Price ($)]])/PricingDataTable[[#This Row],[Current Price ($)]]</f>
        <v>4.512433776362036E-3</v>
      </c>
      <c r="M351" t="str">
        <f t="shared" si="10"/>
        <v>PASS</v>
      </c>
      <c r="N351" s="10" t="str">
        <f t="shared" si="11"/>
        <v>NONE</v>
      </c>
    </row>
    <row r="352" spans="1:14">
      <c r="A352" s="4" t="s">
        <v>720</v>
      </c>
      <c r="B352" s="4" t="s">
        <v>721</v>
      </c>
      <c r="C352" s="4" t="s">
        <v>19</v>
      </c>
      <c r="D352" s="4" t="s">
        <v>13</v>
      </c>
      <c r="E352" s="5">
        <v>332.5378</v>
      </c>
      <c r="F352" s="5">
        <v>339.74239999999998</v>
      </c>
      <c r="G352" s="5">
        <v>320.48840000000001</v>
      </c>
      <c r="H352" s="4">
        <v>0</v>
      </c>
      <c r="I352" s="6">
        <v>1778338</v>
      </c>
      <c r="J352" s="7">
        <v>183.58</v>
      </c>
      <c r="K352" s="9">
        <f>(PricingDataTable[[#This Row],[Current Price ($)]]-PricingDataTable[[#This Row],[Prior Price ($)]])/PricingDataTable[[#This Row],[Prior Price ($)]]</f>
        <v>2.1665506898764505E-2</v>
      </c>
      <c r="L352" s="9">
        <f>(PricingDataTable[[#This Row],[Vendor Price ($)]]-PricingDataTable[[#This Row],[Current Price ($)]])/PricingDataTable[[#This Row],[Current Price ($)]]</f>
        <v>-5.667234940354799E-2</v>
      </c>
      <c r="M352" t="str">
        <f t="shared" si="10"/>
        <v>VENDOR DIFFERENCE</v>
      </c>
      <c r="N352" s="10" t="str">
        <f t="shared" si="11"/>
        <v>HIGH</v>
      </c>
    </row>
    <row r="353" spans="1:14">
      <c r="A353" s="4" t="s">
        <v>722</v>
      </c>
      <c r="B353" s="4" t="s">
        <v>723</v>
      </c>
      <c r="C353" s="4" t="s">
        <v>16</v>
      </c>
      <c r="D353" s="4" t="s">
        <v>13</v>
      </c>
      <c r="E353" s="5">
        <v>124.6151</v>
      </c>
      <c r="F353" s="5">
        <v>123.86360000000001</v>
      </c>
      <c r="G353" s="5">
        <v>123.3441</v>
      </c>
      <c r="H353" s="4">
        <v>0</v>
      </c>
      <c r="I353" s="6">
        <v>1684560</v>
      </c>
      <c r="J353" s="7">
        <v>710.31</v>
      </c>
      <c r="K353" s="9">
        <f>(PricingDataTable[[#This Row],[Current Price ($)]]-PricingDataTable[[#This Row],[Prior Price ($)]])/PricingDataTable[[#This Row],[Prior Price ($)]]</f>
        <v>-6.0305693290780404E-3</v>
      </c>
      <c r="L353" s="9">
        <f>(PricingDataTable[[#This Row],[Vendor Price ($)]]-PricingDataTable[[#This Row],[Current Price ($)]])/PricingDataTable[[#This Row],[Current Price ($)]]</f>
        <v>-4.1941296716711592E-3</v>
      </c>
      <c r="M353" t="str">
        <f t="shared" si="10"/>
        <v>PASS</v>
      </c>
      <c r="N353" s="10" t="str">
        <f t="shared" si="11"/>
        <v>NONE</v>
      </c>
    </row>
    <row r="354" spans="1:14">
      <c r="A354" s="4" t="s">
        <v>724</v>
      </c>
      <c r="B354" s="4" t="s">
        <v>725</v>
      </c>
      <c r="C354" s="4" t="s">
        <v>19</v>
      </c>
      <c r="D354" s="4" t="s">
        <v>13</v>
      </c>
      <c r="E354" s="5">
        <v>10.850300000000001</v>
      </c>
      <c r="F354" s="5">
        <v>10.771000000000001</v>
      </c>
      <c r="G354" s="5">
        <v>10.787599999999999</v>
      </c>
      <c r="H354" s="4">
        <v>2</v>
      </c>
      <c r="I354" s="6">
        <v>3243391</v>
      </c>
      <c r="J354" s="7">
        <v>208.21</v>
      </c>
      <c r="K354" s="9">
        <f>(PricingDataTable[[#This Row],[Current Price ($)]]-PricingDataTable[[#This Row],[Prior Price ($)]])/PricingDataTable[[#This Row],[Prior Price ($)]]</f>
        <v>-7.3085536805433879E-3</v>
      </c>
      <c r="L354" s="9">
        <f>(PricingDataTable[[#This Row],[Vendor Price ($)]]-PricingDataTable[[#This Row],[Current Price ($)]])/PricingDataTable[[#This Row],[Current Price ($)]]</f>
        <v>1.5411753783305742E-3</v>
      </c>
      <c r="M354" t="str">
        <f t="shared" si="10"/>
        <v>PASS</v>
      </c>
      <c r="N354" s="10" t="str">
        <f t="shared" si="11"/>
        <v>NONE</v>
      </c>
    </row>
    <row r="355" spans="1:14">
      <c r="A355" s="4" t="s">
        <v>726</v>
      </c>
      <c r="B355" s="4" t="s">
        <v>727</v>
      </c>
      <c r="C355" s="4" t="s">
        <v>35</v>
      </c>
      <c r="D355" s="4" t="s">
        <v>13</v>
      </c>
      <c r="E355" s="5">
        <v>58.151200000000003</v>
      </c>
      <c r="F355" s="5">
        <v>58.726599999999998</v>
      </c>
      <c r="G355" s="5">
        <v>58.5655</v>
      </c>
      <c r="H355" s="4">
        <v>0</v>
      </c>
      <c r="I355" s="6">
        <v>2076275</v>
      </c>
      <c r="J355" s="7">
        <v>830.06</v>
      </c>
      <c r="K355" s="9">
        <f>(PricingDataTable[[#This Row],[Current Price ($)]]-PricingDataTable[[#This Row],[Prior Price ($)]])/PricingDataTable[[#This Row],[Prior Price ($)]]</f>
        <v>9.8948946883296428E-3</v>
      </c>
      <c r="L355" s="9">
        <f>(PricingDataTable[[#This Row],[Vendor Price ($)]]-PricingDataTable[[#This Row],[Current Price ($)]])/PricingDataTable[[#This Row],[Current Price ($)]]</f>
        <v>-2.7432202783746647E-3</v>
      </c>
      <c r="M355" t="str">
        <f t="shared" si="10"/>
        <v>PASS</v>
      </c>
      <c r="N355" s="10" t="str">
        <f t="shared" si="11"/>
        <v>NONE</v>
      </c>
    </row>
    <row r="356" spans="1:14">
      <c r="A356" s="4" t="s">
        <v>728</v>
      </c>
      <c r="B356" s="4" t="s">
        <v>729</v>
      </c>
      <c r="C356" s="4" t="s">
        <v>16</v>
      </c>
      <c r="D356" s="4" t="s">
        <v>32</v>
      </c>
      <c r="E356" s="5">
        <v>75.918599999999998</v>
      </c>
      <c r="F356" s="5">
        <v>75.5762</v>
      </c>
      <c r="G356" s="5">
        <v>75.381500000000003</v>
      </c>
      <c r="H356" s="4">
        <v>4</v>
      </c>
      <c r="I356" s="6">
        <v>2162571</v>
      </c>
      <c r="J356" s="7">
        <v>790.83</v>
      </c>
      <c r="K356" s="9">
        <f>(PricingDataTable[[#This Row],[Current Price ($)]]-PricingDataTable[[#This Row],[Prior Price ($)]])/PricingDataTable[[#This Row],[Prior Price ($)]]</f>
        <v>-4.5100937056267876E-3</v>
      </c>
      <c r="L356" s="9">
        <f>(PricingDataTable[[#This Row],[Vendor Price ($)]]-PricingDataTable[[#This Row],[Current Price ($)]])/PricingDataTable[[#This Row],[Current Price ($)]]</f>
        <v>-2.5762078537952082E-3</v>
      </c>
      <c r="M356" t="str">
        <f t="shared" si="10"/>
        <v>STALE</v>
      </c>
      <c r="N356" s="10" t="str">
        <f t="shared" si="11"/>
        <v>LOW</v>
      </c>
    </row>
    <row r="357" spans="1:14">
      <c r="A357" s="4" t="s">
        <v>730</v>
      </c>
      <c r="B357" s="4" t="s">
        <v>731</v>
      </c>
      <c r="C357" s="4" t="s">
        <v>35</v>
      </c>
      <c r="D357" s="4" t="s">
        <v>13</v>
      </c>
      <c r="E357" s="5">
        <v>62.837899999999998</v>
      </c>
      <c r="F357" s="5">
        <v>62.517600000000002</v>
      </c>
      <c r="G357" s="5">
        <v>62.581099999999999</v>
      </c>
      <c r="H357" s="4">
        <v>1</v>
      </c>
      <c r="I357" s="6">
        <v>3501845</v>
      </c>
      <c r="J357" s="7">
        <v>216.48</v>
      </c>
      <c r="K357" s="9">
        <f>(PricingDataTable[[#This Row],[Current Price ($)]]-PricingDataTable[[#This Row],[Prior Price ($)]])/PricingDataTable[[#This Row],[Prior Price ($)]]</f>
        <v>-5.0972422693946811E-3</v>
      </c>
      <c r="L357" s="9">
        <f>(PricingDataTable[[#This Row],[Vendor Price ($)]]-PricingDataTable[[#This Row],[Current Price ($)]])/PricingDataTable[[#This Row],[Current Price ($)]]</f>
        <v>1.0157139749446182E-3</v>
      </c>
      <c r="M357" t="str">
        <f t="shared" si="10"/>
        <v>PASS</v>
      </c>
      <c r="N357" s="10" t="str">
        <f t="shared" si="11"/>
        <v>NONE</v>
      </c>
    </row>
    <row r="358" spans="1:14">
      <c r="A358" s="4" t="s">
        <v>732</v>
      </c>
      <c r="B358" s="4" t="s">
        <v>733</v>
      </c>
      <c r="C358" s="4" t="s">
        <v>35</v>
      </c>
      <c r="D358" s="4" t="s">
        <v>36</v>
      </c>
      <c r="E358" s="5">
        <v>60.612699999999997</v>
      </c>
      <c r="F358" s="5">
        <v>60.134999999999998</v>
      </c>
      <c r="G358" s="5">
        <v>60.102800000000002</v>
      </c>
      <c r="H358" s="4">
        <v>1</v>
      </c>
      <c r="I358" s="6">
        <v>4394998</v>
      </c>
      <c r="J358" s="7">
        <v>818.62</v>
      </c>
      <c r="K358" s="9">
        <f>(PricingDataTable[[#This Row],[Current Price ($)]]-PricingDataTable[[#This Row],[Prior Price ($)]])/PricingDataTable[[#This Row],[Prior Price ($)]]</f>
        <v>-7.8811866160061958E-3</v>
      </c>
      <c r="L358" s="9">
        <f>(PricingDataTable[[#This Row],[Vendor Price ($)]]-PricingDataTable[[#This Row],[Current Price ($)]])/PricingDataTable[[#This Row],[Current Price ($)]]</f>
        <v>-5.3546187744235487E-4</v>
      </c>
      <c r="M358" t="str">
        <f t="shared" si="10"/>
        <v>PASS</v>
      </c>
      <c r="N358" s="10" t="str">
        <f t="shared" si="11"/>
        <v>NONE</v>
      </c>
    </row>
    <row r="359" spans="1:14">
      <c r="A359" s="4" t="s">
        <v>734</v>
      </c>
      <c r="B359" s="4" t="s">
        <v>735</v>
      </c>
      <c r="C359" s="4" t="s">
        <v>12</v>
      </c>
      <c r="D359" s="4" t="s">
        <v>13</v>
      </c>
      <c r="E359" s="5">
        <v>82.9024</v>
      </c>
      <c r="F359" s="5">
        <v>84.020200000000003</v>
      </c>
      <c r="G359" s="5">
        <v>84.148799999999994</v>
      </c>
      <c r="H359" s="4">
        <v>1</v>
      </c>
      <c r="I359" s="6">
        <v>2674344</v>
      </c>
      <c r="J359" s="7">
        <v>792.14</v>
      </c>
      <c r="K359" s="9">
        <f>(PricingDataTable[[#This Row],[Current Price ($)]]-PricingDataTable[[#This Row],[Prior Price ($)]])/PricingDataTable[[#This Row],[Prior Price ($)]]</f>
        <v>1.3483324970085336E-2</v>
      </c>
      <c r="L359" s="9">
        <f>(PricingDataTable[[#This Row],[Vendor Price ($)]]-PricingDataTable[[#This Row],[Current Price ($)]])/PricingDataTable[[#This Row],[Current Price ($)]]</f>
        <v>1.5305843118677605E-3</v>
      </c>
      <c r="M359" t="str">
        <f t="shared" si="10"/>
        <v>PASS</v>
      </c>
      <c r="N359" s="10" t="str">
        <f t="shared" si="11"/>
        <v>NONE</v>
      </c>
    </row>
    <row r="360" spans="1:14">
      <c r="A360" s="4" t="s">
        <v>736</v>
      </c>
      <c r="B360" s="4" t="s">
        <v>737</v>
      </c>
      <c r="C360" s="4" t="s">
        <v>19</v>
      </c>
      <c r="D360" s="4" t="s">
        <v>32</v>
      </c>
      <c r="E360" s="5">
        <v>289.02089999999998</v>
      </c>
      <c r="F360" s="5">
        <v>285.31479999999999</v>
      </c>
      <c r="G360" s="5">
        <v>284.25279999999998</v>
      </c>
      <c r="H360" s="4">
        <v>0</v>
      </c>
      <c r="I360" s="6">
        <v>2239605</v>
      </c>
      <c r="J360" s="7">
        <v>545.12</v>
      </c>
      <c r="K360" s="9">
        <f>(PricingDataTable[[#This Row],[Current Price ($)]]-PricingDataTable[[#This Row],[Prior Price ($)]])/PricingDataTable[[#This Row],[Prior Price ($)]]</f>
        <v>-1.2822948098217091E-2</v>
      </c>
      <c r="L360" s="9">
        <f>(PricingDataTable[[#This Row],[Vendor Price ($)]]-PricingDataTable[[#This Row],[Current Price ($)]])/PricingDataTable[[#This Row],[Current Price ($)]]</f>
        <v>-3.7222043861727884E-3</v>
      </c>
      <c r="M360" t="str">
        <f t="shared" si="10"/>
        <v>PASS</v>
      </c>
      <c r="N360" s="10" t="str">
        <f t="shared" si="11"/>
        <v>NONE</v>
      </c>
    </row>
    <row r="361" spans="1:14">
      <c r="A361" s="4" t="s">
        <v>738</v>
      </c>
      <c r="B361" s="4" t="s">
        <v>739</v>
      </c>
      <c r="C361" s="4" t="s">
        <v>12</v>
      </c>
      <c r="D361" s="4" t="s">
        <v>13</v>
      </c>
      <c r="E361" s="5">
        <v>76.304199999999994</v>
      </c>
      <c r="F361" s="5">
        <v>77.702699999999993</v>
      </c>
      <c r="G361" s="5">
        <v>77.896900000000002</v>
      </c>
      <c r="H361" s="4">
        <v>0</v>
      </c>
      <c r="I361" s="6">
        <v>3251252</v>
      </c>
      <c r="J361" s="7">
        <v>442.4</v>
      </c>
      <c r="K361" s="9">
        <f>(PricingDataTable[[#This Row],[Current Price ($)]]-PricingDataTable[[#This Row],[Prior Price ($)]])/PricingDataTable[[#This Row],[Prior Price ($)]]</f>
        <v>1.8327955735070921E-2</v>
      </c>
      <c r="L361" s="9">
        <f>(PricingDataTable[[#This Row],[Vendor Price ($)]]-PricingDataTable[[#This Row],[Current Price ($)]])/PricingDataTable[[#This Row],[Current Price ($)]]</f>
        <v>2.4992696521486291E-3</v>
      </c>
      <c r="M361" t="str">
        <f t="shared" si="10"/>
        <v>PASS</v>
      </c>
      <c r="N361" s="10" t="str">
        <f t="shared" si="11"/>
        <v>NONE</v>
      </c>
    </row>
    <row r="362" spans="1:14">
      <c r="A362" s="4" t="s">
        <v>740</v>
      </c>
      <c r="B362" s="4" t="s">
        <v>741</v>
      </c>
      <c r="C362" s="4" t="s">
        <v>19</v>
      </c>
      <c r="D362" s="4" t="s">
        <v>13</v>
      </c>
      <c r="E362" s="5">
        <v>269.47230000000002</v>
      </c>
      <c r="F362" s="5">
        <v>272.0256</v>
      </c>
      <c r="G362" s="5">
        <v>272.0865</v>
      </c>
      <c r="H362" s="4">
        <v>5</v>
      </c>
      <c r="I362" s="6">
        <v>3685991</v>
      </c>
      <c r="J362" s="7">
        <v>780.44</v>
      </c>
      <c r="K362" s="9">
        <f>(PricingDataTable[[#This Row],[Current Price ($)]]-PricingDataTable[[#This Row],[Prior Price ($)]])/PricingDataTable[[#This Row],[Prior Price ($)]]</f>
        <v>9.4751853901123735E-3</v>
      </c>
      <c r="L362" s="9">
        <f>(PricingDataTable[[#This Row],[Vendor Price ($)]]-PricingDataTable[[#This Row],[Current Price ($)]])/PricingDataTable[[#This Row],[Current Price ($)]]</f>
        <v>2.2387598814230621E-4</v>
      </c>
      <c r="M362" t="str">
        <f t="shared" si="10"/>
        <v>STALE</v>
      </c>
      <c r="N362" s="10" t="str">
        <f t="shared" si="11"/>
        <v>MEDIUM</v>
      </c>
    </row>
    <row r="363" spans="1:14">
      <c r="A363" s="4" t="s">
        <v>742</v>
      </c>
      <c r="B363" s="4" t="s">
        <v>743</v>
      </c>
      <c r="C363" s="4" t="s">
        <v>39</v>
      </c>
      <c r="D363" s="4" t="s">
        <v>64</v>
      </c>
      <c r="E363" s="5">
        <v>154.22399999999999</v>
      </c>
      <c r="F363" s="5">
        <v>154.63929999999999</v>
      </c>
      <c r="G363" s="5">
        <v>154.01310000000001</v>
      </c>
      <c r="H363" s="4">
        <v>0</v>
      </c>
      <c r="I363" s="6">
        <v>4498630</v>
      </c>
      <c r="J363" s="7">
        <v>472.8</v>
      </c>
      <c r="K363" s="9">
        <f>(PricingDataTable[[#This Row],[Current Price ($)]]-PricingDataTable[[#This Row],[Prior Price ($)]])/PricingDataTable[[#This Row],[Prior Price ($)]]</f>
        <v>2.6928363938167992E-3</v>
      </c>
      <c r="L363" s="9">
        <f>(PricingDataTable[[#This Row],[Vendor Price ($)]]-PricingDataTable[[#This Row],[Current Price ($)]])/PricingDataTable[[#This Row],[Current Price ($)]]</f>
        <v>-4.0494234001316812E-3</v>
      </c>
      <c r="M363" t="str">
        <f t="shared" si="10"/>
        <v>PASS</v>
      </c>
      <c r="N363" s="10" t="str">
        <f t="shared" si="11"/>
        <v>NONE</v>
      </c>
    </row>
    <row r="364" spans="1:14">
      <c r="A364" s="4" t="s">
        <v>744</v>
      </c>
      <c r="B364" s="4" t="s">
        <v>745</v>
      </c>
      <c r="C364" s="4" t="s">
        <v>16</v>
      </c>
      <c r="D364" s="4" t="s">
        <v>13</v>
      </c>
      <c r="E364" s="5">
        <v>116.3505</v>
      </c>
      <c r="F364" s="5">
        <v>120.81010000000001</v>
      </c>
      <c r="G364" s="5">
        <v>121.1262</v>
      </c>
      <c r="H364" s="4">
        <v>1</v>
      </c>
      <c r="I364" s="6">
        <v>414520</v>
      </c>
      <c r="J364" s="7">
        <v>171.03</v>
      </c>
      <c r="K364" s="9">
        <f>(PricingDataTable[[#This Row],[Current Price ($)]]-PricingDataTable[[#This Row],[Prior Price ($)]])/PricingDataTable[[#This Row],[Prior Price ($)]]</f>
        <v>3.8329014486401081E-2</v>
      </c>
      <c r="L364" s="9">
        <f>(PricingDataTable[[#This Row],[Vendor Price ($)]]-PricingDataTable[[#This Row],[Current Price ($)]])/PricingDataTable[[#This Row],[Current Price ($)]]</f>
        <v>2.6165030903872407E-3</v>
      </c>
      <c r="M364" t="str">
        <f t="shared" si="10"/>
        <v>PASS</v>
      </c>
      <c r="N364" s="10" t="str">
        <f t="shared" si="11"/>
        <v>NONE</v>
      </c>
    </row>
    <row r="365" spans="1:14">
      <c r="A365" s="4" t="s">
        <v>746</v>
      </c>
      <c r="B365" s="4" t="s">
        <v>747</v>
      </c>
      <c r="C365" s="4" t="s">
        <v>35</v>
      </c>
      <c r="D365" s="4" t="s">
        <v>32</v>
      </c>
      <c r="E365" s="5">
        <v>52.892800000000001</v>
      </c>
      <c r="F365" s="5">
        <v>53.1584</v>
      </c>
      <c r="G365" s="5">
        <v>53.273600000000002</v>
      </c>
      <c r="H365" s="4">
        <v>2</v>
      </c>
      <c r="I365" s="6">
        <v>759672</v>
      </c>
      <c r="J365" s="7">
        <v>650.44000000000005</v>
      </c>
      <c r="K365" s="9">
        <f>(PricingDataTable[[#This Row],[Current Price ($)]]-PricingDataTable[[#This Row],[Prior Price ($)]])/PricingDataTable[[#This Row],[Prior Price ($)]]</f>
        <v>5.0214774033516688E-3</v>
      </c>
      <c r="L365" s="9">
        <f>(PricingDataTable[[#This Row],[Vendor Price ($)]]-PricingDataTable[[#This Row],[Current Price ($)]])/PricingDataTable[[#This Row],[Current Price ($)]]</f>
        <v>2.1671081146159691E-3</v>
      </c>
      <c r="M365" t="str">
        <f t="shared" si="10"/>
        <v>PASS</v>
      </c>
      <c r="N365" s="10" t="str">
        <f t="shared" si="11"/>
        <v>NONE</v>
      </c>
    </row>
    <row r="366" spans="1:14">
      <c r="A366" s="4" t="s">
        <v>748</v>
      </c>
      <c r="B366" s="4" t="s">
        <v>749</v>
      </c>
      <c r="C366" s="4" t="s">
        <v>39</v>
      </c>
      <c r="D366" s="4" t="s">
        <v>36</v>
      </c>
      <c r="E366" s="5">
        <v>246.071</v>
      </c>
      <c r="F366" s="5">
        <v>248.08410000000001</v>
      </c>
      <c r="G366" s="5">
        <v>248.6618</v>
      </c>
      <c r="H366" s="4">
        <v>0</v>
      </c>
      <c r="I366" s="6">
        <v>3815159</v>
      </c>
      <c r="J366" s="7">
        <v>81.34</v>
      </c>
      <c r="K366" s="9">
        <f>(PricingDataTable[[#This Row],[Current Price ($)]]-PricingDataTable[[#This Row],[Prior Price ($)]])/PricingDataTable[[#This Row],[Prior Price ($)]]</f>
        <v>8.18097215844211E-3</v>
      </c>
      <c r="L366" s="9">
        <f>(PricingDataTable[[#This Row],[Vendor Price ($)]]-PricingDataTable[[#This Row],[Current Price ($)]])/PricingDataTable[[#This Row],[Current Price ($)]]</f>
        <v>2.3286458100297155E-3</v>
      </c>
      <c r="M366" t="str">
        <f t="shared" si="10"/>
        <v>PASS</v>
      </c>
      <c r="N366" s="10" t="str">
        <f t="shared" si="11"/>
        <v>NONE</v>
      </c>
    </row>
    <row r="367" spans="1:14">
      <c r="A367" s="4" t="s">
        <v>750</v>
      </c>
      <c r="B367" s="4" t="s">
        <v>751</v>
      </c>
      <c r="C367" s="4" t="s">
        <v>12</v>
      </c>
      <c r="D367" s="4" t="s">
        <v>13</v>
      </c>
      <c r="E367" s="5">
        <v>80.708200000000005</v>
      </c>
      <c r="F367" s="5">
        <v>79.834599999999995</v>
      </c>
      <c r="G367" s="5">
        <v>79.905699999999996</v>
      </c>
      <c r="H367" s="4">
        <v>1</v>
      </c>
      <c r="I367" s="6">
        <v>3177586</v>
      </c>
      <c r="J367" s="7">
        <v>495.4</v>
      </c>
      <c r="K367" s="9">
        <f>(PricingDataTable[[#This Row],[Current Price ($)]]-PricingDataTable[[#This Row],[Prior Price ($)]])/PricingDataTable[[#This Row],[Prior Price ($)]]</f>
        <v>-1.0824178955793963E-2</v>
      </c>
      <c r="L367" s="9">
        <f>(PricingDataTable[[#This Row],[Vendor Price ($)]]-PricingDataTable[[#This Row],[Current Price ($)]])/PricingDataTable[[#This Row],[Current Price ($)]]</f>
        <v>8.9059129750761299E-4</v>
      </c>
      <c r="M367" t="str">
        <f t="shared" si="10"/>
        <v>PASS</v>
      </c>
      <c r="N367" s="10" t="str">
        <f t="shared" si="11"/>
        <v>NONE</v>
      </c>
    </row>
    <row r="368" spans="1:14">
      <c r="A368" s="4" t="s">
        <v>752</v>
      </c>
      <c r="B368" s="4" t="s">
        <v>753</v>
      </c>
      <c r="C368" s="4" t="s">
        <v>35</v>
      </c>
      <c r="D368" s="4" t="s">
        <v>13</v>
      </c>
      <c r="E368" s="5">
        <v>119.3964</v>
      </c>
      <c r="F368" s="5">
        <v>121.0925</v>
      </c>
      <c r="G368" s="5">
        <v>121.68510000000001</v>
      </c>
      <c r="H368" s="4">
        <v>0</v>
      </c>
      <c r="I368" s="6">
        <v>3744485</v>
      </c>
      <c r="J368" s="7">
        <v>260.04000000000002</v>
      </c>
      <c r="K368" s="9">
        <f>(PricingDataTable[[#This Row],[Current Price ($)]]-PricingDataTable[[#This Row],[Prior Price ($)]])/PricingDataTable[[#This Row],[Prior Price ($)]]</f>
        <v>1.4205620939994851E-2</v>
      </c>
      <c r="L368" s="9">
        <f>(PricingDataTable[[#This Row],[Vendor Price ($)]]-PricingDataTable[[#This Row],[Current Price ($)]])/PricingDataTable[[#This Row],[Current Price ($)]]</f>
        <v>4.8937795486921525E-3</v>
      </c>
      <c r="M368" t="str">
        <f t="shared" si="10"/>
        <v>PASS</v>
      </c>
      <c r="N368" s="10" t="str">
        <f t="shared" si="11"/>
        <v>NONE</v>
      </c>
    </row>
    <row r="369" spans="1:14">
      <c r="A369" s="4" t="s">
        <v>754</v>
      </c>
      <c r="B369" s="4" t="s">
        <v>755</v>
      </c>
      <c r="C369" s="4" t="s">
        <v>35</v>
      </c>
      <c r="D369" s="4" t="s">
        <v>237</v>
      </c>
      <c r="E369" s="5">
        <v>2.6288999999999998</v>
      </c>
      <c r="F369" s="5">
        <v>2.6293000000000002</v>
      </c>
      <c r="G369" s="5">
        <v>2.6280999999999999</v>
      </c>
      <c r="H369" s="4">
        <v>1</v>
      </c>
      <c r="I369" s="6">
        <v>1820269</v>
      </c>
      <c r="J369" s="7">
        <v>530.05999999999995</v>
      </c>
      <c r="K369" s="9">
        <f>(PricingDataTable[[#This Row],[Current Price ($)]]-PricingDataTable[[#This Row],[Prior Price ($)]])/PricingDataTable[[#This Row],[Prior Price ($)]]</f>
        <v>1.5215489368192021E-4</v>
      </c>
      <c r="L369" s="9">
        <f>(PricingDataTable[[#This Row],[Vendor Price ($)]]-PricingDataTable[[#This Row],[Current Price ($)]])/PricingDataTable[[#This Row],[Current Price ($)]]</f>
        <v>-4.563952382764659E-4</v>
      </c>
      <c r="M369" t="str">
        <f t="shared" si="10"/>
        <v>PASS</v>
      </c>
      <c r="N369" s="10" t="str">
        <f t="shared" si="11"/>
        <v>NONE</v>
      </c>
    </row>
    <row r="370" spans="1:14">
      <c r="A370" s="4" t="s">
        <v>756</v>
      </c>
      <c r="B370" s="4" t="s">
        <v>757</v>
      </c>
      <c r="C370" s="4" t="s">
        <v>16</v>
      </c>
      <c r="D370" s="4" t="s">
        <v>13</v>
      </c>
      <c r="E370" s="5">
        <v>105.0051</v>
      </c>
      <c r="F370" s="5">
        <v>105.0578</v>
      </c>
      <c r="G370" s="5">
        <v>105.45440000000001</v>
      </c>
      <c r="H370" s="4">
        <v>1</v>
      </c>
      <c r="I370" s="6">
        <v>2928790</v>
      </c>
      <c r="J370" s="7">
        <v>33.24</v>
      </c>
      <c r="K370" s="9">
        <f>(PricingDataTable[[#This Row],[Current Price ($)]]-PricingDataTable[[#This Row],[Prior Price ($)]])/PricingDataTable[[#This Row],[Prior Price ($)]]</f>
        <v>5.0188038485751187E-4</v>
      </c>
      <c r="L370" s="9">
        <f>(PricingDataTable[[#This Row],[Vendor Price ($)]]-PricingDataTable[[#This Row],[Current Price ($)]])/PricingDataTable[[#This Row],[Current Price ($)]]</f>
        <v>3.7750647738673997E-3</v>
      </c>
      <c r="M370" t="str">
        <f t="shared" si="10"/>
        <v>PASS</v>
      </c>
      <c r="N370" s="10" t="str">
        <f t="shared" si="11"/>
        <v>NONE</v>
      </c>
    </row>
    <row r="371" spans="1:14">
      <c r="A371" s="4" t="s">
        <v>758</v>
      </c>
      <c r="B371" s="4" t="s">
        <v>759</v>
      </c>
      <c r="C371" s="4" t="s">
        <v>39</v>
      </c>
      <c r="D371" s="4" t="s">
        <v>13</v>
      </c>
      <c r="E371" s="5">
        <v>322.77159999999998</v>
      </c>
      <c r="F371" s="5">
        <v>326.60550000000001</v>
      </c>
      <c r="G371" s="5">
        <v>326.91410000000002</v>
      </c>
      <c r="H371" s="4">
        <v>0</v>
      </c>
      <c r="I371" s="6">
        <v>4716884</v>
      </c>
      <c r="J371" s="7">
        <v>159.84</v>
      </c>
      <c r="K371" s="9">
        <f>(PricingDataTable[[#This Row],[Current Price ($)]]-PricingDataTable[[#This Row],[Prior Price ($)]])/PricingDataTable[[#This Row],[Prior Price ($)]]</f>
        <v>1.1878058664393114E-2</v>
      </c>
      <c r="L371" s="9">
        <f>(PricingDataTable[[#This Row],[Vendor Price ($)]]-PricingDataTable[[#This Row],[Current Price ($)]])/PricingDataTable[[#This Row],[Current Price ($)]]</f>
        <v>9.4487079978754988E-4</v>
      </c>
      <c r="M371" t="str">
        <f t="shared" si="10"/>
        <v>PASS</v>
      </c>
      <c r="N371" s="10" t="str">
        <f t="shared" si="11"/>
        <v>NONE</v>
      </c>
    </row>
    <row r="372" spans="1:14">
      <c r="A372" s="4" t="s">
        <v>760</v>
      </c>
      <c r="B372" s="4" t="s">
        <v>761</v>
      </c>
      <c r="C372" s="4" t="s">
        <v>16</v>
      </c>
      <c r="D372" s="4" t="s">
        <v>13</v>
      </c>
      <c r="E372" s="5">
        <v>113.4256</v>
      </c>
      <c r="F372" s="5">
        <v>112.1421</v>
      </c>
      <c r="G372" s="5">
        <v>112.7864</v>
      </c>
      <c r="H372" s="4">
        <v>2</v>
      </c>
      <c r="I372" s="6">
        <v>1024605</v>
      </c>
      <c r="J372" s="7">
        <v>625.22</v>
      </c>
      <c r="K372" s="9">
        <f>(PricingDataTable[[#This Row],[Current Price ($)]]-PricingDataTable[[#This Row],[Prior Price ($)]])/PricingDataTable[[#This Row],[Prior Price ($)]]</f>
        <v>-1.1315787617610165E-2</v>
      </c>
      <c r="L372" s="9">
        <f>(PricingDataTable[[#This Row],[Vendor Price ($)]]-PricingDataTable[[#This Row],[Current Price ($)]])/PricingDataTable[[#This Row],[Current Price ($)]]</f>
        <v>5.7453891089965427E-3</v>
      </c>
      <c r="M372" t="str">
        <f t="shared" si="10"/>
        <v>PASS</v>
      </c>
      <c r="N372" s="10" t="str">
        <f t="shared" si="11"/>
        <v>NONE</v>
      </c>
    </row>
    <row r="373" spans="1:14">
      <c r="A373" s="4" t="s">
        <v>762</v>
      </c>
      <c r="B373" s="4" t="s">
        <v>763</v>
      </c>
      <c r="C373" s="4" t="s">
        <v>16</v>
      </c>
      <c r="D373" s="4" t="s">
        <v>13</v>
      </c>
      <c r="E373" s="5">
        <v>109.7915</v>
      </c>
      <c r="F373" s="5">
        <v>109.3083</v>
      </c>
      <c r="G373" s="5">
        <v>109.2062</v>
      </c>
      <c r="H373" s="4">
        <v>5</v>
      </c>
      <c r="I373" s="6">
        <v>2410101</v>
      </c>
      <c r="J373" s="7">
        <v>384.46</v>
      </c>
      <c r="K373" s="9">
        <f>(PricingDataTable[[#This Row],[Current Price ($)]]-PricingDataTable[[#This Row],[Prior Price ($)]])/PricingDataTable[[#This Row],[Prior Price ($)]]</f>
        <v>-4.401069299535907E-3</v>
      </c>
      <c r="L373" s="9">
        <f>(PricingDataTable[[#This Row],[Vendor Price ($)]]-PricingDataTable[[#This Row],[Current Price ($)]])/PricingDataTable[[#This Row],[Current Price ($)]]</f>
        <v>-9.3405532791203578E-4</v>
      </c>
      <c r="M373" t="str">
        <f t="shared" si="10"/>
        <v>STALE</v>
      </c>
      <c r="N373" s="10" t="str">
        <f t="shared" si="11"/>
        <v>MEDIUM</v>
      </c>
    </row>
    <row r="374" spans="1:14">
      <c r="A374" s="4" t="s">
        <v>764</v>
      </c>
      <c r="B374" s="4" t="s">
        <v>765</v>
      </c>
      <c r="C374" s="4" t="s">
        <v>16</v>
      </c>
      <c r="D374" s="4" t="s">
        <v>237</v>
      </c>
      <c r="E374" s="5">
        <v>92.692700000000002</v>
      </c>
      <c r="F374" s="5">
        <v>93.6738</v>
      </c>
      <c r="G374" s="5">
        <v>93.936800000000005</v>
      </c>
      <c r="H374" s="4">
        <v>0</v>
      </c>
      <c r="I374" s="6">
        <v>2437790</v>
      </c>
      <c r="J374" s="7">
        <v>881.34</v>
      </c>
      <c r="K374" s="9">
        <f>(PricingDataTable[[#This Row],[Current Price ($)]]-PricingDataTable[[#This Row],[Prior Price ($)]])/PricingDataTable[[#This Row],[Prior Price ($)]]</f>
        <v>1.0584436530600552E-2</v>
      </c>
      <c r="L374" s="9">
        <f>(PricingDataTable[[#This Row],[Vendor Price ($)]]-PricingDataTable[[#This Row],[Current Price ($)]])/PricingDataTable[[#This Row],[Current Price ($)]]</f>
        <v>2.8076153631005174E-3</v>
      </c>
      <c r="M374" t="str">
        <f t="shared" si="10"/>
        <v>PASS</v>
      </c>
      <c r="N374" s="10" t="str">
        <f t="shared" si="11"/>
        <v>NONE</v>
      </c>
    </row>
    <row r="375" spans="1:14">
      <c r="A375" s="4" t="s">
        <v>766</v>
      </c>
      <c r="B375" s="4" t="s">
        <v>767</v>
      </c>
      <c r="C375" s="4" t="s">
        <v>19</v>
      </c>
      <c r="D375" s="4" t="s">
        <v>13</v>
      </c>
      <c r="E375" s="5">
        <v>48.330599999999997</v>
      </c>
      <c r="F375" s="5">
        <v>48.9315</v>
      </c>
      <c r="G375" s="5">
        <v>48.716799999999999</v>
      </c>
      <c r="H375" s="4">
        <v>0</v>
      </c>
      <c r="I375" s="6">
        <v>95768</v>
      </c>
      <c r="J375" s="7">
        <v>576.63</v>
      </c>
      <c r="K375" s="9">
        <f>(PricingDataTable[[#This Row],[Current Price ($)]]-PricingDataTable[[#This Row],[Prior Price ($)]])/PricingDataTable[[#This Row],[Prior Price ($)]]</f>
        <v>1.2433116907301025E-2</v>
      </c>
      <c r="L375" s="9">
        <f>(PricingDataTable[[#This Row],[Vendor Price ($)]]-PricingDataTable[[#This Row],[Current Price ($)]])/PricingDataTable[[#This Row],[Current Price ($)]]</f>
        <v>-4.3877665716358701E-3</v>
      </c>
      <c r="M375" t="str">
        <f t="shared" si="10"/>
        <v>PASS</v>
      </c>
      <c r="N375" s="10" t="str">
        <f t="shared" si="11"/>
        <v>NONE</v>
      </c>
    </row>
    <row r="376" spans="1:14">
      <c r="A376" s="4" t="s">
        <v>768</v>
      </c>
      <c r="B376" s="4" t="s">
        <v>769</v>
      </c>
      <c r="C376" s="4" t="s">
        <v>19</v>
      </c>
      <c r="D376" s="4" t="s">
        <v>13</v>
      </c>
      <c r="E376" s="5">
        <v>110.69710000000001</v>
      </c>
      <c r="F376" s="5">
        <v>108.5406</v>
      </c>
      <c r="G376" s="5">
        <v>108.3689</v>
      </c>
      <c r="H376" s="4">
        <v>0</v>
      </c>
      <c r="I376" s="6">
        <v>1474283</v>
      </c>
      <c r="J376" s="7">
        <v>174.78</v>
      </c>
      <c r="K376" s="9">
        <f>(PricingDataTable[[#This Row],[Current Price ($)]]-PricingDataTable[[#This Row],[Prior Price ($)]])/PricingDataTable[[#This Row],[Prior Price ($)]]</f>
        <v>-1.948108848379956E-2</v>
      </c>
      <c r="L376" s="9">
        <f>(PricingDataTable[[#This Row],[Vendor Price ($)]]-PricingDataTable[[#This Row],[Current Price ($)]])/PricingDataTable[[#This Row],[Current Price ($)]]</f>
        <v>-1.5818965437817858E-3</v>
      </c>
      <c r="M376" t="str">
        <f t="shared" si="10"/>
        <v>PASS</v>
      </c>
      <c r="N376" s="10" t="str">
        <f t="shared" si="11"/>
        <v>NONE</v>
      </c>
    </row>
    <row r="377" spans="1:14">
      <c r="A377" s="4" t="s">
        <v>770</v>
      </c>
      <c r="B377" s="4" t="s">
        <v>771</v>
      </c>
      <c r="C377" s="4" t="s">
        <v>35</v>
      </c>
      <c r="D377" s="4" t="s">
        <v>32</v>
      </c>
      <c r="E377" s="5">
        <v>116.92610000000001</v>
      </c>
      <c r="F377" s="5">
        <v>114.9683</v>
      </c>
      <c r="G377" s="5">
        <v>115.0245</v>
      </c>
      <c r="H377" s="4">
        <v>0</v>
      </c>
      <c r="I377" s="6">
        <v>470948</v>
      </c>
      <c r="J377" s="7">
        <v>751.63</v>
      </c>
      <c r="K377" s="9">
        <f>(PricingDataTable[[#This Row],[Current Price ($)]]-PricingDataTable[[#This Row],[Prior Price ($)]])/PricingDataTable[[#This Row],[Prior Price ($)]]</f>
        <v>-1.6743909187084884E-2</v>
      </c>
      <c r="L377" s="9">
        <f>(PricingDataTable[[#This Row],[Vendor Price ($)]]-PricingDataTable[[#This Row],[Current Price ($)]])/PricingDataTable[[#This Row],[Current Price ($)]]</f>
        <v>4.8883039933619984E-4</v>
      </c>
      <c r="M377" t="str">
        <f t="shared" si="10"/>
        <v>PASS</v>
      </c>
      <c r="N377" s="10" t="str">
        <f t="shared" si="11"/>
        <v>NONE</v>
      </c>
    </row>
    <row r="378" spans="1:14">
      <c r="A378" s="4" t="s">
        <v>772</v>
      </c>
      <c r="B378" s="4" t="s">
        <v>773</v>
      </c>
      <c r="C378" s="4" t="s">
        <v>12</v>
      </c>
      <c r="D378" s="4" t="s">
        <v>13</v>
      </c>
      <c r="E378" s="5">
        <v>101.79430000000001</v>
      </c>
      <c r="F378" s="5">
        <v>102.276</v>
      </c>
      <c r="G378" s="5">
        <v>102.72669999999999</v>
      </c>
      <c r="H378" s="4">
        <v>0</v>
      </c>
      <c r="I378" s="6">
        <v>262499</v>
      </c>
      <c r="J378" s="7">
        <v>305.37</v>
      </c>
      <c r="K378" s="9">
        <f>(PricingDataTable[[#This Row],[Current Price ($)]]-PricingDataTable[[#This Row],[Prior Price ($)]])/PricingDataTable[[#This Row],[Prior Price ($)]]</f>
        <v>4.7320920719528432E-3</v>
      </c>
      <c r="L378" s="9">
        <f>(PricingDataTable[[#This Row],[Vendor Price ($)]]-PricingDataTable[[#This Row],[Current Price ($)]])/PricingDataTable[[#This Row],[Current Price ($)]]</f>
        <v>4.4067034299346639E-3</v>
      </c>
      <c r="M378" t="str">
        <f t="shared" si="10"/>
        <v>PASS</v>
      </c>
      <c r="N378" s="10" t="str">
        <f t="shared" si="11"/>
        <v>NONE</v>
      </c>
    </row>
    <row r="379" spans="1:14">
      <c r="A379" s="4" t="s">
        <v>774</v>
      </c>
      <c r="B379" s="4" t="s">
        <v>775</v>
      </c>
      <c r="C379" s="4" t="s">
        <v>39</v>
      </c>
      <c r="D379" s="4" t="s">
        <v>13</v>
      </c>
      <c r="E379" s="5">
        <v>141.23169999999999</v>
      </c>
      <c r="F379" s="5">
        <v>138.43090000000001</v>
      </c>
      <c r="G379" s="5">
        <v>137.9633</v>
      </c>
      <c r="H379" s="4">
        <v>0</v>
      </c>
      <c r="I379" s="6">
        <v>4170594</v>
      </c>
      <c r="J379" s="7">
        <v>789.37</v>
      </c>
      <c r="K379" s="9">
        <f>(PricingDataTable[[#This Row],[Current Price ($)]]-PricingDataTable[[#This Row],[Prior Price ($)]])/PricingDataTable[[#This Row],[Prior Price ($)]]</f>
        <v>-1.9831241852926652E-2</v>
      </c>
      <c r="L379" s="9">
        <f>(PricingDataTable[[#This Row],[Vendor Price ($)]]-PricingDataTable[[#This Row],[Current Price ($)]])/PricingDataTable[[#This Row],[Current Price ($)]]</f>
        <v>-3.377858556146095E-3</v>
      </c>
      <c r="M379" t="str">
        <f t="shared" si="10"/>
        <v>PASS</v>
      </c>
      <c r="N379" s="10" t="str">
        <f t="shared" si="11"/>
        <v>NONE</v>
      </c>
    </row>
    <row r="380" spans="1:14">
      <c r="A380" s="4" t="s">
        <v>776</v>
      </c>
      <c r="B380" s="4" t="s">
        <v>777</v>
      </c>
      <c r="C380" s="4" t="s">
        <v>39</v>
      </c>
      <c r="D380" s="4" t="s">
        <v>13</v>
      </c>
      <c r="E380" s="5">
        <v>187.58430000000001</v>
      </c>
      <c r="F380" s="5">
        <v>188.5737</v>
      </c>
      <c r="G380" s="5">
        <v>189.0617</v>
      </c>
      <c r="H380" s="4">
        <v>0</v>
      </c>
      <c r="I380" s="6">
        <v>4195759</v>
      </c>
      <c r="J380" s="7">
        <v>138.84</v>
      </c>
      <c r="K380" s="9">
        <f>(PricingDataTable[[#This Row],[Current Price ($)]]-PricingDataTable[[#This Row],[Prior Price ($)]])/PricingDataTable[[#This Row],[Prior Price ($)]]</f>
        <v>5.2744286168937863E-3</v>
      </c>
      <c r="L380" s="9">
        <f>(PricingDataTable[[#This Row],[Vendor Price ($)]]-PricingDataTable[[#This Row],[Current Price ($)]])/PricingDataTable[[#This Row],[Current Price ($)]]</f>
        <v>2.5878476160779555E-3</v>
      </c>
      <c r="M380" t="str">
        <f t="shared" si="10"/>
        <v>PASS</v>
      </c>
      <c r="N380" s="10" t="str">
        <f t="shared" si="11"/>
        <v>NONE</v>
      </c>
    </row>
    <row r="381" spans="1:14">
      <c r="A381" s="4" t="s">
        <v>778</v>
      </c>
      <c r="B381" s="4" t="s">
        <v>779</v>
      </c>
      <c r="C381" s="4" t="s">
        <v>39</v>
      </c>
      <c r="D381" s="4" t="s">
        <v>13</v>
      </c>
      <c r="E381" s="5">
        <v>273.23239999999998</v>
      </c>
      <c r="F381" s="5">
        <v>277.36160000000001</v>
      </c>
      <c r="G381" s="5">
        <v>278.68310000000002</v>
      </c>
      <c r="H381" s="4">
        <v>1</v>
      </c>
      <c r="I381" s="6">
        <v>3854461</v>
      </c>
      <c r="J381" s="7">
        <v>348.95</v>
      </c>
      <c r="K381" s="9">
        <f>(PricingDataTable[[#This Row],[Current Price ($)]]-PricingDataTable[[#This Row],[Prior Price ($)]])/PricingDataTable[[#This Row],[Prior Price ($)]]</f>
        <v>1.511240980205871E-2</v>
      </c>
      <c r="L381" s="9">
        <f>(PricingDataTable[[#This Row],[Vendor Price ($)]]-PricingDataTable[[#This Row],[Current Price ($)]])/PricingDataTable[[#This Row],[Current Price ($)]]</f>
        <v>4.764538422045498E-3</v>
      </c>
      <c r="M381" t="str">
        <f t="shared" si="10"/>
        <v>PASS</v>
      </c>
      <c r="N381" s="10" t="str">
        <f t="shared" si="11"/>
        <v>NONE</v>
      </c>
    </row>
    <row r="382" spans="1:14">
      <c r="A382" s="4" t="s">
        <v>780</v>
      </c>
      <c r="B382" s="4" t="s">
        <v>781</v>
      </c>
      <c r="C382" s="4" t="s">
        <v>19</v>
      </c>
      <c r="D382" s="4" t="s">
        <v>36</v>
      </c>
      <c r="E382" s="5">
        <v>242.97190000000001</v>
      </c>
      <c r="F382" s="5">
        <v>241.93940000000001</v>
      </c>
      <c r="G382" s="5">
        <v>241.7664</v>
      </c>
      <c r="H382" s="4">
        <v>0</v>
      </c>
      <c r="I382" s="6">
        <v>4845923</v>
      </c>
      <c r="J382" s="7">
        <v>682.69</v>
      </c>
      <c r="K382" s="9">
        <f>(PricingDataTable[[#This Row],[Current Price ($)]]-PricingDataTable[[#This Row],[Prior Price ($)]])/PricingDataTable[[#This Row],[Prior Price ($)]]</f>
        <v>-4.2494625921762922E-3</v>
      </c>
      <c r="L382" s="9">
        <f>(PricingDataTable[[#This Row],[Vendor Price ($)]]-PricingDataTable[[#This Row],[Current Price ($)]])/PricingDataTable[[#This Row],[Current Price ($)]]</f>
        <v>-7.1505509230824669E-4</v>
      </c>
      <c r="M382" t="str">
        <f t="shared" si="10"/>
        <v>PASS</v>
      </c>
      <c r="N382" s="10" t="str">
        <f t="shared" si="11"/>
        <v>NONE</v>
      </c>
    </row>
    <row r="383" spans="1:14">
      <c r="A383" s="4" t="s">
        <v>782</v>
      </c>
      <c r="B383" s="4" t="s">
        <v>783</v>
      </c>
      <c r="C383" s="4" t="s">
        <v>19</v>
      </c>
      <c r="D383" s="4" t="s">
        <v>13</v>
      </c>
      <c r="E383" s="5">
        <v>102.61409999999999</v>
      </c>
      <c r="F383" s="5">
        <v>102.05500000000001</v>
      </c>
      <c r="G383" s="5">
        <v>102.3546</v>
      </c>
      <c r="H383" s="4">
        <v>0</v>
      </c>
      <c r="I383" s="6">
        <v>4313253</v>
      </c>
      <c r="J383" s="7">
        <v>92.32</v>
      </c>
      <c r="K383" s="9">
        <f>(PricingDataTable[[#This Row],[Current Price ($)]]-PricingDataTable[[#This Row],[Prior Price ($)]])/PricingDataTable[[#This Row],[Prior Price ($)]]</f>
        <v>-5.4485689588466557E-3</v>
      </c>
      <c r="L383" s="9">
        <f>(PricingDataTable[[#This Row],[Vendor Price ($)]]-PricingDataTable[[#This Row],[Current Price ($)]])/PricingDataTable[[#This Row],[Current Price ($)]]</f>
        <v>2.9356719416000986E-3</v>
      </c>
      <c r="M383" t="str">
        <f t="shared" si="10"/>
        <v>PASS</v>
      </c>
      <c r="N383" s="10" t="str">
        <f t="shared" si="11"/>
        <v>NONE</v>
      </c>
    </row>
    <row r="384" spans="1:14">
      <c r="A384" s="4" t="s">
        <v>784</v>
      </c>
      <c r="B384" s="4" t="s">
        <v>785</v>
      </c>
      <c r="C384" s="4" t="s">
        <v>16</v>
      </c>
      <c r="D384" s="4" t="s">
        <v>13</v>
      </c>
      <c r="E384" s="5">
        <v>122.1639</v>
      </c>
      <c r="F384" s="5">
        <v>122.8014</v>
      </c>
      <c r="G384" s="5">
        <v>122.3475</v>
      </c>
      <c r="H384" s="4">
        <v>2</v>
      </c>
      <c r="I384" s="6">
        <v>244208</v>
      </c>
      <c r="J384" s="7">
        <v>423.77</v>
      </c>
      <c r="K384" s="9">
        <f>(PricingDataTable[[#This Row],[Current Price ($)]]-PricingDataTable[[#This Row],[Prior Price ($)]])/PricingDataTable[[#This Row],[Prior Price ($)]]</f>
        <v>5.2183992161350685E-3</v>
      </c>
      <c r="L384" s="9">
        <f>(PricingDataTable[[#This Row],[Vendor Price ($)]]-PricingDataTable[[#This Row],[Current Price ($)]])/PricingDataTable[[#This Row],[Current Price ($)]]</f>
        <v>-3.6962119324372884E-3</v>
      </c>
      <c r="M384" t="str">
        <f t="shared" si="10"/>
        <v>PASS</v>
      </c>
      <c r="N384" s="10" t="str">
        <f t="shared" si="11"/>
        <v>NONE</v>
      </c>
    </row>
    <row r="385" spans="1:14">
      <c r="A385" s="4" t="s">
        <v>786</v>
      </c>
      <c r="B385" s="4" t="s">
        <v>787</v>
      </c>
      <c r="C385" s="4" t="s">
        <v>19</v>
      </c>
      <c r="D385" s="4" t="s">
        <v>13</v>
      </c>
      <c r="E385" s="5">
        <v>153.85130000000001</v>
      </c>
      <c r="F385" s="5">
        <v>154.92420000000001</v>
      </c>
      <c r="G385" s="5">
        <v>155.48869999999999</v>
      </c>
      <c r="H385" s="4">
        <v>1</v>
      </c>
      <c r="I385" s="6">
        <v>1663178</v>
      </c>
      <c r="J385" s="7">
        <v>641.66999999999996</v>
      </c>
      <c r="K385" s="9">
        <f>(PricingDataTable[[#This Row],[Current Price ($)]]-PricingDataTable[[#This Row],[Prior Price ($)]])/PricingDataTable[[#This Row],[Prior Price ($)]]</f>
        <v>6.9736167325203241E-3</v>
      </c>
      <c r="L385" s="9">
        <f>(PricingDataTable[[#This Row],[Vendor Price ($)]]-PricingDataTable[[#This Row],[Current Price ($)]])/PricingDataTable[[#This Row],[Current Price ($)]]</f>
        <v>3.643717379208549E-3</v>
      </c>
      <c r="M385" t="str">
        <f t="shared" si="10"/>
        <v>PASS</v>
      </c>
      <c r="N385" s="10" t="str">
        <f t="shared" si="11"/>
        <v>NONE</v>
      </c>
    </row>
    <row r="386" spans="1:14">
      <c r="A386" s="4" t="s">
        <v>788</v>
      </c>
      <c r="B386" s="4" t="s">
        <v>789</v>
      </c>
      <c r="C386" s="4" t="s">
        <v>19</v>
      </c>
      <c r="D386" s="4" t="s">
        <v>36</v>
      </c>
      <c r="E386" s="5">
        <v>269.43450000000001</v>
      </c>
      <c r="F386" s="5">
        <v>268.13420000000002</v>
      </c>
      <c r="G386" s="5">
        <v>267.98739999999998</v>
      </c>
      <c r="H386" s="4">
        <v>0</v>
      </c>
      <c r="I386" s="6">
        <v>3905029</v>
      </c>
      <c r="J386" s="7">
        <v>423.6</v>
      </c>
      <c r="K386" s="9">
        <f>(PricingDataTable[[#This Row],[Current Price ($)]]-PricingDataTable[[#This Row],[Prior Price ($)]])/PricingDataTable[[#This Row],[Prior Price ($)]]</f>
        <v>-4.8260337855768019E-3</v>
      </c>
      <c r="L386" s="9">
        <f>(PricingDataTable[[#This Row],[Vendor Price ($)]]-PricingDataTable[[#This Row],[Current Price ($)]])/PricingDataTable[[#This Row],[Current Price ($)]]</f>
        <v>-5.4748704193661817E-4</v>
      </c>
      <c r="M386" t="str">
        <f t="shared" ref="M386:M449" si="12">IF(OR(F386="",F386=0),"MISSING",IF(H386&gt;=3,"STALE",IF(ABS(K386)&gt;=5%,"LARGE MOVE",IF(ABS(L386)&gt;=2%,"VENDOR DIFFERENCE","PASS"))))</f>
        <v>PASS</v>
      </c>
      <c r="N386" s="10" t="str">
        <f t="shared" ref="N386:N449" si="13">IF(M386="PASS","NONE",IF(M386="MISSING","HIGH",IF(OR(ABS(K386)&gt;=10%,ABS(L386)&gt;=5%),"HIGH",IF(OR(ABS(K386)&gt;=7%,ABS(L386)&gt;=3%,H386&gt;=5),"MEDIUM","LOW"))))</f>
        <v>NONE</v>
      </c>
    </row>
    <row r="387" spans="1:14">
      <c r="A387" s="4" t="s">
        <v>790</v>
      </c>
      <c r="B387" s="4" t="s">
        <v>791</v>
      </c>
      <c r="C387" s="4" t="s">
        <v>39</v>
      </c>
      <c r="D387" s="4" t="s">
        <v>13</v>
      </c>
      <c r="E387" s="5">
        <v>320.19869999999997</v>
      </c>
      <c r="F387" s="5">
        <v>315.55779999999999</v>
      </c>
      <c r="G387" s="5">
        <v>316.47879999999998</v>
      </c>
      <c r="H387" s="4">
        <v>2</v>
      </c>
      <c r="I387" s="6">
        <v>3988393</v>
      </c>
      <c r="J387" s="7">
        <v>101.78</v>
      </c>
      <c r="K387" s="9">
        <f>(PricingDataTable[[#This Row],[Current Price ($)]]-PricingDataTable[[#This Row],[Prior Price ($)]])/PricingDataTable[[#This Row],[Prior Price ($)]]</f>
        <v>-1.4493812748146661E-2</v>
      </c>
      <c r="L387" s="9">
        <f>(PricingDataTable[[#This Row],[Vendor Price ($)]]-PricingDataTable[[#This Row],[Current Price ($)]])/PricingDataTable[[#This Row],[Current Price ($)]]</f>
        <v>2.9186412124814925E-3</v>
      </c>
      <c r="M387" t="str">
        <f t="shared" si="12"/>
        <v>PASS</v>
      </c>
      <c r="N387" s="10" t="str">
        <f t="shared" si="13"/>
        <v>NONE</v>
      </c>
    </row>
    <row r="388" spans="1:14">
      <c r="A388" s="4" t="s">
        <v>792</v>
      </c>
      <c r="B388" s="4" t="s">
        <v>793</v>
      </c>
      <c r="C388" s="4" t="s">
        <v>39</v>
      </c>
      <c r="D388" s="4" t="s">
        <v>13</v>
      </c>
      <c r="E388" s="5">
        <v>127.2265</v>
      </c>
      <c r="F388" s="5">
        <v>125.6048</v>
      </c>
      <c r="G388" s="5">
        <v>125.40179999999999</v>
      </c>
      <c r="H388" s="4">
        <v>0</v>
      </c>
      <c r="I388" s="6">
        <v>2535350</v>
      </c>
      <c r="J388" s="7">
        <v>479.56</v>
      </c>
      <c r="K388" s="9">
        <f>(PricingDataTable[[#This Row],[Current Price ($)]]-PricingDataTable[[#This Row],[Prior Price ($)]])/PricingDataTable[[#This Row],[Prior Price ($)]]</f>
        <v>-1.2746558303498124E-2</v>
      </c>
      <c r="L388" s="9">
        <f>(PricingDataTable[[#This Row],[Vendor Price ($)]]-PricingDataTable[[#This Row],[Current Price ($)]])/PricingDataTable[[#This Row],[Current Price ($)]]</f>
        <v>-1.6161802733653727E-3</v>
      </c>
      <c r="M388" t="str">
        <f t="shared" si="12"/>
        <v>PASS</v>
      </c>
      <c r="N388" s="10" t="str">
        <f t="shared" si="13"/>
        <v>NONE</v>
      </c>
    </row>
    <row r="389" spans="1:14">
      <c r="A389" s="4" t="s">
        <v>794</v>
      </c>
      <c r="B389" s="4" t="s">
        <v>795</v>
      </c>
      <c r="C389" s="4" t="s">
        <v>16</v>
      </c>
      <c r="D389" s="4" t="s">
        <v>13</v>
      </c>
      <c r="E389" s="5">
        <v>102.39749999999999</v>
      </c>
      <c r="F389" s="5">
        <v>103.5904</v>
      </c>
      <c r="G389" s="5">
        <v>103.54049999999999</v>
      </c>
      <c r="H389" s="4">
        <v>0</v>
      </c>
      <c r="I389" s="6">
        <v>2871588</v>
      </c>
      <c r="J389" s="7">
        <v>490.17</v>
      </c>
      <c r="K389" s="9">
        <f>(PricingDataTable[[#This Row],[Current Price ($)]]-PricingDataTable[[#This Row],[Prior Price ($)]])/PricingDataTable[[#This Row],[Prior Price ($)]]</f>
        <v>1.1649698478966857E-2</v>
      </c>
      <c r="L389" s="9">
        <f>(PricingDataTable[[#This Row],[Vendor Price ($)]]-PricingDataTable[[#This Row],[Current Price ($)]])/PricingDataTable[[#This Row],[Current Price ($)]]</f>
        <v>-4.8170486840487195E-4</v>
      </c>
      <c r="M389" t="str">
        <f t="shared" si="12"/>
        <v>PASS</v>
      </c>
      <c r="N389" s="10" t="str">
        <f t="shared" si="13"/>
        <v>NONE</v>
      </c>
    </row>
    <row r="390" spans="1:14">
      <c r="A390" s="4" t="s">
        <v>796</v>
      </c>
      <c r="B390" s="4" t="s">
        <v>797</v>
      </c>
      <c r="C390" s="4" t="s">
        <v>12</v>
      </c>
      <c r="D390" s="4" t="s">
        <v>13</v>
      </c>
      <c r="E390" s="5">
        <v>121.5432</v>
      </c>
      <c r="F390" s="5">
        <v>120.0386</v>
      </c>
      <c r="G390" s="5">
        <v>119.85169999999999</v>
      </c>
      <c r="H390" s="4">
        <v>0</v>
      </c>
      <c r="I390" s="6">
        <v>3405044</v>
      </c>
      <c r="J390" s="7">
        <v>62.83</v>
      </c>
      <c r="K390" s="9">
        <f>(PricingDataTable[[#This Row],[Current Price ($)]]-PricingDataTable[[#This Row],[Prior Price ($)]])/PricingDataTable[[#This Row],[Prior Price ($)]]</f>
        <v>-1.2379137623495155E-2</v>
      </c>
      <c r="L390" s="9">
        <f>(PricingDataTable[[#This Row],[Vendor Price ($)]]-PricingDataTable[[#This Row],[Current Price ($)]])/PricingDataTable[[#This Row],[Current Price ($)]]</f>
        <v>-1.5569991652685761E-3</v>
      </c>
      <c r="M390" t="str">
        <f t="shared" si="12"/>
        <v>PASS</v>
      </c>
      <c r="N390" s="10" t="str">
        <f t="shared" si="13"/>
        <v>NONE</v>
      </c>
    </row>
    <row r="391" spans="1:14">
      <c r="A391" s="4" t="s">
        <v>798</v>
      </c>
      <c r="B391" s="4" t="s">
        <v>799</v>
      </c>
      <c r="C391" s="4" t="s">
        <v>39</v>
      </c>
      <c r="D391" s="4" t="s">
        <v>13</v>
      </c>
      <c r="E391" s="5">
        <v>177.0489</v>
      </c>
      <c r="F391" s="5">
        <v>176.5538</v>
      </c>
      <c r="G391" s="5"/>
      <c r="H391" s="4">
        <v>2</v>
      </c>
      <c r="I391" s="6">
        <v>1231821</v>
      </c>
      <c r="J391" s="7">
        <v>594.86</v>
      </c>
      <c r="K391" s="9">
        <f>(PricingDataTable[[#This Row],[Current Price ($)]]-PricingDataTable[[#This Row],[Prior Price ($)]])/PricingDataTable[[#This Row],[Prior Price ($)]]</f>
        <v>-2.796402575785604E-3</v>
      </c>
      <c r="L391" s="9">
        <f>(PricingDataTable[[#This Row],[Vendor Price ($)]]-PricingDataTable[[#This Row],[Current Price ($)]])/PricingDataTable[[#This Row],[Current Price ($)]]</f>
        <v>-1</v>
      </c>
      <c r="M391" t="str">
        <f t="shared" si="12"/>
        <v>VENDOR DIFFERENCE</v>
      </c>
      <c r="N391" s="10" t="str">
        <f t="shared" si="13"/>
        <v>HIGH</v>
      </c>
    </row>
    <row r="392" spans="1:14">
      <c r="A392" s="4" t="s">
        <v>800</v>
      </c>
      <c r="B392" s="4" t="s">
        <v>801</v>
      </c>
      <c r="C392" s="4" t="s">
        <v>19</v>
      </c>
      <c r="D392" s="4" t="s">
        <v>13</v>
      </c>
      <c r="E392" s="5">
        <v>160.92859999999999</v>
      </c>
      <c r="F392" s="5">
        <v>162.01669999999999</v>
      </c>
      <c r="G392" s="5">
        <v>162.9742</v>
      </c>
      <c r="H392" s="4">
        <v>1</v>
      </c>
      <c r="I392" s="6">
        <v>2888900</v>
      </c>
      <c r="J392" s="7">
        <v>891.26</v>
      </c>
      <c r="K392" s="9">
        <f>(PricingDataTable[[#This Row],[Current Price ($)]]-PricingDataTable[[#This Row],[Prior Price ($)]])/PricingDataTable[[#This Row],[Prior Price ($)]]</f>
        <v>6.7613836198164726E-3</v>
      </c>
      <c r="L392" s="9">
        <f>(PricingDataTable[[#This Row],[Vendor Price ($)]]-PricingDataTable[[#This Row],[Current Price ($)]])/PricingDataTable[[#This Row],[Current Price ($)]]</f>
        <v>5.9098845983161629E-3</v>
      </c>
      <c r="M392" t="str">
        <f t="shared" si="12"/>
        <v>PASS</v>
      </c>
      <c r="N392" s="10" t="str">
        <f t="shared" si="13"/>
        <v>NONE</v>
      </c>
    </row>
    <row r="393" spans="1:14">
      <c r="A393" s="4" t="s">
        <v>802</v>
      </c>
      <c r="B393" s="4" t="s">
        <v>803</v>
      </c>
      <c r="C393" s="4" t="s">
        <v>12</v>
      </c>
      <c r="D393" s="4" t="s">
        <v>13</v>
      </c>
      <c r="E393" s="5">
        <v>117.3818</v>
      </c>
      <c r="F393" s="5">
        <v>117.6855</v>
      </c>
      <c r="G393" s="5">
        <v>117.58410000000001</v>
      </c>
      <c r="H393" s="4">
        <v>0</v>
      </c>
      <c r="I393" s="6">
        <v>921216</v>
      </c>
      <c r="J393" s="7">
        <v>775.15</v>
      </c>
      <c r="K393" s="9">
        <f>(PricingDataTable[[#This Row],[Current Price ($)]]-PricingDataTable[[#This Row],[Prior Price ($)]])/PricingDataTable[[#This Row],[Prior Price ($)]]</f>
        <v>2.5872835482162165E-3</v>
      </c>
      <c r="L393" s="9">
        <f>(PricingDataTable[[#This Row],[Vendor Price ($)]]-PricingDataTable[[#This Row],[Current Price ($)]])/PricingDataTable[[#This Row],[Current Price ($)]]</f>
        <v>-8.6161846616616457E-4</v>
      </c>
      <c r="M393" t="str">
        <f t="shared" si="12"/>
        <v>PASS</v>
      </c>
      <c r="N393" s="10" t="str">
        <f t="shared" si="13"/>
        <v>NONE</v>
      </c>
    </row>
    <row r="394" spans="1:14">
      <c r="A394" s="4" t="s">
        <v>804</v>
      </c>
      <c r="B394" s="4" t="s">
        <v>805</v>
      </c>
      <c r="C394" s="4" t="s">
        <v>16</v>
      </c>
      <c r="D394" s="4" t="s">
        <v>13</v>
      </c>
      <c r="E394" s="5">
        <v>106.2607</v>
      </c>
      <c r="F394" s="5">
        <v>105.9511</v>
      </c>
      <c r="G394" s="5">
        <v>105.636</v>
      </c>
      <c r="H394" s="4">
        <v>0</v>
      </c>
      <c r="I394" s="6">
        <v>3023313</v>
      </c>
      <c r="J394" s="7">
        <v>756</v>
      </c>
      <c r="K394" s="9">
        <f>(PricingDataTable[[#This Row],[Current Price ($)]]-PricingDataTable[[#This Row],[Prior Price ($)]])/PricingDataTable[[#This Row],[Prior Price ($)]]</f>
        <v>-2.9135889373964525E-3</v>
      </c>
      <c r="L394" s="9">
        <f>(PricingDataTable[[#This Row],[Vendor Price ($)]]-PricingDataTable[[#This Row],[Current Price ($)]])/PricingDataTable[[#This Row],[Current Price ($)]]</f>
        <v>-2.9740134835787553E-3</v>
      </c>
      <c r="M394" t="str">
        <f t="shared" si="12"/>
        <v>PASS</v>
      </c>
      <c r="N394" s="10" t="str">
        <f t="shared" si="13"/>
        <v>NONE</v>
      </c>
    </row>
    <row r="395" spans="1:14">
      <c r="A395" s="4" t="s">
        <v>806</v>
      </c>
      <c r="B395" s="4" t="s">
        <v>807</v>
      </c>
      <c r="C395" s="4" t="s">
        <v>35</v>
      </c>
      <c r="D395" s="4" t="s">
        <v>13</v>
      </c>
      <c r="E395" s="5">
        <v>25.901399999999999</v>
      </c>
      <c r="F395" s="5">
        <v>25.9512</v>
      </c>
      <c r="G395" s="5">
        <v>25.9572</v>
      </c>
      <c r="H395" s="4">
        <v>0</v>
      </c>
      <c r="I395" s="6">
        <v>3489448</v>
      </c>
      <c r="J395" s="7">
        <v>774.17</v>
      </c>
      <c r="K395" s="9">
        <f>(PricingDataTable[[#This Row],[Current Price ($)]]-PricingDataTable[[#This Row],[Prior Price ($)]])/PricingDataTable[[#This Row],[Prior Price ($)]]</f>
        <v>1.9226759943478415E-3</v>
      </c>
      <c r="L395" s="9">
        <f>(PricingDataTable[[#This Row],[Vendor Price ($)]]-PricingDataTable[[#This Row],[Current Price ($)]])/PricingDataTable[[#This Row],[Current Price ($)]]</f>
        <v>2.3120318135578421E-4</v>
      </c>
      <c r="M395" t="str">
        <f t="shared" si="12"/>
        <v>PASS</v>
      </c>
      <c r="N395" s="10" t="str">
        <f t="shared" si="13"/>
        <v>NONE</v>
      </c>
    </row>
    <row r="396" spans="1:14">
      <c r="A396" s="4" t="s">
        <v>808</v>
      </c>
      <c r="B396" s="4" t="s">
        <v>809</v>
      </c>
      <c r="C396" s="4" t="s">
        <v>35</v>
      </c>
      <c r="D396" s="4" t="s">
        <v>13</v>
      </c>
      <c r="E396" s="5">
        <v>82.882199999999997</v>
      </c>
      <c r="F396" s="5"/>
      <c r="G396" s="5">
        <v>81.452600000000004</v>
      </c>
      <c r="H396" s="4">
        <v>0</v>
      </c>
      <c r="I396" s="6">
        <v>1987002</v>
      </c>
      <c r="J396" s="7">
        <v>640.97</v>
      </c>
      <c r="K396" s="9">
        <f>(PricingDataTable[[#This Row],[Current Price ($)]]-PricingDataTable[[#This Row],[Prior Price ($)]])/PricingDataTable[[#This Row],[Prior Price ($)]]</f>
        <v>-1</v>
      </c>
      <c r="L396" s="9" t="e">
        <f>(PricingDataTable[[#This Row],[Vendor Price ($)]]-PricingDataTable[[#This Row],[Current Price ($)]])/PricingDataTable[[#This Row],[Current Price ($)]]</f>
        <v>#DIV/0!</v>
      </c>
      <c r="M396" t="str">
        <f t="shared" si="12"/>
        <v>MISSING</v>
      </c>
      <c r="N396" s="10" t="str">
        <f t="shared" si="13"/>
        <v>HIGH</v>
      </c>
    </row>
    <row r="397" spans="1:14">
      <c r="A397" s="4" t="s">
        <v>810</v>
      </c>
      <c r="B397" s="4" t="s">
        <v>811</v>
      </c>
      <c r="C397" s="4" t="s">
        <v>35</v>
      </c>
      <c r="D397" s="4" t="s">
        <v>13</v>
      </c>
      <c r="E397" s="5">
        <v>7.9561999999999999</v>
      </c>
      <c r="F397" s="5">
        <v>8.0627999999999993</v>
      </c>
      <c r="G397" s="5">
        <v>8.0693999999999999</v>
      </c>
      <c r="H397" s="4">
        <v>4</v>
      </c>
      <c r="I397" s="6">
        <v>4416830</v>
      </c>
      <c r="J397" s="7">
        <v>885.22</v>
      </c>
      <c r="K397" s="9">
        <f>(PricingDataTable[[#This Row],[Current Price ($)]]-PricingDataTable[[#This Row],[Prior Price ($)]])/PricingDataTable[[#This Row],[Prior Price ($)]]</f>
        <v>1.3398355999094965E-2</v>
      </c>
      <c r="L397" s="9">
        <f>(PricingDataTable[[#This Row],[Vendor Price ($)]]-PricingDataTable[[#This Row],[Current Price ($)]])/PricingDataTable[[#This Row],[Current Price ($)]]</f>
        <v>8.1857419258825792E-4</v>
      </c>
      <c r="M397" t="str">
        <f t="shared" si="12"/>
        <v>STALE</v>
      </c>
      <c r="N397" s="10" t="str">
        <f t="shared" si="13"/>
        <v>LOW</v>
      </c>
    </row>
    <row r="398" spans="1:14">
      <c r="A398" s="4" t="s">
        <v>812</v>
      </c>
      <c r="B398" s="4" t="s">
        <v>813</v>
      </c>
      <c r="C398" s="4" t="s">
        <v>16</v>
      </c>
      <c r="D398" s="4" t="s">
        <v>13</v>
      </c>
      <c r="E398" s="5">
        <v>105.5035</v>
      </c>
      <c r="F398" s="5">
        <v>105.55710000000001</v>
      </c>
      <c r="G398" s="5">
        <v>106.0038</v>
      </c>
      <c r="H398" s="4">
        <v>1</v>
      </c>
      <c r="I398" s="6">
        <v>443702</v>
      </c>
      <c r="J398" s="7">
        <v>813.25</v>
      </c>
      <c r="K398" s="9">
        <f>(PricingDataTable[[#This Row],[Current Price ($)]]-PricingDataTable[[#This Row],[Prior Price ($)]])/PricingDataTable[[#This Row],[Prior Price ($)]]</f>
        <v>5.080400176297751E-4</v>
      </c>
      <c r="L398" s="9">
        <f>(PricingDataTable[[#This Row],[Vendor Price ($)]]-PricingDataTable[[#This Row],[Current Price ($)]])/PricingDataTable[[#This Row],[Current Price ($)]]</f>
        <v>4.2318328184460614E-3</v>
      </c>
      <c r="M398" t="str">
        <f t="shared" si="12"/>
        <v>PASS</v>
      </c>
      <c r="N398" s="10" t="str">
        <f t="shared" si="13"/>
        <v>NONE</v>
      </c>
    </row>
    <row r="399" spans="1:14">
      <c r="A399" s="4" t="s">
        <v>814</v>
      </c>
      <c r="B399" s="4" t="s">
        <v>815</v>
      </c>
      <c r="C399" s="4" t="s">
        <v>16</v>
      </c>
      <c r="D399" s="4" t="s">
        <v>13</v>
      </c>
      <c r="E399" s="5">
        <v>98.461600000000004</v>
      </c>
      <c r="F399" s="5">
        <v>98.336200000000005</v>
      </c>
      <c r="G399" s="5">
        <v>98.029399999999995</v>
      </c>
      <c r="H399" s="4">
        <v>0</v>
      </c>
      <c r="I399" s="6">
        <v>2551731</v>
      </c>
      <c r="J399" s="7">
        <v>654.33000000000004</v>
      </c>
      <c r="K399" s="9">
        <f>(PricingDataTable[[#This Row],[Current Price ($)]]-PricingDataTable[[#This Row],[Prior Price ($)]])/PricingDataTable[[#This Row],[Prior Price ($)]]</f>
        <v>-1.2735929540043942E-3</v>
      </c>
      <c r="L399" s="9">
        <f>(PricingDataTable[[#This Row],[Vendor Price ($)]]-PricingDataTable[[#This Row],[Current Price ($)]])/PricingDataTable[[#This Row],[Current Price ($)]]</f>
        <v>-3.1199090467194149E-3</v>
      </c>
      <c r="M399" t="str">
        <f t="shared" si="12"/>
        <v>PASS</v>
      </c>
      <c r="N399" s="10" t="str">
        <f t="shared" si="13"/>
        <v>NONE</v>
      </c>
    </row>
    <row r="400" spans="1:14">
      <c r="A400" s="4" t="s">
        <v>816</v>
      </c>
      <c r="B400" s="4" t="s">
        <v>817</v>
      </c>
      <c r="C400" s="4" t="s">
        <v>19</v>
      </c>
      <c r="D400" s="4" t="s">
        <v>13</v>
      </c>
      <c r="E400" s="5">
        <v>65.825100000000006</v>
      </c>
      <c r="F400" s="5">
        <v>68.106499999999997</v>
      </c>
      <c r="G400" s="5">
        <v>68.304900000000004</v>
      </c>
      <c r="H400" s="4">
        <v>0</v>
      </c>
      <c r="I400" s="6">
        <v>2331764</v>
      </c>
      <c r="J400" s="7">
        <v>227</v>
      </c>
      <c r="K400" s="9">
        <f>(PricingDataTable[[#This Row],[Current Price ($)]]-PricingDataTable[[#This Row],[Prior Price ($)]])/PricingDataTable[[#This Row],[Prior Price ($)]]</f>
        <v>3.4658511722731759E-2</v>
      </c>
      <c r="L400" s="9">
        <f>(PricingDataTable[[#This Row],[Vendor Price ($)]]-PricingDataTable[[#This Row],[Current Price ($)]])/PricingDataTable[[#This Row],[Current Price ($)]]</f>
        <v>2.9130846541814154E-3</v>
      </c>
      <c r="M400" t="str">
        <f t="shared" si="12"/>
        <v>PASS</v>
      </c>
      <c r="N400" s="10" t="str">
        <f t="shared" si="13"/>
        <v>NONE</v>
      </c>
    </row>
    <row r="401" spans="1:14">
      <c r="A401" s="4" t="s">
        <v>818</v>
      </c>
      <c r="B401" s="4" t="s">
        <v>819</v>
      </c>
      <c r="C401" s="4" t="s">
        <v>19</v>
      </c>
      <c r="D401" s="4" t="s">
        <v>13</v>
      </c>
      <c r="E401" s="5">
        <v>261.56880000000001</v>
      </c>
      <c r="F401" s="5">
        <v>256.0933</v>
      </c>
      <c r="G401" s="5">
        <v>255.06950000000001</v>
      </c>
      <c r="H401" s="4">
        <v>0</v>
      </c>
      <c r="I401" s="6">
        <v>1982354</v>
      </c>
      <c r="J401" s="7">
        <v>436.53</v>
      </c>
      <c r="K401" s="9">
        <f>(PricingDataTable[[#This Row],[Current Price ($)]]-PricingDataTable[[#This Row],[Prior Price ($)]])/PricingDataTable[[#This Row],[Prior Price ($)]]</f>
        <v>-2.0933307030502151E-2</v>
      </c>
      <c r="L401" s="9">
        <f>(PricingDataTable[[#This Row],[Vendor Price ($)]]-PricingDataTable[[#This Row],[Current Price ($)]])/PricingDataTable[[#This Row],[Current Price ($)]]</f>
        <v>-3.9977617532360055E-3</v>
      </c>
      <c r="M401" t="str">
        <f t="shared" si="12"/>
        <v>PASS</v>
      </c>
      <c r="N401" s="10" t="str">
        <f t="shared" si="13"/>
        <v>NONE</v>
      </c>
    </row>
    <row r="402" spans="1:14">
      <c r="A402" s="4" t="s">
        <v>820</v>
      </c>
      <c r="B402" s="4" t="s">
        <v>821</v>
      </c>
      <c r="C402" s="4" t="s">
        <v>19</v>
      </c>
      <c r="D402" s="4" t="s">
        <v>13</v>
      </c>
      <c r="E402" s="5">
        <v>57.613999999999997</v>
      </c>
      <c r="F402" s="5">
        <v>57.9801</v>
      </c>
      <c r="G402" s="5">
        <v>57.939500000000002</v>
      </c>
      <c r="H402" s="4">
        <v>1</v>
      </c>
      <c r="I402" s="6">
        <v>1404273</v>
      </c>
      <c r="J402" s="7">
        <v>189.93</v>
      </c>
      <c r="K402" s="9">
        <f>(PricingDataTable[[#This Row],[Current Price ($)]]-PricingDataTable[[#This Row],[Prior Price ($)]])/PricingDataTable[[#This Row],[Prior Price ($)]]</f>
        <v>6.3543583156872117E-3</v>
      </c>
      <c r="L402" s="9">
        <f>(PricingDataTable[[#This Row],[Vendor Price ($)]]-PricingDataTable[[#This Row],[Current Price ($)]])/PricingDataTable[[#This Row],[Current Price ($)]]</f>
        <v>-7.0024025484602046E-4</v>
      </c>
      <c r="M402" t="str">
        <f t="shared" si="12"/>
        <v>PASS</v>
      </c>
      <c r="N402" s="10" t="str">
        <f t="shared" si="13"/>
        <v>NONE</v>
      </c>
    </row>
    <row r="403" spans="1:14">
      <c r="A403" s="4" t="s">
        <v>822</v>
      </c>
      <c r="B403" s="4" t="s">
        <v>823</v>
      </c>
      <c r="C403" s="4" t="s">
        <v>19</v>
      </c>
      <c r="D403" s="4" t="s">
        <v>13</v>
      </c>
      <c r="E403" s="5">
        <v>288.27960000000002</v>
      </c>
      <c r="F403" s="5">
        <v>291.93459999999999</v>
      </c>
      <c r="G403" s="5">
        <v>292.2516</v>
      </c>
      <c r="H403" s="4">
        <v>3</v>
      </c>
      <c r="I403" s="6">
        <v>3273148</v>
      </c>
      <c r="J403" s="7">
        <v>427.24</v>
      </c>
      <c r="K403" s="9">
        <f>(PricingDataTable[[#This Row],[Current Price ($)]]-PricingDataTable[[#This Row],[Prior Price ($)]])/PricingDataTable[[#This Row],[Prior Price ($)]]</f>
        <v>1.2678663353216713E-2</v>
      </c>
      <c r="L403" s="9">
        <f>(PricingDataTable[[#This Row],[Vendor Price ($)]]-PricingDataTable[[#This Row],[Current Price ($)]])/PricingDataTable[[#This Row],[Current Price ($)]]</f>
        <v>1.0858596411662314E-3</v>
      </c>
      <c r="M403" t="str">
        <f t="shared" si="12"/>
        <v>STALE</v>
      </c>
      <c r="N403" s="10" t="str">
        <f t="shared" si="13"/>
        <v>LOW</v>
      </c>
    </row>
    <row r="404" spans="1:14">
      <c r="A404" s="4" t="s">
        <v>824</v>
      </c>
      <c r="B404" s="4" t="s">
        <v>825</v>
      </c>
      <c r="C404" s="4" t="s">
        <v>39</v>
      </c>
      <c r="D404" s="4" t="s">
        <v>13</v>
      </c>
      <c r="E404" s="5">
        <v>325.11009999999999</v>
      </c>
      <c r="F404" s="5">
        <v>319.53410000000002</v>
      </c>
      <c r="G404" s="5">
        <v>319.9905</v>
      </c>
      <c r="H404" s="4">
        <v>0</v>
      </c>
      <c r="I404" s="6">
        <v>3623082</v>
      </c>
      <c r="J404" s="7">
        <v>549.51</v>
      </c>
      <c r="K404" s="9">
        <f>(PricingDataTable[[#This Row],[Current Price ($)]]-PricingDataTable[[#This Row],[Prior Price ($)]])/PricingDataTable[[#This Row],[Prior Price ($)]]</f>
        <v>-1.7151112807630292E-2</v>
      </c>
      <c r="L404" s="9">
        <f>(PricingDataTable[[#This Row],[Vendor Price ($)]]-PricingDataTable[[#This Row],[Current Price ($)]])/PricingDataTable[[#This Row],[Current Price ($)]]</f>
        <v>1.4283295585665933E-3</v>
      </c>
      <c r="M404" t="str">
        <f t="shared" si="12"/>
        <v>PASS</v>
      </c>
      <c r="N404" s="10" t="str">
        <f t="shared" si="13"/>
        <v>NONE</v>
      </c>
    </row>
    <row r="405" spans="1:14">
      <c r="A405" s="4" t="s">
        <v>826</v>
      </c>
      <c r="B405" s="4" t="s">
        <v>827</v>
      </c>
      <c r="C405" s="4" t="s">
        <v>19</v>
      </c>
      <c r="D405" s="4" t="s">
        <v>13</v>
      </c>
      <c r="E405" s="5">
        <v>41.610700000000001</v>
      </c>
      <c r="F405" s="5">
        <v>41.3294</v>
      </c>
      <c r="G405" s="5">
        <v>41.227499999999999</v>
      </c>
      <c r="H405" s="4">
        <v>1</v>
      </c>
      <c r="I405" s="6">
        <v>2831371</v>
      </c>
      <c r="J405" s="7">
        <v>610.01</v>
      </c>
      <c r="K405" s="9">
        <f>(PricingDataTable[[#This Row],[Current Price ($)]]-PricingDataTable[[#This Row],[Prior Price ($)]])/PricingDataTable[[#This Row],[Prior Price ($)]]</f>
        <v>-6.7602804086449317E-3</v>
      </c>
      <c r="L405" s="9">
        <f>(PricingDataTable[[#This Row],[Vendor Price ($)]]-PricingDataTable[[#This Row],[Current Price ($)]])/PricingDataTable[[#This Row],[Current Price ($)]]</f>
        <v>-2.4655572062502852E-3</v>
      </c>
      <c r="M405" t="str">
        <f t="shared" si="12"/>
        <v>PASS</v>
      </c>
      <c r="N405" s="10" t="str">
        <f t="shared" si="13"/>
        <v>NONE</v>
      </c>
    </row>
    <row r="406" spans="1:14">
      <c r="A406" s="4" t="s">
        <v>828</v>
      </c>
      <c r="B406" s="4" t="s">
        <v>829</v>
      </c>
      <c r="C406" s="4" t="s">
        <v>16</v>
      </c>
      <c r="D406" s="4" t="s">
        <v>13</v>
      </c>
      <c r="E406" s="5">
        <v>116.58450000000001</v>
      </c>
      <c r="F406" s="5">
        <v>117.2171</v>
      </c>
      <c r="G406" s="5">
        <v>117.229</v>
      </c>
      <c r="H406" s="4">
        <v>0</v>
      </c>
      <c r="I406" s="6">
        <v>199813</v>
      </c>
      <c r="J406" s="7">
        <v>557.53</v>
      </c>
      <c r="K406" s="9">
        <f>(PricingDataTable[[#This Row],[Current Price ($)]]-PricingDataTable[[#This Row],[Prior Price ($)]])/PricingDataTable[[#This Row],[Prior Price ($)]]</f>
        <v>5.4261072441018875E-3</v>
      </c>
      <c r="L406" s="9">
        <f>(PricingDataTable[[#This Row],[Vendor Price ($)]]-PricingDataTable[[#This Row],[Current Price ($)]])/PricingDataTable[[#This Row],[Current Price ($)]]</f>
        <v>1.0152102380964155E-4</v>
      </c>
      <c r="M406" t="str">
        <f t="shared" si="12"/>
        <v>PASS</v>
      </c>
      <c r="N406" s="10" t="str">
        <f t="shared" si="13"/>
        <v>NONE</v>
      </c>
    </row>
    <row r="407" spans="1:14">
      <c r="A407" s="4" t="s">
        <v>830</v>
      </c>
      <c r="B407" s="4" t="s">
        <v>831</v>
      </c>
      <c r="C407" s="4" t="s">
        <v>12</v>
      </c>
      <c r="D407" s="4" t="s">
        <v>64</v>
      </c>
      <c r="E407" s="5">
        <v>122.5244</v>
      </c>
      <c r="F407" s="5">
        <v>121.0324</v>
      </c>
      <c r="G407" s="5">
        <v>120.59780000000001</v>
      </c>
      <c r="H407" s="4">
        <v>0</v>
      </c>
      <c r="I407" s="6">
        <v>4749529</v>
      </c>
      <c r="J407" s="7">
        <v>722.92</v>
      </c>
      <c r="K407" s="9">
        <f>(PricingDataTable[[#This Row],[Current Price ($)]]-PricingDataTable[[#This Row],[Prior Price ($)]])/PricingDataTable[[#This Row],[Prior Price ($)]]</f>
        <v>-1.2177166344009883E-2</v>
      </c>
      <c r="L407" s="9">
        <f>(PricingDataTable[[#This Row],[Vendor Price ($)]]-PricingDataTable[[#This Row],[Current Price ($)]])/PricingDataTable[[#This Row],[Current Price ($)]]</f>
        <v>-3.5907740406700109E-3</v>
      </c>
      <c r="M407" t="str">
        <f t="shared" si="12"/>
        <v>PASS</v>
      </c>
      <c r="N407" s="10" t="str">
        <f t="shared" si="13"/>
        <v>NONE</v>
      </c>
    </row>
    <row r="408" spans="1:14">
      <c r="A408" s="4" t="s">
        <v>832</v>
      </c>
      <c r="B408" s="4" t="s">
        <v>833</v>
      </c>
      <c r="C408" s="4" t="s">
        <v>12</v>
      </c>
      <c r="D408" s="4" t="s">
        <v>13</v>
      </c>
      <c r="E408" s="5">
        <v>98.347800000000007</v>
      </c>
      <c r="F408" s="5">
        <v>99.898399999999995</v>
      </c>
      <c r="G408" s="5">
        <v>99.731399999999994</v>
      </c>
      <c r="H408" s="4">
        <v>0</v>
      </c>
      <c r="I408" s="6">
        <v>2713910</v>
      </c>
      <c r="J408" s="7">
        <v>231.75</v>
      </c>
      <c r="K408" s="9">
        <f>(PricingDataTable[[#This Row],[Current Price ($)]]-PricingDataTable[[#This Row],[Prior Price ($)]])/PricingDataTable[[#This Row],[Prior Price ($)]]</f>
        <v>1.5766494014100858E-2</v>
      </c>
      <c r="L408" s="9">
        <f>(PricingDataTable[[#This Row],[Vendor Price ($)]]-PricingDataTable[[#This Row],[Current Price ($)]])/PricingDataTable[[#This Row],[Current Price ($)]]</f>
        <v>-1.6716984456207667E-3</v>
      </c>
      <c r="M408" t="str">
        <f t="shared" si="12"/>
        <v>PASS</v>
      </c>
      <c r="N408" s="10" t="str">
        <f t="shared" si="13"/>
        <v>NONE</v>
      </c>
    </row>
    <row r="409" spans="1:14">
      <c r="A409" s="4" t="s">
        <v>834</v>
      </c>
      <c r="B409" s="4" t="s">
        <v>835</v>
      </c>
      <c r="C409" s="4" t="s">
        <v>39</v>
      </c>
      <c r="D409" s="4" t="s">
        <v>13</v>
      </c>
      <c r="E409" s="5">
        <v>121.7679</v>
      </c>
      <c r="F409" s="5">
        <v>125.1583</v>
      </c>
      <c r="G409" s="5">
        <v>125.50360000000001</v>
      </c>
      <c r="H409" s="4">
        <v>0</v>
      </c>
      <c r="I409" s="6">
        <v>1497881</v>
      </c>
      <c r="J409" s="7">
        <v>581.01</v>
      </c>
      <c r="K409" s="9">
        <f>(PricingDataTable[[#This Row],[Current Price ($)]]-PricingDataTable[[#This Row],[Prior Price ($)]])/PricingDataTable[[#This Row],[Prior Price ($)]]</f>
        <v>2.7843134356427265E-2</v>
      </c>
      <c r="L409" s="9">
        <f>(PricingDataTable[[#This Row],[Vendor Price ($)]]-PricingDataTable[[#This Row],[Current Price ($)]])/PricingDataTable[[#This Row],[Current Price ($)]]</f>
        <v>2.7589061212880714E-3</v>
      </c>
      <c r="M409" t="str">
        <f t="shared" si="12"/>
        <v>PASS</v>
      </c>
      <c r="N409" s="10" t="str">
        <f t="shared" si="13"/>
        <v>NONE</v>
      </c>
    </row>
    <row r="410" spans="1:14">
      <c r="A410" s="4" t="s">
        <v>836</v>
      </c>
      <c r="B410" s="4" t="s">
        <v>837</v>
      </c>
      <c r="C410" s="4" t="s">
        <v>16</v>
      </c>
      <c r="D410" s="4" t="s">
        <v>13</v>
      </c>
      <c r="E410" s="5">
        <v>105.6983</v>
      </c>
      <c r="F410" s="5">
        <v>106.7736</v>
      </c>
      <c r="G410" s="5">
        <v>106.9876</v>
      </c>
      <c r="H410" s="4">
        <v>0</v>
      </c>
      <c r="I410" s="6">
        <v>158410</v>
      </c>
      <c r="J410" s="7">
        <v>806.88</v>
      </c>
      <c r="K410" s="9">
        <f>(PricingDataTable[[#This Row],[Current Price ($)]]-PricingDataTable[[#This Row],[Prior Price ($)]])/PricingDataTable[[#This Row],[Prior Price ($)]]</f>
        <v>1.0173295123951837E-2</v>
      </c>
      <c r="L410" s="9">
        <f>(PricingDataTable[[#This Row],[Vendor Price ($)]]-PricingDataTable[[#This Row],[Current Price ($)]])/PricingDataTable[[#This Row],[Current Price ($)]]</f>
        <v>2.0042407486494662E-3</v>
      </c>
      <c r="M410" t="str">
        <f t="shared" si="12"/>
        <v>PASS</v>
      </c>
      <c r="N410" s="10" t="str">
        <f t="shared" si="13"/>
        <v>NONE</v>
      </c>
    </row>
    <row r="411" spans="1:14">
      <c r="A411" s="4" t="s">
        <v>838</v>
      </c>
      <c r="B411" s="4" t="s">
        <v>839</v>
      </c>
      <c r="C411" s="4" t="s">
        <v>35</v>
      </c>
      <c r="D411" s="4" t="s">
        <v>13</v>
      </c>
      <c r="E411" s="5">
        <v>49.425699999999999</v>
      </c>
      <c r="F411" s="5">
        <v>49.028799999999997</v>
      </c>
      <c r="G411" s="5">
        <v>48.725499999999997</v>
      </c>
      <c r="H411" s="4">
        <v>3</v>
      </c>
      <c r="I411" s="6">
        <v>589038</v>
      </c>
      <c r="J411" s="7">
        <v>486.21</v>
      </c>
      <c r="K411" s="9">
        <f>(PricingDataTable[[#This Row],[Current Price ($)]]-PricingDataTable[[#This Row],[Prior Price ($)]])/PricingDataTable[[#This Row],[Prior Price ($)]]</f>
        <v>-8.0302352824543153E-3</v>
      </c>
      <c r="L411" s="9">
        <f>(PricingDataTable[[#This Row],[Vendor Price ($)]]-PricingDataTable[[#This Row],[Current Price ($)]])/PricingDataTable[[#This Row],[Current Price ($)]]</f>
        <v>-6.1861599712821885E-3</v>
      </c>
      <c r="M411" t="str">
        <f t="shared" si="12"/>
        <v>STALE</v>
      </c>
      <c r="N411" s="10" t="str">
        <f t="shared" si="13"/>
        <v>LOW</v>
      </c>
    </row>
    <row r="412" spans="1:14">
      <c r="A412" s="4" t="s">
        <v>840</v>
      </c>
      <c r="B412" s="4" t="s">
        <v>841</v>
      </c>
      <c r="C412" s="4" t="s">
        <v>35</v>
      </c>
      <c r="D412" s="4" t="s">
        <v>32</v>
      </c>
      <c r="E412" s="5">
        <v>87.8078</v>
      </c>
      <c r="F412" s="5">
        <v>85.560500000000005</v>
      </c>
      <c r="G412" s="5">
        <v>85.314400000000006</v>
      </c>
      <c r="H412" s="4">
        <v>0</v>
      </c>
      <c r="I412" s="6">
        <v>761569</v>
      </c>
      <c r="J412" s="7">
        <v>328.95</v>
      </c>
      <c r="K412" s="9">
        <f>(PricingDataTable[[#This Row],[Current Price ($)]]-PricingDataTable[[#This Row],[Prior Price ($)]])/PricingDataTable[[#This Row],[Prior Price ($)]]</f>
        <v>-2.5593398308578458E-2</v>
      </c>
      <c r="L412" s="9">
        <f>(PricingDataTable[[#This Row],[Vendor Price ($)]]-PricingDataTable[[#This Row],[Current Price ($)]])/PricingDataTable[[#This Row],[Current Price ($)]]</f>
        <v>-2.8763272771898064E-3</v>
      </c>
      <c r="M412" t="str">
        <f t="shared" si="12"/>
        <v>PASS</v>
      </c>
      <c r="N412" s="10" t="str">
        <f t="shared" si="13"/>
        <v>NONE</v>
      </c>
    </row>
    <row r="413" spans="1:14">
      <c r="A413" s="4" t="s">
        <v>842</v>
      </c>
      <c r="B413" s="4" t="s">
        <v>843</v>
      </c>
      <c r="C413" s="4" t="s">
        <v>39</v>
      </c>
      <c r="D413" s="4" t="s">
        <v>32</v>
      </c>
      <c r="E413" s="5">
        <v>107.16589999999999</v>
      </c>
      <c r="F413" s="5">
        <v>107.64060000000001</v>
      </c>
      <c r="G413" s="5">
        <v>108.03360000000001</v>
      </c>
      <c r="H413" s="4">
        <v>0</v>
      </c>
      <c r="I413" s="6">
        <v>3014700</v>
      </c>
      <c r="J413" s="7">
        <v>437.96</v>
      </c>
      <c r="K413" s="9">
        <f>(PricingDataTable[[#This Row],[Current Price ($)]]-PricingDataTable[[#This Row],[Prior Price ($)]])/PricingDataTable[[#This Row],[Prior Price ($)]]</f>
        <v>4.4295806781822654E-3</v>
      </c>
      <c r="L413" s="9">
        <f>(PricingDataTable[[#This Row],[Vendor Price ($)]]-PricingDataTable[[#This Row],[Current Price ($)]])/PricingDataTable[[#This Row],[Current Price ($)]]</f>
        <v>3.6510387344552211E-3</v>
      </c>
      <c r="M413" t="str">
        <f t="shared" si="12"/>
        <v>PASS</v>
      </c>
      <c r="N413" s="10" t="str">
        <f t="shared" si="13"/>
        <v>NONE</v>
      </c>
    </row>
    <row r="414" spans="1:14">
      <c r="A414" s="4" t="s">
        <v>844</v>
      </c>
      <c r="B414" s="4" t="s">
        <v>845</v>
      </c>
      <c r="C414" s="4" t="s">
        <v>39</v>
      </c>
      <c r="D414" s="4" t="s">
        <v>13</v>
      </c>
      <c r="E414" s="5">
        <v>74.037700000000001</v>
      </c>
      <c r="F414" s="5">
        <v>73.812600000000003</v>
      </c>
      <c r="G414" s="5">
        <v>73.521000000000001</v>
      </c>
      <c r="H414" s="4">
        <v>0</v>
      </c>
      <c r="I414" s="6">
        <v>3770062</v>
      </c>
      <c r="J414" s="7">
        <v>869.92</v>
      </c>
      <c r="K414" s="9">
        <f>(PricingDataTable[[#This Row],[Current Price ($)]]-PricingDataTable[[#This Row],[Prior Price ($)]])/PricingDataTable[[#This Row],[Prior Price ($)]]</f>
        <v>-3.0403429604106778E-3</v>
      </c>
      <c r="L414" s="9">
        <f>(PricingDataTable[[#This Row],[Vendor Price ($)]]-PricingDataTable[[#This Row],[Current Price ($)]])/PricingDataTable[[#This Row],[Current Price ($)]]</f>
        <v>-3.9505450288975395E-3</v>
      </c>
      <c r="M414" t="str">
        <f t="shared" si="12"/>
        <v>PASS</v>
      </c>
      <c r="N414" s="10" t="str">
        <f t="shared" si="13"/>
        <v>NONE</v>
      </c>
    </row>
    <row r="415" spans="1:14">
      <c r="A415" s="4" t="s">
        <v>846</v>
      </c>
      <c r="B415" s="4" t="s">
        <v>847</v>
      </c>
      <c r="C415" s="4" t="s">
        <v>19</v>
      </c>
      <c r="D415" s="4" t="s">
        <v>13</v>
      </c>
      <c r="E415" s="5">
        <v>254.58609999999999</v>
      </c>
      <c r="F415" s="5">
        <v>252.83959999999999</v>
      </c>
      <c r="G415" s="5">
        <v>253.13229999999999</v>
      </c>
      <c r="H415" s="4">
        <v>3</v>
      </c>
      <c r="I415" s="6">
        <v>4860904</v>
      </c>
      <c r="J415" s="7">
        <v>209.84</v>
      </c>
      <c r="K415" s="9">
        <f>(PricingDataTable[[#This Row],[Current Price ($)]]-PricingDataTable[[#This Row],[Prior Price ($)]])/PricingDataTable[[#This Row],[Prior Price ($)]]</f>
        <v>-6.8601545803168261E-3</v>
      </c>
      <c r="L415" s="9">
        <f>(PricingDataTable[[#This Row],[Vendor Price ($)]]-PricingDataTable[[#This Row],[Current Price ($)]])/PricingDataTable[[#This Row],[Current Price ($)]]</f>
        <v>1.1576509375904583E-3</v>
      </c>
      <c r="M415" t="str">
        <f t="shared" si="12"/>
        <v>STALE</v>
      </c>
      <c r="N415" s="10" t="str">
        <f t="shared" si="13"/>
        <v>LOW</v>
      </c>
    </row>
    <row r="416" spans="1:14">
      <c r="A416" s="4" t="s">
        <v>848</v>
      </c>
      <c r="B416" s="4" t="s">
        <v>849</v>
      </c>
      <c r="C416" s="4" t="s">
        <v>39</v>
      </c>
      <c r="D416" s="4" t="s">
        <v>13</v>
      </c>
      <c r="E416" s="5">
        <v>14.519500000000001</v>
      </c>
      <c r="F416" s="5">
        <v>14.721399999999999</v>
      </c>
      <c r="G416" s="5">
        <v>14.6877</v>
      </c>
      <c r="H416" s="4">
        <v>0</v>
      </c>
      <c r="I416" s="6">
        <v>817146</v>
      </c>
      <c r="J416" s="7">
        <v>410.67</v>
      </c>
      <c r="K416" s="9">
        <f>(PricingDataTable[[#This Row],[Current Price ($)]]-PricingDataTable[[#This Row],[Prior Price ($)]])/PricingDataTable[[#This Row],[Prior Price ($)]]</f>
        <v>1.3905437515065835E-2</v>
      </c>
      <c r="L416" s="9">
        <f>(PricingDataTable[[#This Row],[Vendor Price ($)]]-PricingDataTable[[#This Row],[Current Price ($)]])/PricingDataTable[[#This Row],[Current Price ($)]]</f>
        <v>-2.289184452565627E-3</v>
      </c>
      <c r="M416" t="str">
        <f t="shared" si="12"/>
        <v>PASS</v>
      </c>
      <c r="N416" s="10" t="str">
        <f t="shared" si="13"/>
        <v>NONE</v>
      </c>
    </row>
    <row r="417" spans="1:14">
      <c r="A417" s="4" t="s">
        <v>850</v>
      </c>
      <c r="B417" s="4" t="s">
        <v>851</v>
      </c>
      <c r="C417" s="4" t="s">
        <v>19</v>
      </c>
      <c r="D417" s="4" t="s">
        <v>32</v>
      </c>
      <c r="E417" s="5">
        <v>47.049500000000002</v>
      </c>
      <c r="F417" s="5">
        <v>46.403599999999997</v>
      </c>
      <c r="G417" s="5">
        <v>46.295499999999997</v>
      </c>
      <c r="H417" s="4">
        <v>0</v>
      </c>
      <c r="I417" s="6">
        <v>3373292</v>
      </c>
      <c r="J417" s="7">
        <v>291.95</v>
      </c>
      <c r="K417" s="9">
        <f>(PricingDataTable[[#This Row],[Current Price ($)]]-PricingDataTable[[#This Row],[Prior Price ($)]])/PricingDataTable[[#This Row],[Prior Price ($)]]</f>
        <v>-1.3728094878797959E-2</v>
      </c>
      <c r="L417" s="9">
        <f>(PricingDataTable[[#This Row],[Vendor Price ($)]]-PricingDataTable[[#This Row],[Current Price ($)]])/PricingDataTable[[#This Row],[Current Price ($)]]</f>
        <v>-2.3295606375367496E-3</v>
      </c>
      <c r="M417" t="str">
        <f t="shared" si="12"/>
        <v>PASS</v>
      </c>
      <c r="N417" s="10" t="str">
        <f t="shared" si="13"/>
        <v>NONE</v>
      </c>
    </row>
    <row r="418" spans="1:14">
      <c r="A418" s="4" t="s">
        <v>852</v>
      </c>
      <c r="B418" s="4" t="s">
        <v>853</v>
      </c>
      <c r="C418" s="4" t="s">
        <v>16</v>
      </c>
      <c r="D418" s="4" t="s">
        <v>13</v>
      </c>
      <c r="E418" s="5">
        <v>123.2346</v>
      </c>
      <c r="F418" s="5">
        <v>123.3381</v>
      </c>
      <c r="G418" s="5">
        <v>123.4481</v>
      </c>
      <c r="H418" s="4">
        <v>0</v>
      </c>
      <c r="I418" s="6">
        <v>3104175</v>
      </c>
      <c r="J418" s="7">
        <v>498.16</v>
      </c>
      <c r="K418" s="9">
        <f>(PricingDataTable[[#This Row],[Current Price ($)]]-PricingDataTable[[#This Row],[Prior Price ($)]])/PricingDataTable[[#This Row],[Prior Price ($)]]</f>
        <v>8.3986153239428546E-4</v>
      </c>
      <c r="L418" s="9">
        <f>(PricingDataTable[[#This Row],[Vendor Price ($)]]-PricingDataTable[[#This Row],[Current Price ($)]])/PricingDataTable[[#This Row],[Current Price ($)]]</f>
        <v>8.9185742280770857E-4</v>
      </c>
      <c r="M418" t="str">
        <f t="shared" si="12"/>
        <v>PASS</v>
      </c>
      <c r="N418" s="10" t="str">
        <f t="shared" si="13"/>
        <v>NONE</v>
      </c>
    </row>
    <row r="419" spans="1:14">
      <c r="A419" s="4" t="s">
        <v>854</v>
      </c>
      <c r="B419" s="4" t="s">
        <v>855</v>
      </c>
      <c r="C419" s="4" t="s">
        <v>35</v>
      </c>
      <c r="D419" s="4" t="s">
        <v>13</v>
      </c>
      <c r="E419" s="5">
        <v>19.7943</v>
      </c>
      <c r="F419" s="5">
        <v>19.982099999999999</v>
      </c>
      <c r="G419" s="5">
        <v>20.567299999999999</v>
      </c>
      <c r="H419" s="4">
        <v>0</v>
      </c>
      <c r="I419" s="6">
        <v>4981572</v>
      </c>
      <c r="J419" s="7">
        <v>798.25</v>
      </c>
      <c r="K419" s="9">
        <f>(PricingDataTable[[#This Row],[Current Price ($)]]-PricingDataTable[[#This Row],[Prior Price ($)]])/PricingDataTable[[#This Row],[Prior Price ($)]]</f>
        <v>9.4875797578090303E-3</v>
      </c>
      <c r="L419" s="9">
        <f>(PricingDataTable[[#This Row],[Vendor Price ($)]]-PricingDataTable[[#This Row],[Current Price ($)]])/PricingDataTable[[#This Row],[Current Price ($)]]</f>
        <v>2.9286211158987316E-2</v>
      </c>
      <c r="M419" t="str">
        <f t="shared" si="12"/>
        <v>VENDOR DIFFERENCE</v>
      </c>
      <c r="N419" s="10" t="str">
        <f t="shared" si="13"/>
        <v>LOW</v>
      </c>
    </row>
    <row r="420" spans="1:14">
      <c r="A420" s="4" t="s">
        <v>856</v>
      </c>
      <c r="B420" s="4" t="s">
        <v>857</v>
      </c>
      <c r="C420" s="4" t="s">
        <v>12</v>
      </c>
      <c r="D420" s="4" t="s">
        <v>13</v>
      </c>
      <c r="E420" s="5">
        <v>106.9913</v>
      </c>
      <c r="F420" s="5">
        <v>105.682</v>
      </c>
      <c r="G420" s="5">
        <v>105.6348</v>
      </c>
      <c r="H420" s="4">
        <v>0</v>
      </c>
      <c r="I420" s="6">
        <v>739375</v>
      </c>
      <c r="J420" s="7">
        <v>564.54999999999995</v>
      </c>
      <c r="K420" s="9">
        <f>(PricingDataTable[[#This Row],[Current Price ($)]]-PricingDataTable[[#This Row],[Prior Price ($)]])/PricingDataTable[[#This Row],[Prior Price ($)]]</f>
        <v>-1.2237443605227652E-2</v>
      </c>
      <c r="L420" s="9">
        <f>(PricingDataTable[[#This Row],[Vendor Price ($)]]-PricingDataTable[[#This Row],[Current Price ($)]])/PricingDataTable[[#This Row],[Current Price ($)]]</f>
        <v>-4.4662288753055093E-4</v>
      </c>
      <c r="M420" t="str">
        <f t="shared" si="12"/>
        <v>PASS</v>
      </c>
      <c r="N420" s="10" t="str">
        <f t="shared" si="13"/>
        <v>NONE</v>
      </c>
    </row>
    <row r="421" spans="1:14">
      <c r="A421" s="4" t="s">
        <v>858</v>
      </c>
      <c r="B421" s="4" t="s">
        <v>859</v>
      </c>
      <c r="C421" s="4" t="s">
        <v>16</v>
      </c>
      <c r="D421" s="4" t="s">
        <v>13</v>
      </c>
      <c r="E421" s="5">
        <v>84.595100000000002</v>
      </c>
      <c r="F421" s="5">
        <v>87.3703</v>
      </c>
      <c r="G421" s="5">
        <v>87.309799999999996</v>
      </c>
      <c r="H421" s="4">
        <v>5</v>
      </c>
      <c r="I421" s="6">
        <v>1746742</v>
      </c>
      <c r="J421" s="7">
        <v>248.93</v>
      </c>
      <c r="K421" s="9">
        <f>(PricingDataTable[[#This Row],[Current Price ($)]]-PricingDataTable[[#This Row],[Prior Price ($)]])/PricingDataTable[[#This Row],[Prior Price ($)]]</f>
        <v>3.2805682598637489E-2</v>
      </c>
      <c r="L421" s="9">
        <f>(PricingDataTable[[#This Row],[Vendor Price ($)]]-PricingDataTable[[#This Row],[Current Price ($)]])/PricingDataTable[[#This Row],[Current Price ($)]]</f>
        <v>-6.9245498756447736E-4</v>
      </c>
      <c r="M421" t="str">
        <f t="shared" si="12"/>
        <v>STALE</v>
      </c>
      <c r="N421" s="10" t="str">
        <f t="shared" si="13"/>
        <v>MEDIUM</v>
      </c>
    </row>
    <row r="422" spans="1:14">
      <c r="A422" s="4" t="s">
        <v>860</v>
      </c>
      <c r="B422" s="4" t="s">
        <v>861</v>
      </c>
      <c r="C422" s="4" t="s">
        <v>39</v>
      </c>
      <c r="D422" s="4" t="s">
        <v>13</v>
      </c>
      <c r="E422" s="5">
        <v>339.25229999999999</v>
      </c>
      <c r="F422" s="5">
        <v>336.74930000000001</v>
      </c>
      <c r="G422" s="5">
        <v>336.85</v>
      </c>
      <c r="H422" s="4">
        <v>0</v>
      </c>
      <c r="I422" s="6">
        <v>2805266</v>
      </c>
      <c r="J422" s="7">
        <v>555.21</v>
      </c>
      <c r="K422" s="9">
        <f>(PricingDataTable[[#This Row],[Current Price ($)]]-PricingDataTable[[#This Row],[Prior Price ($)]])/PricingDataTable[[#This Row],[Prior Price ($)]]</f>
        <v>-7.3779897733927992E-3</v>
      </c>
      <c r="L422" s="9">
        <f>(PricingDataTable[[#This Row],[Vendor Price ($)]]-PricingDataTable[[#This Row],[Current Price ($)]])/PricingDataTable[[#This Row],[Current Price ($)]]</f>
        <v>2.9903551395657707E-4</v>
      </c>
      <c r="M422" t="str">
        <f t="shared" si="12"/>
        <v>PASS</v>
      </c>
      <c r="N422" s="10" t="str">
        <f t="shared" si="13"/>
        <v>NONE</v>
      </c>
    </row>
    <row r="423" spans="1:14">
      <c r="A423" s="4" t="s">
        <v>862</v>
      </c>
      <c r="B423" s="4" t="s">
        <v>863</v>
      </c>
      <c r="C423" s="4" t="s">
        <v>19</v>
      </c>
      <c r="D423" s="4" t="s">
        <v>13</v>
      </c>
      <c r="E423" s="5">
        <v>191.7773</v>
      </c>
      <c r="F423" s="5">
        <v>192.08260000000001</v>
      </c>
      <c r="G423" s="5">
        <v>192.19990000000001</v>
      </c>
      <c r="H423" s="4">
        <v>0</v>
      </c>
      <c r="I423" s="6">
        <v>3516382</v>
      </c>
      <c r="J423" s="7">
        <v>179.04</v>
      </c>
      <c r="K423" s="9">
        <f>(PricingDataTable[[#This Row],[Current Price ($)]]-PricingDataTable[[#This Row],[Prior Price ($)]])/PricingDataTable[[#This Row],[Prior Price ($)]]</f>
        <v>1.5919506636083455E-3</v>
      </c>
      <c r="L423" s="9">
        <f>(PricingDataTable[[#This Row],[Vendor Price ($)]]-PricingDataTable[[#This Row],[Current Price ($)]])/PricingDataTable[[#This Row],[Current Price ($)]]</f>
        <v>6.1067478261956146E-4</v>
      </c>
      <c r="M423" t="str">
        <f t="shared" si="12"/>
        <v>PASS</v>
      </c>
      <c r="N423" s="10" t="str">
        <f t="shared" si="13"/>
        <v>NONE</v>
      </c>
    </row>
    <row r="424" spans="1:14">
      <c r="A424" s="4" t="s">
        <v>864</v>
      </c>
      <c r="B424" s="4" t="s">
        <v>865</v>
      </c>
      <c r="C424" s="4" t="s">
        <v>19</v>
      </c>
      <c r="D424" s="4" t="s">
        <v>13</v>
      </c>
      <c r="E424" s="5">
        <v>85.901499999999999</v>
      </c>
      <c r="F424" s="5">
        <v>85.987399999999994</v>
      </c>
      <c r="G424" s="5">
        <v>86.252700000000004</v>
      </c>
      <c r="H424" s="4">
        <v>0</v>
      </c>
      <c r="I424" s="6">
        <v>3657301</v>
      </c>
      <c r="J424" s="7">
        <v>130.62</v>
      </c>
      <c r="K424" s="9">
        <f>(PricingDataTable[[#This Row],[Current Price ($)]]-PricingDataTable[[#This Row],[Prior Price ($)]])/PricingDataTable[[#This Row],[Prior Price ($)]]</f>
        <v>9.9998253813955761E-4</v>
      </c>
      <c r="L424" s="9">
        <f>(PricingDataTable[[#This Row],[Vendor Price ($)]]-PricingDataTable[[#This Row],[Current Price ($)]])/PricingDataTable[[#This Row],[Current Price ($)]]</f>
        <v>3.0853357584949719E-3</v>
      </c>
      <c r="M424" t="str">
        <f t="shared" si="12"/>
        <v>PASS</v>
      </c>
      <c r="N424" s="10" t="str">
        <f t="shared" si="13"/>
        <v>NONE</v>
      </c>
    </row>
    <row r="425" spans="1:14">
      <c r="A425" s="4" t="s">
        <v>866</v>
      </c>
      <c r="B425" s="4" t="s">
        <v>867</v>
      </c>
      <c r="C425" s="4" t="s">
        <v>19</v>
      </c>
      <c r="D425" s="4" t="s">
        <v>13</v>
      </c>
      <c r="E425" s="5">
        <v>164.5471</v>
      </c>
      <c r="F425" s="5">
        <v>165.18680000000001</v>
      </c>
      <c r="G425" s="5">
        <v>165.62540000000001</v>
      </c>
      <c r="H425" s="4">
        <v>0</v>
      </c>
      <c r="I425" s="6">
        <v>933052</v>
      </c>
      <c r="J425" s="7">
        <v>766.52</v>
      </c>
      <c r="K425" s="9">
        <f>(PricingDataTable[[#This Row],[Current Price ($)]]-PricingDataTable[[#This Row],[Prior Price ($)]])/PricingDataTable[[#This Row],[Prior Price ($)]]</f>
        <v>3.887640681604263E-3</v>
      </c>
      <c r="L425" s="9">
        <f>(PricingDataTable[[#This Row],[Vendor Price ($)]]-PricingDataTable[[#This Row],[Current Price ($)]])/PricingDataTable[[#This Row],[Current Price ($)]]</f>
        <v>2.6551758372945545E-3</v>
      </c>
      <c r="M425" t="str">
        <f t="shared" si="12"/>
        <v>PASS</v>
      </c>
      <c r="N425" s="10" t="str">
        <f t="shared" si="13"/>
        <v>NONE</v>
      </c>
    </row>
    <row r="426" spans="1:14">
      <c r="A426" s="4" t="s">
        <v>868</v>
      </c>
      <c r="B426" s="4" t="s">
        <v>869</v>
      </c>
      <c r="C426" s="4" t="s">
        <v>19</v>
      </c>
      <c r="D426" s="4" t="s">
        <v>13</v>
      </c>
      <c r="E426" s="5">
        <v>311.15190000000001</v>
      </c>
      <c r="F426" s="5">
        <v>305.90870000000001</v>
      </c>
      <c r="G426" s="5">
        <v>304.92660000000001</v>
      </c>
      <c r="H426" s="4">
        <v>0</v>
      </c>
      <c r="I426" s="6">
        <v>726399</v>
      </c>
      <c r="J426" s="7">
        <v>370.64</v>
      </c>
      <c r="K426" s="9">
        <f>(PricingDataTable[[#This Row],[Current Price ($)]]-PricingDataTable[[#This Row],[Prior Price ($)]])/PricingDataTable[[#This Row],[Prior Price ($)]]</f>
        <v>-1.6850933579386794E-2</v>
      </c>
      <c r="L426" s="9">
        <f>(PricingDataTable[[#This Row],[Vendor Price ($)]]-PricingDataTable[[#This Row],[Current Price ($)]])/PricingDataTable[[#This Row],[Current Price ($)]]</f>
        <v>-3.21043500887684E-3</v>
      </c>
      <c r="M426" t="str">
        <f t="shared" si="12"/>
        <v>PASS</v>
      </c>
      <c r="N426" s="10" t="str">
        <f t="shared" si="13"/>
        <v>NONE</v>
      </c>
    </row>
    <row r="427" spans="1:14">
      <c r="A427" s="4" t="s">
        <v>870</v>
      </c>
      <c r="B427" s="4" t="s">
        <v>871</v>
      </c>
      <c r="C427" s="4" t="s">
        <v>39</v>
      </c>
      <c r="D427" s="4" t="s">
        <v>13</v>
      </c>
      <c r="E427" s="5">
        <v>169.9332</v>
      </c>
      <c r="F427" s="5">
        <v>169.5942</v>
      </c>
      <c r="G427" s="5">
        <v>169.61429999999999</v>
      </c>
      <c r="H427" s="4">
        <v>0</v>
      </c>
      <c r="I427" s="6">
        <v>4965140</v>
      </c>
      <c r="J427" s="7">
        <v>851.64</v>
      </c>
      <c r="K427" s="9">
        <f>(PricingDataTable[[#This Row],[Current Price ($)]]-PricingDataTable[[#This Row],[Prior Price ($)]])/PricingDataTable[[#This Row],[Prior Price ($)]]</f>
        <v>-1.9949015260113893E-3</v>
      </c>
      <c r="L427" s="9">
        <f>(PricingDataTable[[#This Row],[Vendor Price ($)]]-PricingDataTable[[#This Row],[Current Price ($)]])/PricingDataTable[[#This Row],[Current Price ($)]]</f>
        <v>1.1851820404226754E-4</v>
      </c>
      <c r="M427" t="str">
        <f t="shared" si="12"/>
        <v>PASS</v>
      </c>
      <c r="N427" s="10" t="str">
        <f t="shared" si="13"/>
        <v>NONE</v>
      </c>
    </row>
    <row r="428" spans="1:14">
      <c r="A428" s="4" t="s">
        <v>872</v>
      </c>
      <c r="B428" s="4" t="s">
        <v>873</v>
      </c>
      <c r="C428" s="4" t="s">
        <v>16</v>
      </c>
      <c r="D428" s="4" t="s">
        <v>13</v>
      </c>
      <c r="E428" s="5">
        <v>124.5637</v>
      </c>
      <c r="F428" s="5">
        <v>124.3802</v>
      </c>
      <c r="G428" s="5">
        <v>123.9405</v>
      </c>
      <c r="H428" s="4">
        <v>1</v>
      </c>
      <c r="I428" s="6">
        <v>4155752</v>
      </c>
      <c r="J428" s="7">
        <v>216.61</v>
      </c>
      <c r="K428" s="9">
        <f>(PricingDataTable[[#This Row],[Current Price ($)]]-PricingDataTable[[#This Row],[Prior Price ($)]])/PricingDataTable[[#This Row],[Prior Price ($)]]</f>
        <v>-1.4731418543283085E-3</v>
      </c>
      <c r="L428" s="9">
        <f>(PricingDataTable[[#This Row],[Vendor Price ($)]]-PricingDataTable[[#This Row],[Current Price ($)]])/PricingDataTable[[#This Row],[Current Price ($)]]</f>
        <v>-3.535128581558817E-3</v>
      </c>
      <c r="M428" t="str">
        <f t="shared" si="12"/>
        <v>PASS</v>
      </c>
      <c r="N428" s="10" t="str">
        <f t="shared" si="13"/>
        <v>NONE</v>
      </c>
    </row>
    <row r="429" spans="1:14">
      <c r="A429" s="4" t="s">
        <v>874</v>
      </c>
      <c r="B429" s="4" t="s">
        <v>875</v>
      </c>
      <c r="C429" s="4" t="s">
        <v>12</v>
      </c>
      <c r="D429" s="4" t="s">
        <v>13</v>
      </c>
      <c r="E429" s="5">
        <v>85.900300000000001</v>
      </c>
      <c r="F429" s="5">
        <v>85.420500000000004</v>
      </c>
      <c r="G429" s="5">
        <v>89.016199999999998</v>
      </c>
      <c r="H429" s="4">
        <v>0</v>
      </c>
      <c r="I429" s="6">
        <v>3816481</v>
      </c>
      <c r="J429" s="7">
        <v>417.49</v>
      </c>
      <c r="K429" s="9">
        <f>(PricingDataTable[[#This Row],[Current Price ($)]]-PricingDataTable[[#This Row],[Prior Price ($)]])/PricingDataTable[[#This Row],[Prior Price ($)]]</f>
        <v>-5.5855451028692252E-3</v>
      </c>
      <c r="L429" s="9">
        <f>(PricingDataTable[[#This Row],[Vendor Price ($)]]-PricingDataTable[[#This Row],[Current Price ($)]])/PricingDataTable[[#This Row],[Current Price ($)]]</f>
        <v>4.2094110898437655E-2</v>
      </c>
      <c r="M429" t="str">
        <f t="shared" si="12"/>
        <v>VENDOR DIFFERENCE</v>
      </c>
      <c r="N429" s="10" t="str">
        <f t="shared" si="13"/>
        <v>MEDIUM</v>
      </c>
    </row>
    <row r="430" spans="1:14">
      <c r="A430" s="4" t="s">
        <v>876</v>
      </c>
      <c r="B430" s="4" t="s">
        <v>877</v>
      </c>
      <c r="C430" s="4" t="s">
        <v>19</v>
      </c>
      <c r="D430" s="4" t="s">
        <v>64</v>
      </c>
      <c r="E430" s="5">
        <v>222.36930000000001</v>
      </c>
      <c r="F430" s="5">
        <v>222.3295</v>
      </c>
      <c r="G430" s="5">
        <v>222.2961</v>
      </c>
      <c r="H430" s="4">
        <v>1</v>
      </c>
      <c r="I430" s="6">
        <v>2264157</v>
      </c>
      <c r="J430" s="7">
        <v>628.30999999999995</v>
      </c>
      <c r="K430" s="9">
        <f>(PricingDataTable[[#This Row],[Current Price ($)]]-PricingDataTable[[#This Row],[Prior Price ($)]])/PricingDataTable[[#This Row],[Prior Price ($)]]</f>
        <v>-1.7898154106710693E-4</v>
      </c>
      <c r="L430" s="9">
        <f>(PricingDataTable[[#This Row],[Vendor Price ($)]]-PricingDataTable[[#This Row],[Current Price ($)]])/PricingDataTable[[#This Row],[Current Price ($)]]</f>
        <v>-1.5022747768514893E-4</v>
      </c>
      <c r="M430" t="str">
        <f t="shared" si="12"/>
        <v>PASS</v>
      </c>
      <c r="N430" s="10" t="str">
        <f t="shared" si="13"/>
        <v>NONE</v>
      </c>
    </row>
    <row r="431" spans="1:14">
      <c r="A431" s="4" t="s">
        <v>878</v>
      </c>
      <c r="B431" s="4" t="s">
        <v>879</v>
      </c>
      <c r="C431" s="4" t="s">
        <v>12</v>
      </c>
      <c r="D431" s="4" t="s">
        <v>13</v>
      </c>
      <c r="E431" s="5">
        <v>109.2333</v>
      </c>
      <c r="F431" s="5">
        <v>108.37139999999999</v>
      </c>
      <c r="G431" s="5">
        <v>108.1695</v>
      </c>
      <c r="H431" s="4">
        <v>3</v>
      </c>
      <c r="I431" s="6">
        <v>3213459</v>
      </c>
      <c r="J431" s="7">
        <v>329.16</v>
      </c>
      <c r="K431" s="9">
        <f>(PricingDataTable[[#This Row],[Current Price ($)]]-PricingDataTable[[#This Row],[Prior Price ($)]])/PricingDataTable[[#This Row],[Prior Price ($)]]</f>
        <v>-7.8904509888468588E-3</v>
      </c>
      <c r="L431" s="9">
        <f>(PricingDataTable[[#This Row],[Vendor Price ($)]]-PricingDataTable[[#This Row],[Current Price ($)]])/PricingDataTable[[#This Row],[Current Price ($)]]</f>
        <v>-1.8630376649189258E-3</v>
      </c>
      <c r="M431" t="str">
        <f t="shared" si="12"/>
        <v>STALE</v>
      </c>
      <c r="N431" s="10" t="str">
        <f t="shared" si="13"/>
        <v>LOW</v>
      </c>
    </row>
    <row r="432" spans="1:14">
      <c r="A432" s="4" t="s">
        <v>880</v>
      </c>
      <c r="B432" s="4" t="s">
        <v>881</v>
      </c>
      <c r="C432" s="4" t="s">
        <v>16</v>
      </c>
      <c r="D432" s="4" t="s">
        <v>13</v>
      </c>
      <c r="E432" s="5">
        <v>102.9395</v>
      </c>
      <c r="F432" s="5">
        <v>104.7118</v>
      </c>
      <c r="G432" s="5">
        <v>104.9136</v>
      </c>
      <c r="H432" s="4">
        <v>0</v>
      </c>
      <c r="I432" s="6">
        <v>4867394</v>
      </c>
      <c r="J432" s="7">
        <v>784.04</v>
      </c>
      <c r="K432" s="9">
        <f>(PricingDataTable[[#This Row],[Current Price ($)]]-PricingDataTable[[#This Row],[Prior Price ($)]])/PricingDataTable[[#This Row],[Prior Price ($)]]</f>
        <v>1.7216908961088809E-2</v>
      </c>
      <c r="L432" s="9">
        <f>(PricingDataTable[[#This Row],[Vendor Price ($)]]-PricingDataTable[[#This Row],[Current Price ($)]])/PricingDataTable[[#This Row],[Current Price ($)]]</f>
        <v>1.9271944518192386E-3</v>
      </c>
      <c r="M432" t="str">
        <f t="shared" si="12"/>
        <v>PASS</v>
      </c>
      <c r="N432" s="10" t="str">
        <f t="shared" si="13"/>
        <v>NONE</v>
      </c>
    </row>
    <row r="433" spans="1:14">
      <c r="A433" s="4" t="s">
        <v>882</v>
      </c>
      <c r="B433" s="4" t="s">
        <v>883</v>
      </c>
      <c r="C433" s="4" t="s">
        <v>39</v>
      </c>
      <c r="D433" s="4" t="s">
        <v>32</v>
      </c>
      <c r="E433" s="5">
        <v>117.5986</v>
      </c>
      <c r="F433" s="5">
        <v>118.93689999999999</v>
      </c>
      <c r="G433" s="5">
        <v>118.68429999999999</v>
      </c>
      <c r="H433" s="4">
        <v>0</v>
      </c>
      <c r="I433" s="6">
        <v>1030361</v>
      </c>
      <c r="J433" s="7">
        <v>423.25</v>
      </c>
      <c r="K433" s="9">
        <f>(PricingDataTable[[#This Row],[Current Price ($)]]-PricingDataTable[[#This Row],[Prior Price ($)]])/PricingDataTable[[#This Row],[Prior Price ($)]]</f>
        <v>1.1380237519834331E-2</v>
      </c>
      <c r="L433" s="9">
        <f>(PricingDataTable[[#This Row],[Vendor Price ($)]]-PricingDataTable[[#This Row],[Current Price ($)]])/PricingDataTable[[#This Row],[Current Price ($)]]</f>
        <v>-2.1238152331194194E-3</v>
      </c>
      <c r="M433" t="str">
        <f t="shared" si="12"/>
        <v>PASS</v>
      </c>
      <c r="N433" s="10" t="str">
        <f t="shared" si="13"/>
        <v>NONE</v>
      </c>
    </row>
    <row r="434" spans="1:14">
      <c r="A434" s="4" t="s">
        <v>884</v>
      </c>
      <c r="B434" s="4" t="s">
        <v>885</v>
      </c>
      <c r="C434" s="4" t="s">
        <v>35</v>
      </c>
      <c r="D434" s="4" t="s">
        <v>13</v>
      </c>
      <c r="E434" s="5">
        <v>67.53</v>
      </c>
      <c r="F434" s="5">
        <v>66.952600000000004</v>
      </c>
      <c r="G434" s="5">
        <v>66.679000000000002</v>
      </c>
      <c r="H434" s="4">
        <v>0</v>
      </c>
      <c r="I434" s="6">
        <v>3278282</v>
      </c>
      <c r="J434" s="7">
        <v>808.17</v>
      </c>
      <c r="K434" s="9">
        <f>(PricingDataTable[[#This Row],[Current Price ($)]]-PricingDataTable[[#This Row],[Prior Price ($)]])/PricingDataTable[[#This Row],[Prior Price ($)]]</f>
        <v>-8.5502739523174477E-3</v>
      </c>
      <c r="L434" s="9">
        <f>(PricingDataTable[[#This Row],[Vendor Price ($)]]-PricingDataTable[[#This Row],[Current Price ($)]])/PricingDataTable[[#This Row],[Current Price ($)]]</f>
        <v>-4.086473116802063E-3</v>
      </c>
      <c r="M434" t="str">
        <f t="shared" si="12"/>
        <v>PASS</v>
      </c>
      <c r="N434" s="10" t="str">
        <f t="shared" si="13"/>
        <v>NONE</v>
      </c>
    </row>
    <row r="435" spans="1:14">
      <c r="A435" s="4" t="s">
        <v>886</v>
      </c>
      <c r="B435" s="4" t="s">
        <v>887</v>
      </c>
      <c r="C435" s="4" t="s">
        <v>19</v>
      </c>
      <c r="D435" s="4" t="s">
        <v>13</v>
      </c>
      <c r="E435" s="5">
        <v>246.40209999999999</v>
      </c>
      <c r="F435" s="5">
        <v>240.37379999999999</v>
      </c>
      <c r="G435" s="5">
        <v>240.40770000000001</v>
      </c>
      <c r="H435" s="4">
        <v>0</v>
      </c>
      <c r="I435" s="6">
        <v>1108525</v>
      </c>
      <c r="J435" s="7">
        <v>426.62</v>
      </c>
      <c r="K435" s="9">
        <f>(PricingDataTable[[#This Row],[Current Price ($)]]-PricingDataTable[[#This Row],[Prior Price ($)]])/PricingDataTable[[#This Row],[Prior Price ($)]]</f>
        <v>-2.4465294735718575E-2</v>
      </c>
      <c r="L435" s="9">
        <f>(PricingDataTable[[#This Row],[Vendor Price ($)]]-PricingDataTable[[#This Row],[Current Price ($)]])/PricingDataTable[[#This Row],[Current Price ($)]]</f>
        <v>1.410303452373633E-4</v>
      </c>
      <c r="M435" t="str">
        <f t="shared" si="12"/>
        <v>PASS</v>
      </c>
      <c r="N435" s="10" t="str">
        <f t="shared" si="13"/>
        <v>NONE</v>
      </c>
    </row>
    <row r="436" spans="1:14">
      <c r="A436" s="4" t="s">
        <v>888</v>
      </c>
      <c r="B436" s="4" t="s">
        <v>889</v>
      </c>
      <c r="C436" s="4" t="s">
        <v>39</v>
      </c>
      <c r="D436" s="4" t="s">
        <v>13</v>
      </c>
      <c r="E436" s="5">
        <v>72.658699999999996</v>
      </c>
      <c r="F436" s="5">
        <v>74.212900000000005</v>
      </c>
      <c r="G436" s="5">
        <v>74.268199999999993</v>
      </c>
      <c r="H436" s="4">
        <v>0</v>
      </c>
      <c r="I436" s="6">
        <v>2738256</v>
      </c>
      <c r="J436" s="7">
        <v>437.64</v>
      </c>
      <c r="K436" s="9">
        <f>(PricingDataTable[[#This Row],[Current Price ($)]]-PricingDataTable[[#This Row],[Prior Price ($)]])/PricingDataTable[[#This Row],[Prior Price ($)]]</f>
        <v>2.1390418490834666E-2</v>
      </c>
      <c r="L436" s="9">
        <f>(PricingDataTable[[#This Row],[Vendor Price ($)]]-PricingDataTable[[#This Row],[Current Price ($)]])/PricingDataTable[[#This Row],[Current Price ($)]]</f>
        <v>7.451534706228749E-4</v>
      </c>
      <c r="M436" t="str">
        <f t="shared" si="12"/>
        <v>PASS</v>
      </c>
      <c r="N436" s="10" t="str">
        <f t="shared" si="13"/>
        <v>NONE</v>
      </c>
    </row>
    <row r="437" spans="1:14">
      <c r="A437" s="4" t="s">
        <v>890</v>
      </c>
      <c r="B437" s="4" t="s">
        <v>891</v>
      </c>
      <c r="C437" s="4" t="s">
        <v>39</v>
      </c>
      <c r="D437" s="4" t="s">
        <v>13</v>
      </c>
      <c r="E437" s="5">
        <v>111.9962</v>
      </c>
      <c r="F437" s="5">
        <v>113.5986</v>
      </c>
      <c r="G437" s="5">
        <v>114.0421</v>
      </c>
      <c r="H437" s="4">
        <v>0</v>
      </c>
      <c r="I437" s="6">
        <v>397940</v>
      </c>
      <c r="J437" s="7">
        <v>133.66999999999999</v>
      </c>
      <c r="K437" s="9">
        <f>(PricingDataTable[[#This Row],[Current Price ($)]]-PricingDataTable[[#This Row],[Prior Price ($)]])/PricingDataTable[[#This Row],[Prior Price ($)]]</f>
        <v>1.4307628294531447E-2</v>
      </c>
      <c r="L437" s="9">
        <f>(PricingDataTable[[#This Row],[Vendor Price ($)]]-PricingDataTable[[#This Row],[Current Price ($)]])/PricingDataTable[[#This Row],[Current Price ($)]]</f>
        <v>3.9040974096511772E-3</v>
      </c>
      <c r="M437" t="str">
        <f t="shared" si="12"/>
        <v>PASS</v>
      </c>
      <c r="N437" s="10" t="str">
        <f t="shared" si="13"/>
        <v>NONE</v>
      </c>
    </row>
    <row r="438" spans="1:14">
      <c r="A438" s="4" t="s">
        <v>892</v>
      </c>
      <c r="B438" s="4" t="s">
        <v>893</v>
      </c>
      <c r="C438" s="4" t="s">
        <v>35</v>
      </c>
      <c r="D438" s="4" t="s">
        <v>13</v>
      </c>
      <c r="E438" s="5">
        <v>30.6206</v>
      </c>
      <c r="F438" s="5">
        <v>30.3932</v>
      </c>
      <c r="G438" s="5">
        <v>30.380500000000001</v>
      </c>
      <c r="H438" s="4">
        <v>2</v>
      </c>
      <c r="I438" s="6">
        <v>981773</v>
      </c>
      <c r="J438" s="7">
        <v>37.229999999999997</v>
      </c>
      <c r="K438" s="9">
        <f>(PricingDataTable[[#This Row],[Current Price ($)]]-PricingDataTable[[#This Row],[Prior Price ($)]])/PricingDataTable[[#This Row],[Prior Price ($)]]</f>
        <v>-7.4263730952365201E-3</v>
      </c>
      <c r="L438" s="9">
        <f>(PricingDataTable[[#This Row],[Vendor Price ($)]]-PricingDataTable[[#This Row],[Current Price ($)]])/PricingDataTable[[#This Row],[Current Price ($)]]</f>
        <v>-4.178566258241588E-4</v>
      </c>
      <c r="M438" t="str">
        <f t="shared" si="12"/>
        <v>PASS</v>
      </c>
      <c r="N438" s="10" t="str">
        <f t="shared" si="13"/>
        <v>NONE</v>
      </c>
    </row>
    <row r="439" spans="1:14">
      <c r="A439" s="4" t="s">
        <v>894</v>
      </c>
      <c r="B439" s="4" t="s">
        <v>895</v>
      </c>
      <c r="C439" s="4" t="s">
        <v>19</v>
      </c>
      <c r="D439" s="4" t="s">
        <v>13</v>
      </c>
      <c r="E439" s="5">
        <v>71.097800000000007</v>
      </c>
      <c r="F439" s="5">
        <v>70.888400000000004</v>
      </c>
      <c r="G439" s="5">
        <v>70.866799999999998</v>
      </c>
      <c r="H439" s="4">
        <v>0</v>
      </c>
      <c r="I439" s="6">
        <v>2530666</v>
      </c>
      <c r="J439" s="7">
        <v>109.52</v>
      </c>
      <c r="K439" s="9">
        <f>(PricingDataTable[[#This Row],[Current Price ($)]]-PricingDataTable[[#This Row],[Prior Price ($)]])/PricingDataTable[[#This Row],[Prior Price ($)]]</f>
        <v>-2.9452388118901321E-3</v>
      </c>
      <c r="L439" s="9">
        <f>(PricingDataTable[[#This Row],[Vendor Price ($)]]-PricingDataTable[[#This Row],[Current Price ($)]])/PricingDataTable[[#This Row],[Current Price ($)]]</f>
        <v>-3.0470429576639482E-4</v>
      </c>
      <c r="M439" t="str">
        <f t="shared" si="12"/>
        <v>PASS</v>
      </c>
      <c r="N439" s="10" t="str">
        <f t="shared" si="13"/>
        <v>NONE</v>
      </c>
    </row>
    <row r="440" spans="1:14">
      <c r="A440" s="4" t="s">
        <v>896</v>
      </c>
      <c r="B440" s="4" t="s">
        <v>897</v>
      </c>
      <c r="C440" s="4" t="s">
        <v>35</v>
      </c>
      <c r="D440" s="4" t="s">
        <v>32</v>
      </c>
      <c r="E440" s="5">
        <v>170.70650000000001</v>
      </c>
      <c r="F440" s="5">
        <v>171.7791</v>
      </c>
      <c r="G440" s="5">
        <v>171.64750000000001</v>
      </c>
      <c r="H440" s="4">
        <v>0</v>
      </c>
      <c r="I440" s="6">
        <v>2432246</v>
      </c>
      <c r="J440" s="7">
        <v>872.65</v>
      </c>
      <c r="K440" s="9">
        <f>(PricingDataTable[[#This Row],[Current Price ($)]]-PricingDataTable[[#This Row],[Prior Price ($)]])/PricingDataTable[[#This Row],[Prior Price ($)]]</f>
        <v>6.2832991128046918E-3</v>
      </c>
      <c r="L440" s="9">
        <f>(PricingDataTable[[#This Row],[Vendor Price ($)]]-PricingDataTable[[#This Row],[Current Price ($)]])/PricingDataTable[[#This Row],[Current Price ($)]]</f>
        <v>-7.6610018331678138E-4</v>
      </c>
      <c r="M440" t="str">
        <f t="shared" si="12"/>
        <v>PASS</v>
      </c>
      <c r="N440" s="10" t="str">
        <f t="shared" si="13"/>
        <v>NONE</v>
      </c>
    </row>
    <row r="441" spans="1:14">
      <c r="A441" s="4" t="s">
        <v>898</v>
      </c>
      <c r="B441" s="4" t="s">
        <v>899</v>
      </c>
      <c r="C441" s="4" t="s">
        <v>39</v>
      </c>
      <c r="D441" s="4" t="s">
        <v>32</v>
      </c>
      <c r="E441" s="5">
        <v>323.4239</v>
      </c>
      <c r="F441" s="5">
        <v>322.42200000000003</v>
      </c>
      <c r="G441" s="5">
        <v>322.82279999999997</v>
      </c>
      <c r="H441" s="4">
        <v>1</v>
      </c>
      <c r="I441" s="6">
        <v>1849553</v>
      </c>
      <c r="J441" s="7">
        <v>401.49</v>
      </c>
      <c r="K441" s="9">
        <f>(PricingDataTable[[#This Row],[Current Price ($)]]-PricingDataTable[[#This Row],[Prior Price ($)]])/PricingDataTable[[#This Row],[Prior Price ($)]]</f>
        <v>-3.0977920926684075E-3</v>
      </c>
      <c r="L441" s="9">
        <f>(PricingDataTable[[#This Row],[Vendor Price ($)]]-PricingDataTable[[#This Row],[Current Price ($)]])/PricingDataTable[[#This Row],[Current Price ($)]]</f>
        <v>1.2430913523269098E-3</v>
      </c>
      <c r="M441" t="str">
        <f t="shared" si="12"/>
        <v>PASS</v>
      </c>
      <c r="N441" s="10" t="str">
        <f t="shared" si="13"/>
        <v>NONE</v>
      </c>
    </row>
    <row r="442" spans="1:14">
      <c r="A442" s="4" t="s">
        <v>900</v>
      </c>
      <c r="B442" s="4" t="s">
        <v>901</v>
      </c>
      <c r="C442" s="4" t="s">
        <v>19</v>
      </c>
      <c r="D442" s="4" t="s">
        <v>13</v>
      </c>
      <c r="E442" s="5">
        <v>207.53360000000001</v>
      </c>
      <c r="F442" s="5">
        <v>208.54939999999999</v>
      </c>
      <c r="G442" s="5">
        <v>228.62039999999999</v>
      </c>
      <c r="H442" s="4">
        <v>4</v>
      </c>
      <c r="I442" s="6">
        <v>4115321</v>
      </c>
      <c r="J442" s="7">
        <v>286.12</v>
      </c>
      <c r="K442" s="9">
        <f>(PricingDataTable[[#This Row],[Current Price ($)]]-PricingDataTable[[#This Row],[Prior Price ($)]])/PricingDataTable[[#This Row],[Prior Price ($)]]</f>
        <v>4.8946291106595962E-3</v>
      </c>
      <c r="L442" s="9">
        <f>(PricingDataTable[[#This Row],[Vendor Price ($)]]-PricingDataTable[[#This Row],[Current Price ($)]])/PricingDataTable[[#This Row],[Current Price ($)]]</f>
        <v>9.6240986548031301E-2</v>
      </c>
      <c r="M442" t="str">
        <f t="shared" si="12"/>
        <v>STALE</v>
      </c>
      <c r="N442" s="10" t="str">
        <f t="shared" si="13"/>
        <v>HIGH</v>
      </c>
    </row>
    <row r="443" spans="1:14">
      <c r="A443" s="4" t="s">
        <v>902</v>
      </c>
      <c r="B443" s="4" t="s">
        <v>903</v>
      </c>
      <c r="C443" s="4" t="s">
        <v>35</v>
      </c>
      <c r="D443" s="4" t="s">
        <v>36</v>
      </c>
      <c r="E443" s="5">
        <v>66.269499999999994</v>
      </c>
      <c r="F443" s="5">
        <v>67.202399999999997</v>
      </c>
      <c r="G443" s="5">
        <v>67.519199999999998</v>
      </c>
      <c r="H443" s="4">
        <v>0</v>
      </c>
      <c r="I443" s="6">
        <v>4707286</v>
      </c>
      <c r="J443" s="7">
        <v>79.02</v>
      </c>
      <c r="K443" s="9">
        <f>(PricingDataTable[[#This Row],[Current Price ($)]]-PricingDataTable[[#This Row],[Prior Price ($)]])/PricingDataTable[[#This Row],[Prior Price ($)]]</f>
        <v>1.4077365907393351E-2</v>
      </c>
      <c r="L443" s="9">
        <f>(PricingDataTable[[#This Row],[Vendor Price ($)]]-PricingDataTable[[#This Row],[Current Price ($)]])/PricingDataTable[[#This Row],[Current Price ($)]]</f>
        <v>4.7141173529516899E-3</v>
      </c>
      <c r="M443" t="str">
        <f t="shared" si="12"/>
        <v>PASS</v>
      </c>
      <c r="N443" s="10" t="str">
        <f t="shared" si="13"/>
        <v>NONE</v>
      </c>
    </row>
    <row r="444" spans="1:14">
      <c r="A444" s="4" t="s">
        <v>904</v>
      </c>
      <c r="B444" s="4" t="s">
        <v>905</v>
      </c>
      <c r="C444" s="4" t="s">
        <v>39</v>
      </c>
      <c r="D444" s="4" t="s">
        <v>13</v>
      </c>
      <c r="E444" s="5">
        <v>159.3365</v>
      </c>
      <c r="F444" s="5">
        <v>160.9272</v>
      </c>
      <c r="G444" s="5">
        <v>161.59469999999999</v>
      </c>
      <c r="H444" s="4">
        <v>0</v>
      </c>
      <c r="I444" s="6">
        <v>1205933</v>
      </c>
      <c r="J444" s="7">
        <v>187.16</v>
      </c>
      <c r="K444" s="9">
        <f>(PricingDataTable[[#This Row],[Current Price ($)]]-PricingDataTable[[#This Row],[Prior Price ($)]])/PricingDataTable[[#This Row],[Prior Price ($)]]</f>
        <v>9.983274390990126E-3</v>
      </c>
      <c r="L444" s="9">
        <f>(PricingDataTable[[#This Row],[Vendor Price ($)]]-PricingDataTable[[#This Row],[Current Price ($)]])/PricingDataTable[[#This Row],[Current Price ($)]]</f>
        <v>4.1478382771836571E-3</v>
      </c>
      <c r="M444" t="str">
        <f t="shared" si="12"/>
        <v>PASS</v>
      </c>
      <c r="N444" s="10" t="str">
        <f t="shared" si="13"/>
        <v>NONE</v>
      </c>
    </row>
    <row r="445" spans="1:14">
      <c r="A445" s="4" t="s">
        <v>906</v>
      </c>
      <c r="B445" s="4" t="s">
        <v>907</v>
      </c>
      <c r="C445" s="4" t="s">
        <v>35</v>
      </c>
      <c r="D445" s="4" t="s">
        <v>13</v>
      </c>
      <c r="E445" s="5">
        <v>172.89699999999999</v>
      </c>
      <c r="F445" s="5">
        <v>172.93129999999999</v>
      </c>
      <c r="G445" s="5">
        <v>172.70820000000001</v>
      </c>
      <c r="H445" s="4">
        <v>0</v>
      </c>
      <c r="I445" s="6">
        <v>1149627</v>
      </c>
      <c r="J445" s="7">
        <v>179.49</v>
      </c>
      <c r="K445" s="9">
        <f>(PricingDataTable[[#This Row],[Current Price ($)]]-PricingDataTable[[#This Row],[Prior Price ($)]])/PricingDataTable[[#This Row],[Prior Price ($)]]</f>
        <v>1.983840089764529E-4</v>
      </c>
      <c r="L445" s="9">
        <f>(PricingDataTable[[#This Row],[Vendor Price ($)]]-PricingDataTable[[#This Row],[Current Price ($)]])/PricingDataTable[[#This Row],[Current Price ($)]]</f>
        <v>-1.2901076901635973E-3</v>
      </c>
      <c r="M445" t="str">
        <f t="shared" si="12"/>
        <v>PASS</v>
      </c>
      <c r="N445" s="10" t="str">
        <f t="shared" si="13"/>
        <v>NONE</v>
      </c>
    </row>
    <row r="446" spans="1:14">
      <c r="A446" s="4" t="s">
        <v>908</v>
      </c>
      <c r="B446" s="4" t="s">
        <v>909</v>
      </c>
      <c r="C446" s="4" t="s">
        <v>16</v>
      </c>
      <c r="D446" s="4" t="s">
        <v>13</v>
      </c>
      <c r="E446" s="5">
        <v>116.3124</v>
      </c>
      <c r="F446" s="5"/>
      <c r="G446" s="5">
        <v>116.6572</v>
      </c>
      <c r="H446" s="4">
        <v>0</v>
      </c>
      <c r="I446" s="6">
        <v>3964962</v>
      </c>
      <c r="J446" s="7">
        <v>111.93</v>
      </c>
      <c r="K446" s="9">
        <f>(PricingDataTable[[#This Row],[Current Price ($)]]-PricingDataTable[[#This Row],[Prior Price ($)]])/PricingDataTable[[#This Row],[Prior Price ($)]]</f>
        <v>-1</v>
      </c>
      <c r="L446" s="9" t="e">
        <f>(PricingDataTable[[#This Row],[Vendor Price ($)]]-PricingDataTable[[#This Row],[Current Price ($)]])/PricingDataTable[[#This Row],[Current Price ($)]]</f>
        <v>#DIV/0!</v>
      </c>
      <c r="M446" t="str">
        <f t="shared" si="12"/>
        <v>MISSING</v>
      </c>
      <c r="N446" s="10" t="str">
        <f t="shared" si="13"/>
        <v>HIGH</v>
      </c>
    </row>
    <row r="447" spans="1:14">
      <c r="A447" s="4" t="s">
        <v>910</v>
      </c>
      <c r="B447" s="4" t="s">
        <v>911</v>
      </c>
      <c r="C447" s="4" t="s">
        <v>16</v>
      </c>
      <c r="D447" s="4" t="s">
        <v>13</v>
      </c>
      <c r="E447" s="5">
        <v>109.3922</v>
      </c>
      <c r="F447" s="5">
        <v>109.414</v>
      </c>
      <c r="G447" s="5">
        <v>109.57940000000001</v>
      </c>
      <c r="H447" s="4">
        <v>0</v>
      </c>
      <c r="I447" s="6">
        <v>4745383</v>
      </c>
      <c r="J447" s="7">
        <v>392.57</v>
      </c>
      <c r="K447" s="9">
        <f>(PricingDataTable[[#This Row],[Current Price ($)]]-PricingDataTable[[#This Row],[Prior Price ($)]])/PricingDataTable[[#This Row],[Prior Price ($)]]</f>
        <v>1.9928294704740313E-4</v>
      </c>
      <c r="L447" s="9">
        <f>(PricingDataTable[[#This Row],[Vendor Price ($)]]-PricingDataTable[[#This Row],[Current Price ($)]])/PricingDataTable[[#This Row],[Current Price ($)]]</f>
        <v>1.5116895461276009E-3</v>
      </c>
      <c r="M447" t="str">
        <f t="shared" si="12"/>
        <v>PASS</v>
      </c>
      <c r="N447" s="10" t="str">
        <f t="shared" si="13"/>
        <v>NONE</v>
      </c>
    </row>
    <row r="448" spans="1:14">
      <c r="A448" s="4" t="s">
        <v>912</v>
      </c>
      <c r="B448" s="4" t="s">
        <v>913</v>
      </c>
      <c r="C448" s="4" t="s">
        <v>35</v>
      </c>
      <c r="D448" s="4" t="s">
        <v>32</v>
      </c>
      <c r="E448" s="5">
        <v>68.430000000000007</v>
      </c>
      <c r="F448" s="5">
        <v>68.413499999999999</v>
      </c>
      <c r="G448" s="5">
        <v>68.375100000000003</v>
      </c>
      <c r="H448" s="4">
        <v>0</v>
      </c>
      <c r="I448" s="6">
        <v>2998966</v>
      </c>
      <c r="J448" s="7">
        <v>147.15</v>
      </c>
      <c r="K448" s="9">
        <f>(PricingDataTable[[#This Row],[Current Price ($)]]-PricingDataTable[[#This Row],[Prior Price ($)]])/PricingDataTable[[#This Row],[Prior Price ($)]]</f>
        <v>-2.4112231477433477E-4</v>
      </c>
      <c r="L448" s="9">
        <f>(PricingDataTable[[#This Row],[Vendor Price ($)]]-PricingDataTable[[#This Row],[Current Price ($)]])/PricingDataTable[[#This Row],[Current Price ($)]]</f>
        <v>-5.6129272731252999E-4</v>
      </c>
      <c r="M448" t="str">
        <f t="shared" si="12"/>
        <v>PASS</v>
      </c>
      <c r="N448" s="10" t="str">
        <f t="shared" si="13"/>
        <v>NONE</v>
      </c>
    </row>
    <row r="449" spans="1:14">
      <c r="A449" s="4" t="s">
        <v>914</v>
      </c>
      <c r="B449" s="4" t="s">
        <v>915</v>
      </c>
      <c r="C449" s="4" t="s">
        <v>16</v>
      </c>
      <c r="D449" s="4" t="s">
        <v>36</v>
      </c>
      <c r="E449" s="5">
        <v>92.799199999999999</v>
      </c>
      <c r="F449" s="5">
        <v>92.460300000000004</v>
      </c>
      <c r="G449" s="5">
        <v>92.790300000000002</v>
      </c>
      <c r="H449" s="4">
        <v>1</v>
      </c>
      <c r="I449" s="6">
        <v>1403037</v>
      </c>
      <c r="J449" s="7">
        <v>489.43</v>
      </c>
      <c r="K449" s="9">
        <f>(PricingDataTable[[#This Row],[Current Price ($)]]-PricingDataTable[[#This Row],[Prior Price ($)]])/PricingDataTable[[#This Row],[Prior Price ($)]]</f>
        <v>-3.6519711376821712E-3</v>
      </c>
      <c r="L449" s="9">
        <f>(PricingDataTable[[#This Row],[Vendor Price ($)]]-PricingDataTable[[#This Row],[Current Price ($)]])/PricingDataTable[[#This Row],[Current Price ($)]]</f>
        <v>3.5690993864393506E-3</v>
      </c>
      <c r="M449" t="str">
        <f t="shared" si="12"/>
        <v>PASS</v>
      </c>
      <c r="N449" s="10" t="str">
        <f t="shared" si="13"/>
        <v>NONE</v>
      </c>
    </row>
    <row r="450" spans="1:14">
      <c r="A450" s="4" t="s">
        <v>916</v>
      </c>
      <c r="B450" s="4" t="s">
        <v>917</v>
      </c>
      <c r="C450" s="4" t="s">
        <v>19</v>
      </c>
      <c r="D450" s="4" t="s">
        <v>13</v>
      </c>
      <c r="E450" s="5">
        <v>131.9828</v>
      </c>
      <c r="F450" s="5">
        <v>130.5427</v>
      </c>
      <c r="G450" s="5">
        <v>130.46449999999999</v>
      </c>
      <c r="H450" s="4">
        <v>0</v>
      </c>
      <c r="I450" s="6">
        <v>1368587</v>
      </c>
      <c r="J450" s="7">
        <v>92.36</v>
      </c>
      <c r="K450" s="9">
        <f>(PricingDataTable[[#This Row],[Current Price ($)]]-PricingDataTable[[#This Row],[Prior Price ($)]])/PricingDataTable[[#This Row],[Prior Price ($)]]</f>
        <v>-1.0911270256427361E-2</v>
      </c>
      <c r="L450" s="9">
        <f>(PricingDataTable[[#This Row],[Vendor Price ($)]]-PricingDataTable[[#This Row],[Current Price ($)]])/PricingDataTable[[#This Row],[Current Price ($)]]</f>
        <v>-5.990377095004899E-4</v>
      </c>
      <c r="M450" t="str">
        <f t="shared" ref="M450:M513" si="14">IF(OR(F450="",F450=0),"MISSING",IF(H450&gt;=3,"STALE",IF(ABS(K450)&gt;=5%,"LARGE MOVE",IF(ABS(L450)&gt;=2%,"VENDOR DIFFERENCE","PASS"))))</f>
        <v>PASS</v>
      </c>
      <c r="N450" s="10" t="str">
        <f t="shared" ref="N450:N513" si="15">IF(M450="PASS","NONE",IF(M450="MISSING","HIGH",IF(OR(ABS(K450)&gt;=10%,ABS(L450)&gt;=5%),"HIGH",IF(OR(ABS(K450)&gt;=7%,ABS(L450)&gt;=3%,H450&gt;=5),"MEDIUM","LOW"))))</f>
        <v>NONE</v>
      </c>
    </row>
    <row r="451" spans="1:14">
      <c r="A451" s="4" t="s">
        <v>918</v>
      </c>
      <c r="B451" s="4" t="s">
        <v>919</v>
      </c>
      <c r="C451" s="4" t="s">
        <v>19</v>
      </c>
      <c r="D451" s="4" t="s">
        <v>13</v>
      </c>
      <c r="E451" s="5">
        <v>314.79340000000002</v>
      </c>
      <c r="F451" s="5">
        <v>309.40030000000002</v>
      </c>
      <c r="G451" s="5">
        <v>308.255</v>
      </c>
      <c r="H451" s="4">
        <v>0</v>
      </c>
      <c r="I451" s="6">
        <v>3863881</v>
      </c>
      <c r="J451" s="7">
        <v>824.44</v>
      </c>
      <c r="K451" s="9">
        <f>(PricingDataTable[[#This Row],[Current Price ($)]]-PricingDataTable[[#This Row],[Prior Price ($)]])/PricingDataTable[[#This Row],[Prior Price ($)]]</f>
        <v>-1.7132188921368759E-2</v>
      </c>
      <c r="L451" s="9">
        <f>(PricingDataTable[[#This Row],[Vendor Price ($)]]-PricingDataTable[[#This Row],[Current Price ($)]])/PricingDataTable[[#This Row],[Current Price ($)]]</f>
        <v>-3.70167708305396E-3</v>
      </c>
      <c r="M451" t="str">
        <f t="shared" si="14"/>
        <v>PASS</v>
      </c>
      <c r="N451" s="10" t="str">
        <f t="shared" si="15"/>
        <v>NONE</v>
      </c>
    </row>
    <row r="452" spans="1:14">
      <c r="A452" s="4" t="s">
        <v>920</v>
      </c>
      <c r="B452" s="4" t="s">
        <v>921</v>
      </c>
      <c r="C452" s="4" t="s">
        <v>35</v>
      </c>
      <c r="D452" s="4" t="s">
        <v>13</v>
      </c>
      <c r="E452" s="5">
        <v>57.460099999999997</v>
      </c>
      <c r="F452" s="5">
        <v>56.634300000000003</v>
      </c>
      <c r="G452" s="5">
        <v>56.872300000000003</v>
      </c>
      <c r="H452" s="4">
        <v>1</v>
      </c>
      <c r="I452" s="6">
        <v>242252</v>
      </c>
      <c r="J452" s="7">
        <v>670.07</v>
      </c>
      <c r="K452" s="9">
        <f>(PricingDataTable[[#This Row],[Current Price ($)]]-PricingDataTable[[#This Row],[Prior Price ($)]])/PricingDataTable[[#This Row],[Prior Price ($)]]</f>
        <v>-1.4371711848743631E-2</v>
      </c>
      <c r="L452" s="9">
        <f>(PricingDataTable[[#This Row],[Vendor Price ($)]]-PricingDataTable[[#This Row],[Current Price ($)]])/PricingDataTable[[#This Row],[Current Price ($)]]</f>
        <v>4.2024003121783008E-3</v>
      </c>
      <c r="M452" t="str">
        <f t="shared" si="14"/>
        <v>PASS</v>
      </c>
      <c r="N452" s="10" t="str">
        <f t="shared" si="15"/>
        <v>NONE</v>
      </c>
    </row>
    <row r="453" spans="1:14">
      <c r="A453" s="4" t="s">
        <v>922</v>
      </c>
      <c r="B453" s="4" t="s">
        <v>923</v>
      </c>
      <c r="C453" s="4" t="s">
        <v>19</v>
      </c>
      <c r="D453" s="4" t="s">
        <v>13</v>
      </c>
      <c r="E453" s="5">
        <v>243.31209999999999</v>
      </c>
      <c r="F453" s="5">
        <v>242.6046</v>
      </c>
      <c r="G453" s="5">
        <v>243.072</v>
      </c>
      <c r="H453" s="4">
        <v>1</v>
      </c>
      <c r="I453" s="6">
        <v>4063224</v>
      </c>
      <c r="J453" s="7">
        <v>681.65</v>
      </c>
      <c r="K453" s="9">
        <f>(PricingDataTable[[#This Row],[Current Price ($)]]-PricingDataTable[[#This Row],[Prior Price ($)]])/PricingDataTable[[#This Row],[Prior Price ($)]]</f>
        <v>-2.90778798095114E-3</v>
      </c>
      <c r="L453" s="9">
        <f>(PricingDataTable[[#This Row],[Vendor Price ($)]]-PricingDataTable[[#This Row],[Current Price ($)]])/PricingDataTable[[#This Row],[Current Price ($)]]</f>
        <v>1.9265916639667913E-3</v>
      </c>
      <c r="M453" t="str">
        <f t="shared" si="14"/>
        <v>PASS</v>
      </c>
      <c r="N453" s="10" t="str">
        <f t="shared" si="15"/>
        <v>NONE</v>
      </c>
    </row>
    <row r="454" spans="1:14">
      <c r="A454" s="4" t="s">
        <v>924</v>
      </c>
      <c r="B454" s="4" t="s">
        <v>925</v>
      </c>
      <c r="C454" s="4" t="s">
        <v>19</v>
      </c>
      <c r="D454" s="4" t="s">
        <v>32</v>
      </c>
      <c r="E454" s="5">
        <v>183.60990000000001</v>
      </c>
      <c r="F454" s="5">
        <v>184.64259999999999</v>
      </c>
      <c r="G454" s="5">
        <v>184.744</v>
      </c>
      <c r="H454" s="4">
        <v>0</v>
      </c>
      <c r="I454" s="6">
        <v>1724030</v>
      </c>
      <c r="J454" s="7">
        <v>528.92999999999995</v>
      </c>
      <c r="K454" s="9">
        <f>(PricingDataTable[[#This Row],[Current Price ($)]]-PricingDataTable[[#This Row],[Prior Price ($)]])/PricingDataTable[[#This Row],[Prior Price ($)]]</f>
        <v>5.6244243910593987E-3</v>
      </c>
      <c r="L454" s="9">
        <f>(PricingDataTable[[#This Row],[Vendor Price ($)]]-PricingDataTable[[#This Row],[Current Price ($)]])/PricingDataTable[[#This Row],[Current Price ($)]]</f>
        <v>5.4916904333026273E-4</v>
      </c>
      <c r="M454" t="str">
        <f t="shared" si="14"/>
        <v>PASS</v>
      </c>
      <c r="N454" s="10" t="str">
        <f t="shared" si="15"/>
        <v>NONE</v>
      </c>
    </row>
    <row r="455" spans="1:14">
      <c r="A455" s="4" t="s">
        <v>926</v>
      </c>
      <c r="B455" s="4" t="s">
        <v>927</v>
      </c>
      <c r="C455" s="4" t="s">
        <v>12</v>
      </c>
      <c r="D455" s="4" t="s">
        <v>13</v>
      </c>
      <c r="E455" s="5">
        <v>82.277799999999999</v>
      </c>
      <c r="F455" s="5">
        <v>82.258799999999994</v>
      </c>
      <c r="G455" s="5">
        <v>82.06</v>
      </c>
      <c r="H455" s="4">
        <v>2</v>
      </c>
      <c r="I455" s="6">
        <v>4236485</v>
      </c>
      <c r="J455" s="7">
        <v>513.29999999999995</v>
      </c>
      <c r="K455" s="9">
        <f>(PricingDataTable[[#This Row],[Current Price ($)]]-PricingDataTable[[#This Row],[Prior Price ($)]])/PricingDataTable[[#This Row],[Prior Price ($)]]</f>
        <v>-2.3092498827150771E-4</v>
      </c>
      <c r="L455" s="9">
        <f>(PricingDataTable[[#This Row],[Vendor Price ($)]]-PricingDataTable[[#This Row],[Current Price ($)]])/PricingDataTable[[#This Row],[Current Price ($)]]</f>
        <v>-2.4167627050235528E-3</v>
      </c>
      <c r="M455" t="str">
        <f t="shared" si="14"/>
        <v>PASS</v>
      </c>
      <c r="N455" s="10" t="str">
        <f t="shared" si="15"/>
        <v>NONE</v>
      </c>
    </row>
    <row r="456" spans="1:14">
      <c r="A456" s="4" t="s">
        <v>928</v>
      </c>
      <c r="B456" s="4" t="s">
        <v>929</v>
      </c>
      <c r="C456" s="4" t="s">
        <v>39</v>
      </c>
      <c r="D456" s="4" t="s">
        <v>13</v>
      </c>
      <c r="E456" s="5">
        <v>252.80760000000001</v>
      </c>
      <c r="F456" s="5">
        <v>254.6234</v>
      </c>
      <c r="G456" s="5">
        <v>225.79689999999999</v>
      </c>
      <c r="H456" s="4">
        <v>3</v>
      </c>
      <c r="I456" s="6">
        <v>4945082</v>
      </c>
      <c r="J456" s="7">
        <v>166.78</v>
      </c>
      <c r="K456" s="9">
        <f>(PricingDataTable[[#This Row],[Current Price ($)]]-PricingDataTable[[#This Row],[Prior Price ($)]])/PricingDataTable[[#This Row],[Prior Price ($)]]</f>
        <v>7.1825372338489655E-3</v>
      </c>
      <c r="L456" s="9">
        <f>(PricingDataTable[[#This Row],[Vendor Price ($)]]-PricingDataTable[[#This Row],[Current Price ($)]])/PricingDataTable[[#This Row],[Current Price ($)]]</f>
        <v>-0.11321229706303509</v>
      </c>
      <c r="M456" t="str">
        <f t="shared" si="14"/>
        <v>STALE</v>
      </c>
      <c r="N456" s="10" t="str">
        <f t="shared" si="15"/>
        <v>HIGH</v>
      </c>
    </row>
    <row r="457" spans="1:14">
      <c r="A457" s="4" t="s">
        <v>930</v>
      </c>
      <c r="B457" s="4" t="s">
        <v>931</v>
      </c>
      <c r="C457" s="4" t="s">
        <v>19</v>
      </c>
      <c r="D457" s="4" t="s">
        <v>13</v>
      </c>
      <c r="E457" s="5">
        <v>137.82830000000001</v>
      </c>
      <c r="F457" s="5">
        <v>138.09289999999999</v>
      </c>
      <c r="G457" s="5">
        <v>138.38310000000001</v>
      </c>
      <c r="H457" s="4">
        <v>0</v>
      </c>
      <c r="I457" s="6">
        <v>3031388</v>
      </c>
      <c r="J457" s="7">
        <v>634.32000000000005</v>
      </c>
      <c r="K457" s="9">
        <f>(PricingDataTable[[#This Row],[Current Price ($)]]-PricingDataTable[[#This Row],[Prior Price ($)]])/PricingDataTable[[#This Row],[Prior Price ($)]]</f>
        <v>1.9197799000638697E-3</v>
      </c>
      <c r="L457" s="9">
        <f>(PricingDataTable[[#This Row],[Vendor Price ($)]]-PricingDataTable[[#This Row],[Current Price ($)]])/PricingDataTable[[#This Row],[Current Price ($)]]</f>
        <v>2.1014838561578988E-3</v>
      </c>
      <c r="M457" t="str">
        <f t="shared" si="14"/>
        <v>PASS</v>
      </c>
      <c r="N457" s="10" t="str">
        <f t="shared" si="15"/>
        <v>NONE</v>
      </c>
    </row>
    <row r="458" spans="1:14">
      <c r="A458" s="4" t="s">
        <v>932</v>
      </c>
      <c r="B458" s="4" t="s">
        <v>933</v>
      </c>
      <c r="C458" s="4" t="s">
        <v>19</v>
      </c>
      <c r="D458" s="4" t="s">
        <v>13</v>
      </c>
      <c r="E458" s="5">
        <v>139.5951</v>
      </c>
      <c r="F458" s="5">
        <v>136.96</v>
      </c>
      <c r="G458" s="5">
        <v>137.13919999999999</v>
      </c>
      <c r="H458" s="4">
        <v>0</v>
      </c>
      <c r="I458" s="6">
        <v>3591002</v>
      </c>
      <c r="J458" s="7">
        <v>170.07</v>
      </c>
      <c r="K458" s="9">
        <f>(PricingDataTable[[#This Row],[Current Price ($)]]-PricingDataTable[[#This Row],[Prior Price ($)]])/PricingDataTable[[#This Row],[Prior Price ($)]]</f>
        <v>-1.8876737077447518E-2</v>
      </c>
      <c r="L458" s="9">
        <f>(PricingDataTable[[#This Row],[Vendor Price ($)]]-PricingDataTable[[#This Row],[Current Price ($)]])/PricingDataTable[[#This Row],[Current Price ($)]]</f>
        <v>1.3084112149531269E-3</v>
      </c>
      <c r="M458" t="str">
        <f t="shared" si="14"/>
        <v>PASS</v>
      </c>
      <c r="N458" s="10" t="str">
        <f t="shared" si="15"/>
        <v>NONE</v>
      </c>
    </row>
    <row r="459" spans="1:14">
      <c r="A459" s="4" t="s">
        <v>934</v>
      </c>
      <c r="B459" s="4" t="s">
        <v>935</v>
      </c>
      <c r="C459" s="4" t="s">
        <v>35</v>
      </c>
      <c r="D459" s="4" t="s">
        <v>13</v>
      </c>
      <c r="E459" s="5">
        <v>4.2759</v>
      </c>
      <c r="F459" s="5">
        <v>4.2407000000000004</v>
      </c>
      <c r="G459" s="5">
        <v>4.2239000000000004</v>
      </c>
      <c r="H459" s="4">
        <v>1</v>
      </c>
      <c r="I459" s="6">
        <v>4954953</v>
      </c>
      <c r="J459" s="7">
        <v>879.82</v>
      </c>
      <c r="K459" s="9">
        <f>(PricingDataTable[[#This Row],[Current Price ($)]]-PricingDataTable[[#This Row],[Prior Price ($)]])/PricingDataTable[[#This Row],[Prior Price ($)]]</f>
        <v>-8.2321850370681432E-3</v>
      </c>
      <c r="L459" s="9">
        <f>(PricingDataTable[[#This Row],[Vendor Price ($)]]-PricingDataTable[[#This Row],[Current Price ($)]])/PricingDataTable[[#This Row],[Current Price ($)]]</f>
        <v>-3.9616101115381719E-3</v>
      </c>
      <c r="M459" t="str">
        <f t="shared" si="14"/>
        <v>PASS</v>
      </c>
      <c r="N459" s="10" t="str">
        <f t="shared" si="15"/>
        <v>NONE</v>
      </c>
    </row>
    <row r="460" spans="1:14">
      <c r="A460" s="4" t="s">
        <v>936</v>
      </c>
      <c r="B460" s="4" t="s">
        <v>937</v>
      </c>
      <c r="C460" s="4" t="s">
        <v>19</v>
      </c>
      <c r="D460" s="4" t="s">
        <v>237</v>
      </c>
      <c r="E460" s="5">
        <v>123.812</v>
      </c>
      <c r="F460" s="5">
        <v>120.0545</v>
      </c>
      <c r="G460" s="5">
        <v>119.4358</v>
      </c>
      <c r="H460" s="4">
        <v>1</v>
      </c>
      <c r="I460" s="6">
        <v>4882487</v>
      </c>
      <c r="J460" s="7">
        <v>534.37</v>
      </c>
      <c r="K460" s="9">
        <f>(PricingDataTable[[#This Row],[Current Price ($)]]-PricingDataTable[[#This Row],[Prior Price ($)]])/PricingDataTable[[#This Row],[Prior Price ($)]]</f>
        <v>-3.0348431492908549E-2</v>
      </c>
      <c r="L460" s="9">
        <f>(PricingDataTable[[#This Row],[Vendor Price ($)]]-PricingDataTable[[#This Row],[Current Price ($)]])/PricingDataTable[[#This Row],[Current Price ($)]]</f>
        <v>-5.1534927886918358E-3</v>
      </c>
      <c r="M460" t="str">
        <f t="shared" si="14"/>
        <v>PASS</v>
      </c>
      <c r="N460" s="10" t="str">
        <f t="shared" si="15"/>
        <v>NONE</v>
      </c>
    </row>
    <row r="461" spans="1:14">
      <c r="A461" s="4" t="s">
        <v>938</v>
      </c>
      <c r="B461" s="4" t="s">
        <v>939</v>
      </c>
      <c r="C461" s="4" t="s">
        <v>16</v>
      </c>
      <c r="D461" s="4" t="s">
        <v>13</v>
      </c>
      <c r="E461" s="5">
        <v>122.5069</v>
      </c>
      <c r="F461" s="5">
        <v>124.261</v>
      </c>
      <c r="G461" s="5">
        <v>124.2261</v>
      </c>
      <c r="H461" s="4">
        <v>0</v>
      </c>
      <c r="I461" s="6">
        <v>1130176</v>
      </c>
      <c r="J461" s="7">
        <v>26.95</v>
      </c>
      <c r="K461" s="9">
        <f>(PricingDataTable[[#This Row],[Current Price ($)]]-PricingDataTable[[#This Row],[Prior Price ($)]])/PricingDataTable[[#This Row],[Prior Price ($)]]</f>
        <v>1.4318377168959414E-2</v>
      </c>
      <c r="L461" s="9">
        <f>(PricingDataTable[[#This Row],[Vendor Price ($)]]-PricingDataTable[[#This Row],[Current Price ($)]])/PricingDataTable[[#This Row],[Current Price ($)]]</f>
        <v>-2.808604469623878E-4</v>
      </c>
      <c r="M461" t="str">
        <f t="shared" si="14"/>
        <v>PASS</v>
      </c>
      <c r="N461" s="10" t="str">
        <f t="shared" si="15"/>
        <v>NONE</v>
      </c>
    </row>
    <row r="462" spans="1:14">
      <c r="A462" s="4" t="s">
        <v>940</v>
      </c>
      <c r="B462" s="4" t="s">
        <v>941</v>
      </c>
      <c r="C462" s="4" t="s">
        <v>39</v>
      </c>
      <c r="D462" s="4" t="s">
        <v>13</v>
      </c>
      <c r="E462" s="5">
        <v>17.148099999999999</v>
      </c>
      <c r="F462" s="5">
        <v>17.268899999999999</v>
      </c>
      <c r="G462" s="5">
        <v>17.332599999999999</v>
      </c>
      <c r="H462" s="4">
        <v>0</v>
      </c>
      <c r="I462" s="6">
        <v>4362647</v>
      </c>
      <c r="J462" s="7">
        <v>690.86</v>
      </c>
      <c r="K462" s="9">
        <f>(PricingDataTable[[#This Row],[Current Price ($)]]-PricingDataTable[[#This Row],[Prior Price ($)]])/PricingDataTable[[#This Row],[Prior Price ($)]]</f>
        <v>7.0445122200126619E-3</v>
      </c>
      <c r="L462" s="9">
        <f>(PricingDataTable[[#This Row],[Vendor Price ($)]]-PricingDataTable[[#This Row],[Current Price ($)]])/PricingDataTable[[#This Row],[Current Price ($)]]</f>
        <v>3.6887120777814894E-3</v>
      </c>
      <c r="M462" t="str">
        <f t="shared" si="14"/>
        <v>PASS</v>
      </c>
      <c r="N462" s="10" t="str">
        <f t="shared" si="15"/>
        <v>NONE</v>
      </c>
    </row>
    <row r="463" spans="1:14">
      <c r="A463" s="4" t="s">
        <v>942</v>
      </c>
      <c r="B463" s="4" t="s">
        <v>943</v>
      </c>
      <c r="C463" s="4" t="s">
        <v>19</v>
      </c>
      <c r="D463" s="4" t="s">
        <v>13</v>
      </c>
      <c r="E463" s="5">
        <v>180.63980000000001</v>
      </c>
      <c r="F463" s="5">
        <v>176.83199999999999</v>
      </c>
      <c r="G463" s="5">
        <v>155.5136</v>
      </c>
      <c r="H463" s="4">
        <v>2</v>
      </c>
      <c r="I463" s="6">
        <v>3157939</v>
      </c>
      <c r="J463" s="7">
        <v>398.41</v>
      </c>
      <c r="K463" s="9">
        <f>(PricingDataTable[[#This Row],[Current Price ($)]]-PricingDataTable[[#This Row],[Prior Price ($)]])/PricingDataTable[[#This Row],[Prior Price ($)]]</f>
        <v>-2.1079518467137442E-2</v>
      </c>
      <c r="L463" s="9">
        <f>(PricingDataTable[[#This Row],[Vendor Price ($)]]-PricingDataTable[[#This Row],[Current Price ($)]])/PricingDataTable[[#This Row],[Current Price ($)]]</f>
        <v>-0.12055736518277234</v>
      </c>
      <c r="M463" t="str">
        <f t="shared" si="14"/>
        <v>VENDOR DIFFERENCE</v>
      </c>
      <c r="N463" s="10" t="str">
        <f t="shared" si="15"/>
        <v>HIGH</v>
      </c>
    </row>
    <row r="464" spans="1:14">
      <c r="A464" s="4" t="s">
        <v>944</v>
      </c>
      <c r="B464" s="4" t="s">
        <v>945</v>
      </c>
      <c r="C464" s="4" t="s">
        <v>19</v>
      </c>
      <c r="D464" s="4" t="s">
        <v>13</v>
      </c>
      <c r="E464" s="5">
        <v>274.54880000000003</v>
      </c>
      <c r="F464" s="5">
        <v>276.02620000000002</v>
      </c>
      <c r="G464" s="5">
        <v>275.69760000000002</v>
      </c>
      <c r="H464" s="4">
        <v>0</v>
      </c>
      <c r="I464" s="6">
        <v>4116062</v>
      </c>
      <c r="J464" s="7">
        <v>594.14</v>
      </c>
      <c r="K464" s="9">
        <f>(PricingDataTable[[#This Row],[Current Price ($)]]-PricingDataTable[[#This Row],[Prior Price ($)]])/PricingDataTable[[#This Row],[Prior Price ($)]]</f>
        <v>5.3811927059961235E-3</v>
      </c>
      <c r="L464" s="9">
        <f>(PricingDataTable[[#This Row],[Vendor Price ($)]]-PricingDataTable[[#This Row],[Current Price ($)]])/PricingDataTable[[#This Row],[Current Price ($)]]</f>
        <v>-1.1904667020739134E-3</v>
      </c>
      <c r="M464" t="str">
        <f t="shared" si="14"/>
        <v>PASS</v>
      </c>
      <c r="N464" s="10" t="str">
        <f t="shared" si="15"/>
        <v>NONE</v>
      </c>
    </row>
    <row r="465" spans="1:14">
      <c r="A465" s="4" t="s">
        <v>946</v>
      </c>
      <c r="B465" s="4" t="s">
        <v>947</v>
      </c>
      <c r="C465" s="4" t="s">
        <v>12</v>
      </c>
      <c r="D465" s="4" t="s">
        <v>13</v>
      </c>
      <c r="E465" s="5">
        <v>117.7176</v>
      </c>
      <c r="F465" s="5">
        <v>116.3111</v>
      </c>
      <c r="G465" s="5">
        <v>116.29649999999999</v>
      </c>
      <c r="H465" s="4">
        <v>0</v>
      </c>
      <c r="I465" s="6">
        <v>2689404</v>
      </c>
      <c r="J465" s="7">
        <v>55.47</v>
      </c>
      <c r="K465" s="9">
        <f>(PricingDataTable[[#This Row],[Current Price ($)]]-PricingDataTable[[#This Row],[Prior Price ($)]])/PricingDataTable[[#This Row],[Prior Price ($)]]</f>
        <v>-1.1948085927677835E-2</v>
      </c>
      <c r="L465" s="9">
        <f>(PricingDataTable[[#This Row],[Vendor Price ($)]]-PricingDataTable[[#This Row],[Current Price ($)]])/PricingDataTable[[#This Row],[Current Price ($)]]</f>
        <v>-1.255254227670575E-4</v>
      </c>
      <c r="M465" t="str">
        <f t="shared" si="14"/>
        <v>PASS</v>
      </c>
      <c r="N465" s="10" t="str">
        <f t="shared" si="15"/>
        <v>NONE</v>
      </c>
    </row>
    <row r="466" spans="1:14">
      <c r="A466" s="4" t="s">
        <v>948</v>
      </c>
      <c r="B466" s="4" t="s">
        <v>949</v>
      </c>
      <c r="C466" s="4" t="s">
        <v>19</v>
      </c>
      <c r="D466" s="4" t="s">
        <v>13</v>
      </c>
      <c r="E466" s="5">
        <v>284.8673</v>
      </c>
      <c r="F466" s="5">
        <v>279.83920000000001</v>
      </c>
      <c r="G466" s="5">
        <v>279.11970000000002</v>
      </c>
      <c r="H466" s="4">
        <v>0</v>
      </c>
      <c r="I466" s="6">
        <v>474530</v>
      </c>
      <c r="J466" s="7">
        <v>595.17999999999995</v>
      </c>
      <c r="K466" s="9">
        <f>(PricingDataTable[[#This Row],[Current Price ($)]]-PricingDataTable[[#This Row],[Prior Price ($)]])/PricingDataTable[[#This Row],[Prior Price ($)]]</f>
        <v>-1.7650674542146447E-2</v>
      </c>
      <c r="L466" s="9">
        <f>(PricingDataTable[[#This Row],[Vendor Price ($)]]-PricingDataTable[[#This Row],[Current Price ($)]])/PricingDataTable[[#This Row],[Current Price ($)]]</f>
        <v>-2.5711194142921442E-3</v>
      </c>
      <c r="M466" t="str">
        <f t="shared" si="14"/>
        <v>PASS</v>
      </c>
      <c r="N466" s="10" t="str">
        <f t="shared" si="15"/>
        <v>NONE</v>
      </c>
    </row>
    <row r="467" spans="1:14">
      <c r="A467" s="4" t="s">
        <v>950</v>
      </c>
      <c r="B467" s="4" t="s">
        <v>951</v>
      </c>
      <c r="C467" s="4" t="s">
        <v>12</v>
      </c>
      <c r="D467" s="4" t="s">
        <v>13</v>
      </c>
      <c r="E467" s="5">
        <v>120.51949999999999</v>
      </c>
      <c r="F467" s="5">
        <v>121.6499</v>
      </c>
      <c r="G467" s="5">
        <v>125.24769999999999</v>
      </c>
      <c r="H467" s="4">
        <v>0</v>
      </c>
      <c r="I467" s="6">
        <v>3534052</v>
      </c>
      <c r="J467" s="7">
        <v>240.1</v>
      </c>
      <c r="K467" s="9">
        <f>(PricingDataTable[[#This Row],[Current Price ($)]]-PricingDataTable[[#This Row],[Prior Price ($)]])/PricingDataTable[[#This Row],[Prior Price ($)]]</f>
        <v>9.3793950356582025E-3</v>
      </c>
      <c r="L467" s="9">
        <f>(PricingDataTable[[#This Row],[Vendor Price ($)]]-PricingDataTable[[#This Row],[Current Price ($)]])/PricingDataTable[[#This Row],[Current Price ($)]]</f>
        <v>2.9575034586958083E-2</v>
      </c>
      <c r="M467" t="str">
        <f t="shared" si="14"/>
        <v>VENDOR DIFFERENCE</v>
      </c>
      <c r="N467" s="10" t="str">
        <f t="shared" si="15"/>
        <v>LOW</v>
      </c>
    </row>
    <row r="468" spans="1:14">
      <c r="A468" s="4" t="s">
        <v>952</v>
      </c>
      <c r="B468" s="4" t="s">
        <v>953</v>
      </c>
      <c r="C468" s="4" t="s">
        <v>12</v>
      </c>
      <c r="D468" s="4" t="s">
        <v>237</v>
      </c>
      <c r="E468" s="5">
        <v>93.886899999999997</v>
      </c>
      <c r="F468" s="5">
        <v>92.753299999999996</v>
      </c>
      <c r="G468" s="5">
        <v>92.983999999999995</v>
      </c>
      <c r="H468" s="4">
        <v>1</v>
      </c>
      <c r="I468" s="6">
        <v>2849263</v>
      </c>
      <c r="J468" s="7">
        <v>150.13</v>
      </c>
      <c r="K468" s="9">
        <f>(PricingDataTable[[#This Row],[Current Price ($)]]-PricingDataTable[[#This Row],[Prior Price ($)]])/PricingDataTable[[#This Row],[Prior Price ($)]]</f>
        <v>-1.207410192476268E-2</v>
      </c>
      <c r="L468" s="9">
        <f>(PricingDataTable[[#This Row],[Vendor Price ($)]]-PricingDataTable[[#This Row],[Current Price ($)]])/PricingDataTable[[#This Row],[Current Price ($)]]</f>
        <v>2.4872430414874598E-3</v>
      </c>
      <c r="M468" t="str">
        <f t="shared" si="14"/>
        <v>PASS</v>
      </c>
      <c r="N468" s="10" t="str">
        <f t="shared" si="15"/>
        <v>NONE</v>
      </c>
    </row>
    <row r="469" spans="1:14">
      <c r="A469" s="4" t="s">
        <v>954</v>
      </c>
      <c r="B469" s="4" t="s">
        <v>955</v>
      </c>
      <c r="C469" s="4" t="s">
        <v>35</v>
      </c>
      <c r="D469" s="4" t="s">
        <v>13</v>
      </c>
      <c r="E469" s="5">
        <v>115.1091</v>
      </c>
      <c r="F469" s="5">
        <v>115.6485</v>
      </c>
      <c r="G469" s="5">
        <v>115.6263</v>
      </c>
      <c r="H469" s="4">
        <v>0</v>
      </c>
      <c r="I469" s="6">
        <v>1895868</v>
      </c>
      <c r="J469" s="7">
        <v>562.19000000000005</v>
      </c>
      <c r="K469" s="9">
        <f>(PricingDataTable[[#This Row],[Current Price ($)]]-PricingDataTable[[#This Row],[Prior Price ($)]])/PricingDataTable[[#This Row],[Prior Price ($)]]</f>
        <v>4.6859892050237608E-3</v>
      </c>
      <c r="L469" s="9">
        <f>(PricingDataTable[[#This Row],[Vendor Price ($)]]-PricingDataTable[[#This Row],[Current Price ($)]])/PricingDataTable[[#This Row],[Current Price ($)]]</f>
        <v>-1.9196098522676904E-4</v>
      </c>
      <c r="M469" t="str">
        <f t="shared" si="14"/>
        <v>PASS</v>
      </c>
      <c r="N469" s="10" t="str">
        <f t="shared" si="15"/>
        <v>NONE</v>
      </c>
    </row>
    <row r="470" spans="1:14">
      <c r="A470" s="4" t="s">
        <v>956</v>
      </c>
      <c r="B470" s="4" t="s">
        <v>957</v>
      </c>
      <c r="C470" s="4" t="s">
        <v>19</v>
      </c>
      <c r="D470" s="4" t="s">
        <v>13</v>
      </c>
      <c r="E470" s="5">
        <v>31.0063</v>
      </c>
      <c r="F470" s="5">
        <v>31.139800000000001</v>
      </c>
      <c r="G470" s="5">
        <v>31.039200000000001</v>
      </c>
      <c r="H470" s="4">
        <v>0</v>
      </c>
      <c r="I470" s="6">
        <v>3632516</v>
      </c>
      <c r="J470" s="7">
        <v>597.17999999999995</v>
      </c>
      <c r="K470" s="9">
        <f>(PricingDataTable[[#This Row],[Current Price ($)]]-PricingDataTable[[#This Row],[Prior Price ($)]])/PricingDataTable[[#This Row],[Prior Price ($)]]</f>
        <v>4.3055766086247471E-3</v>
      </c>
      <c r="L470" s="9">
        <f>(PricingDataTable[[#This Row],[Vendor Price ($)]]-PricingDataTable[[#This Row],[Current Price ($)]])/PricingDataTable[[#This Row],[Current Price ($)]]</f>
        <v>-3.2305923609014836E-3</v>
      </c>
      <c r="M470" t="str">
        <f t="shared" si="14"/>
        <v>PASS</v>
      </c>
      <c r="N470" s="10" t="str">
        <f t="shared" si="15"/>
        <v>NONE</v>
      </c>
    </row>
    <row r="471" spans="1:14">
      <c r="A471" s="4" t="s">
        <v>958</v>
      </c>
      <c r="B471" s="4" t="s">
        <v>959</v>
      </c>
      <c r="C471" s="4" t="s">
        <v>16</v>
      </c>
      <c r="D471" s="4" t="s">
        <v>13</v>
      </c>
      <c r="E471" s="5">
        <v>100.7685</v>
      </c>
      <c r="F471" s="5">
        <v>100.0479</v>
      </c>
      <c r="G471" s="5">
        <v>99.7149</v>
      </c>
      <c r="H471" s="4">
        <v>0</v>
      </c>
      <c r="I471" s="6">
        <v>3920957</v>
      </c>
      <c r="J471" s="7">
        <v>241.29</v>
      </c>
      <c r="K471" s="9">
        <f>(PricingDataTable[[#This Row],[Current Price ($)]]-PricingDataTable[[#This Row],[Prior Price ($)]])/PricingDataTable[[#This Row],[Prior Price ($)]]</f>
        <v>-7.1510442251299221E-3</v>
      </c>
      <c r="L471" s="9">
        <f>(PricingDataTable[[#This Row],[Vendor Price ($)]]-PricingDataTable[[#This Row],[Current Price ($)]])/PricingDataTable[[#This Row],[Current Price ($)]]</f>
        <v>-3.3284056936727147E-3</v>
      </c>
      <c r="M471" t="str">
        <f t="shared" si="14"/>
        <v>PASS</v>
      </c>
      <c r="N471" s="10" t="str">
        <f t="shared" si="15"/>
        <v>NONE</v>
      </c>
    </row>
    <row r="472" spans="1:14">
      <c r="A472" s="4" t="s">
        <v>960</v>
      </c>
      <c r="B472" s="4" t="s">
        <v>961</v>
      </c>
      <c r="C472" s="4" t="s">
        <v>39</v>
      </c>
      <c r="D472" s="4" t="s">
        <v>64</v>
      </c>
      <c r="E472" s="5">
        <v>318.1379</v>
      </c>
      <c r="F472" s="5">
        <v>323.77499999999998</v>
      </c>
      <c r="G472" s="5">
        <v>323.15039999999999</v>
      </c>
      <c r="H472" s="4">
        <v>0</v>
      </c>
      <c r="I472" s="6">
        <v>2519894</v>
      </c>
      <c r="J472" s="7">
        <v>759.74</v>
      </c>
      <c r="K472" s="9">
        <f>(PricingDataTable[[#This Row],[Current Price ($)]]-PricingDataTable[[#This Row],[Prior Price ($)]])/PricingDataTable[[#This Row],[Prior Price ($)]]</f>
        <v>1.7719045734569741E-2</v>
      </c>
      <c r="L472" s="9">
        <f>(PricingDataTable[[#This Row],[Vendor Price ($)]]-PricingDataTable[[#This Row],[Current Price ($)]])/PricingDataTable[[#This Row],[Current Price ($)]]</f>
        <v>-1.9291174426684789E-3</v>
      </c>
      <c r="M472" t="str">
        <f t="shared" si="14"/>
        <v>PASS</v>
      </c>
      <c r="N472" s="10" t="str">
        <f t="shared" si="15"/>
        <v>NONE</v>
      </c>
    </row>
    <row r="473" spans="1:14">
      <c r="A473" s="4" t="s">
        <v>962</v>
      </c>
      <c r="B473" s="4" t="s">
        <v>963</v>
      </c>
      <c r="C473" s="4" t="s">
        <v>39</v>
      </c>
      <c r="D473" s="4" t="s">
        <v>36</v>
      </c>
      <c r="E473" s="5">
        <v>224.8032</v>
      </c>
      <c r="F473" s="5">
        <v>226.00880000000001</v>
      </c>
      <c r="G473" s="5">
        <v>225.56870000000001</v>
      </c>
      <c r="H473" s="4">
        <v>1</v>
      </c>
      <c r="I473" s="6">
        <v>1258974</v>
      </c>
      <c r="J473" s="7">
        <v>172.89</v>
      </c>
      <c r="K473" s="9">
        <f>(PricingDataTable[[#This Row],[Current Price ($)]]-PricingDataTable[[#This Row],[Prior Price ($)]])/PricingDataTable[[#This Row],[Prior Price ($)]]</f>
        <v>5.3629129834450937E-3</v>
      </c>
      <c r="L473" s="9">
        <f>(PricingDataTable[[#This Row],[Vendor Price ($)]]-PricingDataTable[[#This Row],[Current Price ($)]])/PricingDataTable[[#This Row],[Current Price ($)]]</f>
        <v>-1.9472693098675849E-3</v>
      </c>
      <c r="M473" t="str">
        <f t="shared" si="14"/>
        <v>PASS</v>
      </c>
      <c r="N473" s="10" t="str">
        <f t="shared" si="15"/>
        <v>NONE</v>
      </c>
    </row>
    <row r="474" spans="1:14">
      <c r="A474" s="4" t="s">
        <v>964</v>
      </c>
      <c r="B474" s="4" t="s">
        <v>965</v>
      </c>
      <c r="C474" s="4" t="s">
        <v>16</v>
      </c>
      <c r="D474" s="4" t="s">
        <v>13</v>
      </c>
      <c r="E474" s="5">
        <v>96.806600000000003</v>
      </c>
      <c r="F474" s="5">
        <v>96.614199999999997</v>
      </c>
      <c r="G474" s="5">
        <v>96.550700000000006</v>
      </c>
      <c r="H474" s="4">
        <v>0</v>
      </c>
      <c r="I474" s="6">
        <v>1477271</v>
      </c>
      <c r="J474" s="7">
        <v>579.94000000000005</v>
      </c>
      <c r="K474" s="9">
        <f>(PricingDataTable[[#This Row],[Current Price ($)]]-PricingDataTable[[#This Row],[Prior Price ($)]])/PricingDataTable[[#This Row],[Prior Price ($)]]</f>
        <v>-1.9874677966172385E-3</v>
      </c>
      <c r="L474" s="9">
        <f>(PricingDataTable[[#This Row],[Vendor Price ($)]]-PricingDataTable[[#This Row],[Current Price ($)]])/PricingDataTable[[#This Row],[Current Price ($)]]</f>
        <v>-6.5725328160861002E-4</v>
      </c>
      <c r="M474" t="str">
        <f t="shared" si="14"/>
        <v>PASS</v>
      </c>
      <c r="N474" s="10" t="str">
        <f t="shared" si="15"/>
        <v>NONE</v>
      </c>
    </row>
    <row r="475" spans="1:14">
      <c r="A475" s="4" t="s">
        <v>966</v>
      </c>
      <c r="B475" s="4" t="s">
        <v>967</v>
      </c>
      <c r="C475" s="4" t="s">
        <v>39</v>
      </c>
      <c r="D475" s="4" t="s">
        <v>13</v>
      </c>
      <c r="E475" s="5">
        <v>314.60489999999999</v>
      </c>
      <c r="F475" s="5">
        <v>313.36369999999999</v>
      </c>
      <c r="G475" s="5">
        <v>314.09160000000003</v>
      </c>
      <c r="H475" s="4">
        <v>2</v>
      </c>
      <c r="I475" s="6">
        <v>3330396</v>
      </c>
      <c r="J475" s="7">
        <v>848.86</v>
      </c>
      <c r="K475" s="9">
        <f>(PricingDataTable[[#This Row],[Current Price ($)]]-PricingDataTable[[#This Row],[Prior Price ($)]])/PricingDataTable[[#This Row],[Prior Price ($)]]</f>
        <v>-3.9452659510388812E-3</v>
      </c>
      <c r="L475" s="9">
        <f>(PricingDataTable[[#This Row],[Vendor Price ($)]]-PricingDataTable[[#This Row],[Current Price ($)]])/PricingDataTable[[#This Row],[Current Price ($)]]</f>
        <v>2.3228599866545927E-3</v>
      </c>
      <c r="M475" t="str">
        <f t="shared" si="14"/>
        <v>PASS</v>
      </c>
      <c r="N475" s="10" t="str">
        <f t="shared" si="15"/>
        <v>NONE</v>
      </c>
    </row>
    <row r="476" spans="1:14">
      <c r="A476" s="4" t="s">
        <v>968</v>
      </c>
      <c r="B476" s="4" t="s">
        <v>969</v>
      </c>
      <c r="C476" s="4" t="s">
        <v>19</v>
      </c>
      <c r="D476" s="4" t="s">
        <v>13</v>
      </c>
      <c r="E476" s="5">
        <v>179.08500000000001</v>
      </c>
      <c r="F476" s="5">
        <v>181.39060000000001</v>
      </c>
      <c r="G476" s="5">
        <v>181.94329999999999</v>
      </c>
      <c r="H476" s="4">
        <v>0</v>
      </c>
      <c r="I476" s="6">
        <v>1026732</v>
      </c>
      <c r="J476" s="7">
        <v>695.92</v>
      </c>
      <c r="K476" s="9">
        <f>(PricingDataTable[[#This Row],[Current Price ($)]]-PricingDataTable[[#This Row],[Prior Price ($)]])/PricingDataTable[[#This Row],[Prior Price ($)]]</f>
        <v>1.2874333417092432E-2</v>
      </c>
      <c r="L476" s="9">
        <f>(PricingDataTable[[#This Row],[Vendor Price ($)]]-PricingDataTable[[#This Row],[Current Price ($)]])/PricingDataTable[[#This Row],[Current Price ($)]]</f>
        <v>3.0470156667434106E-3</v>
      </c>
      <c r="M476" t="str">
        <f t="shared" si="14"/>
        <v>PASS</v>
      </c>
      <c r="N476" s="10" t="str">
        <f t="shared" si="15"/>
        <v>NONE</v>
      </c>
    </row>
    <row r="477" spans="1:14">
      <c r="A477" s="4" t="s">
        <v>970</v>
      </c>
      <c r="B477" s="4" t="s">
        <v>971</v>
      </c>
      <c r="C477" s="4" t="s">
        <v>39</v>
      </c>
      <c r="D477" s="4" t="s">
        <v>32</v>
      </c>
      <c r="E477" s="5">
        <v>283.59780000000001</v>
      </c>
      <c r="F477" s="5">
        <v>283.2955</v>
      </c>
      <c r="G477" s="5">
        <v>281.30700000000002</v>
      </c>
      <c r="H477" s="4">
        <v>0</v>
      </c>
      <c r="I477" s="6">
        <v>4945924</v>
      </c>
      <c r="J477" s="7">
        <v>50.52</v>
      </c>
      <c r="K477" s="9">
        <f>(PricingDataTable[[#This Row],[Current Price ($)]]-PricingDataTable[[#This Row],[Prior Price ($)]])/PricingDataTable[[#This Row],[Prior Price ($)]]</f>
        <v>-1.0659462097378839E-3</v>
      </c>
      <c r="L477" s="9">
        <f>(PricingDataTable[[#This Row],[Vendor Price ($)]]-PricingDataTable[[#This Row],[Current Price ($)]])/PricingDataTable[[#This Row],[Current Price ($)]]</f>
        <v>-7.0191725601006288E-3</v>
      </c>
      <c r="M477" t="str">
        <f t="shared" si="14"/>
        <v>PASS</v>
      </c>
      <c r="N477" s="10" t="str">
        <f t="shared" si="15"/>
        <v>NONE</v>
      </c>
    </row>
    <row r="478" spans="1:14">
      <c r="A478" s="4" t="s">
        <v>972</v>
      </c>
      <c r="B478" s="4" t="s">
        <v>973</v>
      </c>
      <c r="C478" s="4" t="s">
        <v>12</v>
      </c>
      <c r="D478" s="4" t="s">
        <v>13</v>
      </c>
      <c r="E478" s="5">
        <v>102.2873</v>
      </c>
      <c r="F478" s="5">
        <v>101.37560000000001</v>
      </c>
      <c r="G478" s="5">
        <v>101.41160000000001</v>
      </c>
      <c r="H478" s="4">
        <v>0</v>
      </c>
      <c r="I478" s="6">
        <v>2586129</v>
      </c>
      <c r="J478" s="7">
        <v>19.16</v>
      </c>
      <c r="K478" s="9">
        <f>(PricingDataTable[[#This Row],[Current Price ($)]]-PricingDataTable[[#This Row],[Prior Price ($)]])/PricingDataTable[[#This Row],[Prior Price ($)]]</f>
        <v>-8.9131299780128726E-3</v>
      </c>
      <c r="L478" s="9">
        <f>(PricingDataTable[[#This Row],[Vendor Price ($)]]-PricingDataTable[[#This Row],[Current Price ($)]])/PricingDataTable[[#This Row],[Current Price ($)]]</f>
        <v>3.5511503754356437E-4</v>
      </c>
      <c r="M478" t="str">
        <f t="shared" si="14"/>
        <v>PASS</v>
      </c>
      <c r="N478" s="10" t="str">
        <f t="shared" si="15"/>
        <v>NONE</v>
      </c>
    </row>
    <row r="479" spans="1:14">
      <c r="A479" s="4" t="s">
        <v>974</v>
      </c>
      <c r="B479" s="4" t="s">
        <v>975</v>
      </c>
      <c r="C479" s="4" t="s">
        <v>39</v>
      </c>
      <c r="D479" s="4" t="s">
        <v>13</v>
      </c>
      <c r="E479" s="5">
        <v>329.77010000000001</v>
      </c>
      <c r="F479" s="5">
        <v>327.22899999999998</v>
      </c>
      <c r="G479" s="5">
        <v>325.61660000000001</v>
      </c>
      <c r="H479" s="4">
        <v>0</v>
      </c>
      <c r="I479" s="6">
        <v>1024861</v>
      </c>
      <c r="J479" s="7">
        <v>481.51</v>
      </c>
      <c r="K479" s="9">
        <f>(PricingDataTable[[#This Row],[Current Price ($)]]-PricingDataTable[[#This Row],[Prior Price ($)]])/PricingDataTable[[#This Row],[Prior Price ($)]]</f>
        <v>-7.705671314652324E-3</v>
      </c>
      <c r="L479" s="9">
        <f>(PricingDataTable[[#This Row],[Vendor Price ($)]]-PricingDataTable[[#This Row],[Current Price ($)]])/PricingDataTable[[#This Row],[Current Price ($)]]</f>
        <v>-4.9274361379950419E-3</v>
      </c>
      <c r="M479" t="str">
        <f t="shared" si="14"/>
        <v>PASS</v>
      </c>
      <c r="N479" s="10" t="str">
        <f t="shared" si="15"/>
        <v>NONE</v>
      </c>
    </row>
    <row r="480" spans="1:14">
      <c r="A480" s="4" t="s">
        <v>976</v>
      </c>
      <c r="B480" s="4" t="s">
        <v>977</v>
      </c>
      <c r="C480" s="4" t="s">
        <v>16</v>
      </c>
      <c r="D480" s="4" t="s">
        <v>36</v>
      </c>
      <c r="E480" s="5">
        <v>94.648799999999994</v>
      </c>
      <c r="F480" s="5">
        <v>95.513000000000005</v>
      </c>
      <c r="G480" s="5">
        <v>95.482699999999994</v>
      </c>
      <c r="H480" s="4">
        <v>0</v>
      </c>
      <c r="I480" s="6">
        <v>3682305</v>
      </c>
      <c r="J480" s="7">
        <v>568.29</v>
      </c>
      <c r="K480" s="9">
        <f>(PricingDataTable[[#This Row],[Current Price ($)]]-PricingDataTable[[#This Row],[Prior Price ($)]])/PricingDataTable[[#This Row],[Prior Price ($)]]</f>
        <v>9.1305964787721655E-3</v>
      </c>
      <c r="L480" s="9">
        <f>(PricingDataTable[[#This Row],[Vendor Price ($)]]-PricingDataTable[[#This Row],[Current Price ($)]])/PricingDataTable[[#This Row],[Current Price ($)]]</f>
        <v>-3.1723430318397592E-4</v>
      </c>
      <c r="M480" t="str">
        <f t="shared" si="14"/>
        <v>PASS</v>
      </c>
      <c r="N480" s="10" t="str">
        <f t="shared" si="15"/>
        <v>NONE</v>
      </c>
    </row>
    <row r="481" spans="1:14">
      <c r="A481" s="4" t="s">
        <v>978</v>
      </c>
      <c r="B481" s="4" t="s">
        <v>979</v>
      </c>
      <c r="C481" s="4" t="s">
        <v>39</v>
      </c>
      <c r="D481" s="4" t="s">
        <v>13</v>
      </c>
      <c r="E481" s="5">
        <v>35.392299999999999</v>
      </c>
      <c r="F481" s="5">
        <v>35.4833</v>
      </c>
      <c r="G481" s="5">
        <v>35.361499999999999</v>
      </c>
      <c r="H481" s="4">
        <v>0</v>
      </c>
      <c r="I481" s="6">
        <v>843179</v>
      </c>
      <c r="J481" s="7">
        <v>742</v>
      </c>
      <c r="K481" s="9">
        <f>(PricingDataTable[[#This Row],[Current Price ($)]]-PricingDataTable[[#This Row],[Prior Price ($)]])/PricingDataTable[[#This Row],[Prior Price ($)]]</f>
        <v>2.5711807370530056E-3</v>
      </c>
      <c r="L481" s="9">
        <f>(PricingDataTable[[#This Row],[Vendor Price ($)]]-PricingDataTable[[#This Row],[Current Price ($)]])/PricingDataTable[[#This Row],[Current Price ($)]]</f>
        <v>-3.4326006882110841E-3</v>
      </c>
      <c r="M481" t="str">
        <f t="shared" si="14"/>
        <v>PASS</v>
      </c>
      <c r="N481" s="10" t="str">
        <f t="shared" si="15"/>
        <v>NONE</v>
      </c>
    </row>
    <row r="482" spans="1:14">
      <c r="A482" s="4" t="s">
        <v>980</v>
      </c>
      <c r="B482" s="4" t="s">
        <v>981</v>
      </c>
      <c r="C482" s="4" t="s">
        <v>16</v>
      </c>
      <c r="D482" s="4" t="s">
        <v>13</v>
      </c>
      <c r="E482" s="5">
        <v>105.1058</v>
      </c>
      <c r="F482" s="5">
        <v>105.9066</v>
      </c>
      <c r="G482" s="5">
        <v>105.42749999999999</v>
      </c>
      <c r="H482" s="4">
        <v>0</v>
      </c>
      <c r="I482" s="6">
        <v>1142624</v>
      </c>
      <c r="J482" s="7">
        <v>2.97</v>
      </c>
      <c r="K482" s="9">
        <f>(PricingDataTable[[#This Row],[Current Price ($)]]-PricingDataTable[[#This Row],[Prior Price ($)]])/PricingDataTable[[#This Row],[Prior Price ($)]]</f>
        <v>7.6189896275942462E-3</v>
      </c>
      <c r="L482" s="9">
        <f>(PricingDataTable[[#This Row],[Vendor Price ($)]]-PricingDataTable[[#This Row],[Current Price ($)]])/PricingDataTable[[#This Row],[Current Price ($)]]</f>
        <v>-4.5237973837324828E-3</v>
      </c>
      <c r="M482" t="str">
        <f t="shared" si="14"/>
        <v>PASS</v>
      </c>
      <c r="N482" s="10" t="str">
        <f t="shared" si="15"/>
        <v>NONE</v>
      </c>
    </row>
    <row r="483" spans="1:14">
      <c r="A483" s="4" t="s">
        <v>982</v>
      </c>
      <c r="B483" s="4" t="s">
        <v>983</v>
      </c>
      <c r="C483" s="4" t="s">
        <v>19</v>
      </c>
      <c r="D483" s="4" t="s">
        <v>13</v>
      </c>
      <c r="E483" s="5">
        <v>61.975299999999997</v>
      </c>
      <c r="F483" s="5">
        <v>60.019300000000001</v>
      </c>
      <c r="G483" s="5">
        <v>59.970399999999998</v>
      </c>
      <c r="H483" s="4">
        <v>2</v>
      </c>
      <c r="I483" s="6">
        <v>2680314</v>
      </c>
      <c r="J483" s="7">
        <v>406.45</v>
      </c>
      <c r="K483" s="9">
        <f>(PricingDataTable[[#This Row],[Current Price ($)]]-PricingDataTable[[#This Row],[Prior Price ($)]])/PricingDataTable[[#This Row],[Prior Price ($)]]</f>
        <v>-3.1560960576229501E-2</v>
      </c>
      <c r="L483" s="9">
        <f>(PricingDataTable[[#This Row],[Vendor Price ($)]]-PricingDataTable[[#This Row],[Current Price ($)]])/PricingDataTable[[#This Row],[Current Price ($)]]</f>
        <v>-8.1473792596720173E-4</v>
      </c>
      <c r="M483" t="str">
        <f t="shared" si="14"/>
        <v>PASS</v>
      </c>
      <c r="N483" s="10" t="str">
        <f t="shared" si="15"/>
        <v>NONE</v>
      </c>
    </row>
    <row r="484" spans="1:14">
      <c r="A484" s="4" t="s">
        <v>984</v>
      </c>
      <c r="B484" s="4" t="s">
        <v>985</v>
      </c>
      <c r="C484" s="4" t="s">
        <v>19</v>
      </c>
      <c r="D484" s="4" t="s">
        <v>13</v>
      </c>
      <c r="E484" s="5">
        <v>290.75490000000002</v>
      </c>
      <c r="F484" s="5">
        <v>291.46589999999998</v>
      </c>
      <c r="G484" s="5">
        <v>290.9119</v>
      </c>
      <c r="H484" s="4">
        <v>2</v>
      </c>
      <c r="I484" s="6">
        <v>1884134</v>
      </c>
      <c r="J484" s="7">
        <v>18.86</v>
      </c>
      <c r="K484" s="9">
        <f>(PricingDataTable[[#This Row],[Current Price ($)]]-PricingDataTable[[#This Row],[Prior Price ($)]])/PricingDataTable[[#This Row],[Prior Price ($)]]</f>
        <v>2.4453586164840417E-3</v>
      </c>
      <c r="L484" s="9">
        <f>(PricingDataTable[[#This Row],[Vendor Price ($)]]-PricingDataTable[[#This Row],[Current Price ($)]])/PricingDataTable[[#This Row],[Current Price ($)]]</f>
        <v>-1.9007369301176353E-3</v>
      </c>
      <c r="M484" t="str">
        <f t="shared" si="14"/>
        <v>PASS</v>
      </c>
      <c r="N484" s="10" t="str">
        <f t="shared" si="15"/>
        <v>NONE</v>
      </c>
    </row>
    <row r="485" spans="1:14">
      <c r="A485" s="4" t="s">
        <v>986</v>
      </c>
      <c r="B485" s="4" t="s">
        <v>987</v>
      </c>
      <c r="C485" s="4" t="s">
        <v>12</v>
      </c>
      <c r="D485" s="4" t="s">
        <v>13</v>
      </c>
      <c r="E485" s="5">
        <v>120.34220000000001</v>
      </c>
      <c r="F485" s="5">
        <v>121.28959999999999</v>
      </c>
      <c r="G485" s="5">
        <v>121.2505</v>
      </c>
      <c r="H485" s="4">
        <v>0</v>
      </c>
      <c r="I485" s="6">
        <v>748100</v>
      </c>
      <c r="J485" s="7">
        <v>862.24</v>
      </c>
      <c r="K485" s="9">
        <f>(PricingDataTable[[#This Row],[Current Price ($)]]-PricingDataTable[[#This Row],[Prior Price ($)]])/PricingDataTable[[#This Row],[Prior Price ($)]]</f>
        <v>7.8725501112659364E-3</v>
      </c>
      <c r="L485" s="9">
        <f>(PricingDataTable[[#This Row],[Vendor Price ($)]]-PricingDataTable[[#This Row],[Current Price ($)]])/PricingDataTable[[#This Row],[Current Price ($)]]</f>
        <v>-3.223689417723415E-4</v>
      </c>
      <c r="M485" t="str">
        <f t="shared" si="14"/>
        <v>PASS</v>
      </c>
      <c r="N485" s="10" t="str">
        <f t="shared" si="15"/>
        <v>NONE</v>
      </c>
    </row>
    <row r="486" spans="1:14">
      <c r="A486" s="4" t="s">
        <v>988</v>
      </c>
      <c r="B486" s="4" t="s">
        <v>989</v>
      </c>
      <c r="C486" s="4" t="s">
        <v>19</v>
      </c>
      <c r="D486" s="4" t="s">
        <v>13</v>
      </c>
      <c r="E486" s="5">
        <v>156.82429999999999</v>
      </c>
      <c r="F486" s="5">
        <v>158.63759999999999</v>
      </c>
      <c r="G486" s="5">
        <v>158.38550000000001</v>
      </c>
      <c r="H486" s="4">
        <v>1</v>
      </c>
      <c r="I486" s="6">
        <v>2234071</v>
      </c>
      <c r="J486" s="7">
        <v>259.31</v>
      </c>
      <c r="K486" s="9">
        <f>(PricingDataTable[[#This Row],[Current Price ($)]]-PricingDataTable[[#This Row],[Prior Price ($)]])/PricingDataTable[[#This Row],[Prior Price ($)]]</f>
        <v>1.1562621353961078E-2</v>
      </c>
      <c r="L486" s="9">
        <f>(PricingDataTable[[#This Row],[Vendor Price ($)]]-PricingDataTable[[#This Row],[Current Price ($)]])/PricingDataTable[[#This Row],[Current Price ($)]]</f>
        <v>-1.5891566690367509E-3</v>
      </c>
      <c r="M486" t="str">
        <f t="shared" si="14"/>
        <v>PASS</v>
      </c>
      <c r="N486" s="10" t="str">
        <f t="shared" si="15"/>
        <v>NONE</v>
      </c>
    </row>
    <row r="487" spans="1:14">
      <c r="A487" s="4" t="s">
        <v>990</v>
      </c>
      <c r="B487" s="4" t="s">
        <v>991</v>
      </c>
      <c r="C487" s="4" t="s">
        <v>19</v>
      </c>
      <c r="D487" s="4" t="s">
        <v>64</v>
      </c>
      <c r="E487" s="5">
        <v>213.22829999999999</v>
      </c>
      <c r="F487" s="5">
        <v>215.31440000000001</v>
      </c>
      <c r="G487" s="5">
        <v>215.29849999999999</v>
      </c>
      <c r="H487" s="4">
        <v>0</v>
      </c>
      <c r="I487" s="6">
        <v>2197133</v>
      </c>
      <c r="J487" s="7">
        <v>212.09</v>
      </c>
      <c r="K487" s="9">
        <f>(PricingDataTable[[#This Row],[Current Price ($)]]-PricingDataTable[[#This Row],[Prior Price ($)]])/PricingDataTable[[#This Row],[Prior Price ($)]]</f>
        <v>9.7834105510385631E-3</v>
      </c>
      <c r="L487" s="9">
        <f>(PricingDataTable[[#This Row],[Vendor Price ($)]]-PricingDataTable[[#This Row],[Current Price ($)]])/PricingDataTable[[#This Row],[Current Price ($)]]</f>
        <v>-7.3845502205222851E-5</v>
      </c>
      <c r="M487" t="str">
        <f t="shared" si="14"/>
        <v>PASS</v>
      </c>
      <c r="N487" s="10" t="str">
        <f t="shared" si="15"/>
        <v>NONE</v>
      </c>
    </row>
    <row r="488" spans="1:14">
      <c r="A488" s="4" t="s">
        <v>992</v>
      </c>
      <c r="B488" s="4" t="s">
        <v>993</v>
      </c>
      <c r="C488" s="4" t="s">
        <v>16</v>
      </c>
      <c r="D488" s="4" t="s">
        <v>13</v>
      </c>
      <c r="E488" s="5">
        <v>97.908199999999994</v>
      </c>
      <c r="F488" s="5">
        <v>98.5351</v>
      </c>
      <c r="G488" s="5">
        <v>98.545299999999997</v>
      </c>
      <c r="H488" s="4">
        <v>1</v>
      </c>
      <c r="I488" s="6">
        <v>2150376</v>
      </c>
      <c r="J488" s="7">
        <v>65.94</v>
      </c>
      <c r="K488" s="9">
        <f>(PricingDataTable[[#This Row],[Current Price ($)]]-PricingDataTable[[#This Row],[Prior Price ($)]])/PricingDataTable[[#This Row],[Prior Price ($)]]</f>
        <v>6.4029366283927828E-3</v>
      </c>
      <c r="L488" s="9">
        <f>(PricingDataTable[[#This Row],[Vendor Price ($)]]-PricingDataTable[[#This Row],[Current Price ($)]])/PricingDataTable[[#This Row],[Current Price ($)]]</f>
        <v>1.0351641191816463E-4</v>
      </c>
      <c r="M488" t="str">
        <f t="shared" si="14"/>
        <v>PASS</v>
      </c>
      <c r="N488" s="10" t="str">
        <f t="shared" si="15"/>
        <v>NONE</v>
      </c>
    </row>
    <row r="489" spans="1:14">
      <c r="A489" s="4" t="s">
        <v>994</v>
      </c>
      <c r="B489" s="4" t="s">
        <v>995</v>
      </c>
      <c r="C489" s="4" t="s">
        <v>19</v>
      </c>
      <c r="D489" s="4" t="s">
        <v>36</v>
      </c>
      <c r="E489" s="5">
        <v>169.05889999999999</v>
      </c>
      <c r="F489" s="5">
        <v>167.3706</v>
      </c>
      <c r="G489" s="5"/>
      <c r="H489" s="4">
        <v>1</v>
      </c>
      <c r="I489" s="6">
        <v>4233405</v>
      </c>
      <c r="J489" s="7">
        <v>557.77</v>
      </c>
      <c r="K489" s="9">
        <f>(PricingDataTable[[#This Row],[Current Price ($)]]-PricingDataTable[[#This Row],[Prior Price ($)]])/PricingDataTable[[#This Row],[Prior Price ($)]]</f>
        <v>-9.9864603401536283E-3</v>
      </c>
      <c r="L489" s="9">
        <f>(PricingDataTable[[#This Row],[Vendor Price ($)]]-PricingDataTable[[#This Row],[Current Price ($)]])/PricingDataTable[[#This Row],[Current Price ($)]]</f>
        <v>-1</v>
      </c>
      <c r="M489" t="str">
        <f t="shared" si="14"/>
        <v>VENDOR DIFFERENCE</v>
      </c>
      <c r="N489" s="10" t="str">
        <f t="shared" si="15"/>
        <v>HIGH</v>
      </c>
    </row>
    <row r="490" spans="1:14">
      <c r="A490" s="4" t="s">
        <v>996</v>
      </c>
      <c r="B490" s="4" t="s">
        <v>997</v>
      </c>
      <c r="C490" s="4" t="s">
        <v>12</v>
      </c>
      <c r="D490" s="4" t="s">
        <v>13</v>
      </c>
      <c r="E490" s="5">
        <v>119.6113</v>
      </c>
      <c r="F490" s="5">
        <v>120.48390000000001</v>
      </c>
      <c r="G490" s="5">
        <v>120.5419</v>
      </c>
      <c r="H490" s="4">
        <v>0</v>
      </c>
      <c r="I490" s="6">
        <v>4450517</v>
      </c>
      <c r="J490" s="7">
        <v>389.75</v>
      </c>
      <c r="K490" s="9">
        <f>(PricingDataTable[[#This Row],[Current Price ($)]]-PricingDataTable[[#This Row],[Prior Price ($)]])/PricingDataTable[[#This Row],[Prior Price ($)]]</f>
        <v>7.2952973506684197E-3</v>
      </c>
      <c r="L490" s="9">
        <f>(PricingDataTable[[#This Row],[Vendor Price ($)]]-PricingDataTable[[#This Row],[Current Price ($)]])/PricingDataTable[[#This Row],[Current Price ($)]]</f>
        <v>4.8139211961094157E-4</v>
      </c>
      <c r="M490" t="str">
        <f t="shared" si="14"/>
        <v>PASS</v>
      </c>
      <c r="N490" s="10" t="str">
        <f t="shared" si="15"/>
        <v>NONE</v>
      </c>
    </row>
    <row r="491" spans="1:14">
      <c r="A491" s="4" t="s">
        <v>998</v>
      </c>
      <c r="B491" s="4" t="s">
        <v>999</v>
      </c>
      <c r="C491" s="4" t="s">
        <v>19</v>
      </c>
      <c r="D491" s="4" t="s">
        <v>237</v>
      </c>
      <c r="E491" s="5">
        <v>178.73</v>
      </c>
      <c r="F491" s="5">
        <v>180.4478</v>
      </c>
      <c r="G491" s="5">
        <v>180.37459999999999</v>
      </c>
      <c r="H491" s="4">
        <v>2</v>
      </c>
      <c r="I491" s="6">
        <v>2213561</v>
      </c>
      <c r="J491" s="7">
        <v>465.37</v>
      </c>
      <c r="K491" s="9">
        <f>(PricingDataTable[[#This Row],[Current Price ($)]]-PricingDataTable[[#This Row],[Prior Price ($)]])/PricingDataTable[[#This Row],[Prior Price ($)]]</f>
        <v>9.6111453029710248E-3</v>
      </c>
      <c r="L491" s="9">
        <f>(PricingDataTable[[#This Row],[Vendor Price ($)]]-PricingDataTable[[#This Row],[Current Price ($)]])/PricingDataTable[[#This Row],[Current Price ($)]]</f>
        <v>-4.0565748100012381E-4</v>
      </c>
      <c r="M491" t="str">
        <f t="shared" si="14"/>
        <v>PASS</v>
      </c>
      <c r="N491" s="10" t="str">
        <f t="shared" si="15"/>
        <v>NONE</v>
      </c>
    </row>
    <row r="492" spans="1:14">
      <c r="A492" s="4" t="s">
        <v>1000</v>
      </c>
      <c r="B492" s="4" t="s">
        <v>1001</v>
      </c>
      <c r="C492" s="4" t="s">
        <v>19</v>
      </c>
      <c r="D492" s="4" t="s">
        <v>237</v>
      </c>
      <c r="E492" s="5">
        <v>269.17700000000002</v>
      </c>
      <c r="F492" s="5">
        <v>272.8544</v>
      </c>
      <c r="G492" s="5">
        <v>274.15870000000001</v>
      </c>
      <c r="H492" s="4">
        <v>0</v>
      </c>
      <c r="I492" s="6">
        <v>301834</v>
      </c>
      <c r="J492" s="7">
        <v>423.33</v>
      </c>
      <c r="K492" s="9">
        <f>(PricingDataTable[[#This Row],[Current Price ($)]]-PricingDataTable[[#This Row],[Prior Price ($)]])/PricingDataTable[[#This Row],[Prior Price ($)]]</f>
        <v>1.3661642710929898E-2</v>
      </c>
      <c r="L492" s="9">
        <f>(PricingDataTable[[#This Row],[Vendor Price ($)]]-PricingDataTable[[#This Row],[Current Price ($)]])/PricingDataTable[[#This Row],[Current Price ($)]]</f>
        <v>4.7802051203865948E-3</v>
      </c>
      <c r="M492" t="str">
        <f t="shared" si="14"/>
        <v>PASS</v>
      </c>
      <c r="N492" s="10" t="str">
        <f t="shared" si="15"/>
        <v>NONE</v>
      </c>
    </row>
    <row r="493" spans="1:14">
      <c r="A493" s="4" t="s">
        <v>1002</v>
      </c>
      <c r="B493" s="4" t="s">
        <v>1003</v>
      </c>
      <c r="C493" s="4" t="s">
        <v>16</v>
      </c>
      <c r="D493" s="4" t="s">
        <v>237</v>
      </c>
      <c r="E493" s="5">
        <v>121.3603</v>
      </c>
      <c r="F493" s="5">
        <v>122.6831</v>
      </c>
      <c r="G493" s="5">
        <v>122.77079999999999</v>
      </c>
      <c r="H493" s="4">
        <v>0</v>
      </c>
      <c r="I493" s="6">
        <v>1038286</v>
      </c>
      <c r="J493" s="7">
        <v>314.77</v>
      </c>
      <c r="K493" s="9">
        <f>(PricingDataTable[[#This Row],[Current Price ($)]]-PricingDataTable[[#This Row],[Prior Price ($)]])/PricingDataTable[[#This Row],[Prior Price ($)]]</f>
        <v>1.0899775297193571E-2</v>
      </c>
      <c r="L493" s="9">
        <f>(PricingDataTable[[#This Row],[Vendor Price ($)]]-PricingDataTable[[#This Row],[Current Price ($)]])/PricingDataTable[[#This Row],[Current Price ($)]]</f>
        <v>7.1484988559954968E-4</v>
      </c>
      <c r="M493" t="str">
        <f t="shared" si="14"/>
        <v>PASS</v>
      </c>
      <c r="N493" s="10" t="str">
        <f t="shared" si="15"/>
        <v>NONE</v>
      </c>
    </row>
    <row r="494" spans="1:14">
      <c r="A494" s="4" t="s">
        <v>1004</v>
      </c>
      <c r="B494" s="4" t="s">
        <v>1005</v>
      </c>
      <c r="C494" s="4" t="s">
        <v>19</v>
      </c>
      <c r="D494" s="4" t="s">
        <v>13</v>
      </c>
      <c r="E494" s="5">
        <v>181.98830000000001</v>
      </c>
      <c r="F494" s="5">
        <v>181.3323</v>
      </c>
      <c r="G494" s="5">
        <v>182.46559999999999</v>
      </c>
      <c r="H494" s="4">
        <v>4</v>
      </c>
      <c r="I494" s="6">
        <v>3494175</v>
      </c>
      <c r="J494" s="7">
        <v>828.39</v>
      </c>
      <c r="K494" s="9">
        <f>(PricingDataTable[[#This Row],[Current Price ($)]]-PricingDataTable[[#This Row],[Prior Price ($)]])/PricingDataTable[[#This Row],[Prior Price ($)]]</f>
        <v>-3.6046273304383078E-3</v>
      </c>
      <c r="L494" s="9">
        <f>(PricingDataTable[[#This Row],[Vendor Price ($)]]-PricingDataTable[[#This Row],[Current Price ($)]])/PricingDataTable[[#This Row],[Current Price ($)]]</f>
        <v>6.2498517914347925E-3</v>
      </c>
      <c r="M494" t="str">
        <f t="shared" si="14"/>
        <v>STALE</v>
      </c>
      <c r="N494" s="10" t="str">
        <f t="shared" si="15"/>
        <v>LOW</v>
      </c>
    </row>
    <row r="495" spans="1:14">
      <c r="A495" s="4" t="s">
        <v>1006</v>
      </c>
      <c r="B495" s="4" t="s">
        <v>1007</v>
      </c>
      <c r="C495" s="4" t="s">
        <v>12</v>
      </c>
      <c r="D495" s="4" t="s">
        <v>64</v>
      </c>
      <c r="E495" s="5">
        <v>76.298100000000005</v>
      </c>
      <c r="F495" s="5">
        <v>75.719399999999993</v>
      </c>
      <c r="G495" s="5">
        <v>75.407700000000006</v>
      </c>
      <c r="H495" s="4">
        <v>4</v>
      </c>
      <c r="I495" s="6">
        <v>681007</v>
      </c>
      <c r="J495" s="7">
        <v>414.32</v>
      </c>
      <c r="K495" s="9">
        <f>(PricingDataTable[[#This Row],[Current Price ($)]]-PricingDataTable[[#This Row],[Prior Price ($)]])/PricingDataTable[[#This Row],[Prior Price ($)]]</f>
        <v>-7.584723603864473E-3</v>
      </c>
      <c r="L495" s="9">
        <f>(PricingDataTable[[#This Row],[Vendor Price ($)]]-PricingDataTable[[#This Row],[Current Price ($)]])/PricingDataTable[[#This Row],[Current Price ($)]]</f>
        <v>-4.116514393933228E-3</v>
      </c>
      <c r="M495" t="str">
        <f t="shared" si="14"/>
        <v>STALE</v>
      </c>
      <c r="N495" s="10" t="str">
        <f t="shared" si="15"/>
        <v>LOW</v>
      </c>
    </row>
    <row r="496" spans="1:14">
      <c r="A496" s="4" t="s">
        <v>1008</v>
      </c>
      <c r="B496" s="4" t="s">
        <v>1009</v>
      </c>
      <c r="C496" s="4" t="s">
        <v>16</v>
      </c>
      <c r="D496" s="4" t="s">
        <v>237</v>
      </c>
      <c r="E496" s="5">
        <v>104.7102</v>
      </c>
      <c r="F496" s="5">
        <v>108.03189999999999</v>
      </c>
      <c r="G496" s="5">
        <v>108.06319999999999</v>
      </c>
      <c r="H496" s="4">
        <v>0</v>
      </c>
      <c r="I496" s="6">
        <v>4775447</v>
      </c>
      <c r="J496" s="7">
        <v>116.56</v>
      </c>
      <c r="K496" s="9">
        <f>(PricingDataTable[[#This Row],[Current Price ($)]]-PricingDataTable[[#This Row],[Prior Price ($)]])/PricingDataTable[[#This Row],[Prior Price ($)]]</f>
        <v>3.172279300392887E-2</v>
      </c>
      <c r="L496" s="9">
        <f>(PricingDataTable[[#This Row],[Vendor Price ($)]]-PricingDataTable[[#This Row],[Current Price ($)]])/PricingDataTable[[#This Row],[Current Price ($)]]</f>
        <v>2.8972923738267733E-4</v>
      </c>
      <c r="M496" t="str">
        <f t="shared" si="14"/>
        <v>PASS</v>
      </c>
      <c r="N496" s="10" t="str">
        <f t="shared" si="15"/>
        <v>NONE</v>
      </c>
    </row>
    <row r="497" spans="1:14">
      <c r="A497" s="4" t="s">
        <v>1010</v>
      </c>
      <c r="B497" s="4" t="s">
        <v>1011</v>
      </c>
      <c r="C497" s="4" t="s">
        <v>19</v>
      </c>
      <c r="D497" s="4" t="s">
        <v>13</v>
      </c>
      <c r="E497" s="5">
        <v>32.187600000000003</v>
      </c>
      <c r="F497" s="5">
        <v>32.548999999999999</v>
      </c>
      <c r="G497" s="5">
        <v>32.520600000000002</v>
      </c>
      <c r="H497" s="4">
        <v>4</v>
      </c>
      <c r="I497" s="6">
        <v>1747698</v>
      </c>
      <c r="J497" s="7">
        <v>146.81</v>
      </c>
      <c r="K497" s="9">
        <f>(PricingDataTable[[#This Row],[Current Price ($)]]-PricingDataTable[[#This Row],[Prior Price ($)]])/PricingDataTable[[#This Row],[Prior Price ($)]]</f>
        <v>1.1227926282170654E-2</v>
      </c>
      <c r="L497" s="9">
        <f>(PricingDataTable[[#This Row],[Vendor Price ($)]]-PricingDataTable[[#This Row],[Current Price ($)]])/PricingDataTable[[#This Row],[Current Price ($)]]</f>
        <v>-8.7253064610273007E-4</v>
      </c>
      <c r="M497" t="str">
        <f t="shared" si="14"/>
        <v>STALE</v>
      </c>
      <c r="N497" s="10" t="str">
        <f t="shared" si="15"/>
        <v>LOW</v>
      </c>
    </row>
    <row r="498" spans="1:14">
      <c r="A498" s="4" t="s">
        <v>1012</v>
      </c>
      <c r="B498" s="4" t="s">
        <v>1013</v>
      </c>
      <c r="C498" s="4" t="s">
        <v>12</v>
      </c>
      <c r="D498" s="4" t="s">
        <v>237</v>
      </c>
      <c r="E498" s="5">
        <v>82.706699999999998</v>
      </c>
      <c r="F498" s="5">
        <v>82.171099999999996</v>
      </c>
      <c r="G498" s="5">
        <v>82.593599999999995</v>
      </c>
      <c r="H498" s="4">
        <v>2</v>
      </c>
      <c r="I498" s="6">
        <v>807241</v>
      </c>
      <c r="J498" s="7">
        <v>748.88</v>
      </c>
      <c r="K498" s="9">
        <f>(PricingDataTable[[#This Row],[Current Price ($)]]-PricingDataTable[[#This Row],[Prior Price ($)]])/PricingDataTable[[#This Row],[Prior Price ($)]]</f>
        <v>-6.475896148679639E-3</v>
      </c>
      <c r="L498" s="9">
        <f>(PricingDataTable[[#This Row],[Vendor Price ($)]]-PricingDataTable[[#This Row],[Current Price ($)]])/PricingDataTable[[#This Row],[Current Price ($)]]</f>
        <v>5.1417104067001595E-3</v>
      </c>
      <c r="M498" t="str">
        <f t="shared" si="14"/>
        <v>PASS</v>
      </c>
      <c r="N498" s="10" t="str">
        <f t="shared" si="15"/>
        <v>NONE</v>
      </c>
    </row>
    <row r="499" spans="1:14">
      <c r="A499" s="4" t="s">
        <v>1014</v>
      </c>
      <c r="B499" s="4" t="s">
        <v>1015</v>
      </c>
      <c r="C499" s="4" t="s">
        <v>16</v>
      </c>
      <c r="D499" s="4" t="s">
        <v>64</v>
      </c>
      <c r="E499" s="5">
        <v>98.822000000000003</v>
      </c>
      <c r="F499" s="5">
        <v>97.674599999999998</v>
      </c>
      <c r="G499" s="5">
        <v>97.555899999999994</v>
      </c>
      <c r="H499" s="4">
        <v>0</v>
      </c>
      <c r="I499" s="6">
        <v>340219</v>
      </c>
      <c r="J499" s="7">
        <v>462.1</v>
      </c>
      <c r="K499" s="9">
        <f>(PricingDataTable[[#This Row],[Current Price ($)]]-PricingDataTable[[#This Row],[Prior Price ($)]])/PricingDataTable[[#This Row],[Prior Price ($)]]</f>
        <v>-1.1610774928659657E-2</v>
      </c>
      <c r="L499" s="9">
        <f>(PricingDataTable[[#This Row],[Vendor Price ($)]]-PricingDataTable[[#This Row],[Current Price ($)]])/PricingDataTable[[#This Row],[Current Price ($)]]</f>
        <v>-1.2152596478511714E-3</v>
      </c>
      <c r="M499" t="str">
        <f t="shared" si="14"/>
        <v>PASS</v>
      </c>
      <c r="N499" s="10" t="str">
        <f t="shared" si="15"/>
        <v>NONE</v>
      </c>
    </row>
    <row r="500" spans="1:14">
      <c r="A500" s="4" t="s">
        <v>1016</v>
      </c>
      <c r="B500" s="4" t="s">
        <v>1017</v>
      </c>
      <c r="C500" s="4" t="s">
        <v>12</v>
      </c>
      <c r="D500" s="4" t="s">
        <v>13</v>
      </c>
      <c r="E500" s="5">
        <v>121.5334</v>
      </c>
      <c r="F500" s="5">
        <v>119.4589</v>
      </c>
      <c r="G500" s="5">
        <v>119.3707</v>
      </c>
      <c r="H500" s="4">
        <v>0</v>
      </c>
      <c r="I500" s="6">
        <v>1072978</v>
      </c>
      <c r="J500" s="7">
        <v>615.95000000000005</v>
      </c>
      <c r="K500" s="9">
        <f>(PricingDataTable[[#This Row],[Current Price ($)]]-PricingDataTable[[#This Row],[Prior Price ($)]])/PricingDataTable[[#This Row],[Prior Price ($)]]</f>
        <v>-1.7069381750202006E-2</v>
      </c>
      <c r="L500" s="9">
        <f>(PricingDataTable[[#This Row],[Vendor Price ($)]]-PricingDataTable[[#This Row],[Current Price ($)]])/PricingDataTable[[#This Row],[Current Price ($)]]</f>
        <v>-7.3832924964151267E-4</v>
      </c>
      <c r="M500" t="str">
        <f t="shared" si="14"/>
        <v>PASS</v>
      </c>
      <c r="N500" s="10" t="str">
        <f t="shared" si="15"/>
        <v>NONE</v>
      </c>
    </row>
    <row r="501" spans="1:14">
      <c r="A501" s="4" t="s">
        <v>1018</v>
      </c>
      <c r="B501" s="4" t="s">
        <v>1019</v>
      </c>
      <c r="C501" s="4" t="s">
        <v>16</v>
      </c>
      <c r="D501" s="4" t="s">
        <v>13</v>
      </c>
      <c r="E501" s="5">
        <v>77.386399999999995</v>
      </c>
      <c r="F501" s="5">
        <v>77.636499999999998</v>
      </c>
      <c r="G501" s="5">
        <v>77.669300000000007</v>
      </c>
      <c r="H501" s="4">
        <v>0</v>
      </c>
      <c r="I501" s="6">
        <v>2126508</v>
      </c>
      <c r="J501" s="7">
        <v>320.04000000000002</v>
      </c>
      <c r="K501" s="9">
        <f>(PricingDataTable[[#This Row],[Current Price ($)]]-PricingDataTable[[#This Row],[Prior Price ($)]])/PricingDataTable[[#This Row],[Prior Price ($)]]</f>
        <v>3.2318340173467606E-3</v>
      </c>
      <c r="L501" s="9">
        <f>(PricingDataTable[[#This Row],[Vendor Price ($)]]-PricingDataTable[[#This Row],[Current Price ($)]])/PricingDataTable[[#This Row],[Current Price ($)]]</f>
        <v>4.2248169353343884E-4</v>
      </c>
      <c r="M501" t="str">
        <f t="shared" si="14"/>
        <v>PASS</v>
      </c>
      <c r="N501" s="10" t="str">
        <f t="shared" si="15"/>
        <v>NONE</v>
      </c>
    </row>
    <row r="502" spans="1:14">
      <c r="A502" s="4" t="s">
        <v>1020</v>
      </c>
      <c r="B502" s="4" t="s">
        <v>1021</v>
      </c>
      <c r="C502" s="4" t="s">
        <v>39</v>
      </c>
      <c r="D502" s="4" t="s">
        <v>13</v>
      </c>
      <c r="E502" s="5">
        <v>261.25650000000002</v>
      </c>
      <c r="F502" s="5">
        <v>255.8989</v>
      </c>
      <c r="G502" s="5">
        <v>256.2106</v>
      </c>
      <c r="H502" s="4">
        <v>0</v>
      </c>
      <c r="I502" s="6">
        <v>3817801</v>
      </c>
      <c r="J502" s="7">
        <v>681.67</v>
      </c>
      <c r="K502" s="9">
        <f>(PricingDataTable[[#This Row],[Current Price ($)]]-PricingDataTable[[#This Row],[Prior Price ($)]])/PricingDataTable[[#This Row],[Prior Price ($)]]</f>
        <v>-2.0507049585369239E-2</v>
      </c>
      <c r="L502" s="9">
        <f>(PricingDataTable[[#This Row],[Vendor Price ($)]]-PricingDataTable[[#This Row],[Current Price ($)]])/PricingDataTable[[#This Row],[Current Price ($)]]</f>
        <v>1.2180591632086025E-3</v>
      </c>
      <c r="M502" t="str">
        <f t="shared" si="14"/>
        <v>PASS</v>
      </c>
      <c r="N502" s="10" t="str">
        <f t="shared" si="15"/>
        <v>NONE</v>
      </c>
    </row>
    <row r="503" spans="1:14">
      <c r="A503" s="4" t="s">
        <v>1022</v>
      </c>
      <c r="B503" s="4" t="s">
        <v>1023</v>
      </c>
      <c r="C503" s="4" t="s">
        <v>39</v>
      </c>
      <c r="D503" s="4" t="s">
        <v>13</v>
      </c>
      <c r="E503" s="5">
        <v>321.99430000000001</v>
      </c>
      <c r="F503" s="5">
        <v>322.97379999999998</v>
      </c>
      <c r="G503" s="5">
        <v>322.3535</v>
      </c>
      <c r="H503" s="4">
        <v>0</v>
      </c>
      <c r="I503" s="6">
        <v>151283</v>
      </c>
      <c r="J503" s="7">
        <v>5.46</v>
      </c>
      <c r="K503" s="9">
        <f>(PricingDataTable[[#This Row],[Current Price ($)]]-PricingDataTable[[#This Row],[Prior Price ($)]])/PricingDataTable[[#This Row],[Prior Price ($)]]</f>
        <v>3.0419793145405778E-3</v>
      </c>
      <c r="L503" s="9">
        <f>(PricingDataTable[[#This Row],[Vendor Price ($)]]-PricingDataTable[[#This Row],[Current Price ($)]])/PricingDataTable[[#This Row],[Current Price ($)]]</f>
        <v>-1.920589224265207E-3</v>
      </c>
      <c r="M503" t="str">
        <f t="shared" si="14"/>
        <v>PASS</v>
      </c>
      <c r="N503" s="10" t="str">
        <f t="shared" si="15"/>
        <v>NONE</v>
      </c>
    </row>
    <row r="504" spans="1:14">
      <c r="A504" s="4" t="s">
        <v>1024</v>
      </c>
      <c r="B504" s="4" t="s">
        <v>1025</v>
      </c>
      <c r="C504" s="4" t="s">
        <v>19</v>
      </c>
      <c r="D504" s="4" t="s">
        <v>13</v>
      </c>
      <c r="E504" s="5">
        <v>244.5977</v>
      </c>
      <c r="F504" s="5">
        <v>249.7757</v>
      </c>
      <c r="G504" s="5">
        <v>248.34620000000001</v>
      </c>
      <c r="H504" s="4">
        <v>0</v>
      </c>
      <c r="I504" s="6">
        <v>3314476</v>
      </c>
      <c r="J504" s="7">
        <v>724.22</v>
      </c>
      <c r="K504" s="9">
        <f>(PricingDataTable[[#This Row],[Current Price ($)]]-PricingDataTable[[#This Row],[Prior Price ($)]])/PricingDataTable[[#This Row],[Prior Price ($)]]</f>
        <v>2.1169454986698557E-2</v>
      </c>
      <c r="L504" s="9">
        <f>(PricingDataTable[[#This Row],[Vendor Price ($)]]-PricingDataTable[[#This Row],[Current Price ($)]])/PricingDataTable[[#This Row],[Current Price ($)]]</f>
        <v>-5.7231347965394164E-3</v>
      </c>
      <c r="M504" t="str">
        <f t="shared" si="14"/>
        <v>PASS</v>
      </c>
      <c r="N504" s="10" t="str">
        <f t="shared" si="15"/>
        <v>NONE</v>
      </c>
    </row>
    <row r="505" spans="1:14">
      <c r="A505" s="4" t="s">
        <v>1026</v>
      </c>
      <c r="B505" s="4" t="s">
        <v>1027</v>
      </c>
      <c r="C505" s="4" t="s">
        <v>19</v>
      </c>
      <c r="D505" s="4" t="s">
        <v>13</v>
      </c>
      <c r="E505" s="5">
        <v>287.06110000000001</v>
      </c>
      <c r="F505" s="5">
        <v>332.32729999999998</v>
      </c>
      <c r="G505" s="5">
        <v>331.7201</v>
      </c>
      <c r="H505" s="4">
        <v>0</v>
      </c>
      <c r="I505" s="6">
        <v>1602506</v>
      </c>
      <c r="J505" s="7">
        <v>77.67</v>
      </c>
      <c r="K505" s="9">
        <f>(PricingDataTable[[#This Row],[Current Price ($)]]-PricingDataTable[[#This Row],[Prior Price ($)]])/PricingDataTable[[#This Row],[Prior Price ($)]]</f>
        <v>0.1576883806269814</v>
      </c>
      <c r="L505" s="9">
        <f>(PricingDataTable[[#This Row],[Vendor Price ($)]]-PricingDataTable[[#This Row],[Current Price ($)]])/PricingDataTable[[#This Row],[Current Price ($)]]</f>
        <v>-1.8271144140128649E-3</v>
      </c>
      <c r="M505" t="str">
        <f t="shared" si="14"/>
        <v>LARGE MOVE</v>
      </c>
      <c r="N505" s="10" t="str">
        <f t="shared" si="15"/>
        <v>HIGH</v>
      </c>
    </row>
    <row r="506" spans="1:14">
      <c r="A506" s="4" t="s">
        <v>1028</v>
      </c>
      <c r="B506" s="4" t="s">
        <v>1029</v>
      </c>
      <c r="C506" s="4" t="s">
        <v>16</v>
      </c>
      <c r="D506" s="4" t="s">
        <v>13</v>
      </c>
      <c r="E506" s="5">
        <v>83.305300000000003</v>
      </c>
      <c r="F506" s="5">
        <v>84.201099999999997</v>
      </c>
      <c r="G506" s="5">
        <v>84.522800000000004</v>
      </c>
      <c r="H506" s="4">
        <v>2</v>
      </c>
      <c r="I506" s="6">
        <v>4777728</v>
      </c>
      <c r="J506" s="7">
        <v>746.54</v>
      </c>
      <c r="K506" s="9">
        <f>(PricingDataTable[[#This Row],[Current Price ($)]]-PricingDataTable[[#This Row],[Prior Price ($)]])/PricingDataTable[[#This Row],[Prior Price ($)]]</f>
        <v>1.0753217382327344E-2</v>
      </c>
      <c r="L506" s="9">
        <f>(PricingDataTable[[#This Row],[Vendor Price ($)]]-PricingDataTable[[#This Row],[Current Price ($)]])/PricingDataTable[[#This Row],[Current Price ($)]]</f>
        <v>3.8206151701106871E-3</v>
      </c>
      <c r="M506" t="str">
        <f t="shared" si="14"/>
        <v>PASS</v>
      </c>
      <c r="N506" s="10" t="str">
        <f t="shared" si="15"/>
        <v>NONE</v>
      </c>
    </row>
    <row r="507" spans="1:14">
      <c r="A507" s="4" t="s">
        <v>1030</v>
      </c>
      <c r="B507" s="4" t="s">
        <v>1031</v>
      </c>
      <c r="C507" s="4" t="s">
        <v>19</v>
      </c>
      <c r="D507" s="4" t="s">
        <v>13</v>
      </c>
      <c r="E507" s="5">
        <v>297.88929999999999</v>
      </c>
      <c r="F507" s="5">
        <v>294.5188</v>
      </c>
      <c r="G507" s="5">
        <v>294.89949999999999</v>
      </c>
      <c r="H507" s="4">
        <v>1</v>
      </c>
      <c r="I507" s="6">
        <v>3353761</v>
      </c>
      <c r="J507" s="7">
        <v>437.59</v>
      </c>
      <c r="K507" s="9">
        <f>(PricingDataTable[[#This Row],[Current Price ($)]]-PricingDataTable[[#This Row],[Prior Price ($)]])/PricingDataTable[[#This Row],[Prior Price ($)]]</f>
        <v>-1.1314605794837186E-2</v>
      </c>
      <c r="L507" s="9">
        <f>(PricingDataTable[[#This Row],[Vendor Price ($)]]-PricingDataTable[[#This Row],[Current Price ($)]])/PricingDataTable[[#This Row],[Current Price ($)]]</f>
        <v>1.2926169738569839E-3</v>
      </c>
      <c r="M507" t="str">
        <f t="shared" si="14"/>
        <v>PASS</v>
      </c>
      <c r="N507" s="10" t="str">
        <f t="shared" si="15"/>
        <v>NONE</v>
      </c>
    </row>
    <row r="508" spans="1:14">
      <c r="A508" s="4" t="s">
        <v>1032</v>
      </c>
      <c r="B508" s="4" t="s">
        <v>1033</v>
      </c>
      <c r="C508" s="4" t="s">
        <v>35</v>
      </c>
      <c r="D508" s="4" t="s">
        <v>36</v>
      </c>
      <c r="E508" s="5">
        <v>156.43889999999999</v>
      </c>
      <c r="F508" s="5">
        <v>179.0498</v>
      </c>
      <c r="G508" s="5">
        <v>179.23869999999999</v>
      </c>
      <c r="H508" s="4">
        <v>0</v>
      </c>
      <c r="I508" s="6">
        <v>2909868</v>
      </c>
      <c r="J508" s="7">
        <v>403.6</v>
      </c>
      <c r="K508" s="9">
        <f>(PricingDataTable[[#This Row],[Current Price ($)]]-PricingDataTable[[#This Row],[Prior Price ($)]])/PricingDataTable[[#This Row],[Prior Price ($)]]</f>
        <v>0.14453502293866818</v>
      </c>
      <c r="L508" s="9">
        <f>(PricingDataTable[[#This Row],[Vendor Price ($)]]-PricingDataTable[[#This Row],[Current Price ($)]])/PricingDataTable[[#This Row],[Current Price ($)]]</f>
        <v>1.0550137447793274E-3</v>
      </c>
      <c r="M508" t="str">
        <f t="shared" si="14"/>
        <v>LARGE MOVE</v>
      </c>
      <c r="N508" s="10" t="str">
        <f t="shared" si="15"/>
        <v>HIGH</v>
      </c>
    </row>
    <row r="509" spans="1:14">
      <c r="A509" s="4" t="s">
        <v>1034</v>
      </c>
      <c r="B509" s="4" t="s">
        <v>1035</v>
      </c>
      <c r="C509" s="4" t="s">
        <v>19</v>
      </c>
      <c r="D509" s="4" t="s">
        <v>32</v>
      </c>
      <c r="E509" s="5">
        <v>168.4802</v>
      </c>
      <c r="F509" s="5">
        <v>166.25319999999999</v>
      </c>
      <c r="G509" s="5">
        <v>166.47829999999999</v>
      </c>
      <c r="H509" s="4">
        <v>3</v>
      </c>
      <c r="I509" s="6">
        <v>3930788</v>
      </c>
      <c r="J509" s="7">
        <v>118.22</v>
      </c>
      <c r="K509" s="9">
        <f>(PricingDataTable[[#This Row],[Current Price ($)]]-PricingDataTable[[#This Row],[Prior Price ($)]])/PricingDataTable[[#This Row],[Prior Price ($)]]</f>
        <v>-1.3218170443767302E-2</v>
      </c>
      <c r="L509" s="9">
        <f>(PricingDataTable[[#This Row],[Vendor Price ($)]]-PricingDataTable[[#This Row],[Current Price ($)]])/PricingDataTable[[#This Row],[Current Price ($)]]</f>
        <v>1.3539589012421876E-3</v>
      </c>
      <c r="M509" t="str">
        <f t="shared" si="14"/>
        <v>STALE</v>
      </c>
      <c r="N509" s="10" t="str">
        <f t="shared" si="15"/>
        <v>LOW</v>
      </c>
    </row>
    <row r="510" spans="1:14">
      <c r="A510" s="4" t="s">
        <v>1036</v>
      </c>
      <c r="B510" s="4" t="s">
        <v>1037</v>
      </c>
      <c r="C510" s="4" t="s">
        <v>35</v>
      </c>
      <c r="D510" s="4" t="s">
        <v>64</v>
      </c>
      <c r="E510" s="5">
        <v>121.81310000000001</v>
      </c>
      <c r="F510" s="5">
        <v>121.5611</v>
      </c>
      <c r="G510" s="5">
        <v>120.9139</v>
      </c>
      <c r="H510" s="4">
        <v>0</v>
      </c>
      <c r="I510" s="6">
        <v>4051772</v>
      </c>
      <c r="J510" s="7">
        <v>116.36</v>
      </c>
      <c r="K510" s="9">
        <f>(PricingDataTable[[#This Row],[Current Price ($)]]-PricingDataTable[[#This Row],[Prior Price ($)]])/PricingDataTable[[#This Row],[Prior Price ($)]]</f>
        <v>-2.068743016966234E-3</v>
      </c>
      <c r="L510" s="9">
        <f>(PricingDataTable[[#This Row],[Vendor Price ($)]]-PricingDataTable[[#This Row],[Current Price ($)]])/PricingDataTable[[#This Row],[Current Price ($)]]</f>
        <v>-5.324071598562353E-3</v>
      </c>
      <c r="M510" t="str">
        <f t="shared" si="14"/>
        <v>PASS</v>
      </c>
      <c r="N510" s="10" t="str">
        <f t="shared" si="15"/>
        <v>NONE</v>
      </c>
    </row>
    <row r="511" spans="1:14">
      <c r="A511" s="4" t="s">
        <v>1038</v>
      </c>
      <c r="B511" s="4" t="s">
        <v>1039</v>
      </c>
      <c r="C511" s="4" t="s">
        <v>12</v>
      </c>
      <c r="D511" s="4" t="s">
        <v>13</v>
      </c>
      <c r="E511" s="5">
        <v>95.799199999999999</v>
      </c>
      <c r="F511" s="5">
        <v>96.776499999999999</v>
      </c>
      <c r="G511" s="5">
        <v>96.766800000000003</v>
      </c>
      <c r="H511" s="4">
        <v>0</v>
      </c>
      <c r="I511" s="6">
        <v>1331479</v>
      </c>
      <c r="J511" s="7">
        <v>157.41</v>
      </c>
      <c r="K511" s="9">
        <f>(PricingDataTable[[#This Row],[Current Price ($)]]-PricingDataTable[[#This Row],[Prior Price ($)]])/PricingDataTable[[#This Row],[Prior Price ($)]]</f>
        <v>1.0201546568238561E-2</v>
      </c>
      <c r="L511" s="9">
        <f>(PricingDataTable[[#This Row],[Vendor Price ($)]]-PricingDataTable[[#This Row],[Current Price ($)]])/PricingDataTable[[#This Row],[Current Price ($)]]</f>
        <v>-1.0023094449577281E-4</v>
      </c>
      <c r="M511" t="str">
        <f t="shared" si="14"/>
        <v>PASS</v>
      </c>
      <c r="N511" s="10" t="str">
        <f t="shared" si="15"/>
        <v>NONE</v>
      </c>
    </row>
    <row r="512" spans="1:14">
      <c r="A512" s="4" t="s">
        <v>1040</v>
      </c>
      <c r="B512" s="4" t="s">
        <v>1041</v>
      </c>
      <c r="C512" s="4" t="s">
        <v>39</v>
      </c>
      <c r="D512" s="4" t="s">
        <v>13</v>
      </c>
      <c r="E512" s="5">
        <v>46.977499999999999</v>
      </c>
      <c r="F512" s="5">
        <v>47.083199999999998</v>
      </c>
      <c r="G512" s="5">
        <v>47.262799999999999</v>
      </c>
      <c r="H512" s="4">
        <v>1</v>
      </c>
      <c r="I512" s="6">
        <v>4673642</v>
      </c>
      <c r="J512" s="7">
        <v>240.89</v>
      </c>
      <c r="K512" s="9">
        <f>(PricingDataTable[[#This Row],[Current Price ($)]]-PricingDataTable[[#This Row],[Prior Price ($)]])/PricingDataTable[[#This Row],[Prior Price ($)]]</f>
        <v>2.2500133042413664E-3</v>
      </c>
      <c r="L512" s="9">
        <f>(PricingDataTable[[#This Row],[Vendor Price ($)]]-PricingDataTable[[#This Row],[Current Price ($)]])/PricingDataTable[[#This Row],[Current Price ($)]]</f>
        <v>3.8145240765283723E-3</v>
      </c>
      <c r="M512" t="str">
        <f t="shared" si="14"/>
        <v>PASS</v>
      </c>
      <c r="N512" s="10" t="str">
        <f t="shared" si="15"/>
        <v>NONE</v>
      </c>
    </row>
    <row r="513" spans="1:14">
      <c r="A513" s="4" t="s">
        <v>1042</v>
      </c>
      <c r="B513" s="4" t="s">
        <v>1043</v>
      </c>
      <c r="C513" s="4" t="s">
        <v>12</v>
      </c>
      <c r="D513" s="4" t="s">
        <v>13</v>
      </c>
      <c r="E513" s="5">
        <v>77.521100000000004</v>
      </c>
      <c r="F513" s="5">
        <v>79.093400000000003</v>
      </c>
      <c r="G513" s="5">
        <v>78.952600000000004</v>
      </c>
      <c r="H513" s="4">
        <v>4</v>
      </c>
      <c r="I513" s="6">
        <v>855531</v>
      </c>
      <c r="J513" s="7">
        <v>741.28</v>
      </c>
      <c r="K513" s="9">
        <f>(PricingDataTable[[#This Row],[Current Price ($)]]-PricingDataTable[[#This Row],[Prior Price ($)]])/PricingDataTable[[#This Row],[Prior Price ($)]]</f>
        <v>2.0282219937539564E-2</v>
      </c>
      <c r="L513" s="9">
        <f>(PricingDataTable[[#This Row],[Vendor Price ($)]]-PricingDataTable[[#This Row],[Current Price ($)]])/PricingDataTable[[#This Row],[Current Price ($)]]</f>
        <v>-1.7801738198130147E-3</v>
      </c>
      <c r="M513" t="str">
        <f t="shared" si="14"/>
        <v>STALE</v>
      </c>
      <c r="N513" s="10" t="str">
        <f t="shared" si="15"/>
        <v>LOW</v>
      </c>
    </row>
    <row r="514" spans="1:14">
      <c r="A514" s="4" t="s">
        <v>1044</v>
      </c>
      <c r="B514" s="4" t="s">
        <v>1045</v>
      </c>
      <c r="C514" s="4" t="s">
        <v>19</v>
      </c>
      <c r="D514" s="4" t="s">
        <v>13</v>
      </c>
      <c r="E514" s="5">
        <v>305.8374</v>
      </c>
      <c r="F514" s="5">
        <v>307.65570000000002</v>
      </c>
      <c r="G514" s="5">
        <v>307.36939999999998</v>
      </c>
      <c r="H514" s="4">
        <v>0</v>
      </c>
      <c r="I514" s="6">
        <v>3052246</v>
      </c>
      <c r="J514" s="7">
        <v>301.27999999999997</v>
      </c>
      <c r="K514" s="9">
        <f>(PricingDataTable[[#This Row],[Current Price ($)]]-PricingDataTable[[#This Row],[Prior Price ($)]])/PricingDataTable[[#This Row],[Prior Price ($)]]</f>
        <v>5.9453160404843294E-3</v>
      </c>
      <c r="L514" s="9">
        <f>(PricingDataTable[[#This Row],[Vendor Price ($)]]-PricingDataTable[[#This Row],[Current Price ($)]])/PricingDataTable[[#This Row],[Current Price ($)]]</f>
        <v>-9.3058571643574205E-4</v>
      </c>
      <c r="M514" t="str">
        <f t="shared" ref="M514:M577" si="16">IF(OR(F514="",F514=0),"MISSING",IF(H514&gt;=3,"STALE",IF(ABS(K514)&gt;=5%,"LARGE MOVE",IF(ABS(L514)&gt;=2%,"VENDOR DIFFERENCE","PASS"))))</f>
        <v>PASS</v>
      </c>
      <c r="N514" s="10" t="str">
        <f t="shared" ref="N514:N577" si="17">IF(M514="PASS","NONE",IF(M514="MISSING","HIGH",IF(OR(ABS(K514)&gt;=10%,ABS(L514)&gt;=5%),"HIGH",IF(OR(ABS(K514)&gt;=7%,ABS(L514)&gt;=3%,H514&gt;=5),"MEDIUM","LOW"))))</f>
        <v>NONE</v>
      </c>
    </row>
    <row r="515" spans="1:14">
      <c r="A515" s="4" t="s">
        <v>1046</v>
      </c>
      <c r="B515" s="4" t="s">
        <v>1047</v>
      </c>
      <c r="C515" s="4" t="s">
        <v>39</v>
      </c>
      <c r="D515" s="4" t="s">
        <v>13</v>
      </c>
      <c r="E515" s="5">
        <v>150.18639999999999</v>
      </c>
      <c r="F515" s="5">
        <v>150.34780000000001</v>
      </c>
      <c r="G515" s="5">
        <v>150.01179999999999</v>
      </c>
      <c r="H515" s="4">
        <v>0</v>
      </c>
      <c r="I515" s="6">
        <v>3482344</v>
      </c>
      <c r="J515" s="7">
        <v>324.70999999999998</v>
      </c>
      <c r="K515" s="9">
        <f>(PricingDataTable[[#This Row],[Current Price ($)]]-PricingDataTable[[#This Row],[Prior Price ($)]])/PricingDataTable[[#This Row],[Prior Price ($)]]</f>
        <v>1.0746645501857335E-3</v>
      </c>
      <c r="L515" s="9">
        <f>(PricingDataTable[[#This Row],[Vendor Price ($)]]-PricingDataTable[[#This Row],[Current Price ($)]])/PricingDataTable[[#This Row],[Current Price ($)]]</f>
        <v>-2.2348182015301367E-3</v>
      </c>
      <c r="M515" t="str">
        <f t="shared" si="16"/>
        <v>PASS</v>
      </c>
      <c r="N515" s="10" t="str">
        <f t="shared" si="17"/>
        <v>NONE</v>
      </c>
    </row>
    <row r="516" spans="1:14">
      <c r="A516" s="4" t="s">
        <v>1048</v>
      </c>
      <c r="B516" s="4" t="s">
        <v>1049</v>
      </c>
      <c r="C516" s="4" t="s">
        <v>19</v>
      </c>
      <c r="D516" s="4" t="s">
        <v>32</v>
      </c>
      <c r="E516" s="5">
        <v>152.22900000000001</v>
      </c>
      <c r="F516" s="5">
        <v>152.6781</v>
      </c>
      <c r="G516" s="5">
        <v>153.49440000000001</v>
      </c>
      <c r="H516" s="4">
        <v>0</v>
      </c>
      <c r="I516" s="6">
        <v>3035783</v>
      </c>
      <c r="J516" s="7">
        <v>849.38</v>
      </c>
      <c r="K516" s="9">
        <f>(PricingDataTable[[#This Row],[Current Price ($)]]-PricingDataTable[[#This Row],[Prior Price ($)]])/PricingDataTable[[#This Row],[Prior Price ($)]]</f>
        <v>2.950160613286477E-3</v>
      </c>
      <c r="L516" s="9">
        <f>(PricingDataTable[[#This Row],[Vendor Price ($)]]-PricingDataTable[[#This Row],[Current Price ($)]])/PricingDataTable[[#This Row],[Current Price ($)]]</f>
        <v>5.3465428244130128E-3</v>
      </c>
      <c r="M516" t="str">
        <f t="shared" si="16"/>
        <v>PASS</v>
      </c>
      <c r="N516" s="10" t="str">
        <f t="shared" si="17"/>
        <v>NONE</v>
      </c>
    </row>
    <row r="517" spans="1:14">
      <c r="A517" s="4" t="s">
        <v>1050</v>
      </c>
      <c r="B517" s="4" t="s">
        <v>1051</v>
      </c>
      <c r="C517" s="4" t="s">
        <v>39</v>
      </c>
      <c r="D517" s="4" t="s">
        <v>13</v>
      </c>
      <c r="E517" s="5">
        <v>184.9333</v>
      </c>
      <c r="F517" s="5">
        <v>186.7603</v>
      </c>
      <c r="G517" s="5">
        <v>186.9759</v>
      </c>
      <c r="H517" s="4">
        <v>0</v>
      </c>
      <c r="I517" s="6">
        <v>1267277</v>
      </c>
      <c r="J517" s="7">
        <v>812.28</v>
      </c>
      <c r="K517" s="9">
        <f>(PricingDataTable[[#This Row],[Current Price ($)]]-PricingDataTable[[#This Row],[Prior Price ($)]])/PricingDataTable[[#This Row],[Prior Price ($)]]</f>
        <v>9.8792375413189418E-3</v>
      </c>
      <c r="L517" s="9">
        <f>(PricingDataTable[[#This Row],[Vendor Price ($)]]-PricingDataTable[[#This Row],[Current Price ($)]])/PricingDataTable[[#This Row],[Current Price ($)]]</f>
        <v>1.1544209342135073E-3</v>
      </c>
      <c r="M517" t="str">
        <f t="shared" si="16"/>
        <v>PASS</v>
      </c>
      <c r="N517" s="10" t="str">
        <f t="shared" si="17"/>
        <v>NONE</v>
      </c>
    </row>
    <row r="518" spans="1:14">
      <c r="A518" s="4" t="s">
        <v>1052</v>
      </c>
      <c r="B518" s="4" t="s">
        <v>1053</v>
      </c>
      <c r="C518" s="4" t="s">
        <v>35</v>
      </c>
      <c r="D518" s="4" t="s">
        <v>13</v>
      </c>
      <c r="E518" s="5">
        <v>159.66929999999999</v>
      </c>
      <c r="F518" s="5">
        <v>158.4837</v>
      </c>
      <c r="G518" s="5">
        <v>157.5626</v>
      </c>
      <c r="H518" s="4">
        <v>0</v>
      </c>
      <c r="I518" s="6">
        <v>1232966</v>
      </c>
      <c r="J518" s="7">
        <v>630.33000000000004</v>
      </c>
      <c r="K518" s="9">
        <f>(PricingDataTable[[#This Row],[Current Price ($)]]-PricingDataTable[[#This Row],[Prior Price ($)]])/PricingDataTable[[#This Row],[Prior Price ($)]]</f>
        <v>-7.4253472646275383E-3</v>
      </c>
      <c r="L518" s="9">
        <f>(PricingDataTable[[#This Row],[Vendor Price ($)]]-PricingDataTable[[#This Row],[Current Price ($)]])/PricingDataTable[[#This Row],[Current Price ($)]]</f>
        <v>-5.8119541631094906E-3</v>
      </c>
      <c r="M518" t="str">
        <f t="shared" si="16"/>
        <v>PASS</v>
      </c>
      <c r="N518" s="10" t="str">
        <f t="shared" si="17"/>
        <v>NONE</v>
      </c>
    </row>
    <row r="519" spans="1:14">
      <c r="A519" s="4" t="s">
        <v>1054</v>
      </c>
      <c r="B519" s="4" t="s">
        <v>1055</v>
      </c>
      <c r="C519" s="4" t="s">
        <v>35</v>
      </c>
      <c r="D519" s="4" t="s">
        <v>13</v>
      </c>
      <c r="E519" s="5">
        <v>112.03740000000001</v>
      </c>
      <c r="F519" s="5">
        <v>110.8809</v>
      </c>
      <c r="G519" s="5">
        <v>110.9897</v>
      </c>
      <c r="H519" s="4">
        <v>1</v>
      </c>
      <c r="I519" s="6">
        <v>4509318</v>
      </c>
      <c r="J519" s="7">
        <v>301.18</v>
      </c>
      <c r="K519" s="9">
        <f>(PricingDataTable[[#This Row],[Current Price ($)]]-PricingDataTable[[#This Row],[Prior Price ($)]])/PricingDataTable[[#This Row],[Prior Price ($)]]</f>
        <v>-1.0322445897530719E-2</v>
      </c>
      <c r="L519" s="9">
        <f>(PricingDataTable[[#This Row],[Vendor Price ($)]]-PricingDataTable[[#This Row],[Current Price ($)]])/PricingDataTable[[#This Row],[Current Price ($)]]</f>
        <v>9.8123301668729453E-4</v>
      </c>
      <c r="M519" t="str">
        <f t="shared" si="16"/>
        <v>PASS</v>
      </c>
      <c r="N519" s="10" t="str">
        <f t="shared" si="17"/>
        <v>NONE</v>
      </c>
    </row>
    <row r="520" spans="1:14">
      <c r="A520" s="4" t="s">
        <v>1056</v>
      </c>
      <c r="B520" s="4" t="s">
        <v>1057</v>
      </c>
      <c r="C520" s="4" t="s">
        <v>16</v>
      </c>
      <c r="D520" s="4" t="s">
        <v>13</v>
      </c>
      <c r="E520" s="5">
        <v>85.686700000000002</v>
      </c>
      <c r="F520" s="5">
        <v>84.799400000000006</v>
      </c>
      <c r="G520" s="5">
        <v>84.783299999999997</v>
      </c>
      <c r="H520" s="4">
        <v>0</v>
      </c>
      <c r="I520" s="6">
        <v>2171050</v>
      </c>
      <c r="J520" s="7">
        <v>217.36</v>
      </c>
      <c r="K520" s="9">
        <f>(PricingDataTable[[#This Row],[Current Price ($)]]-PricingDataTable[[#This Row],[Prior Price ($)]])/PricingDataTable[[#This Row],[Prior Price ($)]]</f>
        <v>-1.0355165970914928E-2</v>
      </c>
      <c r="L520" s="9">
        <f>(PricingDataTable[[#This Row],[Vendor Price ($)]]-PricingDataTable[[#This Row],[Current Price ($)]])/PricingDataTable[[#This Row],[Current Price ($)]]</f>
        <v>-1.8985983391402135E-4</v>
      </c>
      <c r="M520" t="str">
        <f t="shared" si="16"/>
        <v>PASS</v>
      </c>
      <c r="N520" s="10" t="str">
        <f t="shared" si="17"/>
        <v>NONE</v>
      </c>
    </row>
    <row r="521" spans="1:14">
      <c r="A521" s="4" t="s">
        <v>1058</v>
      </c>
      <c r="B521" s="4" t="s">
        <v>1059</v>
      </c>
      <c r="C521" s="4" t="s">
        <v>35</v>
      </c>
      <c r="D521" s="4" t="s">
        <v>13</v>
      </c>
      <c r="E521" s="5">
        <v>12.670299999999999</v>
      </c>
      <c r="F521" s="5">
        <v>12.5213</v>
      </c>
      <c r="G521" s="5">
        <v>12.559100000000001</v>
      </c>
      <c r="H521" s="4">
        <v>0</v>
      </c>
      <c r="I521" s="6">
        <v>44733</v>
      </c>
      <c r="J521" s="7">
        <v>407.94</v>
      </c>
      <c r="K521" s="9">
        <f>(PricingDataTable[[#This Row],[Current Price ($)]]-PricingDataTable[[#This Row],[Prior Price ($)]])/PricingDataTable[[#This Row],[Prior Price ($)]]</f>
        <v>-1.1759784693337896E-2</v>
      </c>
      <c r="L521" s="9">
        <f>(PricingDataTable[[#This Row],[Vendor Price ($)]]-PricingDataTable[[#This Row],[Current Price ($)]])/PricingDataTable[[#This Row],[Current Price ($)]]</f>
        <v>3.0188558695982623E-3</v>
      </c>
      <c r="M521" t="str">
        <f t="shared" si="16"/>
        <v>PASS</v>
      </c>
      <c r="N521" s="10" t="str">
        <f t="shared" si="17"/>
        <v>NONE</v>
      </c>
    </row>
    <row r="522" spans="1:14">
      <c r="A522" s="4" t="s">
        <v>1060</v>
      </c>
      <c r="B522" s="4" t="s">
        <v>1061</v>
      </c>
      <c r="C522" s="4" t="s">
        <v>16</v>
      </c>
      <c r="D522" s="4" t="s">
        <v>36</v>
      </c>
      <c r="E522" s="5">
        <v>106.38720000000001</v>
      </c>
      <c r="F522" s="5">
        <v>104.7069</v>
      </c>
      <c r="G522" s="5">
        <v>104.6191</v>
      </c>
      <c r="H522" s="4">
        <v>1</v>
      </c>
      <c r="I522" s="6">
        <v>3169089</v>
      </c>
      <c r="J522" s="7">
        <v>467.8</v>
      </c>
      <c r="K522" s="9">
        <f>(PricingDataTable[[#This Row],[Current Price ($)]]-PricingDataTable[[#This Row],[Prior Price ($)]])/PricingDataTable[[#This Row],[Prior Price ($)]]</f>
        <v>-1.5794193286410418E-2</v>
      </c>
      <c r="L522" s="9">
        <f>(PricingDataTable[[#This Row],[Vendor Price ($)]]-PricingDataTable[[#This Row],[Current Price ($)]])/PricingDataTable[[#This Row],[Current Price ($)]]</f>
        <v>-8.3853117607341474E-4</v>
      </c>
      <c r="M522" t="str">
        <f t="shared" si="16"/>
        <v>PASS</v>
      </c>
      <c r="N522" s="10" t="str">
        <f t="shared" si="17"/>
        <v>NONE</v>
      </c>
    </row>
    <row r="523" spans="1:14">
      <c r="A523" s="4" t="s">
        <v>1062</v>
      </c>
      <c r="B523" s="4" t="s">
        <v>1063</v>
      </c>
      <c r="C523" s="4" t="s">
        <v>19</v>
      </c>
      <c r="D523" s="4" t="s">
        <v>13</v>
      </c>
      <c r="E523" s="5">
        <v>289.41219999999998</v>
      </c>
      <c r="F523" s="5">
        <v>288.3972</v>
      </c>
      <c r="G523" s="5">
        <v>288.6979</v>
      </c>
      <c r="H523" s="4">
        <v>0</v>
      </c>
      <c r="I523" s="6">
        <v>3996100</v>
      </c>
      <c r="J523" s="7">
        <v>193.46</v>
      </c>
      <c r="K523" s="9">
        <f>(PricingDataTable[[#This Row],[Current Price ($)]]-PricingDataTable[[#This Row],[Prior Price ($)]])/PricingDataTable[[#This Row],[Prior Price ($)]]</f>
        <v>-3.5071085462188064E-3</v>
      </c>
      <c r="L523" s="9">
        <f>(PricingDataTable[[#This Row],[Vendor Price ($)]]-PricingDataTable[[#This Row],[Current Price ($)]])/PricingDataTable[[#This Row],[Current Price ($)]]</f>
        <v>1.0426592213794246E-3</v>
      </c>
      <c r="M523" t="str">
        <f t="shared" si="16"/>
        <v>PASS</v>
      </c>
      <c r="N523" s="10" t="str">
        <f t="shared" si="17"/>
        <v>NONE</v>
      </c>
    </row>
    <row r="524" spans="1:14">
      <c r="A524" s="4" t="s">
        <v>1064</v>
      </c>
      <c r="B524" s="4" t="s">
        <v>1065</v>
      </c>
      <c r="C524" s="4" t="s">
        <v>12</v>
      </c>
      <c r="D524" s="4" t="s">
        <v>13</v>
      </c>
      <c r="E524" s="5">
        <v>102.94840000000001</v>
      </c>
      <c r="F524" s="5">
        <v>103.39960000000001</v>
      </c>
      <c r="G524" s="5">
        <v>102.7809</v>
      </c>
      <c r="H524" s="4">
        <v>5</v>
      </c>
      <c r="I524" s="6">
        <v>3498398</v>
      </c>
      <c r="J524" s="7">
        <v>741.47</v>
      </c>
      <c r="K524" s="9">
        <f>(PricingDataTable[[#This Row],[Current Price ($)]]-PricingDataTable[[#This Row],[Prior Price ($)]])/PricingDataTable[[#This Row],[Prior Price ($)]]</f>
        <v>4.3827781684805207E-3</v>
      </c>
      <c r="L524" s="9">
        <f>(PricingDataTable[[#This Row],[Vendor Price ($)]]-PricingDataTable[[#This Row],[Current Price ($)]])/PricingDataTable[[#This Row],[Current Price ($)]]</f>
        <v>-5.9835821415170267E-3</v>
      </c>
      <c r="M524" t="str">
        <f t="shared" si="16"/>
        <v>STALE</v>
      </c>
      <c r="N524" s="10" t="str">
        <f t="shared" si="17"/>
        <v>MEDIUM</v>
      </c>
    </row>
    <row r="525" spans="1:14">
      <c r="A525" s="4" t="s">
        <v>1066</v>
      </c>
      <c r="B525" s="4" t="s">
        <v>1067</v>
      </c>
      <c r="C525" s="4" t="s">
        <v>19</v>
      </c>
      <c r="D525" s="4" t="s">
        <v>13</v>
      </c>
      <c r="E525" s="5">
        <v>52.249699999999997</v>
      </c>
      <c r="F525" s="5">
        <v>51.897199999999998</v>
      </c>
      <c r="G525" s="5">
        <v>51.599200000000003</v>
      </c>
      <c r="H525" s="4">
        <v>0</v>
      </c>
      <c r="I525" s="6">
        <v>3099181</v>
      </c>
      <c r="J525" s="7">
        <v>829.54</v>
      </c>
      <c r="K525" s="9">
        <f>(PricingDataTable[[#This Row],[Current Price ($)]]-PricingDataTable[[#This Row],[Prior Price ($)]])/PricingDataTable[[#This Row],[Prior Price ($)]]</f>
        <v>-6.7464502188529151E-3</v>
      </c>
      <c r="L525" s="9">
        <f>(PricingDataTable[[#This Row],[Vendor Price ($)]]-PricingDataTable[[#This Row],[Current Price ($)]])/PricingDataTable[[#This Row],[Current Price ($)]]</f>
        <v>-5.7421209622098056E-3</v>
      </c>
      <c r="M525" t="str">
        <f t="shared" si="16"/>
        <v>PASS</v>
      </c>
      <c r="N525" s="10" t="str">
        <f t="shared" si="17"/>
        <v>NONE</v>
      </c>
    </row>
    <row r="526" spans="1:14">
      <c r="A526" s="4" t="s">
        <v>1068</v>
      </c>
      <c r="B526" s="4" t="s">
        <v>1069</v>
      </c>
      <c r="C526" s="4" t="s">
        <v>39</v>
      </c>
      <c r="D526" s="4" t="s">
        <v>13</v>
      </c>
      <c r="E526" s="5">
        <v>134.39840000000001</v>
      </c>
      <c r="F526" s="5">
        <v>133.91540000000001</v>
      </c>
      <c r="G526" s="5">
        <v>134.38910000000001</v>
      </c>
      <c r="H526" s="4">
        <v>0</v>
      </c>
      <c r="I526" s="6">
        <v>1199475</v>
      </c>
      <c r="J526" s="7">
        <v>128.1</v>
      </c>
      <c r="K526" s="9">
        <f>(PricingDataTable[[#This Row],[Current Price ($)]]-PricingDataTable[[#This Row],[Prior Price ($)]])/PricingDataTable[[#This Row],[Prior Price ($)]]</f>
        <v>-3.5937927832474497E-3</v>
      </c>
      <c r="L526" s="9">
        <f>(PricingDataTable[[#This Row],[Vendor Price ($)]]-PricingDataTable[[#This Row],[Current Price ($)]])/PricingDataTable[[#This Row],[Current Price ($)]]</f>
        <v>3.5373078824392713E-3</v>
      </c>
      <c r="M526" t="str">
        <f t="shared" si="16"/>
        <v>PASS</v>
      </c>
      <c r="N526" s="10" t="str">
        <f t="shared" si="17"/>
        <v>NONE</v>
      </c>
    </row>
    <row r="527" spans="1:14">
      <c r="A527" s="4" t="s">
        <v>1070</v>
      </c>
      <c r="B527" s="4" t="s">
        <v>1071</v>
      </c>
      <c r="C527" s="4" t="s">
        <v>19</v>
      </c>
      <c r="D527" s="4" t="s">
        <v>36</v>
      </c>
      <c r="E527" s="5">
        <v>312.05759999999998</v>
      </c>
      <c r="F527" s="5">
        <v>313.54349999999999</v>
      </c>
      <c r="G527" s="5">
        <v>315.24250000000001</v>
      </c>
      <c r="H527" s="4">
        <v>0</v>
      </c>
      <c r="I527" s="6">
        <v>4808168</v>
      </c>
      <c r="J527" s="7">
        <v>278.87</v>
      </c>
      <c r="K527" s="9">
        <f>(PricingDataTable[[#This Row],[Current Price ($)]]-PricingDataTable[[#This Row],[Prior Price ($)]])/PricingDataTable[[#This Row],[Prior Price ($)]]</f>
        <v>4.7616209315203837E-3</v>
      </c>
      <c r="L527" s="9">
        <f>(PricingDataTable[[#This Row],[Vendor Price ($)]]-PricingDataTable[[#This Row],[Current Price ($)]])/PricingDataTable[[#This Row],[Current Price ($)]]</f>
        <v>5.4187058574010063E-3</v>
      </c>
      <c r="M527" t="str">
        <f t="shared" si="16"/>
        <v>PASS</v>
      </c>
      <c r="N527" s="10" t="str">
        <f t="shared" si="17"/>
        <v>NONE</v>
      </c>
    </row>
    <row r="528" spans="1:14">
      <c r="A528" s="4" t="s">
        <v>1072</v>
      </c>
      <c r="B528" s="4" t="s">
        <v>1073</v>
      </c>
      <c r="C528" s="4" t="s">
        <v>39</v>
      </c>
      <c r="D528" s="4" t="s">
        <v>13</v>
      </c>
      <c r="E528" s="5">
        <v>254.25149999999999</v>
      </c>
      <c r="F528" s="5">
        <v>250.18109999999999</v>
      </c>
      <c r="G528" s="5">
        <v>249.3973</v>
      </c>
      <c r="H528" s="4">
        <v>0</v>
      </c>
      <c r="I528" s="6">
        <v>2729111</v>
      </c>
      <c r="J528" s="7">
        <v>80.569999999999993</v>
      </c>
      <c r="K528" s="9">
        <f>(PricingDataTable[[#This Row],[Current Price ($)]]-PricingDataTable[[#This Row],[Prior Price ($)]])/PricingDataTable[[#This Row],[Prior Price ($)]]</f>
        <v>-1.6009345077610187E-2</v>
      </c>
      <c r="L528" s="9">
        <f>(PricingDataTable[[#This Row],[Vendor Price ($)]]-PricingDataTable[[#This Row],[Current Price ($)]])/PricingDataTable[[#This Row],[Current Price ($)]]</f>
        <v>-3.1329305051420158E-3</v>
      </c>
      <c r="M528" t="str">
        <f t="shared" si="16"/>
        <v>PASS</v>
      </c>
      <c r="N528" s="10" t="str">
        <f t="shared" si="17"/>
        <v>NONE</v>
      </c>
    </row>
    <row r="529" spans="1:14">
      <c r="A529" s="4" t="s">
        <v>1074</v>
      </c>
      <c r="B529" s="4" t="s">
        <v>1075</v>
      </c>
      <c r="C529" s="4" t="s">
        <v>16</v>
      </c>
      <c r="D529" s="4" t="s">
        <v>13</v>
      </c>
      <c r="E529" s="5">
        <v>94.769900000000007</v>
      </c>
      <c r="F529" s="5">
        <v>92</v>
      </c>
      <c r="G529" s="5">
        <v>91.822900000000004</v>
      </c>
      <c r="H529" s="4">
        <v>0</v>
      </c>
      <c r="I529" s="6">
        <v>4799240</v>
      </c>
      <c r="J529" s="7">
        <v>567.16999999999996</v>
      </c>
      <c r="K529" s="9">
        <f>(PricingDataTable[[#This Row],[Current Price ($)]]-PricingDataTable[[#This Row],[Prior Price ($)]])/PricingDataTable[[#This Row],[Prior Price ($)]]</f>
        <v>-2.9227634512645963E-2</v>
      </c>
      <c r="L529" s="9">
        <f>(PricingDataTable[[#This Row],[Vendor Price ($)]]-PricingDataTable[[#This Row],[Current Price ($)]])/PricingDataTable[[#This Row],[Current Price ($)]]</f>
        <v>-1.9249999999999545E-3</v>
      </c>
      <c r="M529" t="str">
        <f t="shared" si="16"/>
        <v>PASS</v>
      </c>
      <c r="N529" s="10" t="str">
        <f t="shared" si="17"/>
        <v>NONE</v>
      </c>
    </row>
    <row r="530" spans="1:14">
      <c r="A530" s="4" t="s">
        <v>1076</v>
      </c>
      <c r="B530" s="4" t="s">
        <v>1077</v>
      </c>
      <c r="C530" s="4" t="s">
        <v>16</v>
      </c>
      <c r="D530" s="4" t="s">
        <v>13</v>
      </c>
      <c r="E530" s="5">
        <v>102.9676</v>
      </c>
      <c r="F530" s="5">
        <v>103.5749</v>
      </c>
      <c r="G530" s="5">
        <v>103.97839999999999</v>
      </c>
      <c r="H530" s="4">
        <v>0</v>
      </c>
      <c r="I530" s="6">
        <v>157565</v>
      </c>
      <c r="J530" s="7">
        <v>108.43</v>
      </c>
      <c r="K530" s="9">
        <f>(PricingDataTable[[#This Row],[Current Price ($)]]-PricingDataTable[[#This Row],[Prior Price ($)]])/PricingDataTable[[#This Row],[Prior Price ($)]]</f>
        <v>5.8979717891841227E-3</v>
      </c>
      <c r="L530" s="9">
        <f>(PricingDataTable[[#This Row],[Vendor Price ($)]]-PricingDataTable[[#This Row],[Current Price ($)]])/PricingDataTable[[#This Row],[Current Price ($)]]</f>
        <v>3.8957314947925992E-3</v>
      </c>
      <c r="M530" t="str">
        <f t="shared" si="16"/>
        <v>PASS</v>
      </c>
      <c r="N530" s="10" t="str">
        <f t="shared" si="17"/>
        <v>NONE</v>
      </c>
    </row>
    <row r="531" spans="1:14">
      <c r="A531" s="4" t="s">
        <v>1078</v>
      </c>
      <c r="B531" s="4" t="s">
        <v>1079</v>
      </c>
      <c r="C531" s="4" t="s">
        <v>35</v>
      </c>
      <c r="D531" s="4" t="s">
        <v>13</v>
      </c>
      <c r="E531" s="5">
        <v>38.633299999999998</v>
      </c>
      <c r="F531" s="5">
        <v>39.058599999999998</v>
      </c>
      <c r="G531" s="5">
        <v>38.862099999999998</v>
      </c>
      <c r="H531" s="4">
        <v>0</v>
      </c>
      <c r="I531" s="6">
        <v>4123774</v>
      </c>
      <c r="J531" s="7">
        <v>775.8</v>
      </c>
      <c r="K531" s="9">
        <f>(PricingDataTable[[#This Row],[Current Price ($)]]-PricingDataTable[[#This Row],[Prior Price ($)]])/PricingDataTable[[#This Row],[Prior Price ($)]]</f>
        <v>1.1008637626089411E-2</v>
      </c>
      <c r="L531" s="9">
        <f>(PricingDataTable[[#This Row],[Vendor Price ($)]]-PricingDataTable[[#This Row],[Current Price ($)]])/PricingDataTable[[#This Row],[Current Price ($)]]</f>
        <v>-5.0309022852841716E-3</v>
      </c>
      <c r="M531" t="str">
        <f t="shared" si="16"/>
        <v>PASS</v>
      </c>
      <c r="N531" s="10" t="str">
        <f t="shared" si="17"/>
        <v>NONE</v>
      </c>
    </row>
    <row r="532" spans="1:14">
      <c r="A532" s="4" t="s">
        <v>1080</v>
      </c>
      <c r="B532" s="4" t="s">
        <v>1081</v>
      </c>
      <c r="C532" s="4" t="s">
        <v>16</v>
      </c>
      <c r="D532" s="4" t="s">
        <v>13</v>
      </c>
      <c r="E532" s="5">
        <v>117.9824</v>
      </c>
      <c r="F532" s="5">
        <v>117.5339</v>
      </c>
      <c r="G532" s="5">
        <v>117.7818</v>
      </c>
      <c r="H532" s="4">
        <v>0</v>
      </c>
      <c r="I532" s="6">
        <v>752858</v>
      </c>
      <c r="J532" s="7">
        <v>138.97</v>
      </c>
      <c r="K532" s="9">
        <f>(PricingDataTable[[#This Row],[Current Price ($)]]-PricingDataTable[[#This Row],[Prior Price ($)]])/PricingDataTable[[#This Row],[Prior Price ($)]]</f>
        <v>-3.8014144482566526E-3</v>
      </c>
      <c r="L532" s="9">
        <f>(PricingDataTable[[#This Row],[Vendor Price ($)]]-PricingDataTable[[#This Row],[Current Price ($)]])/PricingDataTable[[#This Row],[Current Price ($)]]</f>
        <v>2.1091787135456351E-3</v>
      </c>
      <c r="M532" t="str">
        <f t="shared" si="16"/>
        <v>PASS</v>
      </c>
      <c r="N532" s="10" t="str">
        <f t="shared" si="17"/>
        <v>NONE</v>
      </c>
    </row>
    <row r="533" spans="1:14">
      <c r="A533" s="4" t="s">
        <v>1082</v>
      </c>
      <c r="B533" s="4" t="s">
        <v>1083</v>
      </c>
      <c r="C533" s="4" t="s">
        <v>19</v>
      </c>
      <c r="D533" s="4" t="s">
        <v>237</v>
      </c>
      <c r="E533" s="5">
        <v>70.058599999999998</v>
      </c>
      <c r="F533" s="5">
        <v>69.896900000000002</v>
      </c>
      <c r="G533" s="5">
        <v>69.725200000000001</v>
      </c>
      <c r="H533" s="4">
        <v>2</v>
      </c>
      <c r="I533" s="6">
        <v>1015738</v>
      </c>
      <c r="J533" s="7">
        <v>46.88</v>
      </c>
      <c r="K533" s="9">
        <f>(PricingDataTable[[#This Row],[Current Price ($)]]-PricingDataTable[[#This Row],[Prior Price ($)]])/PricingDataTable[[#This Row],[Prior Price ($)]]</f>
        <v>-2.3080678175127134E-3</v>
      </c>
      <c r="L533" s="9">
        <f>(PricingDataTable[[#This Row],[Vendor Price ($)]]-PricingDataTable[[#This Row],[Current Price ($)]])/PricingDataTable[[#This Row],[Current Price ($)]]</f>
        <v>-2.4564751798720873E-3</v>
      </c>
      <c r="M533" t="str">
        <f t="shared" si="16"/>
        <v>PASS</v>
      </c>
      <c r="N533" s="10" t="str">
        <f t="shared" si="17"/>
        <v>NONE</v>
      </c>
    </row>
    <row r="534" spans="1:14">
      <c r="A534" s="4" t="s">
        <v>1084</v>
      </c>
      <c r="B534" s="4" t="s">
        <v>1085</v>
      </c>
      <c r="C534" s="4" t="s">
        <v>12</v>
      </c>
      <c r="D534" s="4" t="s">
        <v>13</v>
      </c>
      <c r="E534" s="5">
        <v>112.6195</v>
      </c>
      <c r="F534" s="5">
        <v>112.1181</v>
      </c>
      <c r="G534" s="5">
        <v>112.22799999999999</v>
      </c>
      <c r="H534" s="4">
        <v>0</v>
      </c>
      <c r="I534" s="6">
        <v>1961757</v>
      </c>
      <c r="J534" s="7">
        <v>822.38</v>
      </c>
      <c r="K534" s="9">
        <f>(PricingDataTable[[#This Row],[Current Price ($)]]-PricingDataTable[[#This Row],[Prior Price ($)]])/PricingDataTable[[#This Row],[Prior Price ($)]]</f>
        <v>-4.4521597059124203E-3</v>
      </c>
      <c r="L534" s="9">
        <f>(PricingDataTable[[#This Row],[Vendor Price ($)]]-PricingDataTable[[#This Row],[Current Price ($)]])/PricingDataTable[[#This Row],[Current Price ($)]]</f>
        <v>9.8021639681724997E-4</v>
      </c>
      <c r="M534" t="str">
        <f t="shared" si="16"/>
        <v>PASS</v>
      </c>
      <c r="N534" s="10" t="str">
        <f t="shared" si="17"/>
        <v>NONE</v>
      </c>
    </row>
    <row r="535" spans="1:14">
      <c r="A535" s="4" t="s">
        <v>1086</v>
      </c>
      <c r="B535" s="4" t="s">
        <v>1087</v>
      </c>
      <c r="C535" s="4" t="s">
        <v>16</v>
      </c>
      <c r="D535" s="4" t="s">
        <v>13</v>
      </c>
      <c r="E535" s="5">
        <v>80.075500000000005</v>
      </c>
      <c r="F535" s="5">
        <v>80.189099999999996</v>
      </c>
      <c r="G535" s="5">
        <v>79.840999999999994</v>
      </c>
      <c r="H535" s="4">
        <v>0</v>
      </c>
      <c r="I535" s="6">
        <v>1195261</v>
      </c>
      <c r="J535" s="7">
        <v>336.1</v>
      </c>
      <c r="K535" s="9">
        <f>(PricingDataTable[[#This Row],[Current Price ($)]]-PricingDataTable[[#This Row],[Prior Price ($)]])/PricingDataTable[[#This Row],[Prior Price ($)]]</f>
        <v>1.4186611385503809E-3</v>
      </c>
      <c r="L535" s="9">
        <f>(PricingDataTable[[#This Row],[Vendor Price ($)]]-PricingDataTable[[#This Row],[Current Price ($)]])/PricingDataTable[[#This Row],[Current Price ($)]]</f>
        <v>-4.3409889872813422E-3</v>
      </c>
      <c r="M535" t="str">
        <f t="shared" si="16"/>
        <v>PASS</v>
      </c>
      <c r="N535" s="10" t="str">
        <f t="shared" si="17"/>
        <v>NONE</v>
      </c>
    </row>
    <row r="536" spans="1:14">
      <c r="A536" s="4" t="s">
        <v>1088</v>
      </c>
      <c r="B536" s="4" t="s">
        <v>1089</v>
      </c>
      <c r="C536" s="4" t="s">
        <v>16</v>
      </c>
      <c r="D536" s="4" t="s">
        <v>13</v>
      </c>
      <c r="E536" s="5">
        <v>120.5746</v>
      </c>
      <c r="F536" s="5">
        <v>120.5128</v>
      </c>
      <c r="G536" s="5"/>
      <c r="H536" s="4">
        <v>0</v>
      </c>
      <c r="I536" s="6">
        <v>4045871</v>
      </c>
      <c r="J536" s="7">
        <v>246.12</v>
      </c>
      <c r="K536" s="9">
        <f>(PricingDataTable[[#This Row],[Current Price ($)]]-PricingDataTable[[#This Row],[Prior Price ($)]])/PricingDataTable[[#This Row],[Prior Price ($)]]</f>
        <v>-5.1254576005232597E-4</v>
      </c>
      <c r="L536" s="9">
        <f>(PricingDataTable[[#This Row],[Vendor Price ($)]]-PricingDataTable[[#This Row],[Current Price ($)]])/PricingDataTable[[#This Row],[Current Price ($)]]</f>
        <v>-1</v>
      </c>
      <c r="M536" t="str">
        <f t="shared" si="16"/>
        <v>VENDOR DIFFERENCE</v>
      </c>
      <c r="N536" s="10" t="str">
        <f t="shared" si="17"/>
        <v>HIGH</v>
      </c>
    </row>
    <row r="537" spans="1:14">
      <c r="A537" s="4" t="s">
        <v>1090</v>
      </c>
      <c r="B537" s="4" t="s">
        <v>1091</v>
      </c>
      <c r="C537" s="4" t="s">
        <v>35</v>
      </c>
      <c r="D537" s="4" t="s">
        <v>64</v>
      </c>
      <c r="E537" s="5">
        <v>39.870199999999997</v>
      </c>
      <c r="F537" s="5">
        <v>40.08</v>
      </c>
      <c r="G537" s="5">
        <v>39.997700000000002</v>
      </c>
      <c r="H537" s="4">
        <v>0</v>
      </c>
      <c r="I537" s="6">
        <v>1172471</v>
      </c>
      <c r="J537" s="7">
        <v>652.62</v>
      </c>
      <c r="K537" s="9">
        <f>(PricingDataTable[[#This Row],[Current Price ($)]]-PricingDataTable[[#This Row],[Prior Price ($)]])/PricingDataTable[[#This Row],[Prior Price ($)]]</f>
        <v>5.2620754347859136E-3</v>
      </c>
      <c r="L537" s="9">
        <f>(PricingDataTable[[#This Row],[Vendor Price ($)]]-PricingDataTable[[#This Row],[Current Price ($)]])/PricingDataTable[[#This Row],[Current Price ($)]]</f>
        <v>-2.0533932135727668E-3</v>
      </c>
      <c r="M537" t="str">
        <f t="shared" si="16"/>
        <v>PASS</v>
      </c>
      <c r="N537" s="10" t="str">
        <f t="shared" si="17"/>
        <v>NONE</v>
      </c>
    </row>
    <row r="538" spans="1:14">
      <c r="A538" s="4" t="s">
        <v>1092</v>
      </c>
      <c r="B538" s="4" t="s">
        <v>1093</v>
      </c>
      <c r="C538" s="4" t="s">
        <v>19</v>
      </c>
      <c r="D538" s="4" t="s">
        <v>13</v>
      </c>
      <c r="E538" s="5">
        <v>282.30329999999998</v>
      </c>
      <c r="F538" s="5">
        <v>288.39499999999998</v>
      </c>
      <c r="G538" s="5">
        <v>287.00479999999999</v>
      </c>
      <c r="H538" s="4">
        <v>1</v>
      </c>
      <c r="I538" s="6">
        <v>2699097</v>
      </c>
      <c r="J538" s="7">
        <v>307.60000000000002</v>
      </c>
      <c r="K538" s="9">
        <f>(PricingDataTable[[#This Row],[Current Price ($)]]-PricingDataTable[[#This Row],[Prior Price ($)]])/PricingDataTable[[#This Row],[Prior Price ($)]]</f>
        <v>2.1578564614724672E-2</v>
      </c>
      <c r="L538" s="9">
        <f>(PricingDataTable[[#This Row],[Vendor Price ($)]]-PricingDataTable[[#This Row],[Current Price ($)]])/PricingDataTable[[#This Row],[Current Price ($)]]</f>
        <v>-4.8204719221900281E-3</v>
      </c>
      <c r="M538" t="str">
        <f t="shared" si="16"/>
        <v>PASS</v>
      </c>
      <c r="N538" s="10" t="str">
        <f t="shared" si="17"/>
        <v>NONE</v>
      </c>
    </row>
    <row r="539" spans="1:14">
      <c r="A539" s="4" t="s">
        <v>1094</v>
      </c>
      <c r="B539" s="4" t="s">
        <v>1095</v>
      </c>
      <c r="C539" s="4" t="s">
        <v>19</v>
      </c>
      <c r="D539" s="4" t="s">
        <v>36</v>
      </c>
      <c r="E539" s="5">
        <v>53.734200000000001</v>
      </c>
      <c r="F539" s="5">
        <v>45.682499999999997</v>
      </c>
      <c r="G539" s="5">
        <v>45.5944</v>
      </c>
      <c r="H539" s="4">
        <v>2</v>
      </c>
      <c r="I539" s="6">
        <v>4515173</v>
      </c>
      <c r="J539" s="7">
        <v>73.22</v>
      </c>
      <c r="K539" s="9">
        <f>(PricingDataTable[[#This Row],[Current Price ($)]]-PricingDataTable[[#This Row],[Prior Price ($)]])/PricingDataTable[[#This Row],[Prior Price ($)]]</f>
        <v>-0.14984311667429689</v>
      </c>
      <c r="L539" s="9">
        <f>(PricingDataTable[[#This Row],[Vendor Price ($)]]-PricingDataTable[[#This Row],[Current Price ($)]])/PricingDataTable[[#This Row],[Current Price ($)]]</f>
        <v>-1.9285284299238698E-3</v>
      </c>
      <c r="M539" t="str">
        <f t="shared" si="16"/>
        <v>LARGE MOVE</v>
      </c>
      <c r="N539" s="10" t="str">
        <f t="shared" si="17"/>
        <v>HIGH</v>
      </c>
    </row>
    <row r="540" spans="1:14">
      <c r="A540" s="4" t="s">
        <v>1096</v>
      </c>
      <c r="B540" s="4" t="s">
        <v>1097</v>
      </c>
      <c r="C540" s="4" t="s">
        <v>16</v>
      </c>
      <c r="D540" s="4" t="s">
        <v>36</v>
      </c>
      <c r="E540" s="5">
        <v>115.8028</v>
      </c>
      <c r="F540" s="5">
        <v>115.1315</v>
      </c>
      <c r="G540" s="5">
        <v>115.1913</v>
      </c>
      <c r="H540" s="4">
        <v>0</v>
      </c>
      <c r="I540" s="6">
        <v>71727</v>
      </c>
      <c r="J540" s="7">
        <v>112.46</v>
      </c>
      <c r="K540" s="9">
        <f>(PricingDataTable[[#This Row],[Current Price ($)]]-PricingDataTable[[#This Row],[Prior Price ($)]])/PricingDataTable[[#This Row],[Prior Price ($)]]</f>
        <v>-5.796923735868236E-3</v>
      </c>
      <c r="L540" s="9">
        <f>(PricingDataTable[[#This Row],[Vendor Price ($)]]-PricingDataTable[[#This Row],[Current Price ($)]])/PricingDataTable[[#This Row],[Current Price ($)]]</f>
        <v>5.1940607044983892E-4</v>
      </c>
      <c r="M540" t="str">
        <f t="shared" si="16"/>
        <v>PASS</v>
      </c>
      <c r="N540" s="10" t="str">
        <f t="shared" si="17"/>
        <v>NONE</v>
      </c>
    </row>
    <row r="541" spans="1:14">
      <c r="A541" s="4" t="s">
        <v>1098</v>
      </c>
      <c r="B541" s="4" t="s">
        <v>1099</v>
      </c>
      <c r="C541" s="4" t="s">
        <v>16</v>
      </c>
      <c r="D541" s="4" t="s">
        <v>13</v>
      </c>
      <c r="E541" s="5">
        <v>75.989099999999993</v>
      </c>
      <c r="F541" s="5">
        <v>75.589299999999994</v>
      </c>
      <c r="G541" s="5">
        <v>76.090999999999994</v>
      </c>
      <c r="H541" s="4">
        <v>0</v>
      </c>
      <c r="I541" s="6">
        <v>1966098</v>
      </c>
      <c r="J541" s="7">
        <v>882.11</v>
      </c>
      <c r="K541" s="9">
        <f>(PricingDataTable[[#This Row],[Current Price ($)]]-PricingDataTable[[#This Row],[Prior Price ($)]])/PricingDataTable[[#This Row],[Prior Price ($)]]</f>
        <v>-5.2612808942335033E-3</v>
      </c>
      <c r="L541" s="9">
        <f>(PricingDataTable[[#This Row],[Vendor Price ($)]]-PricingDataTable[[#This Row],[Current Price ($)]])/PricingDataTable[[#This Row],[Current Price ($)]]</f>
        <v>6.6371827758690662E-3</v>
      </c>
      <c r="M541" t="str">
        <f t="shared" si="16"/>
        <v>PASS</v>
      </c>
      <c r="N541" s="10" t="str">
        <f t="shared" si="17"/>
        <v>NONE</v>
      </c>
    </row>
    <row r="542" spans="1:14">
      <c r="A542" s="4" t="s">
        <v>1100</v>
      </c>
      <c r="B542" s="4" t="s">
        <v>1101</v>
      </c>
      <c r="C542" s="4" t="s">
        <v>19</v>
      </c>
      <c r="D542" s="4" t="s">
        <v>36</v>
      </c>
      <c r="E542" s="5">
        <v>249.78309999999999</v>
      </c>
      <c r="F542" s="5">
        <v>250.28659999999999</v>
      </c>
      <c r="G542" s="5">
        <v>250.7664</v>
      </c>
      <c r="H542" s="4">
        <v>2</v>
      </c>
      <c r="I542" s="6">
        <v>4629709</v>
      </c>
      <c r="J542" s="7">
        <v>174.55</v>
      </c>
      <c r="K542" s="9">
        <f>(PricingDataTable[[#This Row],[Current Price ($)]]-PricingDataTable[[#This Row],[Prior Price ($)]])/PricingDataTable[[#This Row],[Prior Price ($)]]</f>
        <v>2.0157488637141687E-3</v>
      </c>
      <c r="L542" s="9">
        <f>(PricingDataTable[[#This Row],[Vendor Price ($)]]-PricingDataTable[[#This Row],[Current Price ($)]])/PricingDataTable[[#This Row],[Current Price ($)]]</f>
        <v>1.9170023485077169E-3</v>
      </c>
      <c r="M542" t="str">
        <f t="shared" si="16"/>
        <v>PASS</v>
      </c>
      <c r="N542" s="10" t="str">
        <f t="shared" si="17"/>
        <v>NONE</v>
      </c>
    </row>
    <row r="543" spans="1:14">
      <c r="A543" s="4" t="s">
        <v>1102</v>
      </c>
      <c r="B543" s="4" t="s">
        <v>1103</v>
      </c>
      <c r="C543" s="4" t="s">
        <v>12</v>
      </c>
      <c r="D543" s="4" t="s">
        <v>13</v>
      </c>
      <c r="E543" s="5">
        <v>83.776399999999995</v>
      </c>
      <c r="F543" s="5">
        <v>82.361000000000004</v>
      </c>
      <c r="G543" s="5">
        <v>82.145899999999997</v>
      </c>
      <c r="H543" s="4">
        <v>2</v>
      </c>
      <c r="I543" s="6">
        <v>2302229</v>
      </c>
      <c r="J543" s="7">
        <v>172.83</v>
      </c>
      <c r="K543" s="9">
        <f>(PricingDataTable[[#This Row],[Current Price ($)]]-PricingDataTable[[#This Row],[Prior Price ($)]])/PricingDataTable[[#This Row],[Prior Price ($)]]</f>
        <v>-1.6894972808571284E-2</v>
      </c>
      <c r="L543" s="9">
        <f>(PricingDataTable[[#This Row],[Vendor Price ($)]]-PricingDataTable[[#This Row],[Current Price ($)]])/PricingDataTable[[#This Row],[Current Price ($)]]</f>
        <v>-2.6116730005707402E-3</v>
      </c>
      <c r="M543" t="str">
        <f t="shared" si="16"/>
        <v>PASS</v>
      </c>
      <c r="N543" s="10" t="str">
        <f t="shared" si="17"/>
        <v>NONE</v>
      </c>
    </row>
    <row r="544" spans="1:14">
      <c r="A544" s="4" t="s">
        <v>1104</v>
      </c>
      <c r="B544" s="4" t="s">
        <v>1105</v>
      </c>
      <c r="C544" s="4" t="s">
        <v>35</v>
      </c>
      <c r="D544" s="4" t="s">
        <v>13</v>
      </c>
      <c r="E544" s="5">
        <v>96.863600000000005</v>
      </c>
      <c r="F544" s="5">
        <v>96.836299999999994</v>
      </c>
      <c r="G544" s="5">
        <v>97.208500000000001</v>
      </c>
      <c r="H544" s="4">
        <v>0</v>
      </c>
      <c r="I544" s="6">
        <v>2710514</v>
      </c>
      <c r="J544" s="7">
        <v>389.41</v>
      </c>
      <c r="K544" s="9">
        <f>(PricingDataTable[[#This Row],[Current Price ($)]]-PricingDataTable[[#This Row],[Prior Price ($)]])/PricingDataTable[[#This Row],[Prior Price ($)]]</f>
        <v>-2.8183961777190794E-4</v>
      </c>
      <c r="L544" s="9">
        <f>(PricingDataTable[[#This Row],[Vendor Price ($)]]-PricingDataTable[[#This Row],[Current Price ($)]])/PricingDataTable[[#This Row],[Current Price ($)]]</f>
        <v>3.8435999723244957E-3</v>
      </c>
      <c r="M544" t="str">
        <f t="shared" si="16"/>
        <v>PASS</v>
      </c>
      <c r="N544" s="10" t="str">
        <f t="shared" si="17"/>
        <v>NONE</v>
      </c>
    </row>
    <row r="545" spans="1:14">
      <c r="A545" s="4" t="s">
        <v>1106</v>
      </c>
      <c r="B545" s="4" t="s">
        <v>1107</v>
      </c>
      <c r="C545" s="4" t="s">
        <v>19</v>
      </c>
      <c r="D545" s="4" t="s">
        <v>13</v>
      </c>
      <c r="E545" s="5">
        <v>177.48660000000001</v>
      </c>
      <c r="F545" s="5">
        <v>176.8553</v>
      </c>
      <c r="G545" s="5">
        <v>176.8382</v>
      </c>
      <c r="H545" s="4">
        <v>3</v>
      </c>
      <c r="I545" s="6">
        <v>3288150</v>
      </c>
      <c r="J545" s="7">
        <v>175.31</v>
      </c>
      <c r="K545" s="9">
        <f>(PricingDataTable[[#This Row],[Current Price ($)]]-PricingDataTable[[#This Row],[Prior Price ($)]])/PricingDataTable[[#This Row],[Prior Price ($)]]</f>
        <v>-3.5568882383234012E-3</v>
      </c>
      <c r="L545" s="9">
        <f>(PricingDataTable[[#This Row],[Vendor Price ($)]]-PricingDataTable[[#This Row],[Current Price ($)]])/PricingDataTable[[#This Row],[Current Price ($)]]</f>
        <v>-9.6689214289869888E-5</v>
      </c>
      <c r="M545" t="str">
        <f t="shared" si="16"/>
        <v>STALE</v>
      </c>
      <c r="N545" s="10" t="str">
        <f t="shared" si="17"/>
        <v>LOW</v>
      </c>
    </row>
    <row r="546" spans="1:14">
      <c r="A546" s="4" t="s">
        <v>1108</v>
      </c>
      <c r="B546" s="4" t="s">
        <v>1109</v>
      </c>
      <c r="C546" s="4" t="s">
        <v>39</v>
      </c>
      <c r="D546" s="4" t="s">
        <v>237</v>
      </c>
      <c r="E546" s="5">
        <v>85.1648</v>
      </c>
      <c r="F546" s="5">
        <v>84.211500000000001</v>
      </c>
      <c r="G546" s="5">
        <v>83.621200000000002</v>
      </c>
      <c r="H546" s="4">
        <v>0</v>
      </c>
      <c r="I546" s="6">
        <v>234813</v>
      </c>
      <c r="J546" s="7">
        <v>432.07</v>
      </c>
      <c r="K546" s="9">
        <f>(PricingDataTable[[#This Row],[Current Price ($)]]-PricingDataTable[[#This Row],[Prior Price ($)]])/PricingDataTable[[#This Row],[Prior Price ($)]]</f>
        <v>-1.1193591718644307E-2</v>
      </c>
      <c r="L546" s="9">
        <f>(PricingDataTable[[#This Row],[Vendor Price ($)]]-PricingDataTable[[#This Row],[Current Price ($)]])/PricingDataTable[[#This Row],[Current Price ($)]]</f>
        <v>-7.0097314499800991E-3</v>
      </c>
      <c r="M546" t="str">
        <f t="shared" si="16"/>
        <v>PASS</v>
      </c>
      <c r="N546" s="10" t="str">
        <f t="shared" si="17"/>
        <v>NONE</v>
      </c>
    </row>
    <row r="547" spans="1:14">
      <c r="A547" s="4" t="s">
        <v>1110</v>
      </c>
      <c r="B547" s="4" t="s">
        <v>1111</v>
      </c>
      <c r="C547" s="4" t="s">
        <v>39</v>
      </c>
      <c r="D547" s="4" t="s">
        <v>36</v>
      </c>
      <c r="E547" s="5">
        <v>295.45359999999999</v>
      </c>
      <c r="F547" s="5">
        <v>295.52539999999999</v>
      </c>
      <c r="G547" s="5">
        <v>296.52960000000002</v>
      </c>
      <c r="H547" s="4">
        <v>1</v>
      </c>
      <c r="I547" s="6">
        <v>612620</v>
      </c>
      <c r="J547" s="7">
        <v>698.22</v>
      </c>
      <c r="K547" s="9">
        <f>(PricingDataTable[[#This Row],[Current Price ($)]]-PricingDataTable[[#This Row],[Prior Price ($)]])/PricingDataTable[[#This Row],[Prior Price ($)]]</f>
        <v>2.4301616226709064E-4</v>
      </c>
      <c r="L547" s="9">
        <f>(PricingDataTable[[#This Row],[Vendor Price ($)]]-PricingDataTable[[#This Row],[Current Price ($)]])/PricingDataTable[[#This Row],[Current Price ($)]]</f>
        <v>3.3980158727474042E-3</v>
      </c>
      <c r="M547" t="str">
        <f t="shared" si="16"/>
        <v>PASS</v>
      </c>
      <c r="N547" s="10" t="str">
        <f t="shared" si="17"/>
        <v>NONE</v>
      </c>
    </row>
    <row r="548" spans="1:14">
      <c r="A548" s="4" t="s">
        <v>1112</v>
      </c>
      <c r="B548" s="4" t="s">
        <v>1113</v>
      </c>
      <c r="C548" s="4" t="s">
        <v>39</v>
      </c>
      <c r="D548" s="4" t="s">
        <v>13</v>
      </c>
      <c r="E548" s="5">
        <v>205.9956</v>
      </c>
      <c r="F548" s="5">
        <v>248.21680000000001</v>
      </c>
      <c r="G548" s="5">
        <v>248.35169999999999</v>
      </c>
      <c r="H548" s="4">
        <v>1</v>
      </c>
      <c r="I548" s="6">
        <v>460602</v>
      </c>
      <c r="J548" s="7">
        <v>271.45999999999998</v>
      </c>
      <c r="K548" s="9">
        <f>(PricingDataTable[[#This Row],[Current Price ($)]]-PricingDataTable[[#This Row],[Prior Price ($)]])/PricingDataTable[[#This Row],[Prior Price ($)]]</f>
        <v>0.20496165937524885</v>
      </c>
      <c r="L548" s="9">
        <f>(PricingDataTable[[#This Row],[Vendor Price ($)]]-PricingDataTable[[#This Row],[Current Price ($)]])/PricingDataTable[[#This Row],[Current Price ($)]]</f>
        <v>5.4347650924509378E-4</v>
      </c>
      <c r="M548" t="str">
        <f t="shared" si="16"/>
        <v>LARGE MOVE</v>
      </c>
      <c r="N548" s="10" t="str">
        <f t="shared" si="17"/>
        <v>HIGH</v>
      </c>
    </row>
    <row r="549" spans="1:14">
      <c r="A549" s="4" t="s">
        <v>1114</v>
      </c>
      <c r="B549" s="4" t="s">
        <v>1115</v>
      </c>
      <c r="C549" s="4" t="s">
        <v>19</v>
      </c>
      <c r="D549" s="4" t="s">
        <v>13</v>
      </c>
      <c r="E549" s="5">
        <v>199.2663</v>
      </c>
      <c r="F549" s="5">
        <v>198.61349999999999</v>
      </c>
      <c r="G549" s="5">
        <v>199.17449999999999</v>
      </c>
      <c r="H549" s="4">
        <v>0</v>
      </c>
      <c r="I549" s="6">
        <v>89974</v>
      </c>
      <c r="J549" s="7">
        <v>408.18</v>
      </c>
      <c r="K549" s="9">
        <f>(PricingDataTable[[#This Row],[Current Price ($)]]-PricingDataTable[[#This Row],[Prior Price ($)]])/PricingDataTable[[#This Row],[Prior Price ($)]]</f>
        <v>-3.2760180722982931E-3</v>
      </c>
      <c r="L549" s="9">
        <f>(PricingDataTable[[#This Row],[Vendor Price ($)]]-PricingDataTable[[#This Row],[Current Price ($)]])/PricingDataTable[[#This Row],[Current Price ($)]]</f>
        <v>2.8245814106292225E-3</v>
      </c>
      <c r="M549" t="str">
        <f t="shared" si="16"/>
        <v>PASS</v>
      </c>
      <c r="N549" s="10" t="str">
        <f t="shared" si="17"/>
        <v>NONE</v>
      </c>
    </row>
    <row r="550" spans="1:14">
      <c r="A550" s="4" t="s">
        <v>1116</v>
      </c>
      <c r="B550" s="4" t="s">
        <v>1117</v>
      </c>
      <c r="C550" s="4" t="s">
        <v>39</v>
      </c>
      <c r="D550" s="4" t="s">
        <v>13</v>
      </c>
      <c r="E550" s="5">
        <v>124.14879999999999</v>
      </c>
      <c r="F550" s="5">
        <v>126.5551</v>
      </c>
      <c r="G550" s="5">
        <v>126.3015</v>
      </c>
      <c r="H550" s="4">
        <v>0</v>
      </c>
      <c r="I550" s="6">
        <v>567604</v>
      </c>
      <c r="J550" s="7">
        <v>533.67999999999995</v>
      </c>
      <c r="K550" s="9">
        <f>(PricingDataTable[[#This Row],[Current Price ($)]]-PricingDataTable[[#This Row],[Prior Price ($)]])/PricingDataTable[[#This Row],[Prior Price ($)]]</f>
        <v>1.9382386297733058E-2</v>
      </c>
      <c r="L550" s="9">
        <f>(PricingDataTable[[#This Row],[Vendor Price ($)]]-PricingDataTable[[#This Row],[Current Price ($)]])/PricingDataTable[[#This Row],[Current Price ($)]]</f>
        <v>-2.0038702509815221E-3</v>
      </c>
      <c r="M550" t="str">
        <f t="shared" si="16"/>
        <v>PASS</v>
      </c>
      <c r="N550" s="10" t="str">
        <f t="shared" si="17"/>
        <v>NONE</v>
      </c>
    </row>
    <row r="551" spans="1:14">
      <c r="A551" s="4" t="s">
        <v>1118</v>
      </c>
      <c r="B551" s="4" t="s">
        <v>1119</v>
      </c>
      <c r="C551" s="4" t="s">
        <v>19</v>
      </c>
      <c r="D551" s="4" t="s">
        <v>13</v>
      </c>
      <c r="E551" s="5">
        <v>129.5438</v>
      </c>
      <c r="F551" s="5">
        <v>127.39360000000001</v>
      </c>
      <c r="G551" s="5">
        <v>127.4556</v>
      </c>
      <c r="H551" s="4">
        <v>0</v>
      </c>
      <c r="I551" s="6">
        <v>4305410</v>
      </c>
      <c r="J551" s="7">
        <v>863.78</v>
      </c>
      <c r="K551" s="9">
        <f>(PricingDataTable[[#This Row],[Current Price ($)]]-PricingDataTable[[#This Row],[Prior Price ($)]])/PricingDataTable[[#This Row],[Prior Price ($)]]</f>
        <v>-1.6598247079366191E-2</v>
      </c>
      <c r="L551" s="9">
        <f>(PricingDataTable[[#This Row],[Vendor Price ($)]]-PricingDataTable[[#This Row],[Current Price ($)]])/PricingDataTable[[#This Row],[Current Price ($)]]</f>
        <v>4.8668064957735406E-4</v>
      </c>
      <c r="M551" t="str">
        <f t="shared" si="16"/>
        <v>PASS</v>
      </c>
      <c r="N551" s="10" t="str">
        <f t="shared" si="17"/>
        <v>NONE</v>
      </c>
    </row>
    <row r="552" spans="1:14">
      <c r="A552" s="4" t="s">
        <v>1120</v>
      </c>
      <c r="B552" s="4" t="s">
        <v>1121</v>
      </c>
      <c r="C552" s="4" t="s">
        <v>12</v>
      </c>
      <c r="D552" s="4" t="s">
        <v>13</v>
      </c>
      <c r="E552" s="5">
        <v>82.281199999999998</v>
      </c>
      <c r="F552" s="5">
        <v>80.963099999999997</v>
      </c>
      <c r="G552" s="5">
        <v>81.025899999999993</v>
      </c>
      <c r="H552" s="4">
        <v>0</v>
      </c>
      <c r="I552" s="6">
        <v>1992349</v>
      </c>
      <c r="J552" s="7">
        <v>456.5</v>
      </c>
      <c r="K552" s="9">
        <f>(PricingDataTable[[#This Row],[Current Price ($)]]-PricingDataTable[[#This Row],[Prior Price ($)]])/PricingDataTable[[#This Row],[Prior Price ($)]]</f>
        <v>-1.6019455234002434E-2</v>
      </c>
      <c r="L552" s="9">
        <f>(PricingDataTable[[#This Row],[Vendor Price ($)]]-PricingDataTable[[#This Row],[Current Price ($)]])/PricingDataTable[[#This Row],[Current Price ($)]]</f>
        <v>7.756619991081832E-4</v>
      </c>
      <c r="M552" t="str">
        <f t="shared" si="16"/>
        <v>PASS</v>
      </c>
      <c r="N552" s="10" t="str">
        <f t="shared" si="17"/>
        <v>NONE</v>
      </c>
    </row>
    <row r="553" spans="1:14">
      <c r="A553" s="4" t="s">
        <v>1122</v>
      </c>
      <c r="B553" s="4" t="s">
        <v>1123</v>
      </c>
      <c r="C553" s="4" t="s">
        <v>16</v>
      </c>
      <c r="D553" s="4" t="s">
        <v>13</v>
      </c>
      <c r="E553" s="5">
        <v>85.018600000000006</v>
      </c>
      <c r="F553" s="5">
        <v>86.520399999999995</v>
      </c>
      <c r="G553" s="5">
        <v>86.272900000000007</v>
      </c>
      <c r="H553" s="4">
        <v>1</v>
      </c>
      <c r="I553" s="6">
        <v>2778849</v>
      </c>
      <c r="J553" s="7">
        <v>766.84</v>
      </c>
      <c r="K553" s="9">
        <f>(PricingDataTable[[#This Row],[Current Price ($)]]-PricingDataTable[[#This Row],[Prior Price ($)]])/PricingDataTable[[#This Row],[Prior Price ($)]]</f>
        <v>1.766436991434802E-2</v>
      </c>
      <c r="L553" s="9">
        <f>(PricingDataTable[[#This Row],[Vendor Price ($)]]-PricingDataTable[[#This Row],[Current Price ($)]])/PricingDataTable[[#This Row],[Current Price ($)]]</f>
        <v>-2.8605970383861852E-3</v>
      </c>
      <c r="M553" t="str">
        <f t="shared" si="16"/>
        <v>PASS</v>
      </c>
      <c r="N553" s="10" t="str">
        <f t="shared" si="17"/>
        <v>NONE</v>
      </c>
    </row>
    <row r="554" spans="1:14">
      <c r="A554" s="4" t="s">
        <v>1124</v>
      </c>
      <c r="B554" s="4" t="s">
        <v>1125</v>
      </c>
      <c r="C554" s="4" t="s">
        <v>12</v>
      </c>
      <c r="D554" s="4" t="s">
        <v>13</v>
      </c>
      <c r="E554" s="5">
        <v>83.114000000000004</v>
      </c>
      <c r="F554" s="5">
        <v>81.426100000000005</v>
      </c>
      <c r="G554" s="5">
        <v>81.548199999999994</v>
      </c>
      <c r="H554" s="4">
        <v>0</v>
      </c>
      <c r="I554" s="6">
        <v>1788935</v>
      </c>
      <c r="J554" s="7">
        <v>215.27</v>
      </c>
      <c r="K554" s="9">
        <f>(PricingDataTable[[#This Row],[Current Price ($)]]-PricingDataTable[[#This Row],[Prior Price ($)]])/PricingDataTable[[#This Row],[Prior Price ($)]]</f>
        <v>-2.0308251317467562E-2</v>
      </c>
      <c r="L554" s="9">
        <f>(PricingDataTable[[#This Row],[Vendor Price ($)]]-PricingDataTable[[#This Row],[Current Price ($)]])/PricingDataTable[[#This Row],[Current Price ($)]]</f>
        <v>1.4995191959333554E-3</v>
      </c>
      <c r="M554" t="str">
        <f t="shared" si="16"/>
        <v>PASS</v>
      </c>
      <c r="N554" s="10" t="str">
        <f t="shared" si="17"/>
        <v>NONE</v>
      </c>
    </row>
    <row r="555" spans="1:14">
      <c r="A555" s="4" t="s">
        <v>1126</v>
      </c>
      <c r="B555" s="4" t="s">
        <v>1127</v>
      </c>
      <c r="C555" s="4" t="s">
        <v>39</v>
      </c>
      <c r="D555" s="4" t="s">
        <v>13</v>
      </c>
      <c r="E555" s="5">
        <v>144.90690000000001</v>
      </c>
      <c r="F555" s="5">
        <v>152.9846</v>
      </c>
      <c r="G555" s="5">
        <v>152.93729999999999</v>
      </c>
      <c r="H555" s="4">
        <v>0</v>
      </c>
      <c r="I555" s="6">
        <v>3020137</v>
      </c>
      <c r="J555" s="7">
        <v>39.71</v>
      </c>
      <c r="K555" s="9">
        <f>(PricingDataTable[[#This Row],[Current Price ($)]]-PricingDataTable[[#This Row],[Prior Price ($)]])/PricingDataTable[[#This Row],[Prior Price ($)]]</f>
        <v>5.5744067397756718E-2</v>
      </c>
      <c r="L555" s="9">
        <f>(PricingDataTable[[#This Row],[Vendor Price ($)]]-PricingDataTable[[#This Row],[Current Price ($)]])/PricingDataTable[[#This Row],[Current Price ($)]]</f>
        <v>-3.0918144702151069E-4</v>
      </c>
      <c r="M555" t="str">
        <f t="shared" si="16"/>
        <v>LARGE MOVE</v>
      </c>
      <c r="N555" s="10" t="str">
        <f t="shared" si="17"/>
        <v>LOW</v>
      </c>
    </row>
    <row r="556" spans="1:14">
      <c r="A556" s="4" t="s">
        <v>1128</v>
      </c>
      <c r="B556" s="4" t="s">
        <v>1129</v>
      </c>
      <c r="C556" s="4" t="s">
        <v>19</v>
      </c>
      <c r="D556" s="4" t="s">
        <v>13</v>
      </c>
      <c r="E556" s="5">
        <v>310.80070000000001</v>
      </c>
      <c r="F556" s="5">
        <v>310.1395</v>
      </c>
      <c r="G556" s="5">
        <v>309.30779999999999</v>
      </c>
      <c r="H556" s="4">
        <v>0</v>
      </c>
      <c r="I556" s="6">
        <v>177108</v>
      </c>
      <c r="J556" s="7">
        <v>748.33</v>
      </c>
      <c r="K556" s="9">
        <f>(PricingDataTable[[#This Row],[Current Price ($)]]-PricingDataTable[[#This Row],[Prior Price ($)]])/PricingDataTable[[#This Row],[Prior Price ($)]]</f>
        <v>-2.1274083359529368E-3</v>
      </c>
      <c r="L556" s="9">
        <f>(PricingDataTable[[#This Row],[Vendor Price ($)]]-PricingDataTable[[#This Row],[Current Price ($)]])/PricingDataTable[[#This Row],[Current Price ($)]]</f>
        <v>-2.6816964623984116E-3</v>
      </c>
      <c r="M556" t="str">
        <f t="shared" si="16"/>
        <v>PASS</v>
      </c>
      <c r="N556" s="10" t="str">
        <f t="shared" si="17"/>
        <v>NONE</v>
      </c>
    </row>
    <row r="557" spans="1:14">
      <c r="A557" s="4" t="s">
        <v>1130</v>
      </c>
      <c r="B557" s="4" t="s">
        <v>1131</v>
      </c>
      <c r="C557" s="4" t="s">
        <v>12</v>
      </c>
      <c r="D557" s="4" t="s">
        <v>64</v>
      </c>
      <c r="E557" s="5">
        <v>91.919200000000004</v>
      </c>
      <c r="F557" s="5">
        <v>92.220200000000006</v>
      </c>
      <c r="G557" s="5">
        <v>92.516099999999994</v>
      </c>
      <c r="H557" s="4">
        <v>0</v>
      </c>
      <c r="I557" s="6">
        <v>3639290</v>
      </c>
      <c r="J557" s="7">
        <v>790.57</v>
      </c>
      <c r="K557" s="9">
        <f>(PricingDataTable[[#This Row],[Current Price ($)]]-PricingDataTable[[#This Row],[Prior Price ($)]])/PricingDataTable[[#This Row],[Prior Price ($)]]</f>
        <v>3.2746150967371554E-3</v>
      </c>
      <c r="L557" s="9">
        <f>(PricingDataTable[[#This Row],[Vendor Price ($)]]-PricingDataTable[[#This Row],[Current Price ($)]])/PricingDataTable[[#This Row],[Current Price ($)]]</f>
        <v>3.208624574659228E-3</v>
      </c>
      <c r="M557" t="str">
        <f t="shared" si="16"/>
        <v>PASS</v>
      </c>
      <c r="N557" s="10" t="str">
        <f t="shared" si="17"/>
        <v>NONE</v>
      </c>
    </row>
    <row r="558" spans="1:14">
      <c r="A558" s="4" t="s">
        <v>1132</v>
      </c>
      <c r="B558" s="4" t="s">
        <v>1133</v>
      </c>
      <c r="C558" s="4" t="s">
        <v>19</v>
      </c>
      <c r="D558" s="4" t="s">
        <v>36</v>
      </c>
      <c r="E558" s="5">
        <v>279.85520000000002</v>
      </c>
      <c r="F558" s="5">
        <v>281.02809999999999</v>
      </c>
      <c r="G558" s="5">
        <v>281.7953</v>
      </c>
      <c r="H558" s="4">
        <v>4</v>
      </c>
      <c r="I558" s="6">
        <v>4927846</v>
      </c>
      <c r="J558" s="7">
        <v>170.35</v>
      </c>
      <c r="K558" s="9">
        <f>(PricingDataTable[[#This Row],[Current Price ($)]]-PricingDataTable[[#This Row],[Prior Price ($)]])/PricingDataTable[[#This Row],[Prior Price ($)]]</f>
        <v>4.1910959667712799E-3</v>
      </c>
      <c r="L558" s="9">
        <f>(PricingDataTable[[#This Row],[Vendor Price ($)]]-PricingDataTable[[#This Row],[Current Price ($)]])/PricingDataTable[[#This Row],[Current Price ($)]]</f>
        <v>2.7299761127090229E-3</v>
      </c>
      <c r="M558" t="str">
        <f t="shared" si="16"/>
        <v>STALE</v>
      </c>
      <c r="N558" s="10" t="str">
        <f t="shared" si="17"/>
        <v>LOW</v>
      </c>
    </row>
    <row r="559" spans="1:14">
      <c r="A559" s="4" t="s">
        <v>1134</v>
      </c>
      <c r="B559" s="4" t="s">
        <v>1135</v>
      </c>
      <c r="C559" s="4" t="s">
        <v>39</v>
      </c>
      <c r="D559" s="4" t="s">
        <v>13</v>
      </c>
      <c r="E559" s="5">
        <v>26.214600000000001</v>
      </c>
      <c r="F559" s="5">
        <v>26.395199999999999</v>
      </c>
      <c r="G559" s="5">
        <v>26.2409</v>
      </c>
      <c r="H559" s="4">
        <v>2</v>
      </c>
      <c r="I559" s="6">
        <v>3949243</v>
      </c>
      <c r="J559" s="7">
        <v>711.94</v>
      </c>
      <c r="K559" s="9">
        <f>(PricingDataTable[[#This Row],[Current Price ($)]]-PricingDataTable[[#This Row],[Prior Price ($)]])/PricingDataTable[[#This Row],[Prior Price ($)]]</f>
        <v>6.88929070060189E-3</v>
      </c>
      <c r="L559" s="9">
        <f>(PricingDataTable[[#This Row],[Vendor Price ($)]]-PricingDataTable[[#This Row],[Current Price ($)]])/PricingDataTable[[#This Row],[Current Price ($)]]</f>
        <v>-5.8457598351215074E-3</v>
      </c>
      <c r="M559" t="str">
        <f t="shared" si="16"/>
        <v>PASS</v>
      </c>
      <c r="N559" s="10" t="str">
        <f t="shared" si="17"/>
        <v>NONE</v>
      </c>
    </row>
    <row r="560" spans="1:14">
      <c r="A560" s="4" t="s">
        <v>1136</v>
      </c>
      <c r="B560" s="4" t="s">
        <v>1137</v>
      </c>
      <c r="C560" s="4" t="s">
        <v>19</v>
      </c>
      <c r="D560" s="4" t="s">
        <v>13</v>
      </c>
      <c r="E560" s="5">
        <v>309.78840000000002</v>
      </c>
      <c r="F560" s="5">
        <v>309.8141</v>
      </c>
      <c r="G560" s="5">
        <v>308.91410000000002</v>
      </c>
      <c r="H560" s="4">
        <v>1</v>
      </c>
      <c r="I560" s="6">
        <v>4151616</v>
      </c>
      <c r="J560" s="7">
        <v>426.49</v>
      </c>
      <c r="K560" s="9">
        <f>(PricingDataTable[[#This Row],[Current Price ($)]]-PricingDataTable[[#This Row],[Prior Price ($)]])/PricingDataTable[[#This Row],[Prior Price ($)]]</f>
        <v>8.2959852596069052E-5</v>
      </c>
      <c r="L560" s="9">
        <f>(PricingDataTable[[#This Row],[Vendor Price ($)]]-PricingDataTable[[#This Row],[Current Price ($)]])/PricingDataTable[[#This Row],[Current Price ($)]]</f>
        <v>-2.9049678500751813E-3</v>
      </c>
      <c r="M560" t="str">
        <f t="shared" si="16"/>
        <v>PASS</v>
      </c>
      <c r="N560" s="10" t="str">
        <f t="shared" si="17"/>
        <v>NONE</v>
      </c>
    </row>
    <row r="561" spans="1:14">
      <c r="A561" s="4" t="s">
        <v>1138</v>
      </c>
      <c r="B561" s="4" t="s">
        <v>1139</v>
      </c>
      <c r="C561" s="4" t="s">
        <v>12</v>
      </c>
      <c r="D561" s="4" t="s">
        <v>32</v>
      </c>
      <c r="E561" s="5">
        <v>107.48690000000001</v>
      </c>
      <c r="F561" s="5">
        <v>108.21429999999999</v>
      </c>
      <c r="G561" s="5">
        <v>108.87860000000001</v>
      </c>
      <c r="H561" s="4">
        <v>0</v>
      </c>
      <c r="I561" s="6">
        <v>1319767</v>
      </c>
      <c r="J561" s="7">
        <v>841.96</v>
      </c>
      <c r="K561" s="9">
        <f>(PricingDataTable[[#This Row],[Current Price ($)]]-PricingDataTable[[#This Row],[Prior Price ($)]])/PricingDataTable[[#This Row],[Prior Price ($)]]</f>
        <v>6.7673362986558237E-3</v>
      </c>
      <c r="L561" s="9">
        <f>(PricingDataTable[[#This Row],[Vendor Price ($)]]-PricingDataTable[[#This Row],[Current Price ($)]])/PricingDataTable[[#This Row],[Current Price ($)]]</f>
        <v>6.1387450641921769E-3</v>
      </c>
      <c r="M561" t="str">
        <f t="shared" si="16"/>
        <v>PASS</v>
      </c>
      <c r="N561" s="10" t="str">
        <f t="shared" si="17"/>
        <v>NONE</v>
      </c>
    </row>
    <row r="562" spans="1:14">
      <c r="A562" s="4" t="s">
        <v>1140</v>
      </c>
      <c r="B562" s="4" t="s">
        <v>1141</v>
      </c>
      <c r="C562" s="4" t="s">
        <v>16</v>
      </c>
      <c r="D562" s="4" t="s">
        <v>13</v>
      </c>
      <c r="E562" s="5">
        <v>79.201400000000007</v>
      </c>
      <c r="F562" s="5">
        <v>78.37</v>
      </c>
      <c r="G562" s="5">
        <v>78.444800000000001</v>
      </c>
      <c r="H562" s="4">
        <v>0</v>
      </c>
      <c r="I562" s="6">
        <v>3431544</v>
      </c>
      <c r="J562" s="7">
        <v>330.89</v>
      </c>
      <c r="K562" s="9">
        <f>(PricingDataTable[[#This Row],[Current Price ($)]]-PricingDataTable[[#This Row],[Prior Price ($)]])/PricingDataTable[[#This Row],[Prior Price ($)]]</f>
        <v>-1.0497289189332537E-2</v>
      </c>
      <c r="L562" s="9">
        <f>(PricingDataTable[[#This Row],[Vendor Price ($)]]-PricingDataTable[[#This Row],[Current Price ($)]])/PricingDataTable[[#This Row],[Current Price ($)]]</f>
        <v>9.5444685466372593E-4</v>
      </c>
      <c r="M562" t="str">
        <f t="shared" si="16"/>
        <v>PASS</v>
      </c>
      <c r="N562" s="10" t="str">
        <f t="shared" si="17"/>
        <v>NONE</v>
      </c>
    </row>
    <row r="563" spans="1:14">
      <c r="A563" s="4" t="s">
        <v>1142</v>
      </c>
      <c r="B563" s="4" t="s">
        <v>1143</v>
      </c>
      <c r="C563" s="4" t="s">
        <v>19</v>
      </c>
      <c r="D563" s="4" t="s">
        <v>13</v>
      </c>
      <c r="E563" s="5">
        <v>159.0575</v>
      </c>
      <c r="F563" s="5">
        <v>158.98310000000001</v>
      </c>
      <c r="G563" s="5">
        <v>159.17169999999999</v>
      </c>
      <c r="H563" s="4">
        <v>0</v>
      </c>
      <c r="I563" s="6">
        <v>2319820</v>
      </c>
      <c r="J563" s="7">
        <v>833.96</v>
      </c>
      <c r="K563" s="9">
        <f>(PricingDataTable[[#This Row],[Current Price ($)]]-PricingDataTable[[#This Row],[Prior Price ($)]])/PricingDataTable[[#This Row],[Prior Price ($)]]</f>
        <v>-4.6775537148513669E-4</v>
      </c>
      <c r="L563" s="9">
        <f>(PricingDataTable[[#This Row],[Vendor Price ($)]]-PricingDataTable[[#This Row],[Current Price ($)]])/PricingDataTable[[#This Row],[Current Price ($)]]</f>
        <v>1.1862896119145976E-3</v>
      </c>
      <c r="M563" t="str">
        <f t="shared" si="16"/>
        <v>PASS</v>
      </c>
      <c r="N563" s="10" t="str">
        <f t="shared" si="17"/>
        <v>NONE</v>
      </c>
    </row>
    <row r="564" spans="1:14">
      <c r="A564" s="4" t="s">
        <v>1144</v>
      </c>
      <c r="B564" s="4" t="s">
        <v>1145</v>
      </c>
      <c r="C564" s="4" t="s">
        <v>19</v>
      </c>
      <c r="D564" s="4" t="s">
        <v>13</v>
      </c>
      <c r="E564" s="5">
        <v>76.504900000000006</v>
      </c>
      <c r="F564" s="5">
        <v>76.774799999999999</v>
      </c>
      <c r="G564" s="5">
        <v>76.969200000000001</v>
      </c>
      <c r="H564" s="4">
        <v>1</v>
      </c>
      <c r="I564" s="6">
        <v>1157496</v>
      </c>
      <c r="J564" s="7">
        <v>898.56</v>
      </c>
      <c r="K564" s="9">
        <f>(PricingDataTable[[#This Row],[Current Price ($)]]-PricingDataTable[[#This Row],[Prior Price ($)]])/PricingDataTable[[#This Row],[Prior Price ($)]]</f>
        <v>3.5278786064682484E-3</v>
      </c>
      <c r="L564" s="9">
        <f>(PricingDataTable[[#This Row],[Vendor Price ($)]]-PricingDataTable[[#This Row],[Current Price ($)]])/PricingDataTable[[#This Row],[Current Price ($)]]</f>
        <v>2.532080839025327E-3</v>
      </c>
      <c r="M564" t="str">
        <f t="shared" si="16"/>
        <v>PASS</v>
      </c>
      <c r="N564" s="10" t="str">
        <f t="shared" si="17"/>
        <v>NONE</v>
      </c>
    </row>
    <row r="565" spans="1:14">
      <c r="A565" s="4" t="s">
        <v>1146</v>
      </c>
      <c r="B565" s="4" t="s">
        <v>1147</v>
      </c>
      <c r="C565" s="4" t="s">
        <v>35</v>
      </c>
      <c r="D565" s="4" t="s">
        <v>13</v>
      </c>
      <c r="E565" s="5">
        <v>55.306399999999996</v>
      </c>
      <c r="F565" s="5">
        <v>55.815600000000003</v>
      </c>
      <c r="G565" s="5">
        <v>55.552599999999998</v>
      </c>
      <c r="H565" s="4">
        <v>0</v>
      </c>
      <c r="I565" s="6">
        <v>4301394</v>
      </c>
      <c r="J565" s="7">
        <v>890.35</v>
      </c>
      <c r="K565" s="9">
        <f>(PricingDataTable[[#This Row],[Current Price ($)]]-PricingDataTable[[#This Row],[Prior Price ($)]])/PricingDataTable[[#This Row],[Prior Price ($)]]</f>
        <v>9.2068910650486557E-3</v>
      </c>
      <c r="L565" s="9">
        <f>(PricingDataTable[[#This Row],[Vendor Price ($)]]-PricingDataTable[[#This Row],[Current Price ($)]])/PricingDataTable[[#This Row],[Current Price ($)]]</f>
        <v>-4.7119443309756627E-3</v>
      </c>
      <c r="M565" t="str">
        <f t="shared" si="16"/>
        <v>PASS</v>
      </c>
      <c r="N565" s="10" t="str">
        <f t="shared" si="17"/>
        <v>NONE</v>
      </c>
    </row>
    <row r="566" spans="1:14">
      <c r="A566" s="4" t="s">
        <v>1148</v>
      </c>
      <c r="B566" s="4" t="s">
        <v>1149</v>
      </c>
      <c r="C566" s="4" t="s">
        <v>19</v>
      </c>
      <c r="D566" s="4" t="s">
        <v>32</v>
      </c>
      <c r="E566" s="5">
        <v>79.777299999999997</v>
      </c>
      <c r="F566" s="5">
        <v>79.907200000000003</v>
      </c>
      <c r="G566" s="5">
        <v>80.224400000000003</v>
      </c>
      <c r="H566" s="4">
        <v>1</v>
      </c>
      <c r="I566" s="6">
        <v>1576771</v>
      </c>
      <c r="J566" s="7">
        <v>386.03</v>
      </c>
      <c r="K566" s="9">
        <f>(PricingDataTable[[#This Row],[Current Price ($)]]-PricingDataTable[[#This Row],[Prior Price ($)]])/PricingDataTable[[#This Row],[Prior Price ($)]]</f>
        <v>1.6282827320554386E-3</v>
      </c>
      <c r="L566" s="9">
        <f>(PricingDataTable[[#This Row],[Vendor Price ($)]]-PricingDataTable[[#This Row],[Current Price ($)]])/PricingDataTable[[#This Row],[Current Price ($)]]</f>
        <v>3.9696047415001363E-3</v>
      </c>
      <c r="M566" t="str">
        <f t="shared" si="16"/>
        <v>PASS</v>
      </c>
      <c r="N566" s="10" t="str">
        <f t="shared" si="17"/>
        <v>NONE</v>
      </c>
    </row>
    <row r="567" spans="1:14">
      <c r="A567" s="4" t="s">
        <v>1150</v>
      </c>
      <c r="B567" s="4" t="s">
        <v>1151</v>
      </c>
      <c r="C567" s="4" t="s">
        <v>19</v>
      </c>
      <c r="D567" s="4" t="s">
        <v>13</v>
      </c>
      <c r="E567" s="5">
        <v>198.9888</v>
      </c>
      <c r="F567" s="5">
        <v>196.7765</v>
      </c>
      <c r="G567" s="5">
        <v>197.32550000000001</v>
      </c>
      <c r="H567" s="4">
        <v>0</v>
      </c>
      <c r="I567" s="6">
        <v>2851635</v>
      </c>
      <c r="J567" s="7">
        <v>203.1</v>
      </c>
      <c r="K567" s="9">
        <f>(PricingDataTable[[#This Row],[Current Price ($)]]-PricingDataTable[[#This Row],[Prior Price ($)]])/PricingDataTable[[#This Row],[Prior Price ($)]]</f>
        <v>-1.1117711147562069E-2</v>
      </c>
      <c r="L567" s="9">
        <f>(PricingDataTable[[#This Row],[Vendor Price ($)]]-PricingDataTable[[#This Row],[Current Price ($)]])/PricingDataTable[[#This Row],[Current Price ($)]]</f>
        <v>2.7899672979243284E-3</v>
      </c>
      <c r="M567" t="str">
        <f t="shared" si="16"/>
        <v>PASS</v>
      </c>
      <c r="N567" s="10" t="str">
        <f t="shared" si="17"/>
        <v>NONE</v>
      </c>
    </row>
    <row r="568" spans="1:14">
      <c r="A568" s="4" t="s">
        <v>1152</v>
      </c>
      <c r="B568" s="4" t="s">
        <v>1153</v>
      </c>
      <c r="C568" s="4" t="s">
        <v>39</v>
      </c>
      <c r="D568" s="4" t="s">
        <v>13</v>
      </c>
      <c r="E568" s="5">
        <v>110.4759</v>
      </c>
      <c r="F568" s="5">
        <v>100.5989</v>
      </c>
      <c r="G568" s="5">
        <v>100.3959</v>
      </c>
      <c r="H568" s="4">
        <v>0</v>
      </c>
      <c r="I568" s="6">
        <v>4815043</v>
      </c>
      <c r="J568" s="7">
        <v>780.28</v>
      </c>
      <c r="K568" s="9">
        <f>(PricingDataTable[[#This Row],[Current Price ($)]]-PricingDataTable[[#This Row],[Prior Price ($)]])/PricingDataTable[[#This Row],[Prior Price ($)]]</f>
        <v>-8.9404114381507596E-2</v>
      </c>
      <c r="L568" s="9">
        <f>(PricingDataTable[[#This Row],[Vendor Price ($)]]-PricingDataTable[[#This Row],[Current Price ($)]])/PricingDataTable[[#This Row],[Current Price ($)]]</f>
        <v>-2.0179147088089724E-3</v>
      </c>
      <c r="M568" t="str">
        <f t="shared" si="16"/>
        <v>LARGE MOVE</v>
      </c>
      <c r="N568" s="10" t="str">
        <f t="shared" si="17"/>
        <v>MEDIUM</v>
      </c>
    </row>
    <row r="569" spans="1:14">
      <c r="A569" s="4" t="s">
        <v>1154</v>
      </c>
      <c r="B569" s="4" t="s">
        <v>1155</v>
      </c>
      <c r="C569" s="4" t="s">
        <v>35</v>
      </c>
      <c r="D569" s="4" t="s">
        <v>13</v>
      </c>
      <c r="E569" s="5">
        <v>70.785200000000003</v>
      </c>
      <c r="F569" s="5">
        <v>70.036199999999994</v>
      </c>
      <c r="G569" s="5">
        <v>70.065799999999996</v>
      </c>
      <c r="H569" s="4">
        <v>0</v>
      </c>
      <c r="I569" s="6">
        <v>1491119</v>
      </c>
      <c r="J569" s="7">
        <v>29.05</v>
      </c>
      <c r="K569" s="9">
        <f>(PricingDataTable[[#This Row],[Current Price ($)]]-PricingDataTable[[#This Row],[Prior Price ($)]])/PricingDataTable[[#This Row],[Prior Price ($)]]</f>
        <v>-1.0581307957030699E-2</v>
      </c>
      <c r="L569" s="9">
        <f>(PricingDataTable[[#This Row],[Vendor Price ($)]]-PricingDataTable[[#This Row],[Current Price ($)]])/PricingDataTable[[#This Row],[Current Price ($)]]</f>
        <v>4.2263857833523336E-4</v>
      </c>
      <c r="M569" t="str">
        <f t="shared" si="16"/>
        <v>PASS</v>
      </c>
      <c r="N569" s="10" t="str">
        <f t="shared" si="17"/>
        <v>NONE</v>
      </c>
    </row>
    <row r="570" spans="1:14">
      <c r="A570" s="4" t="s">
        <v>1156</v>
      </c>
      <c r="B570" s="4" t="s">
        <v>1157</v>
      </c>
      <c r="C570" s="4" t="s">
        <v>16</v>
      </c>
      <c r="D570" s="4" t="s">
        <v>13</v>
      </c>
      <c r="E570" s="5">
        <v>78.474599999999995</v>
      </c>
      <c r="F570" s="5">
        <v>79.223299999999995</v>
      </c>
      <c r="G570" s="5">
        <v>79.178600000000003</v>
      </c>
      <c r="H570" s="4">
        <v>0</v>
      </c>
      <c r="I570" s="6">
        <v>1442378</v>
      </c>
      <c r="J570" s="7">
        <v>294.23</v>
      </c>
      <c r="K570" s="9">
        <f>(PricingDataTable[[#This Row],[Current Price ($)]]-PricingDataTable[[#This Row],[Prior Price ($)]])/PricingDataTable[[#This Row],[Prior Price ($)]]</f>
        <v>9.5406666615694691E-3</v>
      </c>
      <c r="L570" s="9">
        <f>(PricingDataTable[[#This Row],[Vendor Price ($)]]-PricingDataTable[[#This Row],[Current Price ($)]])/PricingDataTable[[#This Row],[Current Price ($)]]</f>
        <v>-5.6422794809092461E-4</v>
      </c>
      <c r="M570" t="str">
        <f t="shared" si="16"/>
        <v>PASS</v>
      </c>
      <c r="N570" s="10" t="str">
        <f t="shared" si="17"/>
        <v>NONE</v>
      </c>
    </row>
    <row r="571" spans="1:14">
      <c r="A571" s="4" t="s">
        <v>1158</v>
      </c>
      <c r="B571" s="4" t="s">
        <v>1159</v>
      </c>
      <c r="C571" s="4" t="s">
        <v>19</v>
      </c>
      <c r="D571" s="4" t="s">
        <v>13</v>
      </c>
      <c r="E571" s="5">
        <v>191.46690000000001</v>
      </c>
      <c r="F571" s="5">
        <v>190.60769999999999</v>
      </c>
      <c r="G571" s="5">
        <v>190.6371</v>
      </c>
      <c r="H571" s="4">
        <v>0</v>
      </c>
      <c r="I571" s="6">
        <v>3983743</v>
      </c>
      <c r="J571" s="7">
        <v>143.07</v>
      </c>
      <c r="K571" s="9">
        <f>(PricingDataTable[[#This Row],[Current Price ($)]]-PricingDataTable[[#This Row],[Prior Price ($)]])/PricingDataTable[[#This Row],[Prior Price ($)]]</f>
        <v>-4.4874597123576738E-3</v>
      </c>
      <c r="L571" s="9">
        <f>(PricingDataTable[[#This Row],[Vendor Price ($)]]-PricingDataTable[[#This Row],[Current Price ($)]])/PricingDataTable[[#This Row],[Current Price ($)]]</f>
        <v>1.5424350642712567E-4</v>
      </c>
      <c r="M571" t="str">
        <f t="shared" si="16"/>
        <v>PASS</v>
      </c>
      <c r="N571" s="10" t="str">
        <f t="shared" si="17"/>
        <v>NONE</v>
      </c>
    </row>
    <row r="572" spans="1:14">
      <c r="A572" s="4" t="s">
        <v>1160</v>
      </c>
      <c r="B572" s="4" t="s">
        <v>1161</v>
      </c>
      <c r="C572" s="4" t="s">
        <v>12</v>
      </c>
      <c r="D572" s="4" t="s">
        <v>13</v>
      </c>
      <c r="E572" s="5">
        <v>109.2418</v>
      </c>
      <c r="F572" s="5">
        <v>109.2163</v>
      </c>
      <c r="G572" s="5">
        <v>109.25579999999999</v>
      </c>
      <c r="H572" s="4">
        <v>0</v>
      </c>
      <c r="I572" s="6">
        <v>4776039</v>
      </c>
      <c r="J572" s="7">
        <v>791.34</v>
      </c>
      <c r="K572" s="9">
        <f>(PricingDataTable[[#This Row],[Current Price ($)]]-PricingDataTable[[#This Row],[Prior Price ($)]])/PricingDataTable[[#This Row],[Prior Price ($)]]</f>
        <v>-2.3342713137273336E-4</v>
      </c>
      <c r="L572" s="9">
        <f>(PricingDataTable[[#This Row],[Vendor Price ($)]]-PricingDataTable[[#This Row],[Current Price ($)]])/PricingDataTable[[#This Row],[Current Price ($)]]</f>
        <v>3.6166762653550482E-4</v>
      </c>
      <c r="M572" t="str">
        <f t="shared" si="16"/>
        <v>PASS</v>
      </c>
      <c r="N572" s="10" t="str">
        <f t="shared" si="17"/>
        <v>NONE</v>
      </c>
    </row>
    <row r="573" spans="1:14">
      <c r="A573" s="4" t="s">
        <v>1162</v>
      </c>
      <c r="B573" s="4" t="s">
        <v>1163</v>
      </c>
      <c r="C573" s="4" t="s">
        <v>12</v>
      </c>
      <c r="D573" s="4" t="s">
        <v>32</v>
      </c>
      <c r="E573" s="5">
        <v>89.395600000000002</v>
      </c>
      <c r="F573" s="5">
        <v>90.263900000000007</v>
      </c>
      <c r="G573" s="5">
        <v>90.060699999999997</v>
      </c>
      <c r="H573" s="4">
        <v>0</v>
      </c>
      <c r="I573" s="6">
        <v>1470065</v>
      </c>
      <c r="J573" s="7">
        <v>373.66</v>
      </c>
      <c r="K573" s="9">
        <f>(PricingDataTable[[#This Row],[Current Price ($)]]-PricingDataTable[[#This Row],[Prior Price ($)]])/PricingDataTable[[#This Row],[Prior Price ($)]]</f>
        <v>9.7130060092443585E-3</v>
      </c>
      <c r="L573" s="9">
        <f>(PricingDataTable[[#This Row],[Vendor Price ($)]]-PricingDataTable[[#This Row],[Current Price ($)]])/PricingDataTable[[#This Row],[Current Price ($)]]</f>
        <v>-2.2511768270594289E-3</v>
      </c>
      <c r="M573" t="str">
        <f t="shared" si="16"/>
        <v>PASS</v>
      </c>
      <c r="N573" s="10" t="str">
        <f t="shared" si="17"/>
        <v>NONE</v>
      </c>
    </row>
    <row r="574" spans="1:14">
      <c r="A574" s="4" t="s">
        <v>1164</v>
      </c>
      <c r="B574" s="4" t="s">
        <v>1165</v>
      </c>
      <c r="C574" s="4" t="s">
        <v>39</v>
      </c>
      <c r="D574" s="4" t="s">
        <v>13</v>
      </c>
      <c r="E574" s="5">
        <v>319.50490000000002</v>
      </c>
      <c r="F574" s="5">
        <v>321.52390000000003</v>
      </c>
      <c r="G574" s="5">
        <v>322.6669</v>
      </c>
      <c r="H574" s="4">
        <v>0</v>
      </c>
      <c r="I574" s="6">
        <v>4511869</v>
      </c>
      <c r="J574" s="7">
        <v>262.83999999999997</v>
      </c>
      <c r="K574" s="9">
        <f>(PricingDataTable[[#This Row],[Current Price ($)]]-PricingDataTable[[#This Row],[Prior Price ($)]])/PricingDataTable[[#This Row],[Prior Price ($)]]</f>
        <v>6.3191519128501794E-3</v>
      </c>
      <c r="L574" s="9">
        <f>(PricingDataTable[[#This Row],[Vendor Price ($)]]-PricingDataTable[[#This Row],[Current Price ($)]])/PricingDataTable[[#This Row],[Current Price ($)]]</f>
        <v>3.5549456821093927E-3</v>
      </c>
      <c r="M574" t="str">
        <f t="shared" si="16"/>
        <v>PASS</v>
      </c>
      <c r="N574" s="10" t="str">
        <f t="shared" si="17"/>
        <v>NONE</v>
      </c>
    </row>
    <row r="575" spans="1:14">
      <c r="A575" s="4" t="s">
        <v>1166</v>
      </c>
      <c r="B575" s="4" t="s">
        <v>1167</v>
      </c>
      <c r="C575" s="4" t="s">
        <v>35</v>
      </c>
      <c r="D575" s="4" t="s">
        <v>13</v>
      </c>
      <c r="E575" s="5">
        <v>137.6112</v>
      </c>
      <c r="F575" s="5">
        <v>138.75749999999999</v>
      </c>
      <c r="G575" s="5">
        <v>139.03299999999999</v>
      </c>
      <c r="H575" s="4">
        <v>1</v>
      </c>
      <c r="I575" s="6">
        <v>1740563</v>
      </c>
      <c r="J575" s="7">
        <v>455.56</v>
      </c>
      <c r="K575" s="9">
        <f>(PricingDataTable[[#This Row],[Current Price ($)]]-PricingDataTable[[#This Row],[Prior Price ($)]])/PricingDataTable[[#This Row],[Prior Price ($)]]</f>
        <v>8.3299905821618923E-3</v>
      </c>
      <c r="L575" s="9">
        <f>(PricingDataTable[[#This Row],[Vendor Price ($)]]-PricingDataTable[[#This Row],[Current Price ($)]])/PricingDataTable[[#This Row],[Current Price ($)]]</f>
        <v>1.9854782624362205E-3</v>
      </c>
      <c r="M575" t="str">
        <f t="shared" si="16"/>
        <v>PASS</v>
      </c>
      <c r="N575" s="10" t="str">
        <f t="shared" si="17"/>
        <v>NONE</v>
      </c>
    </row>
    <row r="576" spans="1:14">
      <c r="A576" s="4" t="s">
        <v>1168</v>
      </c>
      <c r="B576" s="4" t="s">
        <v>1169</v>
      </c>
      <c r="C576" s="4" t="s">
        <v>19</v>
      </c>
      <c r="D576" s="4" t="s">
        <v>13</v>
      </c>
      <c r="E576" s="5">
        <v>264.40980000000002</v>
      </c>
      <c r="F576" s="5">
        <v>260.5548</v>
      </c>
      <c r="G576" s="5">
        <v>261.43369999999999</v>
      </c>
      <c r="H576" s="4">
        <v>0</v>
      </c>
      <c r="I576" s="6">
        <v>2745000</v>
      </c>
      <c r="J576" s="7">
        <v>603.33000000000004</v>
      </c>
      <c r="K576" s="9">
        <f>(PricingDataTable[[#This Row],[Current Price ($)]]-PricingDataTable[[#This Row],[Prior Price ($)]])/PricingDataTable[[#This Row],[Prior Price ($)]]</f>
        <v>-1.4579641147945415E-2</v>
      </c>
      <c r="L576" s="9">
        <f>(PricingDataTable[[#This Row],[Vendor Price ($)]]-PricingDataTable[[#This Row],[Current Price ($)]])/PricingDataTable[[#This Row],[Current Price ($)]]</f>
        <v>3.3731867538037579E-3</v>
      </c>
      <c r="M576" t="str">
        <f t="shared" si="16"/>
        <v>PASS</v>
      </c>
      <c r="N576" s="10" t="str">
        <f t="shared" si="17"/>
        <v>NONE</v>
      </c>
    </row>
    <row r="577" spans="1:14">
      <c r="A577" s="4" t="s">
        <v>1170</v>
      </c>
      <c r="B577" s="4" t="s">
        <v>1171</v>
      </c>
      <c r="C577" s="4" t="s">
        <v>16</v>
      </c>
      <c r="D577" s="4" t="s">
        <v>13</v>
      </c>
      <c r="E577" s="5">
        <v>107.8511</v>
      </c>
      <c r="F577" s="5">
        <v>107.5361</v>
      </c>
      <c r="G577" s="5">
        <v>107.19889999999999</v>
      </c>
      <c r="H577" s="4">
        <v>0</v>
      </c>
      <c r="I577" s="6">
        <v>1487768</v>
      </c>
      <c r="J577" s="7">
        <v>264.87</v>
      </c>
      <c r="K577" s="9">
        <f>(PricingDataTable[[#This Row],[Current Price ($)]]-PricingDataTable[[#This Row],[Prior Price ($)]])/PricingDataTable[[#This Row],[Prior Price ($)]]</f>
        <v>-2.9206934375263461E-3</v>
      </c>
      <c r="L577" s="9">
        <f>(PricingDataTable[[#This Row],[Vendor Price ($)]]-PricingDataTable[[#This Row],[Current Price ($)]])/PricingDataTable[[#This Row],[Current Price ($)]]</f>
        <v>-3.1356911771954713E-3</v>
      </c>
      <c r="M577" t="str">
        <f t="shared" si="16"/>
        <v>PASS</v>
      </c>
      <c r="N577" s="10" t="str">
        <f t="shared" si="17"/>
        <v>NONE</v>
      </c>
    </row>
    <row r="578" spans="1:14">
      <c r="A578" s="4" t="s">
        <v>1172</v>
      </c>
      <c r="B578" s="4" t="s">
        <v>1173</v>
      </c>
      <c r="C578" s="4" t="s">
        <v>19</v>
      </c>
      <c r="D578" s="4" t="s">
        <v>13</v>
      </c>
      <c r="E578" s="5">
        <v>11.834</v>
      </c>
      <c r="F578" s="5">
        <v>11.8117</v>
      </c>
      <c r="G578" s="5">
        <v>11.849500000000001</v>
      </c>
      <c r="H578" s="4">
        <v>2</v>
      </c>
      <c r="I578" s="6">
        <v>401606</v>
      </c>
      <c r="J578" s="7">
        <v>752.88</v>
      </c>
      <c r="K578" s="9">
        <f>(PricingDataTable[[#This Row],[Current Price ($)]]-PricingDataTable[[#This Row],[Prior Price ($)]])/PricingDataTable[[#This Row],[Prior Price ($)]]</f>
        <v>-1.8844008788236897E-3</v>
      </c>
      <c r="L578" s="9">
        <f>(PricingDataTable[[#This Row],[Vendor Price ($)]]-PricingDataTable[[#This Row],[Current Price ($)]])/PricingDataTable[[#This Row],[Current Price ($)]]</f>
        <v>3.2002167342550796E-3</v>
      </c>
      <c r="M578" t="str">
        <f t="shared" ref="M578:M641" si="18">IF(OR(F578="",F578=0),"MISSING",IF(H578&gt;=3,"STALE",IF(ABS(K578)&gt;=5%,"LARGE MOVE",IF(ABS(L578)&gt;=2%,"VENDOR DIFFERENCE","PASS"))))</f>
        <v>PASS</v>
      </c>
      <c r="N578" s="10" t="str">
        <f t="shared" ref="N578:N641" si="19">IF(M578="PASS","NONE",IF(M578="MISSING","HIGH",IF(OR(ABS(K578)&gt;=10%,ABS(L578)&gt;=5%),"HIGH",IF(OR(ABS(K578)&gt;=7%,ABS(L578)&gt;=3%,H578&gt;=5),"MEDIUM","LOW"))))</f>
        <v>NONE</v>
      </c>
    </row>
    <row r="579" spans="1:14">
      <c r="A579" s="4" t="s">
        <v>1174</v>
      </c>
      <c r="B579" s="4" t="s">
        <v>1175</v>
      </c>
      <c r="C579" s="4" t="s">
        <v>16</v>
      </c>
      <c r="D579" s="4" t="s">
        <v>13</v>
      </c>
      <c r="E579" s="5">
        <v>77.620800000000003</v>
      </c>
      <c r="F579" s="5">
        <v>79.222700000000003</v>
      </c>
      <c r="G579" s="5">
        <v>79.234700000000004</v>
      </c>
      <c r="H579" s="4">
        <v>0</v>
      </c>
      <c r="I579" s="6">
        <v>3538331</v>
      </c>
      <c r="J579" s="7">
        <v>25.34</v>
      </c>
      <c r="K579" s="9">
        <f>(PricingDataTable[[#This Row],[Current Price ($)]]-PricingDataTable[[#This Row],[Prior Price ($)]])/PricingDataTable[[#This Row],[Prior Price ($)]]</f>
        <v>2.0637509533527103E-2</v>
      </c>
      <c r="L579" s="9">
        <f>(PricingDataTable[[#This Row],[Vendor Price ($)]]-PricingDataTable[[#This Row],[Current Price ($)]])/PricingDataTable[[#This Row],[Current Price ($)]]</f>
        <v>1.5147173726722839E-4</v>
      </c>
      <c r="M579" t="str">
        <f t="shared" si="18"/>
        <v>PASS</v>
      </c>
      <c r="N579" s="10" t="str">
        <f t="shared" si="19"/>
        <v>NONE</v>
      </c>
    </row>
    <row r="580" spans="1:14">
      <c r="A580" s="4" t="s">
        <v>1176</v>
      </c>
      <c r="B580" s="4" t="s">
        <v>1177</v>
      </c>
      <c r="C580" s="4" t="s">
        <v>39</v>
      </c>
      <c r="D580" s="4" t="s">
        <v>13</v>
      </c>
      <c r="E580" s="5">
        <v>29.604600000000001</v>
      </c>
      <c r="F580" s="5">
        <v>29.759399999999999</v>
      </c>
      <c r="G580" s="5">
        <v>29.749099999999999</v>
      </c>
      <c r="H580" s="4">
        <v>1</v>
      </c>
      <c r="I580" s="6">
        <v>2745261</v>
      </c>
      <c r="J580" s="7">
        <v>290.55</v>
      </c>
      <c r="K580" s="9">
        <f>(PricingDataTable[[#This Row],[Current Price ($)]]-PricingDataTable[[#This Row],[Prior Price ($)]])/PricingDataTable[[#This Row],[Prior Price ($)]]</f>
        <v>5.2289171277435957E-3</v>
      </c>
      <c r="L580" s="9">
        <f>(PricingDataTable[[#This Row],[Vendor Price ($)]]-PricingDataTable[[#This Row],[Current Price ($)]])/PricingDataTable[[#This Row],[Current Price ($)]]</f>
        <v>-3.4610912854428735E-4</v>
      </c>
      <c r="M580" t="str">
        <f t="shared" si="18"/>
        <v>PASS</v>
      </c>
      <c r="N580" s="10" t="str">
        <f t="shared" si="19"/>
        <v>NONE</v>
      </c>
    </row>
    <row r="581" spans="1:14">
      <c r="A581" s="4" t="s">
        <v>1178</v>
      </c>
      <c r="B581" s="4" t="s">
        <v>1179</v>
      </c>
      <c r="C581" s="4" t="s">
        <v>12</v>
      </c>
      <c r="D581" s="4" t="s">
        <v>36</v>
      </c>
      <c r="E581" s="5">
        <v>94.753200000000007</v>
      </c>
      <c r="F581" s="5">
        <v>94.009699999999995</v>
      </c>
      <c r="G581" s="5">
        <v>94.099500000000006</v>
      </c>
      <c r="H581" s="4">
        <v>0</v>
      </c>
      <c r="I581" s="6">
        <v>1785826</v>
      </c>
      <c r="J581" s="7">
        <v>413.01</v>
      </c>
      <c r="K581" s="9">
        <f>(PricingDataTable[[#This Row],[Current Price ($)]]-PricingDataTable[[#This Row],[Prior Price ($)]])/PricingDataTable[[#This Row],[Prior Price ($)]]</f>
        <v>-7.8467006919028751E-3</v>
      </c>
      <c r="L581" s="9">
        <f>(PricingDataTable[[#This Row],[Vendor Price ($)]]-PricingDataTable[[#This Row],[Current Price ($)]])/PricingDataTable[[#This Row],[Current Price ($)]]</f>
        <v>9.5522057830214316E-4</v>
      </c>
      <c r="M581" t="str">
        <f t="shared" si="18"/>
        <v>PASS</v>
      </c>
      <c r="N581" s="10" t="str">
        <f t="shared" si="19"/>
        <v>NONE</v>
      </c>
    </row>
    <row r="582" spans="1:14">
      <c r="A582" s="4" t="s">
        <v>1180</v>
      </c>
      <c r="B582" s="4" t="s">
        <v>1181</v>
      </c>
      <c r="C582" s="4" t="s">
        <v>12</v>
      </c>
      <c r="D582" s="4" t="s">
        <v>13</v>
      </c>
      <c r="E582" s="5">
        <v>78.366600000000005</v>
      </c>
      <c r="F582" s="5">
        <v>78.522900000000007</v>
      </c>
      <c r="G582" s="5">
        <v>78.718599999999995</v>
      </c>
      <c r="H582" s="4">
        <v>0</v>
      </c>
      <c r="I582" s="6">
        <v>4775838</v>
      </c>
      <c r="J582" s="7">
        <v>154.47999999999999</v>
      </c>
      <c r="K582" s="9">
        <f>(PricingDataTable[[#This Row],[Current Price ($)]]-PricingDataTable[[#This Row],[Prior Price ($)]])/PricingDataTable[[#This Row],[Prior Price ($)]]</f>
        <v>1.9944721348125558E-3</v>
      </c>
      <c r="L582" s="9">
        <f>(PricingDataTable[[#This Row],[Vendor Price ($)]]-PricingDataTable[[#This Row],[Current Price ($)]])/PricingDataTable[[#This Row],[Current Price ($)]]</f>
        <v>2.4922665871992497E-3</v>
      </c>
      <c r="M582" t="str">
        <f t="shared" si="18"/>
        <v>PASS</v>
      </c>
      <c r="N582" s="10" t="str">
        <f t="shared" si="19"/>
        <v>NONE</v>
      </c>
    </row>
    <row r="583" spans="1:14">
      <c r="A583" s="4" t="s">
        <v>1182</v>
      </c>
      <c r="B583" s="4" t="s">
        <v>1183</v>
      </c>
      <c r="C583" s="4" t="s">
        <v>19</v>
      </c>
      <c r="D583" s="4" t="s">
        <v>13</v>
      </c>
      <c r="E583" s="5">
        <v>140.88939999999999</v>
      </c>
      <c r="F583" s="5">
        <v>143.47370000000001</v>
      </c>
      <c r="G583" s="5">
        <v>143.1361</v>
      </c>
      <c r="H583" s="4">
        <v>1</v>
      </c>
      <c r="I583" s="6">
        <v>4045402</v>
      </c>
      <c r="J583" s="7">
        <v>60.95</v>
      </c>
      <c r="K583" s="9">
        <f>(PricingDataTable[[#This Row],[Current Price ($)]]-PricingDataTable[[#This Row],[Prior Price ($)]])/PricingDataTable[[#This Row],[Prior Price ($)]]</f>
        <v>1.8342756800724634E-2</v>
      </c>
      <c r="L583" s="9">
        <f>(PricingDataTable[[#This Row],[Vendor Price ($)]]-PricingDataTable[[#This Row],[Current Price ($)]])/PricingDataTable[[#This Row],[Current Price ($)]]</f>
        <v>-2.3530444952629577E-3</v>
      </c>
      <c r="M583" t="str">
        <f t="shared" si="18"/>
        <v>PASS</v>
      </c>
      <c r="N583" s="10" t="str">
        <f t="shared" si="19"/>
        <v>NONE</v>
      </c>
    </row>
    <row r="584" spans="1:14">
      <c r="A584" s="4" t="s">
        <v>1184</v>
      </c>
      <c r="B584" s="4" t="s">
        <v>1185</v>
      </c>
      <c r="C584" s="4" t="s">
        <v>35</v>
      </c>
      <c r="D584" s="4" t="s">
        <v>13</v>
      </c>
      <c r="E584" s="5">
        <v>92.962699999999998</v>
      </c>
      <c r="F584" s="5">
        <v>92.894800000000004</v>
      </c>
      <c r="G584" s="5">
        <v>84.803799999999995</v>
      </c>
      <c r="H584" s="4">
        <v>2</v>
      </c>
      <c r="I584" s="6">
        <v>2044009</v>
      </c>
      <c r="J584" s="7">
        <v>557.87</v>
      </c>
      <c r="K584" s="9">
        <f>(PricingDataTable[[#This Row],[Current Price ($)]]-PricingDataTable[[#This Row],[Prior Price ($)]])/PricingDataTable[[#This Row],[Prior Price ($)]]</f>
        <v>-7.3040047244749267E-4</v>
      </c>
      <c r="L584" s="9">
        <f>(PricingDataTable[[#This Row],[Vendor Price ($)]]-PricingDataTable[[#This Row],[Current Price ($)]])/PricingDataTable[[#This Row],[Current Price ($)]]</f>
        <v>-8.7098524352278148E-2</v>
      </c>
      <c r="M584" t="str">
        <f t="shared" si="18"/>
        <v>VENDOR DIFFERENCE</v>
      </c>
      <c r="N584" s="10" t="str">
        <f t="shared" si="19"/>
        <v>HIGH</v>
      </c>
    </row>
    <row r="585" spans="1:14">
      <c r="A585" s="4" t="s">
        <v>1186</v>
      </c>
      <c r="B585" s="4" t="s">
        <v>1187</v>
      </c>
      <c r="C585" s="4" t="s">
        <v>16</v>
      </c>
      <c r="D585" s="4" t="s">
        <v>13</v>
      </c>
      <c r="E585" s="5">
        <v>82.583500000000001</v>
      </c>
      <c r="F585" s="5">
        <v>82.6614</v>
      </c>
      <c r="G585" s="5">
        <v>82.727500000000006</v>
      </c>
      <c r="H585" s="4">
        <v>3</v>
      </c>
      <c r="I585" s="6">
        <v>2334093</v>
      </c>
      <c r="J585" s="7">
        <v>285.92</v>
      </c>
      <c r="K585" s="9">
        <f>(PricingDataTable[[#This Row],[Current Price ($)]]-PricingDataTable[[#This Row],[Prior Price ($)]])/PricingDataTable[[#This Row],[Prior Price ($)]]</f>
        <v>9.432877027493341E-4</v>
      </c>
      <c r="L585" s="9">
        <f>(PricingDataTable[[#This Row],[Vendor Price ($)]]-PricingDataTable[[#This Row],[Current Price ($)]])/PricingDataTable[[#This Row],[Current Price ($)]]</f>
        <v>7.9964771949187679E-4</v>
      </c>
      <c r="M585" t="str">
        <f t="shared" si="18"/>
        <v>STALE</v>
      </c>
      <c r="N585" s="10" t="str">
        <f t="shared" si="19"/>
        <v>LOW</v>
      </c>
    </row>
    <row r="586" spans="1:14">
      <c r="A586" s="4" t="s">
        <v>1188</v>
      </c>
      <c r="B586" s="4" t="s">
        <v>1189</v>
      </c>
      <c r="C586" s="4" t="s">
        <v>39</v>
      </c>
      <c r="D586" s="4" t="s">
        <v>13</v>
      </c>
      <c r="E586" s="5">
        <v>285.947</v>
      </c>
      <c r="F586" s="5">
        <v>285.9556</v>
      </c>
      <c r="G586" s="5">
        <v>285.33690000000001</v>
      </c>
      <c r="H586" s="4">
        <v>0</v>
      </c>
      <c r="I586" s="6">
        <v>2084210</v>
      </c>
      <c r="J586" s="7">
        <v>721.35</v>
      </c>
      <c r="K586" s="9">
        <f>(PricingDataTable[[#This Row],[Current Price ($)]]-PricingDataTable[[#This Row],[Prior Price ($)]])/PricingDataTable[[#This Row],[Prior Price ($)]]</f>
        <v>3.0075503502401752E-5</v>
      </c>
      <c r="L586" s="9">
        <f>(PricingDataTable[[#This Row],[Vendor Price ($)]]-PricingDataTable[[#This Row],[Current Price ($)]])/PricingDataTable[[#This Row],[Current Price ($)]]</f>
        <v>-2.1636226043483318E-3</v>
      </c>
      <c r="M586" t="str">
        <f t="shared" si="18"/>
        <v>PASS</v>
      </c>
      <c r="N586" s="10" t="str">
        <f t="shared" si="19"/>
        <v>NONE</v>
      </c>
    </row>
    <row r="587" spans="1:14">
      <c r="A587" s="4" t="s">
        <v>1190</v>
      </c>
      <c r="B587" s="4" t="s">
        <v>1191</v>
      </c>
      <c r="C587" s="4" t="s">
        <v>12</v>
      </c>
      <c r="D587" s="4" t="s">
        <v>13</v>
      </c>
      <c r="E587" s="5">
        <v>91.081800000000001</v>
      </c>
      <c r="F587" s="5">
        <v>90.969300000000004</v>
      </c>
      <c r="G587" s="5">
        <v>90.98</v>
      </c>
      <c r="H587" s="4">
        <v>0</v>
      </c>
      <c r="I587" s="6">
        <v>1714121</v>
      </c>
      <c r="J587" s="7">
        <v>113.18</v>
      </c>
      <c r="K587" s="9">
        <f>(PricingDataTable[[#This Row],[Current Price ($)]]-PricingDataTable[[#This Row],[Prior Price ($)]])/PricingDataTable[[#This Row],[Prior Price ($)]]</f>
        <v>-1.2351534554652759E-3</v>
      </c>
      <c r="L587" s="9">
        <f>(PricingDataTable[[#This Row],[Vendor Price ($)]]-PricingDataTable[[#This Row],[Current Price ($)]])/PricingDataTable[[#This Row],[Current Price ($)]]</f>
        <v>1.1762209888390843E-4</v>
      </c>
      <c r="M587" t="str">
        <f t="shared" si="18"/>
        <v>PASS</v>
      </c>
      <c r="N587" s="10" t="str">
        <f t="shared" si="19"/>
        <v>NONE</v>
      </c>
    </row>
    <row r="588" spans="1:14">
      <c r="A588" s="4" t="s">
        <v>1192</v>
      </c>
      <c r="B588" s="4" t="s">
        <v>1193</v>
      </c>
      <c r="C588" s="4" t="s">
        <v>16</v>
      </c>
      <c r="D588" s="4" t="s">
        <v>32</v>
      </c>
      <c r="E588" s="5">
        <v>85.218699999999998</v>
      </c>
      <c r="F588" s="5">
        <v>84.141900000000007</v>
      </c>
      <c r="G588" s="5">
        <v>84.129499999999993</v>
      </c>
      <c r="H588" s="4">
        <v>0</v>
      </c>
      <c r="I588" s="6">
        <v>2543593</v>
      </c>
      <c r="J588" s="7">
        <v>256.95999999999998</v>
      </c>
      <c r="K588" s="9">
        <f>(PricingDataTable[[#This Row],[Current Price ($)]]-PricingDataTable[[#This Row],[Prior Price ($)]])/PricingDataTable[[#This Row],[Prior Price ($)]]</f>
        <v>-1.2635724318723373E-2</v>
      </c>
      <c r="L588" s="9">
        <f>(PricingDataTable[[#This Row],[Vendor Price ($)]]-PricingDataTable[[#This Row],[Current Price ($)]])/PricingDataTable[[#This Row],[Current Price ($)]]</f>
        <v>-1.4737009741892841E-4</v>
      </c>
      <c r="M588" t="str">
        <f t="shared" si="18"/>
        <v>PASS</v>
      </c>
      <c r="N588" s="10" t="str">
        <f t="shared" si="19"/>
        <v>NONE</v>
      </c>
    </row>
    <row r="589" spans="1:14">
      <c r="A589" s="4" t="s">
        <v>1194</v>
      </c>
      <c r="B589" s="4" t="s">
        <v>1195</v>
      </c>
      <c r="C589" s="4" t="s">
        <v>19</v>
      </c>
      <c r="D589" s="4" t="s">
        <v>32</v>
      </c>
      <c r="E589" s="5">
        <v>35.365499999999997</v>
      </c>
      <c r="F589" s="5">
        <v>35.786799999999999</v>
      </c>
      <c r="G589" s="5">
        <v>35.768300000000004</v>
      </c>
      <c r="H589" s="4">
        <v>0</v>
      </c>
      <c r="I589" s="6">
        <v>4044315</v>
      </c>
      <c r="J589" s="7">
        <v>18.03</v>
      </c>
      <c r="K589" s="9">
        <f>(PricingDataTable[[#This Row],[Current Price ($)]]-PricingDataTable[[#This Row],[Prior Price ($)]])/PricingDataTable[[#This Row],[Prior Price ($)]]</f>
        <v>1.1912739817053406E-2</v>
      </c>
      <c r="L589" s="9">
        <f>(PricingDataTable[[#This Row],[Vendor Price ($)]]-PricingDataTable[[#This Row],[Current Price ($)]])/PricingDataTable[[#This Row],[Current Price ($)]]</f>
        <v>-5.1695038394033456E-4</v>
      </c>
      <c r="M589" t="str">
        <f t="shared" si="18"/>
        <v>PASS</v>
      </c>
      <c r="N589" s="10" t="str">
        <f t="shared" si="19"/>
        <v>NONE</v>
      </c>
    </row>
    <row r="590" spans="1:14">
      <c r="A590" s="4" t="s">
        <v>1196</v>
      </c>
      <c r="B590" s="4" t="s">
        <v>1197</v>
      </c>
      <c r="C590" s="4" t="s">
        <v>39</v>
      </c>
      <c r="D590" s="4" t="s">
        <v>32</v>
      </c>
      <c r="E590" s="5">
        <v>323.16410000000002</v>
      </c>
      <c r="F590" s="5">
        <v>321.31849999999997</v>
      </c>
      <c r="G590" s="5">
        <v>321.0059</v>
      </c>
      <c r="H590" s="4">
        <v>0</v>
      </c>
      <c r="I590" s="6">
        <v>4034614</v>
      </c>
      <c r="J590" s="7">
        <v>64.930000000000007</v>
      </c>
      <c r="K590" s="9">
        <f>(PricingDataTable[[#This Row],[Current Price ($)]]-PricingDataTable[[#This Row],[Prior Price ($)]])/PricingDataTable[[#This Row],[Prior Price ($)]]</f>
        <v>-5.7110304022013805E-3</v>
      </c>
      <c r="L590" s="9">
        <f>(PricingDataTable[[#This Row],[Vendor Price ($)]]-PricingDataTable[[#This Row],[Current Price ($)]])/PricingDataTable[[#This Row],[Current Price ($)]]</f>
        <v>-9.7286648605659164E-4</v>
      </c>
      <c r="M590" t="str">
        <f t="shared" si="18"/>
        <v>PASS</v>
      </c>
      <c r="N590" s="10" t="str">
        <f t="shared" si="19"/>
        <v>NONE</v>
      </c>
    </row>
    <row r="591" spans="1:14">
      <c r="A591" s="4" t="s">
        <v>1198</v>
      </c>
      <c r="B591" s="4" t="s">
        <v>1199</v>
      </c>
      <c r="C591" s="4" t="s">
        <v>19</v>
      </c>
      <c r="D591" s="4" t="s">
        <v>36</v>
      </c>
      <c r="E591" s="5">
        <v>9.4297000000000004</v>
      </c>
      <c r="F591" s="5">
        <v>9.548</v>
      </c>
      <c r="G591" s="5">
        <v>9.5126000000000008</v>
      </c>
      <c r="H591" s="4">
        <v>0</v>
      </c>
      <c r="I591" s="6">
        <v>3222539</v>
      </c>
      <c r="J591" s="7">
        <v>440.7</v>
      </c>
      <c r="K591" s="9">
        <f>(PricingDataTable[[#This Row],[Current Price ($)]]-PricingDataTable[[#This Row],[Prior Price ($)]])/PricingDataTable[[#This Row],[Prior Price ($)]]</f>
        <v>1.2545468042461544E-2</v>
      </c>
      <c r="L591" s="9">
        <f>(PricingDataTable[[#This Row],[Vendor Price ($)]]-PricingDataTable[[#This Row],[Current Price ($)]])/PricingDataTable[[#This Row],[Current Price ($)]]</f>
        <v>-3.7075827398407217E-3</v>
      </c>
      <c r="M591" t="str">
        <f t="shared" si="18"/>
        <v>PASS</v>
      </c>
      <c r="N591" s="10" t="str">
        <f t="shared" si="19"/>
        <v>NONE</v>
      </c>
    </row>
    <row r="592" spans="1:14">
      <c r="A592" s="4" t="s">
        <v>1200</v>
      </c>
      <c r="B592" s="4" t="s">
        <v>1201</v>
      </c>
      <c r="C592" s="4" t="s">
        <v>19</v>
      </c>
      <c r="D592" s="4" t="s">
        <v>64</v>
      </c>
      <c r="E592" s="5">
        <v>347.42559999999997</v>
      </c>
      <c r="F592" s="5">
        <v>354.286</v>
      </c>
      <c r="G592" s="5">
        <v>356.02359999999999</v>
      </c>
      <c r="H592" s="4">
        <v>4</v>
      </c>
      <c r="I592" s="6">
        <v>2925089</v>
      </c>
      <c r="J592" s="7">
        <v>458.75</v>
      </c>
      <c r="K592" s="9">
        <f>(PricingDataTable[[#This Row],[Current Price ($)]]-PricingDataTable[[#This Row],[Prior Price ($)]])/PricingDataTable[[#This Row],[Prior Price ($)]]</f>
        <v>1.9746385988827615E-2</v>
      </c>
      <c r="L592" s="9">
        <f>(PricingDataTable[[#This Row],[Vendor Price ($)]]-PricingDataTable[[#This Row],[Current Price ($)]])/PricingDataTable[[#This Row],[Current Price ($)]]</f>
        <v>4.9045121737804663E-3</v>
      </c>
      <c r="M592" t="str">
        <f t="shared" si="18"/>
        <v>STALE</v>
      </c>
      <c r="N592" s="10" t="str">
        <f t="shared" si="19"/>
        <v>LOW</v>
      </c>
    </row>
    <row r="593" spans="1:14">
      <c r="A593" s="4" t="s">
        <v>1202</v>
      </c>
      <c r="B593" s="4" t="s">
        <v>1203</v>
      </c>
      <c r="C593" s="4" t="s">
        <v>12</v>
      </c>
      <c r="D593" s="4" t="s">
        <v>13</v>
      </c>
      <c r="E593" s="5">
        <v>121.3259</v>
      </c>
      <c r="F593" s="5">
        <v>140.3083</v>
      </c>
      <c r="G593" s="5">
        <v>139.99600000000001</v>
      </c>
      <c r="H593" s="4">
        <v>1</v>
      </c>
      <c r="I593" s="6">
        <v>3821765</v>
      </c>
      <c r="J593" s="7">
        <v>849.85</v>
      </c>
      <c r="K593" s="9">
        <f>(PricingDataTable[[#This Row],[Current Price ($)]]-PricingDataTable[[#This Row],[Prior Price ($)]])/PricingDataTable[[#This Row],[Prior Price ($)]]</f>
        <v>0.15645793684613093</v>
      </c>
      <c r="L593" s="9">
        <f>(PricingDataTable[[#This Row],[Vendor Price ($)]]-PricingDataTable[[#This Row],[Current Price ($)]])/PricingDataTable[[#This Row],[Current Price ($)]]</f>
        <v>-2.225812728113685E-3</v>
      </c>
      <c r="M593" t="str">
        <f t="shared" si="18"/>
        <v>LARGE MOVE</v>
      </c>
      <c r="N593" s="10" t="str">
        <f t="shared" si="19"/>
        <v>HIGH</v>
      </c>
    </row>
    <row r="594" spans="1:14">
      <c r="A594" s="4" t="s">
        <v>1204</v>
      </c>
      <c r="B594" s="4" t="s">
        <v>1205</v>
      </c>
      <c r="C594" s="4" t="s">
        <v>19</v>
      </c>
      <c r="D594" s="4" t="s">
        <v>13</v>
      </c>
      <c r="E594" s="5">
        <v>234.61080000000001</v>
      </c>
      <c r="F594" s="5">
        <v>235.3518</v>
      </c>
      <c r="G594" s="5">
        <v>235.65049999999999</v>
      </c>
      <c r="H594" s="4">
        <v>0</v>
      </c>
      <c r="I594" s="6">
        <v>675010</v>
      </c>
      <c r="J594" s="7">
        <v>466.78</v>
      </c>
      <c r="K594" s="9">
        <f>(PricingDataTable[[#This Row],[Current Price ($)]]-PricingDataTable[[#This Row],[Prior Price ($)]])/PricingDataTable[[#This Row],[Prior Price ($)]]</f>
        <v>3.1584223744174837E-3</v>
      </c>
      <c r="L594" s="9">
        <f>(PricingDataTable[[#This Row],[Vendor Price ($)]]-PricingDataTable[[#This Row],[Current Price ($)]])/PricingDataTable[[#This Row],[Current Price ($)]]</f>
        <v>1.2691638644786087E-3</v>
      </c>
      <c r="M594" t="str">
        <f t="shared" si="18"/>
        <v>PASS</v>
      </c>
      <c r="N594" s="10" t="str">
        <f t="shared" si="19"/>
        <v>NONE</v>
      </c>
    </row>
    <row r="595" spans="1:14">
      <c r="A595" s="4" t="s">
        <v>1206</v>
      </c>
      <c r="B595" s="4" t="s">
        <v>1207</v>
      </c>
      <c r="C595" s="4" t="s">
        <v>19</v>
      </c>
      <c r="D595" s="4" t="s">
        <v>13</v>
      </c>
      <c r="E595" s="5">
        <v>244.60820000000001</v>
      </c>
      <c r="F595" s="5">
        <v>240.98490000000001</v>
      </c>
      <c r="G595" s="5">
        <v>240.9813</v>
      </c>
      <c r="H595" s="4">
        <v>1</v>
      </c>
      <c r="I595" s="6">
        <v>746524</v>
      </c>
      <c r="J595" s="7">
        <v>98.52</v>
      </c>
      <c r="K595" s="9">
        <f>(PricingDataTable[[#This Row],[Current Price ($)]]-PricingDataTable[[#This Row],[Prior Price ($)]])/PricingDataTable[[#This Row],[Prior Price ($)]]</f>
        <v>-1.4812667768292315E-2</v>
      </c>
      <c r="L595" s="9">
        <f>(PricingDataTable[[#This Row],[Vendor Price ($)]]-PricingDataTable[[#This Row],[Current Price ($)]])/PricingDataTable[[#This Row],[Current Price ($)]]</f>
        <v>-1.4938695329067592E-5</v>
      </c>
      <c r="M595" t="str">
        <f t="shared" si="18"/>
        <v>PASS</v>
      </c>
      <c r="N595" s="10" t="str">
        <f t="shared" si="19"/>
        <v>NONE</v>
      </c>
    </row>
    <row r="596" spans="1:14">
      <c r="A596" s="4" t="s">
        <v>1208</v>
      </c>
      <c r="B596" s="4" t="s">
        <v>1209</v>
      </c>
      <c r="C596" s="4" t="s">
        <v>39</v>
      </c>
      <c r="D596" s="4" t="s">
        <v>13</v>
      </c>
      <c r="E596" s="5">
        <v>79.657700000000006</v>
      </c>
      <c r="F596" s="5">
        <v>64.603499999999997</v>
      </c>
      <c r="G596" s="5">
        <v>57.939399999999999</v>
      </c>
      <c r="H596" s="4">
        <v>0</v>
      </c>
      <c r="I596" s="6">
        <v>3616067</v>
      </c>
      <c r="J596" s="7">
        <v>153.74</v>
      </c>
      <c r="K596" s="9">
        <f>(PricingDataTable[[#This Row],[Current Price ($)]]-PricingDataTable[[#This Row],[Prior Price ($)]])/PricingDataTable[[#This Row],[Prior Price ($)]]</f>
        <v>-0.1889861243796897</v>
      </c>
      <c r="L596" s="9">
        <f>(PricingDataTable[[#This Row],[Vendor Price ($)]]-PricingDataTable[[#This Row],[Current Price ($)]])/PricingDataTable[[#This Row],[Current Price ($)]]</f>
        <v>-0.10315385389336489</v>
      </c>
      <c r="M596" t="str">
        <f t="shared" si="18"/>
        <v>LARGE MOVE</v>
      </c>
      <c r="N596" s="10" t="str">
        <f t="shared" si="19"/>
        <v>HIGH</v>
      </c>
    </row>
    <row r="597" spans="1:14">
      <c r="A597" s="4" t="s">
        <v>1210</v>
      </c>
      <c r="B597" s="4" t="s">
        <v>1211</v>
      </c>
      <c r="C597" s="4" t="s">
        <v>12</v>
      </c>
      <c r="D597" s="4" t="s">
        <v>13</v>
      </c>
      <c r="E597" s="5">
        <v>84.099199999999996</v>
      </c>
      <c r="F597" s="5">
        <v>85.146500000000003</v>
      </c>
      <c r="G597" s="5">
        <v>85.057500000000005</v>
      </c>
      <c r="H597" s="4">
        <v>0</v>
      </c>
      <c r="I597" s="6">
        <v>2176601</v>
      </c>
      <c r="J597" s="7">
        <v>884.66</v>
      </c>
      <c r="K597" s="9">
        <f>(PricingDataTable[[#This Row],[Current Price ($)]]-PricingDataTable[[#This Row],[Prior Price ($)]])/PricingDataTable[[#This Row],[Prior Price ($)]]</f>
        <v>1.2453150565047076E-2</v>
      </c>
      <c r="L597" s="9">
        <f>(PricingDataTable[[#This Row],[Vendor Price ($)]]-PricingDataTable[[#This Row],[Current Price ($)]])/PricingDataTable[[#This Row],[Current Price ($)]]</f>
        <v>-1.0452572918440409E-3</v>
      </c>
      <c r="M597" t="str">
        <f t="shared" si="18"/>
        <v>PASS</v>
      </c>
      <c r="N597" s="10" t="str">
        <f t="shared" si="19"/>
        <v>NONE</v>
      </c>
    </row>
    <row r="598" spans="1:14">
      <c r="A598" s="4" t="s">
        <v>1212</v>
      </c>
      <c r="B598" s="4" t="s">
        <v>1213</v>
      </c>
      <c r="C598" s="4" t="s">
        <v>12</v>
      </c>
      <c r="D598" s="4" t="s">
        <v>13</v>
      </c>
      <c r="E598" s="5">
        <v>118.4181</v>
      </c>
      <c r="F598" s="5">
        <v>119.0134</v>
      </c>
      <c r="G598" s="5">
        <v>119.2704</v>
      </c>
      <c r="H598" s="4">
        <v>0</v>
      </c>
      <c r="I598" s="6">
        <v>846648</v>
      </c>
      <c r="J598" s="7">
        <v>8.75</v>
      </c>
      <c r="K598" s="9">
        <f>(PricingDataTable[[#This Row],[Current Price ($)]]-PricingDataTable[[#This Row],[Prior Price ($)]])/PricingDataTable[[#This Row],[Prior Price ($)]]</f>
        <v>5.0271031202156497E-3</v>
      </c>
      <c r="L598" s="9">
        <f>(PricingDataTable[[#This Row],[Vendor Price ($)]]-PricingDataTable[[#This Row],[Current Price ($)]])/PricingDataTable[[#This Row],[Current Price ($)]]</f>
        <v>2.159420703887048E-3</v>
      </c>
      <c r="M598" t="str">
        <f t="shared" si="18"/>
        <v>PASS</v>
      </c>
      <c r="N598" s="10" t="str">
        <f t="shared" si="19"/>
        <v>NONE</v>
      </c>
    </row>
    <row r="599" spans="1:14">
      <c r="A599" s="4" t="s">
        <v>1214</v>
      </c>
      <c r="B599" s="4" t="s">
        <v>1215</v>
      </c>
      <c r="C599" s="4" t="s">
        <v>12</v>
      </c>
      <c r="D599" s="4" t="s">
        <v>32</v>
      </c>
      <c r="E599" s="5">
        <v>77.093000000000004</v>
      </c>
      <c r="F599" s="5">
        <v>77.489900000000006</v>
      </c>
      <c r="G599" s="5">
        <v>77.889399999999995</v>
      </c>
      <c r="H599" s="4">
        <v>4</v>
      </c>
      <c r="I599" s="6">
        <v>2828212</v>
      </c>
      <c r="J599" s="7">
        <v>544.01</v>
      </c>
      <c r="K599" s="9">
        <f>(PricingDataTable[[#This Row],[Current Price ($)]]-PricingDataTable[[#This Row],[Prior Price ($)]])/PricingDataTable[[#This Row],[Prior Price ($)]]</f>
        <v>5.1483273448951553E-3</v>
      </c>
      <c r="L599" s="9">
        <f>(PricingDataTable[[#This Row],[Vendor Price ($)]]-PricingDataTable[[#This Row],[Current Price ($)]])/PricingDataTable[[#This Row],[Current Price ($)]]</f>
        <v>5.1555105891217959E-3</v>
      </c>
      <c r="M599" t="str">
        <f t="shared" si="18"/>
        <v>STALE</v>
      </c>
      <c r="N599" s="10" t="str">
        <f t="shared" si="19"/>
        <v>LOW</v>
      </c>
    </row>
    <row r="600" spans="1:14">
      <c r="A600" s="4" t="s">
        <v>1216</v>
      </c>
      <c r="B600" s="4" t="s">
        <v>1217</v>
      </c>
      <c r="C600" s="4" t="s">
        <v>12</v>
      </c>
      <c r="D600" s="4" t="s">
        <v>13</v>
      </c>
      <c r="E600" s="5">
        <v>90.761200000000002</v>
      </c>
      <c r="F600" s="5">
        <v>90.828500000000005</v>
      </c>
      <c r="G600" s="5">
        <v>91.085999999999999</v>
      </c>
      <c r="H600" s="4">
        <v>4</v>
      </c>
      <c r="I600" s="6">
        <v>26876</v>
      </c>
      <c r="J600" s="7">
        <v>411.34</v>
      </c>
      <c r="K600" s="9">
        <f>(PricingDataTable[[#This Row],[Current Price ($)]]-PricingDataTable[[#This Row],[Prior Price ($)]])/PricingDataTable[[#This Row],[Prior Price ($)]]</f>
        <v>7.4150628242027452E-4</v>
      </c>
      <c r="L600" s="9">
        <f>(PricingDataTable[[#This Row],[Vendor Price ($)]]-PricingDataTable[[#This Row],[Current Price ($)]])/PricingDataTable[[#This Row],[Current Price ($)]]</f>
        <v>2.8350132392365082E-3</v>
      </c>
      <c r="M600" t="str">
        <f t="shared" si="18"/>
        <v>STALE</v>
      </c>
      <c r="N600" s="10" t="str">
        <f t="shared" si="19"/>
        <v>LOW</v>
      </c>
    </row>
    <row r="601" spans="1:14">
      <c r="A601" s="4" t="s">
        <v>1218</v>
      </c>
      <c r="B601" s="4" t="s">
        <v>1219</v>
      </c>
      <c r="C601" s="4" t="s">
        <v>12</v>
      </c>
      <c r="D601" s="4" t="s">
        <v>64</v>
      </c>
      <c r="E601" s="5">
        <v>81.943200000000004</v>
      </c>
      <c r="F601" s="5">
        <v>80.353300000000004</v>
      </c>
      <c r="G601" s="5">
        <v>80.062899999999999</v>
      </c>
      <c r="H601" s="4">
        <v>1</v>
      </c>
      <c r="I601" s="6">
        <v>3987261</v>
      </c>
      <c r="J601" s="7">
        <v>463.52</v>
      </c>
      <c r="K601" s="9">
        <f>(PricingDataTable[[#This Row],[Current Price ($)]]-PricingDataTable[[#This Row],[Prior Price ($)]])/PricingDataTable[[#This Row],[Prior Price ($)]]</f>
        <v>-1.9402464145896182E-2</v>
      </c>
      <c r="L601" s="9">
        <f>(PricingDataTable[[#This Row],[Vendor Price ($)]]-PricingDataTable[[#This Row],[Current Price ($)]])/PricingDataTable[[#This Row],[Current Price ($)]]</f>
        <v>-3.6140394980667292E-3</v>
      </c>
      <c r="M601" t="str">
        <f t="shared" si="18"/>
        <v>PASS</v>
      </c>
      <c r="N601" s="10" t="str">
        <f t="shared" si="19"/>
        <v>NONE</v>
      </c>
    </row>
    <row r="602" spans="1:14">
      <c r="A602" s="4" t="s">
        <v>1220</v>
      </c>
      <c r="B602" s="4" t="s">
        <v>1221</v>
      </c>
      <c r="C602" s="4" t="s">
        <v>19</v>
      </c>
      <c r="D602" s="4" t="s">
        <v>13</v>
      </c>
      <c r="E602" s="5">
        <v>330.14269999999999</v>
      </c>
      <c r="F602" s="5">
        <v>327.6823</v>
      </c>
      <c r="G602" s="5">
        <v>328.9348</v>
      </c>
      <c r="H602" s="4">
        <v>1</v>
      </c>
      <c r="I602" s="6">
        <v>4065583</v>
      </c>
      <c r="J602" s="7">
        <v>360.27</v>
      </c>
      <c r="K602" s="9">
        <f>(PricingDataTable[[#This Row],[Current Price ($)]]-PricingDataTable[[#This Row],[Prior Price ($)]])/PricingDataTable[[#This Row],[Prior Price ($)]]</f>
        <v>-7.4525349189910692E-3</v>
      </c>
      <c r="L602" s="9">
        <f>(PricingDataTable[[#This Row],[Vendor Price ($)]]-PricingDataTable[[#This Row],[Current Price ($)]])/PricingDataTable[[#This Row],[Current Price ($)]]</f>
        <v>3.8222998312694881E-3</v>
      </c>
      <c r="M602" t="str">
        <f t="shared" si="18"/>
        <v>PASS</v>
      </c>
      <c r="N602" s="10" t="str">
        <f t="shared" si="19"/>
        <v>NONE</v>
      </c>
    </row>
    <row r="603" spans="1:14">
      <c r="A603" s="4" t="s">
        <v>1222</v>
      </c>
      <c r="B603" s="4" t="s">
        <v>1223</v>
      </c>
      <c r="C603" s="4" t="s">
        <v>19</v>
      </c>
      <c r="D603" s="4" t="s">
        <v>36</v>
      </c>
      <c r="E603" s="5">
        <v>329.9853</v>
      </c>
      <c r="F603" s="5">
        <v>324.24720000000002</v>
      </c>
      <c r="G603" s="5">
        <v>324.46030000000002</v>
      </c>
      <c r="H603" s="4">
        <v>0</v>
      </c>
      <c r="I603" s="6">
        <v>4363532</v>
      </c>
      <c r="J603" s="7">
        <v>788.64</v>
      </c>
      <c r="K603" s="9">
        <f>(PricingDataTable[[#This Row],[Current Price ($)]]-PricingDataTable[[#This Row],[Prior Price ($)]])/PricingDataTable[[#This Row],[Prior Price ($)]]</f>
        <v>-1.7388956417149413E-2</v>
      </c>
      <c r="L603" s="9">
        <f>(PricingDataTable[[#This Row],[Vendor Price ($)]]-PricingDataTable[[#This Row],[Current Price ($)]])/PricingDataTable[[#This Row],[Current Price ($)]]</f>
        <v>6.5721461896971558E-4</v>
      </c>
      <c r="M603" t="str">
        <f t="shared" si="18"/>
        <v>PASS</v>
      </c>
      <c r="N603" s="10" t="str">
        <f t="shared" si="19"/>
        <v>NONE</v>
      </c>
    </row>
    <row r="604" spans="1:14">
      <c r="A604" s="4" t="s">
        <v>1224</v>
      </c>
      <c r="B604" s="4" t="s">
        <v>1225</v>
      </c>
      <c r="C604" s="4" t="s">
        <v>19</v>
      </c>
      <c r="D604" s="4" t="s">
        <v>13</v>
      </c>
      <c r="E604" s="5">
        <v>37.784700000000001</v>
      </c>
      <c r="F604" s="5">
        <v>38.535400000000003</v>
      </c>
      <c r="G604" s="5">
        <v>38.199100000000001</v>
      </c>
      <c r="H604" s="4">
        <v>2</v>
      </c>
      <c r="I604" s="6">
        <v>4536451</v>
      </c>
      <c r="J604" s="7">
        <v>216.96</v>
      </c>
      <c r="K604" s="9">
        <f>(PricingDataTable[[#This Row],[Current Price ($)]]-PricingDataTable[[#This Row],[Prior Price ($)]])/PricingDataTable[[#This Row],[Prior Price ($)]]</f>
        <v>1.9867830100543393E-2</v>
      </c>
      <c r="L604" s="9">
        <f>(PricingDataTable[[#This Row],[Vendor Price ($)]]-PricingDataTable[[#This Row],[Current Price ($)]])/PricingDataTable[[#This Row],[Current Price ($)]]</f>
        <v>-8.7270405912486006E-3</v>
      </c>
      <c r="M604" t="str">
        <f t="shared" si="18"/>
        <v>PASS</v>
      </c>
      <c r="N604" s="10" t="str">
        <f t="shared" si="19"/>
        <v>NONE</v>
      </c>
    </row>
    <row r="605" spans="1:14">
      <c r="A605" s="4" t="s">
        <v>1226</v>
      </c>
      <c r="B605" s="4" t="s">
        <v>1227</v>
      </c>
      <c r="C605" s="4" t="s">
        <v>39</v>
      </c>
      <c r="D605" s="4" t="s">
        <v>13</v>
      </c>
      <c r="E605" s="5">
        <v>38.585700000000003</v>
      </c>
      <c r="F605" s="5">
        <v>37.911799999999999</v>
      </c>
      <c r="G605" s="5">
        <v>37.983600000000003</v>
      </c>
      <c r="H605" s="4">
        <v>2</v>
      </c>
      <c r="I605" s="6">
        <v>2162144</v>
      </c>
      <c r="J605" s="7">
        <v>599.41</v>
      </c>
      <c r="K605" s="9">
        <f>(PricingDataTable[[#This Row],[Current Price ($)]]-PricingDataTable[[#This Row],[Prior Price ($)]])/PricingDataTable[[#This Row],[Prior Price ($)]]</f>
        <v>-1.7465019424294577E-2</v>
      </c>
      <c r="L605" s="9">
        <f>(PricingDataTable[[#This Row],[Vendor Price ($)]]-PricingDataTable[[#This Row],[Current Price ($)]])/PricingDataTable[[#This Row],[Current Price ($)]]</f>
        <v>1.8938694548927561E-3</v>
      </c>
      <c r="M605" t="str">
        <f t="shared" si="18"/>
        <v>PASS</v>
      </c>
      <c r="N605" s="10" t="str">
        <f t="shared" si="19"/>
        <v>NONE</v>
      </c>
    </row>
    <row r="606" spans="1:14">
      <c r="A606" s="4" t="s">
        <v>1228</v>
      </c>
      <c r="B606" s="4" t="s">
        <v>1229</v>
      </c>
      <c r="C606" s="4" t="s">
        <v>12</v>
      </c>
      <c r="D606" s="4" t="s">
        <v>36</v>
      </c>
      <c r="E606" s="5">
        <v>106.67740000000001</v>
      </c>
      <c r="F606" s="5">
        <v>104.3994</v>
      </c>
      <c r="G606" s="5">
        <v>104.4276</v>
      </c>
      <c r="H606" s="4">
        <v>0</v>
      </c>
      <c r="I606" s="6">
        <v>2880186</v>
      </c>
      <c r="J606" s="7">
        <v>339.43</v>
      </c>
      <c r="K606" s="9">
        <f>(PricingDataTable[[#This Row],[Current Price ($)]]-PricingDataTable[[#This Row],[Prior Price ($)]])/PricingDataTable[[#This Row],[Prior Price ($)]]</f>
        <v>-2.1354101243562421E-2</v>
      </c>
      <c r="L606" s="9">
        <f>(PricingDataTable[[#This Row],[Vendor Price ($)]]-PricingDataTable[[#This Row],[Current Price ($)]])/PricingDataTable[[#This Row],[Current Price ($)]]</f>
        <v>2.7011649492236762E-4</v>
      </c>
      <c r="M606" t="str">
        <f t="shared" si="18"/>
        <v>PASS</v>
      </c>
      <c r="N606" s="10" t="str">
        <f t="shared" si="19"/>
        <v>NONE</v>
      </c>
    </row>
    <row r="607" spans="1:14">
      <c r="A607" s="4" t="s">
        <v>1230</v>
      </c>
      <c r="B607" s="4" t="s">
        <v>1231</v>
      </c>
      <c r="C607" s="4" t="s">
        <v>12</v>
      </c>
      <c r="D607" s="4" t="s">
        <v>32</v>
      </c>
      <c r="E607" s="5">
        <v>123.3124</v>
      </c>
      <c r="F607" s="5">
        <v>122.3171</v>
      </c>
      <c r="G607" s="5">
        <v>122.4203</v>
      </c>
      <c r="H607" s="4">
        <v>0</v>
      </c>
      <c r="I607" s="6">
        <v>1579370</v>
      </c>
      <c r="J607" s="7">
        <v>670.21</v>
      </c>
      <c r="K607" s="9">
        <f>(PricingDataTable[[#This Row],[Current Price ($)]]-PricingDataTable[[#This Row],[Prior Price ($)]])/PricingDataTable[[#This Row],[Prior Price ($)]]</f>
        <v>-8.0713699514404092E-3</v>
      </c>
      <c r="L607" s="9">
        <f>(PricingDataTable[[#This Row],[Vendor Price ($)]]-PricingDataTable[[#This Row],[Current Price ($)]])/PricingDataTable[[#This Row],[Current Price ($)]]</f>
        <v>8.4370868831913995E-4</v>
      </c>
      <c r="M607" t="str">
        <f t="shared" si="18"/>
        <v>PASS</v>
      </c>
      <c r="N607" s="10" t="str">
        <f t="shared" si="19"/>
        <v>NONE</v>
      </c>
    </row>
    <row r="608" spans="1:14">
      <c r="A608" s="4" t="s">
        <v>1232</v>
      </c>
      <c r="B608" s="4" t="s">
        <v>1233</v>
      </c>
      <c r="C608" s="4" t="s">
        <v>16</v>
      </c>
      <c r="D608" s="4" t="s">
        <v>64</v>
      </c>
      <c r="E608" s="5">
        <v>122.7034</v>
      </c>
      <c r="F608" s="5">
        <v>122.6279</v>
      </c>
      <c r="G608" s="5">
        <v>122.61790000000001</v>
      </c>
      <c r="H608" s="4">
        <v>2</v>
      </c>
      <c r="I608" s="6">
        <v>3063041</v>
      </c>
      <c r="J608" s="7">
        <v>717.81</v>
      </c>
      <c r="K608" s="9">
        <f>(PricingDataTable[[#This Row],[Current Price ($)]]-PricingDataTable[[#This Row],[Prior Price ($)]])/PricingDataTable[[#This Row],[Prior Price ($)]]</f>
        <v>-6.1530487337763443E-4</v>
      </c>
      <c r="L608" s="9">
        <f>(PricingDataTable[[#This Row],[Vendor Price ($)]]-PricingDataTable[[#This Row],[Current Price ($)]])/PricingDataTable[[#This Row],[Current Price ($)]]</f>
        <v>-8.1547510802932325E-5</v>
      </c>
      <c r="M608" t="str">
        <f t="shared" si="18"/>
        <v>PASS</v>
      </c>
      <c r="N608" s="10" t="str">
        <f t="shared" si="19"/>
        <v>NONE</v>
      </c>
    </row>
    <row r="609" spans="1:14">
      <c r="A609" s="4" t="s">
        <v>1234</v>
      </c>
      <c r="B609" s="4" t="s">
        <v>1235</v>
      </c>
      <c r="C609" s="4" t="s">
        <v>12</v>
      </c>
      <c r="D609" s="4" t="s">
        <v>13</v>
      </c>
      <c r="E609" s="5">
        <v>80.329300000000003</v>
      </c>
      <c r="F609" s="5">
        <v>82.211699999999993</v>
      </c>
      <c r="G609" s="5">
        <v>82.239500000000007</v>
      </c>
      <c r="H609" s="4">
        <v>0</v>
      </c>
      <c r="I609" s="6">
        <v>1237693</v>
      </c>
      <c r="J609" s="7">
        <v>541.4</v>
      </c>
      <c r="K609" s="9">
        <f>(PricingDataTable[[#This Row],[Current Price ($)]]-PricingDataTable[[#This Row],[Prior Price ($)]])/PricingDataTable[[#This Row],[Prior Price ($)]]</f>
        <v>2.3433541684042932E-2</v>
      </c>
      <c r="L609" s="9">
        <f>(PricingDataTable[[#This Row],[Vendor Price ($)]]-PricingDataTable[[#This Row],[Current Price ($)]])/PricingDataTable[[#This Row],[Current Price ($)]]</f>
        <v>3.3815138234598449E-4</v>
      </c>
      <c r="M609" t="str">
        <f t="shared" si="18"/>
        <v>PASS</v>
      </c>
      <c r="N609" s="10" t="str">
        <f t="shared" si="19"/>
        <v>NONE</v>
      </c>
    </row>
    <row r="610" spans="1:14">
      <c r="A610" s="4" t="s">
        <v>1236</v>
      </c>
      <c r="B610" s="4" t="s">
        <v>1237</v>
      </c>
      <c r="C610" s="4" t="s">
        <v>12</v>
      </c>
      <c r="D610" s="4" t="s">
        <v>13</v>
      </c>
      <c r="E610" s="5">
        <v>124.5168</v>
      </c>
      <c r="F610" s="5">
        <v>128.13730000000001</v>
      </c>
      <c r="G610" s="5">
        <v>129.05090000000001</v>
      </c>
      <c r="H610" s="4">
        <v>1</v>
      </c>
      <c r="I610" s="6">
        <v>3161061</v>
      </c>
      <c r="J610" s="7">
        <v>53.12</v>
      </c>
      <c r="K610" s="9">
        <f>(PricingDataTable[[#This Row],[Current Price ($)]]-PricingDataTable[[#This Row],[Prior Price ($)]])/PricingDataTable[[#This Row],[Prior Price ($)]]</f>
        <v>2.907639772303823E-2</v>
      </c>
      <c r="L610" s="9">
        <f>(PricingDataTable[[#This Row],[Vendor Price ($)]]-PricingDataTable[[#This Row],[Current Price ($)]])/PricingDataTable[[#This Row],[Current Price ($)]]</f>
        <v>7.1298521195623937E-3</v>
      </c>
      <c r="M610" t="str">
        <f t="shared" si="18"/>
        <v>PASS</v>
      </c>
      <c r="N610" s="10" t="str">
        <f t="shared" si="19"/>
        <v>NONE</v>
      </c>
    </row>
    <row r="611" spans="1:14">
      <c r="A611" s="4" t="s">
        <v>1238</v>
      </c>
      <c r="B611" s="4" t="s">
        <v>1239</v>
      </c>
      <c r="C611" s="4" t="s">
        <v>39</v>
      </c>
      <c r="D611" s="4" t="s">
        <v>13</v>
      </c>
      <c r="E611" s="5">
        <v>258.56909999999999</v>
      </c>
      <c r="F611" s="5">
        <v>260.35430000000002</v>
      </c>
      <c r="G611" s="5">
        <v>259.22789999999998</v>
      </c>
      <c r="H611" s="4">
        <v>0</v>
      </c>
      <c r="I611" s="6">
        <v>1336409</v>
      </c>
      <c r="J611" s="7">
        <v>891.96</v>
      </c>
      <c r="K611" s="9">
        <f>(PricingDataTable[[#This Row],[Current Price ($)]]-PricingDataTable[[#This Row],[Prior Price ($)]])/PricingDataTable[[#This Row],[Prior Price ($)]]</f>
        <v>6.9041505732898162E-3</v>
      </c>
      <c r="L611" s="9">
        <f>(PricingDataTable[[#This Row],[Vendor Price ($)]]-PricingDataTable[[#This Row],[Current Price ($)]])/PricingDataTable[[#This Row],[Current Price ($)]]</f>
        <v>-4.3264121237868792E-3</v>
      </c>
      <c r="M611" t="str">
        <f t="shared" si="18"/>
        <v>PASS</v>
      </c>
      <c r="N611" s="10" t="str">
        <f t="shared" si="19"/>
        <v>NONE</v>
      </c>
    </row>
    <row r="612" spans="1:14">
      <c r="A612" s="4" t="s">
        <v>1240</v>
      </c>
      <c r="B612" s="4" t="s">
        <v>1241</v>
      </c>
      <c r="C612" s="4" t="s">
        <v>19</v>
      </c>
      <c r="D612" s="4" t="s">
        <v>13</v>
      </c>
      <c r="E612" s="5">
        <v>346.6875</v>
      </c>
      <c r="F612" s="5">
        <v>346.88830000000002</v>
      </c>
      <c r="G612" s="5">
        <v>345.85289999999998</v>
      </c>
      <c r="H612" s="4">
        <v>1</v>
      </c>
      <c r="I612" s="6">
        <v>3304202</v>
      </c>
      <c r="J612" s="7">
        <v>87.77</v>
      </c>
      <c r="K612" s="9">
        <f>(PricingDataTable[[#This Row],[Current Price ($)]]-PricingDataTable[[#This Row],[Prior Price ($)]])/PricingDataTable[[#This Row],[Prior Price ($)]]</f>
        <v>5.7919596178118682E-4</v>
      </c>
      <c r="L612" s="9">
        <f>(PricingDataTable[[#This Row],[Vendor Price ($)]]-PricingDataTable[[#This Row],[Current Price ($)]])/PricingDataTable[[#This Row],[Current Price ($)]]</f>
        <v>-2.9848224918512336E-3</v>
      </c>
      <c r="M612" t="str">
        <f t="shared" si="18"/>
        <v>PASS</v>
      </c>
      <c r="N612" s="10" t="str">
        <f t="shared" si="19"/>
        <v>NONE</v>
      </c>
    </row>
    <row r="613" spans="1:14">
      <c r="A613" s="4" t="s">
        <v>1242</v>
      </c>
      <c r="B613" s="4" t="s">
        <v>1243</v>
      </c>
      <c r="C613" s="4" t="s">
        <v>39</v>
      </c>
      <c r="D613" s="4" t="s">
        <v>13</v>
      </c>
      <c r="E613" s="5">
        <v>327.62479999999999</v>
      </c>
      <c r="F613" s="5">
        <v>325.71429999999998</v>
      </c>
      <c r="G613" s="5">
        <v>327.05770000000001</v>
      </c>
      <c r="H613" s="4">
        <v>0</v>
      </c>
      <c r="I613" s="6">
        <v>1642273</v>
      </c>
      <c r="J613" s="7">
        <v>661.84</v>
      </c>
      <c r="K613" s="9">
        <f>(PricingDataTable[[#This Row],[Current Price ($)]]-PricingDataTable[[#This Row],[Prior Price ($)]])/PricingDataTable[[#This Row],[Prior Price ($)]]</f>
        <v>-5.8313656353243502E-3</v>
      </c>
      <c r="L613" s="9">
        <f>(PricingDataTable[[#This Row],[Vendor Price ($)]]-PricingDataTable[[#This Row],[Current Price ($)]])/PricingDataTable[[#This Row],[Current Price ($)]]</f>
        <v>4.1244735033126615E-3</v>
      </c>
      <c r="M613" t="str">
        <f t="shared" si="18"/>
        <v>PASS</v>
      </c>
      <c r="N613" s="10" t="str">
        <f t="shared" si="19"/>
        <v>NONE</v>
      </c>
    </row>
    <row r="614" spans="1:14">
      <c r="A614" s="4" t="s">
        <v>1244</v>
      </c>
      <c r="B614" s="4" t="s">
        <v>1245</v>
      </c>
      <c r="C614" s="4" t="s">
        <v>12</v>
      </c>
      <c r="D614" s="4" t="s">
        <v>13</v>
      </c>
      <c r="E614" s="5">
        <v>108.91589999999999</v>
      </c>
      <c r="F614" s="5">
        <v>109.65260000000001</v>
      </c>
      <c r="G614" s="5">
        <v>109.6392</v>
      </c>
      <c r="H614" s="4">
        <v>2</v>
      </c>
      <c r="I614" s="6">
        <v>3976157</v>
      </c>
      <c r="J614" s="7">
        <v>161.83000000000001</v>
      </c>
      <c r="K614" s="9">
        <f>(PricingDataTable[[#This Row],[Current Price ($)]]-PricingDataTable[[#This Row],[Prior Price ($)]])/PricingDataTable[[#This Row],[Prior Price ($)]]</f>
        <v>6.7639343750546367E-3</v>
      </c>
      <c r="L614" s="9">
        <f>(PricingDataTable[[#This Row],[Vendor Price ($)]]-PricingDataTable[[#This Row],[Current Price ($)]])/PricingDataTable[[#This Row],[Current Price ($)]]</f>
        <v>-1.2220412466283788E-4</v>
      </c>
      <c r="M614" t="str">
        <f t="shared" si="18"/>
        <v>PASS</v>
      </c>
      <c r="N614" s="10" t="str">
        <f t="shared" si="19"/>
        <v>NONE</v>
      </c>
    </row>
    <row r="615" spans="1:14">
      <c r="A615" s="4" t="s">
        <v>1246</v>
      </c>
      <c r="B615" s="4" t="s">
        <v>1247</v>
      </c>
      <c r="C615" s="4" t="s">
        <v>35</v>
      </c>
      <c r="D615" s="4" t="s">
        <v>13</v>
      </c>
      <c r="E615" s="5">
        <v>107.6238</v>
      </c>
      <c r="F615" s="5">
        <v>109.40479999999999</v>
      </c>
      <c r="G615" s="5">
        <v>109.3177</v>
      </c>
      <c r="H615" s="4">
        <v>0</v>
      </c>
      <c r="I615" s="6">
        <v>1447925</v>
      </c>
      <c r="J615" s="7">
        <v>587.59</v>
      </c>
      <c r="K615" s="9">
        <f>(PricingDataTable[[#This Row],[Current Price ($)]]-PricingDataTable[[#This Row],[Prior Price ($)]])/PricingDataTable[[#This Row],[Prior Price ($)]]</f>
        <v>1.6548384279313606E-2</v>
      </c>
      <c r="L615" s="9">
        <f>(PricingDataTable[[#This Row],[Vendor Price ($)]]-PricingDataTable[[#This Row],[Current Price ($)]])/PricingDataTable[[#This Row],[Current Price ($)]]</f>
        <v>-7.9612594694192956E-4</v>
      </c>
      <c r="M615" t="str">
        <f t="shared" si="18"/>
        <v>PASS</v>
      </c>
      <c r="N615" s="10" t="str">
        <f t="shared" si="19"/>
        <v>NONE</v>
      </c>
    </row>
    <row r="616" spans="1:14">
      <c r="A616" s="4" t="s">
        <v>1248</v>
      </c>
      <c r="B616" s="4" t="s">
        <v>1249</v>
      </c>
      <c r="C616" s="4" t="s">
        <v>39</v>
      </c>
      <c r="D616" s="4" t="s">
        <v>64</v>
      </c>
      <c r="E616" s="5">
        <v>230.40629999999999</v>
      </c>
      <c r="F616" s="5">
        <v>229.7715</v>
      </c>
      <c r="G616" s="5">
        <v>230.7621</v>
      </c>
      <c r="H616" s="4">
        <v>0</v>
      </c>
      <c r="I616" s="6">
        <v>4277080</v>
      </c>
      <c r="J616" s="7">
        <v>202.6</v>
      </c>
      <c r="K616" s="9">
        <f>(PricingDataTable[[#This Row],[Current Price ($)]]-PricingDataTable[[#This Row],[Prior Price ($)]])/PricingDataTable[[#This Row],[Prior Price ($)]]</f>
        <v>-2.7551329976653605E-3</v>
      </c>
      <c r="L616" s="9">
        <f>(PricingDataTable[[#This Row],[Vendor Price ($)]]-PricingDataTable[[#This Row],[Current Price ($)]])/PricingDataTable[[#This Row],[Current Price ($)]]</f>
        <v>4.3112396446034458E-3</v>
      </c>
      <c r="M616" t="str">
        <f t="shared" si="18"/>
        <v>PASS</v>
      </c>
      <c r="N616" s="10" t="str">
        <f t="shared" si="19"/>
        <v>NONE</v>
      </c>
    </row>
    <row r="617" spans="1:14">
      <c r="A617" s="4" t="s">
        <v>1250</v>
      </c>
      <c r="B617" s="4" t="s">
        <v>1251</v>
      </c>
      <c r="C617" s="4" t="s">
        <v>35</v>
      </c>
      <c r="D617" s="4" t="s">
        <v>13</v>
      </c>
      <c r="E617" s="5">
        <v>125.4832</v>
      </c>
      <c r="F617" s="5">
        <v>127.15600000000001</v>
      </c>
      <c r="G617" s="5">
        <v>127.4423</v>
      </c>
      <c r="H617" s="4">
        <v>1</v>
      </c>
      <c r="I617" s="6">
        <v>2729218</v>
      </c>
      <c r="J617" s="7">
        <v>57.34</v>
      </c>
      <c r="K617" s="9">
        <f>(PricingDataTable[[#This Row],[Current Price ($)]]-PricingDataTable[[#This Row],[Prior Price ($)]])/PricingDataTable[[#This Row],[Prior Price ($)]]</f>
        <v>1.3330868195901997E-2</v>
      </c>
      <c r="L617" s="9">
        <f>(PricingDataTable[[#This Row],[Vendor Price ($)]]-PricingDataTable[[#This Row],[Current Price ($)]])/PricingDataTable[[#This Row],[Current Price ($)]]</f>
        <v>2.2515650067633231E-3</v>
      </c>
      <c r="M617" t="str">
        <f t="shared" si="18"/>
        <v>PASS</v>
      </c>
      <c r="N617" s="10" t="str">
        <f t="shared" si="19"/>
        <v>NONE</v>
      </c>
    </row>
    <row r="618" spans="1:14">
      <c r="A618" s="4" t="s">
        <v>1252</v>
      </c>
      <c r="B618" s="4" t="s">
        <v>1253</v>
      </c>
      <c r="C618" s="4" t="s">
        <v>16</v>
      </c>
      <c r="D618" s="4" t="s">
        <v>13</v>
      </c>
      <c r="E618" s="5">
        <v>94.689800000000005</v>
      </c>
      <c r="F618" s="5">
        <v>95.507400000000004</v>
      </c>
      <c r="G618" s="5">
        <v>95.0505</v>
      </c>
      <c r="H618" s="4">
        <v>1</v>
      </c>
      <c r="I618" s="6">
        <v>1041936</v>
      </c>
      <c r="J618" s="7">
        <v>678.21</v>
      </c>
      <c r="K618" s="9">
        <f>(PricingDataTable[[#This Row],[Current Price ($)]]-PricingDataTable[[#This Row],[Prior Price ($)]])/PricingDataTable[[#This Row],[Prior Price ($)]]</f>
        <v>8.634509736001118E-3</v>
      </c>
      <c r="L618" s="9">
        <f>(PricingDataTable[[#This Row],[Vendor Price ($)]]-PricingDataTable[[#This Row],[Current Price ($)]])/PricingDataTable[[#This Row],[Current Price ($)]]</f>
        <v>-4.7839225023401802E-3</v>
      </c>
      <c r="M618" t="str">
        <f t="shared" si="18"/>
        <v>PASS</v>
      </c>
      <c r="N618" s="10" t="str">
        <f t="shared" si="19"/>
        <v>NONE</v>
      </c>
    </row>
    <row r="619" spans="1:14">
      <c r="A619" s="4" t="s">
        <v>1254</v>
      </c>
      <c r="B619" s="4" t="s">
        <v>1255</v>
      </c>
      <c r="C619" s="4" t="s">
        <v>19</v>
      </c>
      <c r="D619" s="4" t="s">
        <v>13</v>
      </c>
      <c r="E619" s="5">
        <v>69.538600000000002</v>
      </c>
      <c r="F619" s="5">
        <v>68.128</v>
      </c>
      <c r="G619" s="5">
        <v>68.004300000000001</v>
      </c>
      <c r="H619" s="4">
        <v>0</v>
      </c>
      <c r="I619" s="6">
        <v>294645</v>
      </c>
      <c r="J619" s="7">
        <v>76.33</v>
      </c>
      <c r="K619" s="9">
        <f>(PricingDataTable[[#This Row],[Current Price ($)]]-PricingDataTable[[#This Row],[Prior Price ($)]])/PricingDataTable[[#This Row],[Prior Price ($)]]</f>
        <v>-2.0285136600391756E-2</v>
      </c>
      <c r="L619" s="9">
        <f>(PricingDataTable[[#This Row],[Vendor Price ($)]]-PricingDataTable[[#This Row],[Current Price ($)]])/PricingDataTable[[#This Row],[Current Price ($)]]</f>
        <v>-1.8156998590887663E-3</v>
      </c>
      <c r="M619" t="str">
        <f t="shared" si="18"/>
        <v>PASS</v>
      </c>
      <c r="N619" s="10" t="str">
        <f t="shared" si="19"/>
        <v>NONE</v>
      </c>
    </row>
    <row r="620" spans="1:14">
      <c r="A620" s="4" t="s">
        <v>1256</v>
      </c>
      <c r="B620" s="4" t="s">
        <v>1257</v>
      </c>
      <c r="C620" s="4" t="s">
        <v>19</v>
      </c>
      <c r="D620" s="4" t="s">
        <v>237</v>
      </c>
      <c r="E620" s="5">
        <v>66.688299999999998</v>
      </c>
      <c r="F620" s="5">
        <v>67.848699999999994</v>
      </c>
      <c r="G620" s="5">
        <v>67.805999999999997</v>
      </c>
      <c r="H620" s="4">
        <v>3</v>
      </c>
      <c r="I620" s="6">
        <v>4481375</v>
      </c>
      <c r="J620" s="7">
        <v>400.54</v>
      </c>
      <c r="K620" s="9">
        <f>(PricingDataTable[[#This Row],[Current Price ($)]]-PricingDataTable[[#This Row],[Prior Price ($)]])/PricingDataTable[[#This Row],[Prior Price ($)]]</f>
        <v>1.7400353585261517E-2</v>
      </c>
      <c r="L620" s="9">
        <f>(PricingDataTable[[#This Row],[Vendor Price ($)]]-PricingDataTable[[#This Row],[Current Price ($)]])/PricingDataTable[[#This Row],[Current Price ($)]]</f>
        <v>-6.2934146122175388E-4</v>
      </c>
      <c r="M620" t="str">
        <f t="shared" si="18"/>
        <v>STALE</v>
      </c>
      <c r="N620" s="10" t="str">
        <f t="shared" si="19"/>
        <v>LOW</v>
      </c>
    </row>
    <row r="621" spans="1:14">
      <c r="A621" s="4" t="s">
        <v>1258</v>
      </c>
      <c r="B621" s="4" t="s">
        <v>1259</v>
      </c>
      <c r="C621" s="4" t="s">
        <v>12</v>
      </c>
      <c r="D621" s="4" t="s">
        <v>13</v>
      </c>
      <c r="E621" s="5">
        <v>124.301</v>
      </c>
      <c r="F621" s="5">
        <v>123.19119999999999</v>
      </c>
      <c r="G621" s="5">
        <v>123.55929999999999</v>
      </c>
      <c r="H621" s="4">
        <v>1</v>
      </c>
      <c r="I621" s="6">
        <v>2515143</v>
      </c>
      <c r="J621" s="7">
        <v>770.51</v>
      </c>
      <c r="K621" s="9">
        <f>(PricingDataTable[[#This Row],[Current Price ($)]]-PricingDataTable[[#This Row],[Prior Price ($)]])/PricingDataTable[[#This Row],[Prior Price ($)]]</f>
        <v>-8.928327205734523E-3</v>
      </c>
      <c r="L621" s="9">
        <f>(PricingDataTable[[#This Row],[Vendor Price ($)]]-PricingDataTable[[#This Row],[Current Price ($)]])/PricingDataTable[[#This Row],[Current Price ($)]]</f>
        <v>2.9880381066179915E-3</v>
      </c>
      <c r="M621" t="str">
        <f t="shared" si="18"/>
        <v>PASS</v>
      </c>
      <c r="N621" s="10" t="str">
        <f t="shared" si="19"/>
        <v>NONE</v>
      </c>
    </row>
    <row r="622" spans="1:14">
      <c r="A622" s="4" t="s">
        <v>1260</v>
      </c>
      <c r="B622" s="4" t="s">
        <v>1261</v>
      </c>
      <c r="C622" s="4" t="s">
        <v>12</v>
      </c>
      <c r="D622" s="4" t="s">
        <v>13</v>
      </c>
      <c r="E622" s="5">
        <v>92.953299999999999</v>
      </c>
      <c r="F622" s="5">
        <v>94.029499999999999</v>
      </c>
      <c r="G622" s="5">
        <v>94.313900000000004</v>
      </c>
      <c r="H622" s="4">
        <v>0</v>
      </c>
      <c r="I622" s="6">
        <v>699385</v>
      </c>
      <c r="J622" s="7">
        <v>850.28</v>
      </c>
      <c r="K622" s="9">
        <f>(PricingDataTable[[#This Row],[Current Price ($)]]-PricingDataTable[[#This Row],[Prior Price ($)]])/PricingDataTable[[#This Row],[Prior Price ($)]]</f>
        <v>1.1577856837788439E-2</v>
      </c>
      <c r="L622" s="9">
        <f>(PricingDataTable[[#This Row],[Vendor Price ($)]]-PricingDataTable[[#This Row],[Current Price ($)]])/PricingDataTable[[#This Row],[Current Price ($)]]</f>
        <v>3.0245827107450865E-3</v>
      </c>
      <c r="M622" t="str">
        <f t="shared" si="18"/>
        <v>PASS</v>
      </c>
      <c r="N622" s="10" t="str">
        <f t="shared" si="19"/>
        <v>NONE</v>
      </c>
    </row>
    <row r="623" spans="1:14">
      <c r="A623" s="4" t="s">
        <v>1262</v>
      </c>
      <c r="B623" s="4" t="s">
        <v>1263</v>
      </c>
      <c r="C623" s="4" t="s">
        <v>35</v>
      </c>
      <c r="D623" s="4" t="s">
        <v>13</v>
      </c>
      <c r="E623" s="5">
        <v>38.269799999999996</v>
      </c>
      <c r="F623" s="5">
        <v>38.020000000000003</v>
      </c>
      <c r="G623" s="5">
        <v>37.954300000000003</v>
      </c>
      <c r="H623" s="4">
        <v>1</v>
      </c>
      <c r="I623" s="6">
        <v>4291164</v>
      </c>
      <c r="J623" s="7">
        <v>544.53</v>
      </c>
      <c r="K623" s="9">
        <f>(PricingDataTable[[#This Row],[Current Price ($)]]-PricingDataTable[[#This Row],[Prior Price ($)]])/PricingDataTable[[#This Row],[Prior Price ($)]]</f>
        <v>-6.5273400958456374E-3</v>
      </c>
      <c r="L623" s="9">
        <f>(PricingDataTable[[#This Row],[Vendor Price ($)]]-PricingDataTable[[#This Row],[Current Price ($)]])/PricingDataTable[[#This Row],[Current Price ($)]]</f>
        <v>-1.7280378748027259E-3</v>
      </c>
      <c r="M623" t="str">
        <f t="shared" si="18"/>
        <v>PASS</v>
      </c>
      <c r="N623" s="10" t="str">
        <f t="shared" si="19"/>
        <v>NONE</v>
      </c>
    </row>
    <row r="624" spans="1:14">
      <c r="A624" s="4" t="s">
        <v>1264</v>
      </c>
      <c r="B624" s="4" t="s">
        <v>1265</v>
      </c>
      <c r="C624" s="4" t="s">
        <v>19</v>
      </c>
      <c r="D624" s="4" t="s">
        <v>32</v>
      </c>
      <c r="E624" s="5">
        <v>137.59809999999999</v>
      </c>
      <c r="F624" s="5">
        <v>138.8116</v>
      </c>
      <c r="G624" s="5">
        <v>138.74119999999999</v>
      </c>
      <c r="H624" s="4">
        <v>1</v>
      </c>
      <c r="I624" s="6">
        <v>747369</v>
      </c>
      <c r="J624" s="7">
        <v>326.66000000000003</v>
      </c>
      <c r="K624" s="9">
        <f>(PricingDataTable[[#This Row],[Current Price ($)]]-PricingDataTable[[#This Row],[Prior Price ($)]])/PricingDataTable[[#This Row],[Prior Price ($)]]</f>
        <v>8.8191624739005162E-3</v>
      </c>
      <c r="L624" s="9">
        <f>(PricingDataTable[[#This Row],[Vendor Price ($)]]-PricingDataTable[[#This Row],[Current Price ($)]])/PricingDataTable[[#This Row],[Current Price ($)]]</f>
        <v>-5.0716222563536805E-4</v>
      </c>
      <c r="M624" t="str">
        <f t="shared" si="18"/>
        <v>PASS</v>
      </c>
      <c r="N624" s="10" t="str">
        <f t="shared" si="19"/>
        <v>NONE</v>
      </c>
    </row>
    <row r="625" spans="1:14">
      <c r="A625" s="4" t="s">
        <v>1266</v>
      </c>
      <c r="B625" s="4" t="s">
        <v>1267</v>
      </c>
      <c r="C625" s="4" t="s">
        <v>19</v>
      </c>
      <c r="D625" s="4" t="s">
        <v>32</v>
      </c>
      <c r="E625" s="5">
        <v>101.5872</v>
      </c>
      <c r="F625" s="5">
        <v>104.36239999999999</v>
      </c>
      <c r="G625" s="5">
        <v>104.8663</v>
      </c>
      <c r="H625" s="4">
        <v>1</v>
      </c>
      <c r="I625" s="6">
        <v>2572524</v>
      </c>
      <c r="J625" s="7">
        <v>530.03</v>
      </c>
      <c r="K625" s="9">
        <f>(PricingDataTable[[#This Row],[Current Price ($)]]-PricingDataTable[[#This Row],[Prior Price ($)]])/PricingDataTable[[#This Row],[Prior Price ($)]]</f>
        <v>2.73184023184023E-2</v>
      </c>
      <c r="L625" s="9">
        <f>(PricingDataTable[[#This Row],[Vendor Price ($)]]-PricingDataTable[[#This Row],[Current Price ($)]])/PricingDataTable[[#This Row],[Current Price ($)]]</f>
        <v>4.8283673046997924E-3</v>
      </c>
      <c r="M625" t="str">
        <f t="shared" si="18"/>
        <v>PASS</v>
      </c>
      <c r="N625" s="10" t="str">
        <f t="shared" si="19"/>
        <v>NONE</v>
      </c>
    </row>
    <row r="626" spans="1:14">
      <c r="A626" s="4" t="s">
        <v>1268</v>
      </c>
      <c r="B626" s="4" t="s">
        <v>1269</v>
      </c>
      <c r="C626" s="4" t="s">
        <v>16</v>
      </c>
      <c r="D626" s="4" t="s">
        <v>13</v>
      </c>
      <c r="E626" s="5">
        <v>118.26990000000001</v>
      </c>
      <c r="F626" s="5">
        <v>116.4299</v>
      </c>
      <c r="G626" s="5">
        <v>116.2779</v>
      </c>
      <c r="H626" s="4">
        <v>3</v>
      </c>
      <c r="I626" s="6">
        <v>4461073</v>
      </c>
      <c r="J626" s="7">
        <v>496.59</v>
      </c>
      <c r="K626" s="9">
        <f>(PricingDataTable[[#This Row],[Current Price ($)]]-PricingDataTable[[#This Row],[Prior Price ($)]])/PricingDataTable[[#This Row],[Prior Price ($)]]</f>
        <v>-1.5557635543785893E-2</v>
      </c>
      <c r="L626" s="9">
        <f>(PricingDataTable[[#This Row],[Vendor Price ($)]]-PricingDataTable[[#This Row],[Current Price ($)]])/PricingDataTable[[#This Row],[Current Price ($)]]</f>
        <v>-1.3055065752010525E-3</v>
      </c>
      <c r="M626" t="str">
        <f t="shared" si="18"/>
        <v>STALE</v>
      </c>
      <c r="N626" s="10" t="str">
        <f t="shared" si="19"/>
        <v>LOW</v>
      </c>
    </row>
    <row r="627" spans="1:14">
      <c r="A627" s="4" t="s">
        <v>1270</v>
      </c>
      <c r="B627" s="4" t="s">
        <v>1271</v>
      </c>
      <c r="C627" s="4" t="s">
        <v>12</v>
      </c>
      <c r="D627" s="4" t="s">
        <v>13</v>
      </c>
      <c r="E627" s="5">
        <v>109.3329</v>
      </c>
      <c r="F627" s="5">
        <v>108.893</v>
      </c>
      <c r="G627" s="5">
        <v>108.42749999999999</v>
      </c>
      <c r="H627" s="4">
        <v>0</v>
      </c>
      <c r="I627" s="6">
        <v>3106049</v>
      </c>
      <c r="J627" s="7">
        <v>636.80999999999995</v>
      </c>
      <c r="K627" s="9">
        <f>(PricingDataTable[[#This Row],[Current Price ($)]]-PricingDataTable[[#This Row],[Prior Price ($)]])/PricingDataTable[[#This Row],[Prior Price ($)]]</f>
        <v>-4.0234915565213617E-3</v>
      </c>
      <c r="L627" s="9">
        <f>(PricingDataTable[[#This Row],[Vendor Price ($)]]-PricingDataTable[[#This Row],[Current Price ($)]])/PricingDataTable[[#This Row],[Current Price ($)]]</f>
        <v>-4.2748386030323875E-3</v>
      </c>
      <c r="M627" t="str">
        <f t="shared" si="18"/>
        <v>PASS</v>
      </c>
      <c r="N627" s="10" t="str">
        <f t="shared" si="19"/>
        <v>NONE</v>
      </c>
    </row>
    <row r="628" spans="1:14">
      <c r="A628" s="4" t="s">
        <v>1272</v>
      </c>
      <c r="B628" s="4" t="s">
        <v>1273</v>
      </c>
      <c r="C628" s="4" t="s">
        <v>16</v>
      </c>
      <c r="D628" s="4" t="s">
        <v>13</v>
      </c>
      <c r="E628" s="5">
        <v>96.947999999999993</v>
      </c>
      <c r="F628" s="5">
        <v>96.152600000000007</v>
      </c>
      <c r="G628" s="5">
        <v>96.410200000000003</v>
      </c>
      <c r="H628" s="4">
        <v>0</v>
      </c>
      <c r="I628" s="6">
        <v>1920012</v>
      </c>
      <c r="J628" s="7">
        <v>274.81</v>
      </c>
      <c r="K628" s="9">
        <f>(PricingDataTable[[#This Row],[Current Price ($)]]-PricingDataTable[[#This Row],[Prior Price ($)]])/PricingDataTable[[#This Row],[Prior Price ($)]]</f>
        <v>-8.2043982341047424E-3</v>
      </c>
      <c r="L628" s="9">
        <f>(PricingDataTable[[#This Row],[Vendor Price ($)]]-PricingDataTable[[#This Row],[Current Price ($)]])/PricingDataTable[[#This Row],[Current Price ($)]]</f>
        <v>2.6790747208083449E-3</v>
      </c>
      <c r="M628" t="str">
        <f t="shared" si="18"/>
        <v>PASS</v>
      </c>
      <c r="N628" s="10" t="str">
        <f t="shared" si="19"/>
        <v>NONE</v>
      </c>
    </row>
    <row r="629" spans="1:14">
      <c r="A629" s="4" t="s">
        <v>1274</v>
      </c>
      <c r="B629" s="4" t="s">
        <v>1275</v>
      </c>
      <c r="C629" s="4" t="s">
        <v>16</v>
      </c>
      <c r="D629" s="4" t="s">
        <v>13</v>
      </c>
      <c r="E629" s="5">
        <v>79.507000000000005</v>
      </c>
      <c r="F629" s="5">
        <v>80.862300000000005</v>
      </c>
      <c r="G629" s="5">
        <v>81.050299999999993</v>
      </c>
      <c r="H629" s="4">
        <v>0</v>
      </c>
      <c r="I629" s="6">
        <v>4135329</v>
      </c>
      <c r="J629" s="7">
        <v>727.55</v>
      </c>
      <c r="K629" s="9">
        <f>(PricingDataTable[[#This Row],[Current Price ($)]]-PricingDataTable[[#This Row],[Prior Price ($)]])/PricingDataTable[[#This Row],[Prior Price ($)]]</f>
        <v>1.7046297810255698E-2</v>
      </c>
      <c r="L629" s="9">
        <f>(PricingDataTable[[#This Row],[Vendor Price ($)]]-PricingDataTable[[#This Row],[Current Price ($)]])/PricingDataTable[[#This Row],[Current Price ($)]]</f>
        <v>2.3249400524099385E-3</v>
      </c>
      <c r="M629" t="str">
        <f t="shared" si="18"/>
        <v>PASS</v>
      </c>
      <c r="N629" s="10" t="str">
        <f t="shared" si="19"/>
        <v>NONE</v>
      </c>
    </row>
    <row r="630" spans="1:14">
      <c r="A630" s="4" t="s">
        <v>1276</v>
      </c>
      <c r="B630" s="4" t="s">
        <v>1277</v>
      </c>
      <c r="C630" s="4" t="s">
        <v>12</v>
      </c>
      <c r="D630" s="4" t="s">
        <v>36</v>
      </c>
      <c r="E630" s="5">
        <v>81.821399999999997</v>
      </c>
      <c r="F630" s="5">
        <v>80.328900000000004</v>
      </c>
      <c r="G630" s="5">
        <v>80.334000000000003</v>
      </c>
      <c r="H630" s="4">
        <v>0</v>
      </c>
      <c r="I630" s="6">
        <v>62155</v>
      </c>
      <c r="J630" s="7">
        <v>642.79999999999995</v>
      </c>
      <c r="K630" s="9">
        <f>(PricingDataTable[[#This Row],[Current Price ($)]]-PricingDataTable[[#This Row],[Prior Price ($)]])/PricingDataTable[[#This Row],[Prior Price ($)]]</f>
        <v>-1.8240949189331796E-2</v>
      </c>
      <c r="L630" s="9">
        <f>(PricingDataTable[[#This Row],[Vendor Price ($)]]-PricingDataTable[[#This Row],[Current Price ($)]])/PricingDataTable[[#This Row],[Current Price ($)]]</f>
        <v>6.3488980927147912E-5</v>
      </c>
      <c r="M630" t="str">
        <f t="shared" si="18"/>
        <v>PASS</v>
      </c>
      <c r="N630" s="10" t="str">
        <f t="shared" si="19"/>
        <v>NONE</v>
      </c>
    </row>
    <row r="631" spans="1:14">
      <c r="A631" s="4" t="s">
        <v>1278</v>
      </c>
      <c r="B631" s="4" t="s">
        <v>1279</v>
      </c>
      <c r="C631" s="4" t="s">
        <v>39</v>
      </c>
      <c r="D631" s="4" t="s">
        <v>13</v>
      </c>
      <c r="E631" s="5">
        <v>260.73219999999998</v>
      </c>
      <c r="F631" s="5">
        <v>266.28289999999998</v>
      </c>
      <c r="G631" s="5">
        <v>265.83089999999999</v>
      </c>
      <c r="H631" s="4">
        <v>0</v>
      </c>
      <c r="I631" s="6">
        <v>4392573</v>
      </c>
      <c r="J631" s="7">
        <v>813.44</v>
      </c>
      <c r="K631" s="9">
        <f>(PricingDataTable[[#This Row],[Current Price ($)]]-PricingDataTable[[#This Row],[Prior Price ($)]])/PricingDataTable[[#This Row],[Prior Price ($)]]</f>
        <v>2.1288893354944292E-2</v>
      </c>
      <c r="L631" s="9">
        <f>(PricingDataTable[[#This Row],[Vendor Price ($)]]-PricingDataTable[[#This Row],[Current Price ($)]])/PricingDataTable[[#This Row],[Current Price ($)]]</f>
        <v>-1.6974428324161943E-3</v>
      </c>
      <c r="M631" t="str">
        <f t="shared" si="18"/>
        <v>PASS</v>
      </c>
      <c r="N631" s="10" t="str">
        <f t="shared" si="19"/>
        <v>NONE</v>
      </c>
    </row>
    <row r="632" spans="1:14">
      <c r="A632" s="4" t="s">
        <v>1280</v>
      </c>
      <c r="B632" s="4" t="s">
        <v>1281</v>
      </c>
      <c r="C632" s="4" t="s">
        <v>16</v>
      </c>
      <c r="D632" s="4" t="s">
        <v>13</v>
      </c>
      <c r="E632" s="5">
        <v>92.664599999999993</v>
      </c>
      <c r="F632" s="5">
        <v>93.8994</v>
      </c>
      <c r="G632" s="5">
        <v>94.003</v>
      </c>
      <c r="H632" s="4">
        <v>0</v>
      </c>
      <c r="I632" s="6">
        <v>989726</v>
      </c>
      <c r="J632" s="7">
        <v>261.2</v>
      </c>
      <c r="K632" s="9">
        <f>(PricingDataTable[[#This Row],[Current Price ($)]]-PricingDataTable[[#This Row],[Prior Price ($)]])/PricingDataTable[[#This Row],[Prior Price ($)]]</f>
        <v>1.3325477043013265E-2</v>
      </c>
      <c r="L632" s="9">
        <f>(PricingDataTable[[#This Row],[Vendor Price ($)]]-PricingDataTable[[#This Row],[Current Price ($)]])/PricingDataTable[[#This Row],[Current Price ($)]]</f>
        <v>1.1033084343456947E-3</v>
      </c>
      <c r="M632" t="str">
        <f t="shared" si="18"/>
        <v>PASS</v>
      </c>
      <c r="N632" s="10" t="str">
        <f t="shared" si="19"/>
        <v>NONE</v>
      </c>
    </row>
    <row r="633" spans="1:14">
      <c r="A633" s="4" t="s">
        <v>1282</v>
      </c>
      <c r="B633" s="4" t="s">
        <v>1283</v>
      </c>
      <c r="C633" s="4" t="s">
        <v>19</v>
      </c>
      <c r="D633" s="4" t="s">
        <v>13</v>
      </c>
      <c r="E633" s="5">
        <v>223.8623</v>
      </c>
      <c r="F633" s="5">
        <v>219.08750000000001</v>
      </c>
      <c r="G633" s="5">
        <v>220.01</v>
      </c>
      <c r="H633" s="4">
        <v>0</v>
      </c>
      <c r="I633" s="6">
        <v>4096875</v>
      </c>
      <c r="J633" s="7">
        <v>51.94</v>
      </c>
      <c r="K633" s="9">
        <f>(PricingDataTable[[#This Row],[Current Price ($)]]-PricingDataTable[[#This Row],[Prior Price ($)]])/PricingDataTable[[#This Row],[Prior Price ($)]]</f>
        <v>-2.1329183163042633E-2</v>
      </c>
      <c r="L633" s="9">
        <f>(PricingDataTable[[#This Row],[Vendor Price ($)]]-PricingDataTable[[#This Row],[Current Price ($)]])/PricingDataTable[[#This Row],[Current Price ($)]]</f>
        <v>4.2106464312203357E-3</v>
      </c>
      <c r="M633" t="str">
        <f t="shared" si="18"/>
        <v>PASS</v>
      </c>
      <c r="N633" s="10" t="str">
        <f t="shared" si="19"/>
        <v>NONE</v>
      </c>
    </row>
    <row r="634" spans="1:14">
      <c r="A634" s="4" t="s">
        <v>1284</v>
      </c>
      <c r="B634" s="4" t="s">
        <v>1285</v>
      </c>
      <c r="C634" s="4" t="s">
        <v>16</v>
      </c>
      <c r="D634" s="4" t="s">
        <v>13</v>
      </c>
      <c r="E634" s="5">
        <v>80.358199999999997</v>
      </c>
      <c r="F634" s="5">
        <v>79.4529</v>
      </c>
      <c r="G634" s="5">
        <v>85.462299999999999</v>
      </c>
      <c r="H634" s="4">
        <v>0</v>
      </c>
      <c r="I634" s="6">
        <v>1039867</v>
      </c>
      <c r="J634" s="7">
        <v>821.82</v>
      </c>
      <c r="K634" s="9">
        <f>(PricingDataTable[[#This Row],[Current Price ($)]]-PricingDataTable[[#This Row],[Prior Price ($)]])/PricingDataTable[[#This Row],[Prior Price ($)]]</f>
        <v>-1.1265807347601077E-2</v>
      </c>
      <c r="L634" s="9">
        <f>(PricingDataTable[[#This Row],[Vendor Price ($)]]-PricingDataTable[[#This Row],[Current Price ($)]])/PricingDataTable[[#This Row],[Current Price ($)]]</f>
        <v>7.5634747126914176E-2</v>
      </c>
      <c r="M634" t="str">
        <f t="shared" si="18"/>
        <v>VENDOR DIFFERENCE</v>
      </c>
      <c r="N634" s="10" t="str">
        <f t="shared" si="19"/>
        <v>HIGH</v>
      </c>
    </row>
    <row r="635" spans="1:14">
      <c r="A635" s="4" t="s">
        <v>1286</v>
      </c>
      <c r="B635" s="4" t="s">
        <v>1287</v>
      </c>
      <c r="C635" s="4" t="s">
        <v>39</v>
      </c>
      <c r="D635" s="4" t="s">
        <v>13</v>
      </c>
      <c r="E635" s="5">
        <v>168.97890000000001</v>
      </c>
      <c r="F635" s="5">
        <v>167.61959999999999</v>
      </c>
      <c r="G635" s="5">
        <v>167.95959999999999</v>
      </c>
      <c r="H635" s="4">
        <v>0</v>
      </c>
      <c r="I635" s="6">
        <v>3686591</v>
      </c>
      <c r="J635" s="7">
        <v>145.82</v>
      </c>
      <c r="K635" s="9">
        <f>(PricingDataTable[[#This Row],[Current Price ($)]]-PricingDataTable[[#This Row],[Prior Price ($)]])/PricingDataTable[[#This Row],[Prior Price ($)]]</f>
        <v>-8.0441996012521021E-3</v>
      </c>
      <c r="L635" s="9">
        <f>(PricingDataTable[[#This Row],[Vendor Price ($)]]-PricingDataTable[[#This Row],[Current Price ($)]])/PricingDataTable[[#This Row],[Current Price ($)]]</f>
        <v>2.0284024064011813E-3</v>
      </c>
      <c r="M635" t="str">
        <f t="shared" si="18"/>
        <v>PASS</v>
      </c>
      <c r="N635" s="10" t="str">
        <f t="shared" si="19"/>
        <v>NONE</v>
      </c>
    </row>
    <row r="636" spans="1:14">
      <c r="A636" s="4" t="s">
        <v>1288</v>
      </c>
      <c r="B636" s="4" t="s">
        <v>1289</v>
      </c>
      <c r="C636" s="4" t="s">
        <v>19</v>
      </c>
      <c r="D636" s="4" t="s">
        <v>64</v>
      </c>
      <c r="E636" s="5">
        <v>250.553</v>
      </c>
      <c r="F636" s="5">
        <v>252.44370000000001</v>
      </c>
      <c r="G636" s="5">
        <v>252.84100000000001</v>
      </c>
      <c r="H636" s="4">
        <v>0</v>
      </c>
      <c r="I636" s="6">
        <v>4021617</v>
      </c>
      <c r="J636" s="7">
        <v>863.74</v>
      </c>
      <c r="K636" s="9">
        <f>(PricingDataTable[[#This Row],[Current Price ($)]]-PricingDataTable[[#This Row],[Prior Price ($)]])/PricingDataTable[[#This Row],[Prior Price ($)]]</f>
        <v>7.5461080090839447E-3</v>
      </c>
      <c r="L636" s="9">
        <f>(PricingDataTable[[#This Row],[Vendor Price ($)]]-PricingDataTable[[#This Row],[Current Price ($)]])/PricingDataTable[[#This Row],[Current Price ($)]]</f>
        <v>1.5738162608138024E-3</v>
      </c>
      <c r="M636" t="str">
        <f t="shared" si="18"/>
        <v>PASS</v>
      </c>
      <c r="N636" s="10" t="str">
        <f t="shared" si="19"/>
        <v>NONE</v>
      </c>
    </row>
    <row r="637" spans="1:14">
      <c r="A637" s="4" t="s">
        <v>1290</v>
      </c>
      <c r="B637" s="4" t="s">
        <v>1291</v>
      </c>
      <c r="C637" s="4" t="s">
        <v>16</v>
      </c>
      <c r="D637" s="4" t="s">
        <v>13</v>
      </c>
      <c r="E637" s="5">
        <v>114.991</v>
      </c>
      <c r="F637" s="5">
        <v>114.7191</v>
      </c>
      <c r="G637" s="5">
        <v>114.4217</v>
      </c>
      <c r="H637" s="4">
        <v>0</v>
      </c>
      <c r="I637" s="6">
        <v>3262897</v>
      </c>
      <c r="J637" s="7">
        <v>118.45</v>
      </c>
      <c r="K637" s="9">
        <f>(PricingDataTable[[#This Row],[Current Price ($)]]-PricingDataTable[[#This Row],[Prior Price ($)]])/PricingDataTable[[#This Row],[Prior Price ($)]]</f>
        <v>-2.3645328764860057E-3</v>
      </c>
      <c r="L637" s="9">
        <f>(PricingDataTable[[#This Row],[Vendor Price ($)]]-PricingDataTable[[#This Row],[Current Price ($)]])/PricingDataTable[[#This Row],[Current Price ($)]]</f>
        <v>-2.5924192222567654E-3</v>
      </c>
      <c r="M637" t="str">
        <f t="shared" si="18"/>
        <v>PASS</v>
      </c>
      <c r="N637" s="10" t="str">
        <f t="shared" si="19"/>
        <v>NONE</v>
      </c>
    </row>
    <row r="638" spans="1:14">
      <c r="A638" s="4" t="s">
        <v>1292</v>
      </c>
      <c r="B638" s="4" t="s">
        <v>1293</v>
      </c>
      <c r="C638" s="4" t="s">
        <v>19</v>
      </c>
      <c r="D638" s="4" t="s">
        <v>13</v>
      </c>
      <c r="E638" s="5">
        <v>12.667899999999999</v>
      </c>
      <c r="F638" s="5">
        <v>0</v>
      </c>
      <c r="G638" s="5">
        <v>12.636699999999999</v>
      </c>
      <c r="H638" s="4">
        <v>0</v>
      </c>
      <c r="I638" s="6">
        <v>2368461</v>
      </c>
      <c r="J638" s="7">
        <v>437.44</v>
      </c>
      <c r="K638" s="9">
        <f>(PricingDataTable[[#This Row],[Current Price ($)]]-PricingDataTable[[#This Row],[Prior Price ($)]])/PricingDataTable[[#This Row],[Prior Price ($)]]</f>
        <v>-1</v>
      </c>
      <c r="L638" s="9" t="e">
        <f>(PricingDataTable[[#This Row],[Vendor Price ($)]]-PricingDataTable[[#This Row],[Current Price ($)]])/PricingDataTable[[#This Row],[Current Price ($)]]</f>
        <v>#DIV/0!</v>
      </c>
      <c r="M638" t="str">
        <f t="shared" si="18"/>
        <v>MISSING</v>
      </c>
      <c r="N638" s="10" t="str">
        <f t="shared" si="19"/>
        <v>HIGH</v>
      </c>
    </row>
    <row r="639" spans="1:14">
      <c r="A639" s="4" t="s">
        <v>1294</v>
      </c>
      <c r="B639" s="4" t="s">
        <v>1295</v>
      </c>
      <c r="C639" s="4" t="s">
        <v>12</v>
      </c>
      <c r="D639" s="4" t="s">
        <v>32</v>
      </c>
      <c r="E639" s="5">
        <v>84.343000000000004</v>
      </c>
      <c r="F639" s="5">
        <v>84.245699999999999</v>
      </c>
      <c r="G639" s="5">
        <v>84.368300000000005</v>
      </c>
      <c r="H639" s="4">
        <v>0</v>
      </c>
      <c r="I639" s="6">
        <v>865570</v>
      </c>
      <c r="J639" s="7">
        <v>631.09</v>
      </c>
      <c r="K639" s="9">
        <f>(PricingDataTable[[#This Row],[Current Price ($)]]-PricingDataTable[[#This Row],[Prior Price ($)]])/PricingDataTable[[#This Row],[Prior Price ($)]]</f>
        <v>-1.1536227072786616E-3</v>
      </c>
      <c r="L639" s="9">
        <f>(PricingDataTable[[#This Row],[Vendor Price ($)]]-PricingDataTable[[#This Row],[Current Price ($)]])/PricingDataTable[[#This Row],[Current Price ($)]]</f>
        <v>1.4552671531010556E-3</v>
      </c>
      <c r="M639" t="str">
        <f t="shared" si="18"/>
        <v>PASS</v>
      </c>
      <c r="N639" s="10" t="str">
        <f t="shared" si="19"/>
        <v>NONE</v>
      </c>
    </row>
    <row r="640" spans="1:14">
      <c r="A640" s="4" t="s">
        <v>1296</v>
      </c>
      <c r="B640" s="4" t="s">
        <v>1297</v>
      </c>
      <c r="C640" s="4" t="s">
        <v>19</v>
      </c>
      <c r="D640" s="4" t="s">
        <v>237</v>
      </c>
      <c r="E640" s="5">
        <v>210.1891</v>
      </c>
      <c r="F640" s="5">
        <v>208.98050000000001</v>
      </c>
      <c r="G640" s="5">
        <v>208.642</v>
      </c>
      <c r="H640" s="4">
        <v>5</v>
      </c>
      <c r="I640" s="6">
        <v>1675731</v>
      </c>
      <c r="J640" s="7">
        <v>82.02</v>
      </c>
      <c r="K640" s="9">
        <f>(PricingDataTable[[#This Row],[Current Price ($)]]-PricingDataTable[[#This Row],[Prior Price ($)]])/PricingDataTable[[#This Row],[Prior Price ($)]]</f>
        <v>-5.7500603028415361E-3</v>
      </c>
      <c r="L640" s="9">
        <f>(PricingDataTable[[#This Row],[Vendor Price ($)]]-PricingDataTable[[#This Row],[Current Price ($)]])/PricingDataTable[[#This Row],[Current Price ($)]]</f>
        <v>-1.6197683515926627E-3</v>
      </c>
      <c r="M640" t="str">
        <f t="shared" si="18"/>
        <v>STALE</v>
      </c>
      <c r="N640" s="10" t="str">
        <f t="shared" si="19"/>
        <v>MEDIUM</v>
      </c>
    </row>
    <row r="641" spans="1:14">
      <c r="A641" s="4" t="s">
        <v>1298</v>
      </c>
      <c r="B641" s="4" t="s">
        <v>1299</v>
      </c>
      <c r="C641" s="4" t="s">
        <v>16</v>
      </c>
      <c r="D641" s="4" t="s">
        <v>13</v>
      </c>
      <c r="E641" s="5">
        <v>106.66549999999999</v>
      </c>
      <c r="F641" s="5">
        <v>106.8004</v>
      </c>
      <c r="G641" s="5">
        <v>107.0885</v>
      </c>
      <c r="H641" s="4">
        <v>0</v>
      </c>
      <c r="I641" s="6">
        <v>2354473</v>
      </c>
      <c r="J641" s="7">
        <v>848.71</v>
      </c>
      <c r="K641" s="9">
        <f>(PricingDataTable[[#This Row],[Current Price ($)]]-PricingDataTable[[#This Row],[Prior Price ($)]])/PricingDataTable[[#This Row],[Prior Price ($)]]</f>
        <v>1.2647013326708429E-3</v>
      </c>
      <c r="L641" s="9">
        <f>(PricingDataTable[[#This Row],[Vendor Price ($)]]-PricingDataTable[[#This Row],[Current Price ($)]])/PricingDataTable[[#This Row],[Current Price ($)]]</f>
        <v>2.6975554398672667E-3</v>
      </c>
      <c r="M641" t="str">
        <f t="shared" si="18"/>
        <v>PASS</v>
      </c>
      <c r="N641" s="10" t="str">
        <f t="shared" si="19"/>
        <v>NONE</v>
      </c>
    </row>
    <row r="642" spans="1:14">
      <c r="A642" s="4" t="s">
        <v>1300</v>
      </c>
      <c r="B642" s="4" t="s">
        <v>1301</v>
      </c>
      <c r="C642" s="4" t="s">
        <v>19</v>
      </c>
      <c r="D642" s="4" t="s">
        <v>36</v>
      </c>
      <c r="E642" s="5">
        <v>70.159099999999995</v>
      </c>
      <c r="F642" s="5">
        <v>71.3964</v>
      </c>
      <c r="G642" s="5">
        <v>71.397499999999994</v>
      </c>
      <c r="H642" s="4">
        <v>0</v>
      </c>
      <c r="I642" s="6">
        <v>2117135</v>
      </c>
      <c r="J642" s="7">
        <v>853.51</v>
      </c>
      <c r="K642" s="9">
        <f>(PricingDataTable[[#This Row],[Current Price ($)]]-PricingDataTable[[#This Row],[Prior Price ($)]])/PricingDataTable[[#This Row],[Prior Price ($)]]</f>
        <v>1.7635631015791322E-2</v>
      </c>
      <c r="L642" s="9">
        <f>(PricingDataTable[[#This Row],[Vendor Price ($)]]-PricingDataTable[[#This Row],[Current Price ($)]])/PricingDataTable[[#This Row],[Current Price ($)]]</f>
        <v>1.54069392853685E-5</v>
      </c>
      <c r="M642" t="str">
        <f t="shared" ref="M642:M705" si="20">IF(OR(F642="",F642=0),"MISSING",IF(H642&gt;=3,"STALE",IF(ABS(K642)&gt;=5%,"LARGE MOVE",IF(ABS(L642)&gt;=2%,"VENDOR DIFFERENCE","PASS"))))</f>
        <v>PASS</v>
      </c>
      <c r="N642" s="10" t="str">
        <f t="shared" ref="N642:N705" si="21">IF(M642="PASS","NONE",IF(M642="MISSING","HIGH",IF(OR(ABS(K642)&gt;=10%,ABS(L642)&gt;=5%),"HIGH",IF(OR(ABS(K642)&gt;=7%,ABS(L642)&gt;=3%,H642&gt;=5),"MEDIUM","LOW"))))</f>
        <v>NONE</v>
      </c>
    </row>
    <row r="643" spans="1:14">
      <c r="A643" s="4" t="s">
        <v>1302</v>
      </c>
      <c r="B643" s="4" t="s">
        <v>1303</v>
      </c>
      <c r="C643" s="4" t="s">
        <v>19</v>
      </c>
      <c r="D643" s="4" t="s">
        <v>13</v>
      </c>
      <c r="E643" s="5">
        <v>12.6723</v>
      </c>
      <c r="F643" s="5">
        <v>12.3855</v>
      </c>
      <c r="G643" s="5">
        <v>12.3619</v>
      </c>
      <c r="H643" s="4">
        <v>0</v>
      </c>
      <c r="I643" s="6">
        <v>3118142</v>
      </c>
      <c r="J643" s="7">
        <v>214.58</v>
      </c>
      <c r="K643" s="9">
        <f>(PricingDataTable[[#This Row],[Current Price ($)]]-PricingDataTable[[#This Row],[Prior Price ($)]])/PricingDataTable[[#This Row],[Prior Price ($)]]</f>
        <v>-2.2632039961175122E-2</v>
      </c>
      <c r="L643" s="9">
        <f>(PricingDataTable[[#This Row],[Vendor Price ($)]]-PricingDataTable[[#This Row],[Current Price ($)]])/PricingDataTable[[#This Row],[Current Price ($)]]</f>
        <v>-1.9054539582576452E-3</v>
      </c>
      <c r="M643" t="str">
        <f t="shared" si="20"/>
        <v>PASS</v>
      </c>
      <c r="N643" s="10" t="str">
        <f t="shared" si="21"/>
        <v>NONE</v>
      </c>
    </row>
    <row r="644" spans="1:14">
      <c r="A644" s="4" t="s">
        <v>1304</v>
      </c>
      <c r="B644" s="4" t="s">
        <v>1305</v>
      </c>
      <c r="C644" s="4" t="s">
        <v>12</v>
      </c>
      <c r="D644" s="4" t="s">
        <v>13</v>
      </c>
      <c r="E644" s="5">
        <v>80.318299999999994</v>
      </c>
      <c r="F644" s="5">
        <v>79.420199999999994</v>
      </c>
      <c r="G644" s="5">
        <v>79.185100000000006</v>
      </c>
      <c r="H644" s="4">
        <v>2</v>
      </c>
      <c r="I644" s="6">
        <v>3740388</v>
      </c>
      <c r="J644" s="7">
        <v>832.97</v>
      </c>
      <c r="K644" s="9">
        <f>(PricingDataTable[[#This Row],[Current Price ($)]]-PricingDataTable[[#This Row],[Prior Price ($)]])/PricingDataTable[[#This Row],[Prior Price ($)]]</f>
        <v>-1.1181760570131583E-2</v>
      </c>
      <c r="L644" s="9">
        <f>(PricingDataTable[[#This Row],[Vendor Price ($)]]-PricingDataTable[[#This Row],[Current Price ($)]])/PricingDataTable[[#This Row],[Current Price ($)]]</f>
        <v>-2.9602040790628649E-3</v>
      </c>
      <c r="M644" t="str">
        <f t="shared" si="20"/>
        <v>PASS</v>
      </c>
      <c r="N644" s="10" t="str">
        <f t="shared" si="21"/>
        <v>NONE</v>
      </c>
    </row>
    <row r="645" spans="1:14">
      <c r="A645" s="4" t="s">
        <v>1306</v>
      </c>
      <c r="B645" s="4" t="s">
        <v>1307</v>
      </c>
      <c r="C645" s="4" t="s">
        <v>12</v>
      </c>
      <c r="D645" s="4" t="s">
        <v>13</v>
      </c>
      <c r="E645" s="5">
        <v>98.709900000000005</v>
      </c>
      <c r="F645" s="5">
        <v>98.8108</v>
      </c>
      <c r="G645" s="5">
        <v>98.445599999999999</v>
      </c>
      <c r="H645" s="4">
        <v>0</v>
      </c>
      <c r="I645" s="6">
        <v>4701523</v>
      </c>
      <c r="J645" s="7">
        <v>877.62</v>
      </c>
      <c r="K645" s="9">
        <f>(PricingDataTable[[#This Row],[Current Price ($)]]-PricingDataTable[[#This Row],[Prior Price ($)]])/PricingDataTable[[#This Row],[Prior Price ($)]]</f>
        <v>1.0221872375516109E-3</v>
      </c>
      <c r="L645" s="9">
        <f>(PricingDataTable[[#This Row],[Vendor Price ($)]]-PricingDataTable[[#This Row],[Current Price ($)]])/PricingDataTable[[#This Row],[Current Price ($)]]</f>
        <v>-3.6959522643273965E-3</v>
      </c>
      <c r="M645" t="str">
        <f t="shared" si="20"/>
        <v>PASS</v>
      </c>
      <c r="N645" s="10" t="str">
        <f t="shared" si="21"/>
        <v>NONE</v>
      </c>
    </row>
    <row r="646" spans="1:14">
      <c r="A646" s="4" t="s">
        <v>1308</v>
      </c>
      <c r="B646" s="4" t="s">
        <v>1309</v>
      </c>
      <c r="C646" s="4" t="s">
        <v>12</v>
      </c>
      <c r="D646" s="4" t="s">
        <v>13</v>
      </c>
      <c r="E646" s="5">
        <v>96.806299999999993</v>
      </c>
      <c r="F646" s="5">
        <v>95.399500000000003</v>
      </c>
      <c r="G646" s="5">
        <v>95.437100000000001</v>
      </c>
      <c r="H646" s="4">
        <v>0</v>
      </c>
      <c r="I646" s="6">
        <v>2430813</v>
      </c>
      <c r="J646" s="7">
        <v>41.09</v>
      </c>
      <c r="K646" s="9">
        <f>(PricingDataTable[[#This Row],[Current Price ($)]]-PricingDataTable[[#This Row],[Prior Price ($)]])/PricingDataTable[[#This Row],[Prior Price ($)]]</f>
        <v>-1.4532112062954477E-2</v>
      </c>
      <c r="L646" s="9">
        <f>(PricingDataTable[[#This Row],[Vendor Price ($)]]-PricingDataTable[[#This Row],[Current Price ($)]])/PricingDataTable[[#This Row],[Current Price ($)]]</f>
        <v>3.9413204471719073E-4</v>
      </c>
      <c r="M646" t="str">
        <f t="shared" si="20"/>
        <v>PASS</v>
      </c>
      <c r="N646" s="10" t="str">
        <f t="shared" si="21"/>
        <v>NONE</v>
      </c>
    </row>
    <row r="647" spans="1:14">
      <c r="A647" s="4" t="s">
        <v>1310</v>
      </c>
      <c r="B647" s="4" t="s">
        <v>1311</v>
      </c>
      <c r="C647" s="4" t="s">
        <v>39</v>
      </c>
      <c r="D647" s="4" t="s">
        <v>13</v>
      </c>
      <c r="E647" s="5">
        <v>261.32459999999998</v>
      </c>
      <c r="F647" s="5">
        <v>257.51459999999997</v>
      </c>
      <c r="G647" s="5">
        <v>258.21940000000001</v>
      </c>
      <c r="H647" s="4">
        <v>0</v>
      </c>
      <c r="I647" s="6">
        <v>3274628</v>
      </c>
      <c r="J647" s="7">
        <v>360.88</v>
      </c>
      <c r="K647" s="9">
        <f>(PricingDataTable[[#This Row],[Current Price ($)]]-PricingDataTable[[#This Row],[Prior Price ($)]])/PricingDataTable[[#This Row],[Prior Price ($)]]</f>
        <v>-1.4579568858040929E-2</v>
      </c>
      <c r="L647" s="9">
        <f>(PricingDataTable[[#This Row],[Vendor Price ($)]]-PricingDataTable[[#This Row],[Current Price ($)]])/PricingDataTable[[#This Row],[Current Price ($)]]</f>
        <v>2.7369321972425423E-3</v>
      </c>
      <c r="M647" t="str">
        <f t="shared" si="20"/>
        <v>PASS</v>
      </c>
      <c r="N647" s="10" t="str">
        <f t="shared" si="21"/>
        <v>NONE</v>
      </c>
    </row>
    <row r="648" spans="1:14">
      <c r="A648" s="4" t="s">
        <v>1312</v>
      </c>
      <c r="B648" s="4" t="s">
        <v>1313</v>
      </c>
      <c r="C648" s="4" t="s">
        <v>19</v>
      </c>
      <c r="D648" s="4" t="s">
        <v>13</v>
      </c>
      <c r="E648" s="5">
        <v>82.490200000000002</v>
      </c>
      <c r="F648" s="5">
        <v>81.821600000000004</v>
      </c>
      <c r="G648" s="5">
        <v>81.344999999999999</v>
      </c>
      <c r="H648" s="4">
        <v>1</v>
      </c>
      <c r="I648" s="6">
        <v>1849315</v>
      </c>
      <c r="J648" s="7">
        <v>266.87</v>
      </c>
      <c r="K648" s="9">
        <f>(PricingDataTable[[#This Row],[Current Price ($)]]-PricingDataTable[[#This Row],[Prior Price ($)]])/PricingDataTable[[#This Row],[Prior Price ($)]]</f>
        <v>-8.1052052243781418E-3</v>
      </c>
      <c r="L648" s="9">
        <f>(PricingDataTable[[#This Row],[Vendor Price ($)]]-PricingDataTable[[#This Row],[Current Price ($)]])/PricingDataTable[[#This Row],[Current Price ($)]]</f>
        <v>-5.8248677610802622E-3</v>
      </c>
      <c r="M648" t="str">
        <f t="shared" si="20"/>
        <v>PASS</v>
      </c>
      <c r="N648" s="10" t="str">
        <f t="shared" si="21"/>
        <v>NONE</v>
      </c>
    </row>
    <row r="649" spans="1:14">
      <c r="A649" s="4" t="s">
        <v>1314</v>
      </c>
      <c r="B649" s="4" t="s">
        <v>1315</v>
      </c>
      <c r="C649" s="4" t="s">
        <v>19</v>
      </c>
      <c r="D649" s="4" t="s">
        <v>13</v>
      </c>
      <c r="E649" s="5">
        <v>190.4795</v>
      </c>
      <c r="F649" s="5">
        <v>189.63079999999999</v>
      </c>
      <c r="G649" s="5">
        <v>190.41560000000001</v>
      </c>
      <c r="H649" s="4">
        <v>0</v>
      </c>
      <c r="I649" s="6">
        <v>2089831</v>
      </c>
      <c r="J649" s="7">
        <v>890.58</v>
      </c>
      <c r="K649" s="9">
        <f>(PricingDataTable[[#This Row],[Current Price ($)]]-PricingDataTable[[#This Row],[Prior Price ($)]])/PricingDataTable[[#This Row],[Prior Price ($)]]</f>
        <v>-4.45559758399202E-3</v>
      </c>
      <c r="L649" s="9">
        <f>(PricingDataTable[[#This Row],[Vendor Price ($)]]-PricingDataTable[[#This Row],[Current Price ($)]])/PricingDataTable[[#This Row],[Current Price ($)]]</f>
        <v>4.1385682072744429E-3</v>
      </c>
      <c r="M649" t="str">
        <f t="shared" si="20"/>
        <v>PASS</v>
      </c>
      <c r="N649" s="10" t="str">
        <f t="shared" si="21"/>
        <v>NONE</v>
      </c>
    </row>
    <row r="650" spans="1:14">
      <c r="A650" s="4" t="s">
        <v>1316</v>
      </c>
      <c r="B650" s="4" t="s">
        <v>1317</v>
      </c>
      <c r="C650" s="4" t="s">
        <v>19</v>
      </c>
      <c r="D650" s="4" t="s">
        <v>13</v>
      </c>
      <c r="E650" s="5">
        <v>224.3775</v>
      </c>
      <c r="F650" s="5">
        <v>226.72659999999999</v>
      </c>
      <c r="G650" s="5">
        <v>226.62190000000001</v>
      </c>
      <c r="H650" s="4">
        <v>0</v>
      </c>
      <c r="I650" s="6">
        <v>2474761</v>
      </c>
      <c r="J650" s="7">
        <v>292.31</v>
      </c>
      <c r="K650" s="9">
        <f>(PricingDataTable[[#This Row],[Current Price ($)]]-PricingDataTable[[#This Row],[Prior Price ($)]])/PricingDataTable[[#This Row],[Prior Price ($)]]</f>
        <v>1.0469409811589812E-2</v>
      </c>
      <c r="L650" s="9">
        <f>(PricingDataTable[[#This Row],[Vendor Price ($)]]-PricingDataTable[[#This Row],[Current Price ($)]])/PricingDataTable[[#This Row],[Current Price ($)]]</f>
        <v>-4.6178966208631811E-4</v>
      </c>
      <c r="M650" t="str">
        <f t="shared" si="20"/>
        <v>PASS</v>
      </c>
      <c r="N650" s="10" t="str">
        <f t="shared" si="21"/>
        <v>NONE</v>
      </c>
    </row>
    <row r="651" spans="1:14">
      <c r="A651" s="4" t="s">
        <v>1318</v>
      </c>
      <c r="B651" s="4" t="s">
        <v>1319</v>
      </c>
      <c r="C651" s="4" t="s">
        <v>39</v>
      </c>
      <c r="D651" s="4" t="s">
        <v>13</v>
      </c>
      <c r="E651" s="5">
        <v>338.1078</v>
      </c>
      <c r="F651" s="5">
        <v>342.91840000000002</v>
      </c>
      <c r="G651" s="5">
        <v>345.37819999999999</v>
      </c>
      <c r="H651" s="4">
        <v>1</v>
      </c>
      <c r="I651" s="6">
        <v>3205288</v>
      </c>
      <c r="J651" s="7">
        <v>851.1</v>
      </c>
      <c r="K651" s="9">
        <f>(PricingDataTable[[#This Row],[Current Price ($)]]-PricingDataTable[[#This Row],[Prior Price ($)]])/PricingDataTable[[#This Row],[Prior Price ($)]]</f>
        <v>1.4228006570685511E-2</v>
      </c>
      <c r="L651" s="9">
        <f>(PricingDataTable[[#This Row],[Vendor Price ($)]]-PricingDataTable[[#This Row],[Current Price ($)]])/PricingDataTable[[#This Row],[Current Price ($)]]</f>
        <v>7.1731350665346994E-3</v>
      </c>
      <c r="M651" t="str">
        <f t="shared" si="20"/>
        <v>PASS</v>
      </c>
      <c r="N651" s="10" t="str">
        <f t="shared" si="21"/>
        <v>NONE</v>
      </c>
    </row>
    <row r="652" spans="1:14">
      <c r="A652" s="4" t="s">
        <v>1320</v>
      </c>
      <c r="B652" s="4" t="s">
        <v>1321</v>
      </c>
      <c r="C652" s="4" t="s">
        <v>16</v>
      </c>
      <c r="D652" s="4" t="s">
        <v>32</v>
      </c>
      <c r="E652" s="5">
        <v>86.031999999999996</v>
      </c>
      <c r="F652" s="5">
        <v>85.871399999999994</v>
      </c>
      <c r="G652" s="5">
        <v>86.209100000000007</v>
      </c>
      <c r="H652" s="4">
        <v>0</v>
      </c>
      <c r="I652" s="6">
        <v>3093376</v>
      </c>
      <c r="J652" s="7">
        <v>133.66999999999999</v>
      </c>
      <c r="K652" s="9">
        <f>(PricingDataTable[[#This Row],[Current Price ($)]]-PricingDataTable[[#This Row],[Prior Price ($)]])/PricingDataTable[[#This Row],[Prior Price ($)]]</f>
        <v>-1.866747256834693E-3</v>
      </c>
      <c r="L652" s="9">
        <f>(PricingDataTable[[#This Row],[Vendor Price ($)]]-PricingDataTable[[#This Row],[Current Price ($)]])/PricingDataTable[[#This Row],[Current Price ($)]]</f>
        <v>3.9326248320163916E-3</v>
      </c>
      <c r="M652" t="str">
        <f t="shared" si="20"/>
        <v>PASS</v>
      </c>
      <c r="N652" s="10" t="str">
        <f t="shared" si="21"/>
        <v>NONE</v>
      </c>
    </row>
    <row r="653" spans="1:14">
      <c r="A653" s="4" t="s">
        <v>1322</v>
      </c>
      <c r="B653" s="4" t="s">
        <v>1323</v>
      </c>
      <c r="C653" s="4" t="s">
        <v>16</v>
      </c>
      <c r="D653" s="4" t="s">
        <v>13</v>
      </c>
      <c r="E653" s="5">
        <v>115.7799</v>
      </c>
      <c r="F653" s="5">
        <v>116.5878</v>
      </c>
      <c r="G653" s="5">
        <v>116.9939</v>
      </c>
      <c r="H653" s="4">
        <v>0</v>
      </c>
      <c r="I653" s="6">
        <v>3307766</v>
      </c>
      <c r="J653" s="7">
        <v>618.69000000000005</v>
      </c>
      <c r="K653" s="9">
        <f>(PricingDataTable[[#This Row],[Current Price ($)]]-PricingDataTable[[#This Row],[Prior Price ($)]])/PricingDataTable[[#This Row],[Prior Price ($)]]</f>
        <v>6.9778951268743856E-3</v>
      </c>
      <c r="L653" s="9">
        <f>(PricingDataTable[[#This Row],[Vendor Price ($)]]-PricingDataTable[[#This Row],[Current Price ($)]])/PricingDataTable[[#This Row],[Current Price ($)]]</f>
        <v>3.4832117940298644E-3</v>
      </c>
      <c r="M653" t="str">
        <f t="shared" si="20"/>
        <v>PASS</v>
      </c>
      <c r="N653" s="10" t="str">
        <f t="shared" si="21"/>
        <v>NONE</v>
      </c>
    </row>
    <row r="654" spans="1:14">
      <c r="A654" s="4" t="s">
        <v>1324</v>
      </c>
      <c r="B654" s="4" t="s">
        <v>1325</v>
      </c>
      <c r="C654" s="4" t="s">
        <v>19</v>
      </c>
      <c r="D654" s="4" t="s">
        <v>13</v>
      </c>
      <c r="E654" s="5">
        <v>163.6183</v>
      </c>
      <c r="F654" s="5">
        <v>0</v>
      </c>
      <c r="G654" s="5">
        <v>162.00720000000001</v>
      </c>
      <c r="H654" s="4">
        <v>1</v>
      </c>
      <c r="I654" s="6">
        <v>3222146</v>
      </c>
      <c r="J654" s="7">
        <v>18.84</v>
      </c>
      <c r="K654" s="9">
        <f>(PricingDataTable[[#This Row],[Current Price ($)]]-PricingDataTable[[#This Row],[Prior Price ($)]])/PricingDataTable[[#This Row],[Prior Price ($)]]</f>
        <v>-1</v>
      </c>
      <c r="L654" s="9" t="e">
        <f>(PricingDataTable[[#This Row],[Vendor Price ($)]]-PricingDataTable[[#This Row],[Current Price ($)]])/PricingDataTable[[#This Row],[Current Price ($)]]</f>
        <v>#DIV/0!</v>
      </c>
      <c r="M654" t="str">
        <f t="shared" si="20"/>
        <v>MISSING</v>
      </c>
      <c r="N654" s="10" t="str">
        <f t="shared" si="21"/>
        <v>HIGH</v>
      </c>
    </row>
    <row r="655" spans="1:14">
      <c r="A655" s="4" t="s">
        <v>1326</v>
      </c>
      <c r="B655" s="4" t="s">
        <v>1327</v>
      </c>
      <c r="C655" s="4" t="s">
        <v>19</v>
      </c>
      <c r="D655" s="4" t="s">
        <v>32</v>
      </c>
      <c r="E655" s="5">
        <v>99.538499999999999</v>
      </c>
      <c r="F655" s="5">
        <v>101.0359</v>
      </c>
      <c r="G655" s="5">
        <v>93.149799999999999</v>
      </c>
      <c r="H655" s="4">
        <v>1</v>
      </c>
      <c r="I655" s="6">
        <v>1168946</v>
      </c>
      <c r="J655" s="7">
        <v>432.49</v>
      </c>
      <c r="K655" s="9">
        <f>(PricingDataTable[[#This Row],[Current Price ($)]]-PricingDataTable[[#This Row],[Prior Price ($)]])/PricingDataTable[[#This Row],[Prior Price ($)]]</f>
        <v>1.5043425408259106E-2</v>
      </c>
      <c r="L655" s="9">
        <f>(PricingDataTable[[#This Row],[Vendor Price ($)]]-PricingDataTable[[#This Row],[Current Price ($)]])/PricingDataTable[[#This Row],[Current Price ($)]]</f>
        <v>-7.805245462256484E-2</v>
      </c>
      <c r="M655" t="str">
        <f t="shared" si="20"/>
        <v>VENDOR DIFFERENCE</v>
      </c>
      <c r="N655" s="10" t="str">
        <f t="shared" si="21"/>
        <v>HIGH</v>
      </c>
    </row>
    <row r="656" spans="1:14">
      <c r="A656" s="4" t="s">
        <v>1328</v>
      </c>
      <c r="B656" s="4" t="s">
        <v>1329</v>
      </c>
      <c r="C656" s="4" t="s">
        <v>39</v>
      </c>
      <c r="D656" s="4" t="s">
        <v>13</v>
      </c>
      <c r="E656" s="5">
        <v>171.7867</v>
      </c>
      <c r="F656" s="5">
        <v>171.8871</v>
      </c>
      <c r="G656" s="5">
        <v>172.5324</v>
      </c>
      <c r="H656" s="4">
        <v>0</v>
      </c>
      <c r="I656" s="6">
        <v>861386</v>
      </c>
      <c r="J656" s="7">
        <v>460.49</v>
      </c>
      <c r="K656" s="9">
        <f>(PricingDataTable[[#This Row],[Current Price ($)]]-PricingDataTable[[#This Row],[Prior Price ($)]])/PricingDataTable[[#This Row],[Prior Price ($)]]</f>
        <v>5.8444571087288828E-4</v>
      </c>
      <c r="L656" s="9">
        <f>(PricingDataTable[[#This Row],[Vendor Price ($)]]-PricingDataTable[[#This Row],[Current Price ($)]])/PricingDataTable[[#This Row],[Current Price ($)]]</f>
        <v>3.7542084309991368E-3</v>
      </c>
      <c r="M656" t="str">
        <f t="shared" si="20"/>
        <v>PASS</v>
      </c>
      <c r="N656" s="10" t="str">
        <f t="shared" si="21"/>
        <v>NONE</v>
      </c>
    </row>
    <row r="657" spans="1:14">
      <c r="A657" s="4" t="s">
        <v>1330</v>
      </c>
      <c r="B657" s="4" t="s">
        <v>1331</v>
      </c>
      <c r="C657" s="4" t="s">
        <v>19</v>
      </c>
      <c r="D657" s="4" t="s">
        <v>13</v>
      </c>
      <c r="E657" s="5">
        <v>85.522900000000007</v>
      </c>
      <c r="F657" s="5">
        <v>84.802599999999998</v>
      </c>
      <c r="G657" s="5">
        <v>84.959299999999999</v>
      </c>
      <c r="H657" s="4">
        <v>1</v>
      </c>
      <c r="I657" s="6">
        <v>943952</v>
      </c>
      <c r="J657" s="7">
        <v>442.74</v>
      </c>
      <c r="K657" s="9">
        <f>(PricingDataTable[[#This Row],[Current Price ($)]]-PricingDataTable[[#This Row],[Prior Price ($)]])/PricingDataTable[[#This Row],[Prior Price ($)]]</f>
        <v>-8.4223056046977916E-3</v>
      </c>
      <c r="L657" s="9">
        <f>(PricingDataTable[[#This Row],[Vendor Price ($)]]-PricingDataTable[[#This Row],[Current Price ($)]])/PricingDataTable[[#This Row],[Current Price ($)]]</f>
        <v>1.8478207036105112E-3</v>
      </c>
      <c r="M657" t="str">
        <f t="shared" si="20"/>
        <v>PASS</v>
      </c>
      <c r="N657" s="10" t="str">
        <f t="shared" si="21"/>
        <v>NONE</v>
      </c>
    </row>
    <row r="658" spans="1:14">
      <c r="A658" s="4" t="s">
        <v>1332</v>
      </c>
      <c r="B658" s="4" t="s">
        <v>1333</v>
      </c>
      <c r="C658" s="4" t="s">
        <v>19</v>
      </c>
      <c r="D658" s="4" t="s">
        <v>237</v>
      </c>
      <c r="E658" s="5">
        <v>130.19929999999999</v>
      </c>
      <c r="F658" s="5">
        <v>129.61330000000001</v>
      </c>
      <c r="G658" s="5">
        <v>129.4836</v>
      </c>
      <c r="H658" s="4">
        <v>2</v>
      </c>
      <c r="I658" s="6">
        <v>4450994</v>
      </c>
      <c r="J658" s="7">
        <v>301.49</v>
      </c>
      <c r="K658" s="9">
        <f>(PricingDataTable[[#This Row],[Current Price ($)]]-PricingDataTable[[#This Row],[Prior Price ($)]])/PricingDataTable[[#This Row],[Prior Price ($)]]</f>
        <v>-4.5007922469628052E-3</v>
      </c>
      <c r="L658" s="9">
        <f>(PricingDataTable[[#This Row],[Vendor Price ($)]]-PricingDataTable[[#This Row],[Current Price ($)]])/PricingDataTable[[#This Row],[Current Price ($)]]</f>
        <v>-1.0006689128354413E-3</v>
      </c>
      <c r="M658" t="str">
        <f t="shared" si="20"/>
        <v>PASS</v>
      </c>
      <c r="N658" s="10" t="str">
        <f t="shared" si="21"/>
        <v>NONE</v>
      </c>
    </row>
    <row r="659" spans="1:14">
      <c r="A659" s="4" t="s">
        <v>1334</v>
      </c>
      <c r="B659" s="4" t="s">
        <v>1335</v>
      </c>
      <c r="C659" s="4" t="s">
        <v>19</v>
      </c>
      <c r="D659" s="4" t="s">
        <v>13</v>
      </c>
      <c r="E659" s="5">
        <v>111.1348</v>
      </c>
      <c r="F659" s="5">
        <v>111.64319999999999</v>
      </c>
      <c r="G659" s="5">
        <v>111.36069999999999</v>
      </c>
      <c r="H659" s="4">
        <v>0</v>
      </c>
      <c r="I659" s="6">
        <v>641633</v>
      </c>
      <c r="J659" s="7">
        <v>710.01</v>
      </c>
      <c r="K659" s="9">
        <f>(PricingDataTable[[#This Row],[Current Price ($)]]-PricingDataTable[[#This Row],[Prior Price ($)]])/PricingDataTable[[#This Row],[Prior Price ($)]]</f>
        <v>4.5746246900160402E-3</v>
      </c>
      <c r="L659" s="9">
        <f>(PricingDataTable[[#This Row],[Vendor Price ($)]]-PricingDataTable[[#This Row],[Current Price ($)]])/PricingDataTable[[#This Row],[Current Price ($)]]</f>
        <v>-2.5303825042635726E-3</v>
      </c>
      <c r="M659" t="str">
        <f t="shared" si="20"/>
        <v>PASS</v>
      </c>
      <c r="N659" s="10" t="str">
        <f t="shared" si="21"/>
        <v>NONE</v>
      </c>
    </row>
    <row r="660" spans="1:14">
      <c r="A660" s="4" t="s">
        <v>1336</v>
      </c>
      <c r="B660" s="4" t="s">
        <v>1337</v>
      </c>
      <c r="C660" s="4" t="s">
        <v>19</v>
      </c>
      <c r="D660" s="4" t="s">
        <v>13</v>
      </c>
      <c r="E660" s="5">
        <v>254.6995</v>
      </c>
      <c r="F660" s="5">
        <v>255.47190000000001</v>
      </c>
      <c r="G660" s="5">
        <v>254.6191</v>
      </c>
      <c r="H660" s="4">
        <v>4</v>
      </c>
      <c r="I660" s="6">
        <v>1070847</v>
      </c>
      <c r="J660" s="7">
        <v>163.85</v>
      </c>
      <c r="K660" s="9">
        <f>(PricingDataTable[[#This Row],[Current Price ($)]]-PricingDataTable[[#This Row],[Prior Price ($)]])/PricingDataTable[[#This Row],[Prior Price ($)]]</f>
        <v>3.0325933109409506E-3</v>
      </c>
      <c r="L660" s="9">
        <f>(PricingDataTable[[#This Row],[Vendor Price ($)]]-PricingDataTable[[#This Row],[Current Price ($)]])/PricingDataTable[[#This Row],[Current Price ($)]]</f>
        <v>-3.3381362098923676E-3</v>
      </c>
      <c r="M660" t="str">
        <f t="shared" si="20"/>
        <v>STALE</v>
      </c>
      <c r="N660" s="10" t="str">
        <f t="shared" si="21"/>
        <v>LOW</v>
      </c>
    </row>
    <row r="661" spans="1:14">
      <c r="A661" s="4" t="s">
        <v>1338</v>
      </c>
      <c r="B661" s="4" t="s">
        <v>1339</v>
      </c>
      <c r="C661" s="4" t="s">
        <v>19</v>
      </c>
      <c r="D661" s="4" t="s">
        <v>13</v>
      </c>
      <c r="E661" s="5">
        <v>245.1499</v>
      </c>
      <c r="F661" s="5">
        <v>240.67009999999999</v>
      </c>
      <c r="G661" s="5">
        <v>241.33019999999999</v>
      </c>
      <c r="H661" s="4">
        <v>0</v>
      </c>
      <c r="I661" s="6">
        <v>4170996</v>
      </c>
      <c r="J661" s="7">
        <v>484.96</v>
      </c>
      <c r="K661" s="9">
        <f>(PricingDataTable[[#This Row],[Current Price ($)]]-PricingDataTable[[#This Row],[Prior Price ($)]])/PricingDataTable[[#This Row],[Prior Price ($)]]</f>
        <v>-1.827371742758211E-2</v>
      </c>
      <c r="L661" s="9">
        <f>(PricingDataTable[[#This Row],[Vendor Price ($)]]-PricingDataTable[[#This Row],[Current Price ($)]])/PricingDataTable[[#This Row],[Current Price ($)]]</f>
        <v>2.7427586559360716E-3</v>
      </c>
      <c r="M661" t="str">
        <f t="shared" si="20"/>
        <v>PASS</v>
      </c>
      <c r="N661" s="10" t="str">
        <f t="shared" si="21"/>
        <v>NONE</v>
      </c>
    </row>
    <row r="662" spans="1:14">
      <c r="A662" s="4" t="s">
        <v>1340</v>
      </c>
      <c r="B662" s="4" t="s">
        <v>1341</v>
      </c>
      <c r="C662" s="4" t="s">
        <v>16</v>
      </c>
      <c r="D662" s="4" t="s">
        <v>13</v>
      </c>
      <c r="E662" s="5">
        <v>79.180899999999994</v>
      </c>
      <c r="F662" s="5">
        <v>78.926699999999997</v>
      </c>
      <c r="G662" s="5">
        <v>78.644000000000005</v>
      </c>
      <c r="H662" s="4">
        <v>0</v>
      </c>
      <c r="I662" s="6">
        <v>1706233</v>
      </c>
      <c r="J662" s="7">
        <v>894.52</v>
      </c>
      <c r="K662" s="9">
        <f>(PricingDataTable[[#This Row],[Current Price ($)]]-PricingDataTable[[#This Row],[Prior Price ($)]])/PricingDataTable[[#This Row],[Prior Price ($)]]</f>
        <v>-3.2103701776564466E-3</v>
      </c>
      <c r="L662" s="9">
        <f>(PricingDataTable[[#This Row],[Vendor Price ($)]]-PricingDataTable[[#This Row],[Current Price ($)]])/PricingDataTable[[#This Row],[Current Price ($)]]</f>
        <v>-3.5818043830540399E-3</v>
      </c>
      <c r="M662" t="str">
        <f t="shared" si="20"/>
        <v>PASS</v>
      </c>
      <c r="N662" s="10" t="str">
        <f t="shared" si="21"/>
        <v>NONE</v>
      </c>
    </row>
    <row r="663" spans="1:14">
      <c r="A663" s="4" t="s">
        <v>1342</v>
      </c>
      <c r="B663" s="4" t="s">
        <v>1343</v>
      </c>
      <c r="C663" s="4" t="s">
        <v>16</v>
      </c>
      <c r="D663" s="4" t="s">
        <v>237</v>
      </c>
      <c r="E663" s="5">
        <v>121.04519999999999</v>
      </c>
      <c r="F663" s="5">
        <v>122.29859999999999</v>
      </c>
      <c r="G663" s="5">
        <v>122.423</v>
      </c>
      <c r="H663" s="4">
        <v>1</v>
      </c>
      <c r="I663" s="6">
        <v>4627320</v>
      </c>
      <c r="J663" s="7">
        <v>874.64</v>
      </c>
      <c r="K663" s="9">
        <f>(PricingDataTable[[#This Row],[Current Price ($)]]-PricingDataTable[[#This Row],[Prior Price ($)]])/PricingDataTable[[#This Row],[Prior Price ($)]]</f>
        <v>1.03548096083116E-2</v>
      </c>
      <c r="L663" s="9">
        <f>(PricingDataTable[[#This Row],[Vendor Price ($)]]-PricingDataTable[[#This Row],[Current Price ($)]])/PricingDataTable[[#This Row],[Current Price ($)]]</f>
        <v>1.0171825352048879E-3</v>
      </c>
      <c r="M663" t="str">
        <f t="shared" si="20"/>
        <v>PASS</v>
      </c>
      <c r="N663" s="10" t="str">
        <f t="shared" si="21"/>
        <v>NONE</v>
      </c>
    </row>
    <row r="664" spans="1:14">
      <c r="A664" s="4" t="s">
        <v>1344</v>
      </c>
      <c r="B664" s="4" t="s">
        <v>1345</v>
      </c>
      <c r="C664" s="4" t="s">
        <v>19</v>
      </c>
      <c r="D664" s="4" t="s">
        <v>13</v>
      </c>
      <c r="E664" s="5">
        <v>263.47239999999999</v>
      </c>
      <c r="F664" s="5">
        <v>267.08550000000002</v>
      </c>
      <c r="G664" s="5">
        <v>267.91590000000002</v>
      </c>
      <c r="H664" s="4">
        <v>1</v>
      </c>
      <c r="I664" s="6">
        <v>890274</v>
      </c>
      <c r="J664" s="7">
        <v>596.54</v>
      </c>
      <c r="K664" s="9">
        <f>(PricingDataTable[[#This Row],[Current Price ($)]]-PricingDataTable[[#This Row],[Prior Price ($)]])/PricingDataTable[[#This Row],[Prior Price ($)]]</f>
        <v>1.3713390852324689E-2</v>
      </c>
      <c r="L664" s="9">
        <f>(PricingDataTable[[#This Row],[Vendor Price ($)]]-PricingDataTable[[#This Row],[Current Price ($)]])/PricingDataTable[[#This Row],[Current Price ($)]]</f>
        <v>3.1091167435147071E-3</v>
      </c>
      <c r="M664" t="str">
        <f t="shared" si="20"/>
        <v>PASS</v>
      </c>
      <c r="N664" s="10" t="str">
        <f t="shared" si="21"/>
        <v>NONE</v>
      </c>
    </row>
    <row r="665" spans="1:14">
      <c r="A665" s="4" t="s">
        <v>1346</v>
      </c>
      <c r="B665" s="4" t="s">
        <v>1347</v>
      </c>
      <c r="C665" s="4" t="s">
        <v>39</v>
      </c>
      <c r="D665" s="4" t="s">
        <v>64</v>
      </c>
      <c r="E665" s="5">
        <v>18.323499999999999</v>
      </c>
      <c r="F665" s="5">
        <v>18.264399999999998</v>
      </c>
      <c r="G665" s="5">
        <v>18.281099999999999</v>
      </c>
      <c r="H665" s="4">
        <v>1</v>
      </c>
      <c r="I665" s="6">
        <v>1176347</v>
      </c>
      <c r="J665" s="7">
        <v>673.35</v>
      </c>
      <c r="K665" s="9">
        <f>(PricingDataTable[[#This Row],[Current Price ($)]]-PricingDataTable[[#This Row],[Prior Price ($)]])/PricingDataTable[[#This Row],[Prior Price ($)]]</f>
        <v>-3.2253663328513016E-3</v>
      </c>
      <c r="L665" s="9">
        <f>(PricingDataTable[[#This Row],[Vendor Price ($)]]-PricingDataTable[[#This Row],[Current Price ($)]])/PricingDataTable[[#This Row],[Current Price ($)]]</f>
        <v>9.1434703576357074E-4</v>
      </c>
      <c r="M665" t="str">
        <f t="shared" si="20"/>
        <v>PASS</v>
      </c>
      <c r="N665" s="10" t="str">
        <f t="shared" si="21"/>
        <v>NONE</v>
      </c>
    </row>
    <row r="666" spans="1:14">
      <c r="A666" s="4" t="s">
        <v>1348</v>
      </c>
      <c r="B666" s="4" t="s">
        <v>1349</v>
      </c>
      <c r="C666" s="4" t="s">
        <v>16</v>
      </c>
      <c r="D666" s="4" t="s">
        <v>32</v>
      </c>
      <c r="E666" s="5">
        <v>97.198700000000002</v>
      </c>
      <c r="F666" s="5">
        <v>97.081999999999994</v>
      </c>
      <c r="G666" s="5">
        <v>97.044499999999999</v>
      </c>
      <c r="H666" s="4">
        <v>0</v>
      </c>
      <c r="I666" s="6">
        <v>1346103</v>
      </c>
      <c r="J666" s="7">
        <v>9.98</v>
      </c>
      <c r="K666" s="9">
        <f>(PricingDataTable[[#This Row],[Current Price ($)]]-PricingDataTable[[#This Row],[Prior Price ($)]])/PricingDataTable[[#This Row],[Prior Price ($)]]</f>
        <v>-1.2006333418040434E-3</v>
      </c>
      <c r="L666" s="9">
        <f>(PricingDataTable[[#This Row],[Vendor Price ($)]]-PricingDataTable[[#This Row],[Current Price ($)]])/PricingDataTable[[#This Row],[Current Price ($)]]</f>
        <v>-3.862713994354702E-4</v>
      </c>
      <c r="M666" t="str">
        <f t="shared" si="20"/>
        <v>PASS</v>
      </c>
      <c r="N666" s="10" t="str">
        <f t="shared" si="21"/>
        <v>NONE</v>
      </c>
    </row>
    <row r="667" spans="1:14">
      <c r="A667" s="4" t="s">
        <v>1350</v>
      </c>
      <c r="B667" s="4" t="s">
        <v>1351</v>
      </c>
      <c r="C667" s="4" t="s">
        <v>16</v>
      </c>
      <c r="D667" s="4" t="s">
        <v>64</v>
      </c>
      <c r="E667" s="5">
        <v>120.9575</v>
      </c>
      <c r="F667" s="5">
        <v>118.6759</v>
      </c>
      <c r="G667" s="5">
        <v>118.66930000000001</v>
      </c>
      <c r="H667" s="4">
        <v>4</v>
      </c>
      <c r="I667" s="6">
        <v>1050694</v>
      </c>
      <c r="J667" s="7">
        <v>668.87</v>
      </c>
      <c r="K667" s="9">
        <f>(PricingDataTable[[#This Row],[Current Price ($)]]-PricingDataTable[[#This Row],[Prior Price ($)]])/PricingDataTable[[#This Row],[Prior Price ($)]]</f>
        <v>-1.8862823719074859E-2</v>
      </c>
      <c r="L667" s="9">
        <f>(PricingDataTable[[#This Row],[Vendor Price ($)]]-PricingDataTable[[#This Row],[Current Price ($)]])/PricingDataTable[[#This Row],[Current Price ($)]]</f>
        <v>-5.56136502861299E-5</v>
      </c>
      <c r="M667" t="str">
        <f t="shared" si="20"/>
        <v>STALE</v>
      </c>
      <c r="N667" s="10" t="str">
        <f t="shared" si="21"/>
        <v>LOW</v>
      </c>
    </row>
    <row r="668" spans="1:14">
      <c r="A668" s="4" t="s">
        <v>1352</v>
      </c>
      <c r="B668" s="4" t="s">
        <v>1353</v>
      </c>
      <c r="C668" s="4" t="s">
        <v>19</v>
      </c>
      <c r="D668" s="4" t="s">
        <v>13</v>
      </c>
      <c r="E668" s="5">
        <v>289.29669999999999</v>
      </c>
      <c r="F668" s="5">
        <v>293.97519999999997</v>
      </c>
      <c r="G668" s="5">
        <v>293.79450000000003</v>
      </c>
      <c r="H668" s="4">
        <v>0</v>
      </c>
      <c r="I668" s="6">
        <v>3192614</v>
      </c>
      <c r="J668" s="7">
        <v>148.51</v>
      </c>
      <c r="K668" s="9">
        <f>(PricingDataTable[[#This Row],[Current Price ($)]]-PricingDataTable[[#This Row],[Prior Price ($)]])/PricingDataTable[[#This Row],[Prior Price ($)]]</f>
        <v>1.6171978456719298E-2</v>
      </c>
      <c r="L668" s="9">
        <f>(PricingDataTable[[#This Row],[Vendor Price ($)]]-PricingDataTable[[#This Row],[Current Price ($)]])/PricingDataTable[[#This Row],[Current Price ($)]]</f>
        <v>-6.1467770070381723E-4</v>
      </c>
      <c r="M668" t="str">
        <f t="shared" si="20"/>
        <v>PASS</v>
      </c>
      <c r="N668" s="10" t="str">
        <f t="shared" si="21"/>
        <v>NONE</v>
      </c>
    </row>
    <row r="669" spans="1:14">
      <c r="A669" s="4" t="s">
        <v>1354</v>
      </c>
      <c r="B669" s="4" t="s">
        <v>1355</v>
      </c>
      <c r="C669" s="4" t="s">
        <v>19</v>
      </c>
      <c r="D669" s="4" t="s">
        <v>13</v>
      </c>
      <c r="E669" s="5">
        <v>34.610500000000002</v>
      </c>
      <c r="F669" s="5">
        <v>0</v>
      </c>
      <c r="G669" s="5">
        <v>36.5291</v>
      </c>
      <c r="H669" s="4">
        <v>0</v>
      </c>
      <c r="I669" s="6">
        <v>1575909</v>
      </c>
      <c r="J669" s="7">
        <v>496.61</v>
      </c>
      <c r="K669" s="9">
        <f>(PricingDataTable[[#This Row],[Current Price ($)]]-PricingDataTable[[#This Row],[Prior Price ($)]])/PricingDataTable[[#This Row],[Prior Price ($)]]</f>
        <v>-1</v>
      </c>
      <c r="L669" s="9" t="e">
        <f>(PricingDataTable[[#This Row],[Vendor Price ($)]]-PricingDataTable[[#This Row],[Current Price ($)]])/PricingDataTable[[#This Row],[Current Price ($)]]</f>
        <v>#DIV/0!</v>
      </c>
      <c r="M669" t="str">
        <f t="shared" si="20"/>
        <v>MISSING</v>
      </c>
      <c r="N669" s="10" t="str">
        <f t="shared" si="21"/>
        <v>HIGH</v>
      </c>
    </row>
    <row r="670" spans="1:14">
      <c r="A670" s="4" t="s">
        <v>1356</v>
      </c>
      <c r="B670" s="4" t="s">
        <v>1357</v>
      </c>
      <c r="C670" s="4" t="s">
        <v>19</v>
      </c>
      <c r="D670" s="4" t="s">
        <v>13</v>
      </c>
      <c r="E670" s="5">
        <v>202.982</v>
      </c>
      <c r="F670" s="5">
        <v>209.8467</v>
      </c>
      <c r="G670" s="5">
        <v>210.36070000000001</v>
      </c>
      <c r="H670" s="4">
        <v>0</v>
      </c>
      <c r="I670" s="6">
        <v>2369961</v>
      </c>
      <c r="J670" s="7">
        <v>862.87</v>
      </c>
      <c r="K670" s="9">
        <f>(PricingDataTable[[#This Row],[Current Price ($)]]-PricingDataTable[[#This Row],[Prior Price ($)]])/PricingDataTable[[#This Row],[Prior Price ($)]]</f>
        <v>3.38192549093023E-2</v>
      </c>
      <c r="L670" s="9">
        <f>(PricingDataTable[[#This Row],[Vendor Price ($)]]-PricingDataTable[[#This Row],[Current Price ($)]])/PricingDataTable[[#This Row],[Current Price ($)]]</f>
        <v>2.4494071148129085E-3</v>
      </c>
      <c r="M670" t="str">
        <f t="shared" si="20"/>
        <v>PASS</v>
      </c>
      <c r="N670" s="10" t="str">
        <f t="shared" si="21"/>
        <v>NONE</v>
      </c>
    </row>
    <row r="671" spans="1:14">
      <c r="A671" s="4" t="s">
        <v>1358</v>
      </c>
      <c r="B671" s="4" t="s">
        <v>1359</v>
      </c>
      <c r="C671" s="4" t="s">
        <v>19</v>
      </c>
      <c r="D671" s="4" t="s">
        <v>13</v>
      </c>
      <c r="E671" s="5">
        <v>129.69640000000001</v>
      </c>
      <c r="F671" s="5">
        <v>131.29820000000001</v>
      </c>
      <c r="G671" s="5">
        <v>131.72720000000001</v>
      </c>
      <c r="H671" s="4">
        <v>0</v>
      </c>
      <c r="I671" s="6">
        <v>199686</v>
      </c>
      <c r="J671" s="7">
        <v>528.54</v>
      </c>
      <c r="K671" s="9">
        <f>(PricingDataTable[[#This Row],[Current Price ($)]]-PricingDataTable[[#This Row],[Prior Price ($)]])/PricingDataTable[[#This Row],[Prior Price ($)]]</f>
        <v>1.2350381352142366E-2</v>
      </c>
      <c r="L671" s="9">
        <f>(PricingDataTable[[#This Row],[Vendor Price ($)]]-PricingDataTable[[#This Row],[Current Price ($)]])/PricingDataTable[[#This Row],[Current Price ($)]]</f>
        <v>3.2673715252760664E-3</v>
      </c>
      <c r="M671" t="str">
        <f t="shared" si="20"/>
        <v>PASS</v>
      </c>
      <c r="N671" s="10" t="str">
        <f t="shared" si="21"/>
        <v>NONE</v>
      </c>
    </row>
    <row r="672" spans="1:14">
      <c r="A672" s="4" t="s">
        <v>1360</v>
      </c>
      <c r="B672" s="4" t="s">
        <v>1361</v>
      </c>
      <c r="C672" s="4" t="s">
        <v>12</v>
      </c>
      <c r="D672" s="4" t="s">
        <v>64</v>
      </c>
      <c r="E672" s="5">
        <v>89.506</v>
      </c>
      <c r="F672" s="5">
        <v>90.200699999999998</v>
      </c>
      <c r="G672" s="5">
        <v>90.446600000000004</v>
      </c>
      <c r="H672" s="4">
        <v>1</v>
      </c>
      <c r="I672" s="6">
        <v>1182641</v>
      </c>
      <c r="J672" s="7">
        <v>691.99</v>
      </c>
      <c r="K672" s="9">
        <f>(PricingDataTable[[#This Row],[Current Price ($)]]-PricingDataTable[[#This Row],[Prior Price ($)]])/PricingDataTable[[#This Row],[Prior Price ($)]]</f>
        <v>7.7614908497754057E-3</v>
      </c>
      <c r="L672" s="9">
        <f>(PricingDataTable[[#This Row],[Vendor Price ($)]]-PricingDataTable[[#This Row],[Current Price ($)]])/PricingDataTable[[#This Row],[Current Price ($)]]</f>
        <v>2.7261429235028774E-3</v>
      </c>
      <c r="M672" t="str">
        <f t="shared" si="20"/>
        <v>PASS</v>
      </c>
      <c r="N672" s="10" t="str">
        <f t="shared" si="21"/>
        <v>NONE</v>
      </c>
    </row>
    <row r="673" spans="1:14">
      <c r="A673" s="4" t="s">
        <v>1362</v>
      </c>
      <c r="B673" s="4" t="s">
        <v>1363</v>
      </c>
      <c r="C673" s="4" t="s">
        <v>16</v>
      </c>
      <c r="D673" s="4" t="s">
        <v>32</v>
      </c>
      <c r="E673" s="5">
        <v>107.5697</v>
      </c>
      <c r="F673" s="5">
        <v>108.63800000000001</v>
      </c>
      <c r="G673" s="5">
        <v>108.5115</v>
      </c>
      <c r="H673" s="4">
        <v>0</v>
      </c>
      <c r="I673" s="6">
        <v>3252711</v>
      </c>
      <c r="J673" s="7">
        <v>215.35</v>
      </c>
      <c r="K673" s="9">
        <f>(PricingDataTable[[#This Row],[Current Price ($)]]-PricingDataTable[[#This Row],[Prior Price ($)]])/PricingDataTable[[#This Row],[Prior Price ($)]]</f>
        <v>9.9312352827981096E-3</v>
      </c>
      <c r="L673" s="9">
        <f>(PricingDataTable[[#This Row],[Vendor Price ($)]]-PricingDataTable[[#This Row],[Current Price ($)]])/PricingDataTable[[#This Row],[Current Price ($)]]</f>
        <v>-1.164417607098871E-3</v>
      </c>
      <c r="M673" t="str">
        <f t="shared" si="20"/>
        <v>PASS</v>
      </c>
      <c r="N673" s="10" t="str">
        <f t="shared" si="21"/>
        <v>NONE</v>
      </c>
    </row>
    <row r="674" spans="1:14">
      <c r="A674" s="4" t="s">
        <v>1364</v>
      </c>
      <c r="B674" s="4" t="s">
        <v>1365</v>
      </c>
      <c r="C674" s="4" t="s">
        <v>19</v>
      </c>
      <c r="D674" s="4" t="s">
        <v>13</v>
      </c>
      <c r="E674" s="5">
        <v>222.70410000000001</v>
      </c>
      <c r="F674" s="5">
        <v>217.87450000000001</v>
      </c>
      <c r="G674" s="5">
        <v>217.89279999999999</v>
      </c>
      <c r="H674" s="4">
        <v>0</v>
      </c>
      <c r="I674" s="6">
        <v>732215</v>
      </c>
      <c r="J674" s="7">
        <v>449.12</v>
      </c>
      <c r="K674" s="9">
        <f>(PricingDataTable[[#This Row],[Current Price ($)]]-PricingDataTable[[#This Row],[Prior Price ($)]])/PricingDataTable[[#This Row],[Prior Price ($)]]</f>
        <v>-2.1686174614656842E-2</v>
      </c>
      <c r="L674" s="9">
        <f>(PricingDataTable[[#This Row],[Vendor Price ($)]]-PricingDataTable[[#This Row],[Current Price ($)]])/PricingDataTable[[#This Row],[Current Price ($)]]</f>
        <v>8.3993308074061982E-5</v>
      </c>
      <c r="M674" t="str">
        <f t="shared" si="20"/>
        <v>PASS</v>
      </c>
      <c r="N674" s="10" t="str">
        <f t="shared" si="21"/>
        <v>NONE</v>
      </c>
    </row>
    <row r="675" spans="1:14">
      <c r="A675" s="4" t="s">
        <v>1366</v>
      </c>
      <c r="B675" s="4" t="s">
        <v>1367</v>
      </c>
      <c r="C675" s="4" t="s">
        <v>19</v>
      </c>
      <c r="D675" s="4" t="s">
        <v>13</v>
      </c>
      <c r="E675" s="5">
        <v>31.311299999999999</v>
      </c>
      <c r="F675" s="5">
        <v>31.000299999999999</v>
      </c>
      <c r="G675" s="5">
        <v>30.960100000000001</v>
      </c>
      <c r="H675" s="4">
        <v>0</v>
      </c>
      <c r="I675" s="6">
        <v>3709145</v>
      </c>
      <c r="J675" s="7">
        <v>585.33000000000004</v>
      </c>
      <c r="K675" s="9">
        <f>(PricingDataTable[[#This Row],[Current Price ($)]]-PricingDataTable[[#This Row],[Prior Price ($)]])/PricingDataTable[[#This Row],[Prior Price ($)]]</f>
        <v>-9.9325163758770783E-3</v>
      </c>
      <c r="L675" s="9">
        <f>(PricingDataTable[[#This Row],[Vendor Price ($)]]-PricingDataTable[[#This Row],[Current Price ($)]])/PricingDataTable[[#This Row],[Current Price ($)]]</f>
        <v>-1.29676164424211E-3</v>
      </c>
      <c r="M675" t="str">
        <f t="shared" si="20"/>
        <v>PASS</v>
      </c>
      <c r="N675" s="10" t="str">
        <f t="shared" si="21"/>
        <v>NONE</v>
      </c>
    </row>
    <row r="676" spans="1:14">
      <c r="A676" s="4" t="s">
        <v>1368</v>
      </c>
      <c r="B676" s="4" t="s">
        <v>1369</v>
      </c>
      <c r="C676" s="4" t="s">
        <v>35</v>
      </c>
      <c r="D676" s="4" t="s">
        <v>13</v>
      </c>
      <c r="E676" s="5">
        <v>66.697999999999993</v>
      </c>
      <c r="F676" s="5">
        <v>66.510800000000003</v>
      </c>
      <c r="G676" s="5">
        <v>66.709999999999994</v>
      </c>
      <c r="H676" s="4">
        <v>0</v>
      </c>
      <c r="I676" s="6">
        <v>2632048</v>
      </c>
      <c r="J676" s="7">
        <v>336.44</v>
      </c>
      <c r="K676" s="9">
        <f>(PricingDataTable[[#This Row],[Current Price ($)]]-PricingDataTable[[#This Row],[Prior Price ($)]])/PricingDataTable[[#This Row],[Prior Price ($)]]</f>
        <v>-2.806680859995653E-3</v>
      </c>
      <c r="L676" s="9">
        <f>(PricingDataTable[[#This Row],[Vendor Price ($)]]-PricingDataTable[[#This Row],[Current Price ($)]])/PricingDataTable[[#This Row],[Current Price ($)]]</f>
        <v>2.9950023154132937E-3</v>
      </c>
      <c r="M676" t="str">
        <f t="shared" si="20"/>
        <v>PASS</v>
      </c>
      <c r="N676" s="10" t="str">
        <f t="shared" si="21"/>
        <v>NONE</v>
      </c>
    </row>
    <row r="677" spans="1:14">
      <c r="A677" s="4" t="s">
        <v>1370</v>
      </c>
      <c r="B677" s="4" t="s">
        <v>1371</v>
      </c>
      <c r="C677" s="4" t="s">
        <v>16</v>
      </c>
      <c r="D677" s="4" t="s">
        <v>13</v>
      </c>
      <c r="E677" s="5">
        <v>118.77679999999999</v>
      </c>
      <c r="F677" s="5">
        <v>117.96080000000001</v>
      </c>
      <c r="G677" s="5">
        <v>117.5117</v>
      </c>
      <c r="H677" s="4">
        <v>0</v>
      </c>
      <c r="I677" s="6">
        <v>884303</v>
      </c>
      <c r="J677" s="7">
        <v>261.74</v>
      </c>
      <c r="K677" s="9">
        <f>(PricingDataTable[[#This Row],[Current Price ($)]]-PricingDataTable[[#This Row],[Prior Price ($)]])/PricingDataTable[[#This Row],[Prior Price ($)]]</f>
        <v>-6.8700284904121712E-3</v>
      </c>
      <c r="L677" s="9">
        <f>(PricingDataTable[[#This Row],[Vendor Price ($)]]-PricingDataTable[[#This Row],[Current Price ($)]])/PricingDataTable[[#This Row],[Current Price ($)]]</f>
        <v>-3.8071969671280743E-3</v>
      </c>
      <c r="M677" t="str">
        <f t="shared" si="20"/>
        <v>PASS</v>
      </c>
      <c r="N677" s="10" t="str">
        <f t="shared" si="21"/>
        <v>NONE</v>
      </c>
    </row>
    <row r="678" spans="1:14">
      <c r="A678" s="4" t="s">
        <v>1372</v>
      </c>
      <c r="B678" s="4" t="s">
        <v>1373</v>
      </c>
      <c r="C678" s="4" t="s">
        <v>16</v>
      </c>
      <c r="D678" s="4" t="s">
        <v>13</v>
      </c>
      <c r="E678" s="5">
        <v>94.411100000000005</v>
      </c>
      <c r="F678" s="5">
        <v>93.923199999999994</v>
      </c>
      <c r="G678" s="5">
        <v>93.952500000000001</v>
      </c>
      <c r="H678" s="4">
        <v>2</v>
      </c>
      <c r="I678" s="6">
        <v>909891</v>
      </c>
      <c r="J678" s="7">
        <v>825.73</v>
      </c>
      <c r="K678" s="9">
        <f>(PricingDataTable[[#This Row],[Current Price ($)]]-PricingDataTable[[#This Row],[Prior Price ($)]])/PricingDataTable[[#This Row],[Prior Price ($)]]</f>
        <v>-5.1678245460545467E-3</v>
      </c>
      <c r="L678" s="9">
        <f>(PricingDataTable[[#This Row],[Vendor Price ($)]]-PricingDataTable[[#This Row],[Current Price ($)]])/PricingDataTable[[#This Row],[Current Price ($)]]</f>
        <v>3.1195700316861356E-4</v>
      </c>
      <c r="M678" t="str">
        <f t="shared" si="20"/>
        <v>PASS</v>
      </c>
      <c r="N678" s="10" t="str">
        <f t="shared" si="21"/>
        <v>NONE</v>
      </c>
    </row>
    <row r="679" spans="1:14">
      <c r="A679" s="4" t="s">
        <v>1374</v>
      </c>
      <c r="B679" s="4" t="s">
        <v>1375</v>
      </c>
      <c r="C679" s="4" t="s">
        <v>19</v>
      </c>
      <c r="D679" s="4" t="s">
        <v>13</v>
      </c>
      <c r="E679" s="5">
        <v>116.51139999999999</v>
      </c>
      <c r="F679" s="5">
        <v>118.12479999999999</v>
      </c>
      <c r="G679" s="5">
        <v>118.1156</v>
      </c>
      <c r="H679" s="4">
        <v>0</v>
      </c>
      <c r="I679" s="6">
        <v>3943373</v>
      </c>
      <c r="J679" s="7">
        <v>131.13</v>
      </c>
      <c r="K679" s="9">
        <f>(PricingDataTable[[#This Row],[Current Price ($)]]-PricingDataTable[[#This Row],[Prior Price ($)]])/PricingDataTable[[#This Row],[Prior Price ($)]]</f>
        <v>1.3847571997246609E-2</v>
      </c>
      <c r="L679" s="9">
        <f>(PricingDataTable[[#This Row],[Vendor Price ($)]]-PricingDataTable[[#This Row],[Current Price ($)]])/PricingDataTable[[#This Row],[Current Price ($)]]</f>
        <v>-7.7883729750169065E-5</v>
      </c>
      <c r="M679" t="str">
        <f t="shared" si="20"/>
        <v>PASS</v>
      </c>
      <c r="N679" s="10" t="str">
        <f t="shared" si="21"/>
        <v>NONE</v>
      </c>
    </row>
    <row r="680" spans="1:14">
      <c r="A680" s="4" t="s">
        <v>1376</v>
      </c>
      <c r="B680" s="4" t="s">
        <v>1377</v>
      </c>
      <c r="C680" s="4" t="s">
        <v>16</v>
      </c>
      <c r="D680" s="4" t="s">
        <v>237</v>
      </c>
      <c r="E680" s="5">
        <v>113.7103</v>
      </c>
      <c r="F680" s="5">
        <v>116.0031</v>
      </c>
      <c r="G680" s="5">
        <v>116.2449</v>
      </c>
      <c r="H680" s="4">
        <v>0</v>
      </c>
      <c r="I680" s="6">
        <v>3548713</v>
      </c>
      <c r="J680" s="7">
        <v>243.01</v>
      </c>
      <c r="K680" s="9">
        <f>(PricingDataTable[[#This Row],[Current Price ($)]]-PricingDataTable[[#This Row],[Prior Price ($)]])/PricingDataTable[[#This Row],[Prior Price ($)]]</f>
        <v>2.0163520806822245E-2</v>
      </c>
      <c r="L680" s="9">
        <f>(PricingDataTable[[#This Row],[Vendor Price ($)]]-PricingDataTable[[#This Row],[Current Price ($)]])/PricingDataTable[[#This Row],[Current Price ($)]]</f>
        <v>2.0844270541045696E-3</v>
      </c>
      <c r="M680" t="str">
        <f t="shared" si="20"/>
        <v>PASS</v>
      </c>
      <c r="N680" s="10" t="str">
        <f t="shared" si="21"/>
        <v>NONE</v>
      </c>
    </row>
    <row r="681" spans="1:14">
      <c r="A681" s="4" t="s">
        <v>1378</v>
      </c>
      <c r="B681" s="4" t="s">
        <v>1379</v>
      </c>
      <c r="C681" s="4" t="s">
        <v>19</v>
      </c>
      <c r="D681" s="4" t="s">
        <v>13</v>
      </c>
      <c r="E681" s="5">
        <v>146.5334</v>
      </c>
      <c r="F681" s="5">
        <v>145.70339999999999</v>
      </c>
      <c r="G681" s="5">
        <v>146.36179999999999</v>
      </c>
      <c r="H681" s="4">
        <v>0</v>
      </c>
      <c r="I681" s="6">
        <v>776453</v>
      </c>
      <c r="J681" s="7">
        <v>805.48</v>
      </c>
      <c r="K681" s="9">
        <f>(PricingDataTable[[#This Row],[Current Price ($)]]-PricingDataTable[[#This Row],[Prior Price ($)]])/PricingDataTable[[#This Row],[Prior Price ($)]]</f>
        <v>-5.6642376413842338E-3</v>
      </c>
      <c r="L681" s="9">
        <f>(PricingDataTable[[#This Row],[Vendor Price ($)]]-PricingDataTable[[#This Row],[Current Price ($)]])/PricingDataTable[[#This Row],[Current Price ($)]]</f>
        <v>4.5187689511706685E-3</v>
      </c>
      <c r="M681" t="str">
        <f t="shared" si="20"/>
        <v>PASS</v>
      </c>
      <c r="N681" s="10" t="str">
        <f t="shared" si="21"/>
        <v>NONE</v>
      </c>
    </row>
    <row r="682" spans="1:14">
      <c r="A682" s="4" t="s">
        <v>1380</v>
      </c>
      <c r="B682" s="4" t="s">
        <v>1381</v>
      </c>
      <c r="C682" s="4" t="s">
        <v>35</v>
      </c>
      <c r="D682" s="4" t="s">
        <v>13</v>
      </c>
      <c r="E682" s="5">
        <v>37.351700000000001</v>
      </c>
      <c r="F682" s="5">
        <v>37.831800000000001</v>
      </c>
      <c r="G682" s="5">
        <v>37.785299999999999</v>
      </c>
      <c r="H682" s="4">
        <v>4</v>
      </c>
      <c r="I682" s="6">
        <v>4785164</v>
      </c>
      <c r="J682" s="7">
        <v>350.35</v>
      </c>
      <c r="K682" s="9">
        <f>(PricingDataTable[[#This Row],[Current Price ($)]]-PricingDataTable[[#This Row],[Prior Price ($)]])/PricingDataTable[[#This Row],[Prior Price ($)]]</f>
        <v>1.2853497966625353E-2</v>
      </c>
      <c r="L682" s="9">
        <f>(PricingDataTable[[#This Row],[Vendor Price ($)]]-PricingDataTable[[#This Row],[Current Price ($)]])/PricingDataTable[[#This Row],[Current Price ($)]]</f>
        <v>-1.2291247046136255E-3</v>
      </c>
      <c r="M682" t="str">
        <f t="shared" si="20"/>
        <v>STALE</v>
      </c>
      <c r="N682" s="10" t="str">
        <f t="shared" si="21"/>
        <v>LOW</v>
      </c>
    </row>
    <row r="683" spans="1:14">
      <c r="A683" s="4" t="s">
        <v>1382</v>
      </c>
      <c r="B683" s="4" t="s">
        <v>1383</v>
      </c>
      <c r="C683" s="4" t="s">
        <v>39</v>
      </c>
      <c r="D683" s="4" t="s">
        <v>13</v>
      </c>
      <c r="E683" s="5">
        <v>34.610599999999998</v>
      </c>
      <c r="F683" s="5">
        <v>34.327100000000002</v>
      </c>
      <c r="G683" s="5">
        <v>34.203099999999999</v>
      </c>
      <c r="H683" s="4">
        <v>3</v>
      </c>
      <c r="I683" s="6">
        <v>2656122</v>
      </c>
      <c r="J683" s="7">
        <v>12.97</v>
      </c>
      <c r="K683" s="9">
        <f>(PricingDataTable[[#This Row],[Current Price ($)]]-PricingDataTable[[#This Row],[Prior Price ($)]])/PricingDataTable[[#This Row],[Prior Price ($)]]</f>
        <v>-8.191132196494616E-3</v>
      </c>
      <c r="L683" s="9">
        <f>(PricingDataTable[[#This Row],[Vendor Price ($)]]-PricingDataTable[[#This Row],[Current Price ($)]])/PricingDataTable[[#This Row],[Current Price ($)]]</f>
        <v>-3.6123063119227177E-3</v>
      </c>
      <c r="M683" t="str">
        <f t="shared" si="20"/>
        <v>STALE</v>
      </c>
      <c r="N683" s="10" t="str">
        <f t="shared" si="21"/>
        <v>LOW</v>
      </c>
    </row>
    <row r="684" spans="1:14">
      <c r="A684" s="4" t="s">
        <v>1384</v>
      </c>
      <c r="B684" s="4" t="s">
        <v>1385</v>
      </c>
      <c r="C684" s="4" t="s">
        <v>16</v>
      </c>
      <c r="D684" s="4" t="s">
        <v>13</v>
      </c>
      <c r="E684" s="5">
        <v>114.60080000000001</v>
      </c>
      <c r="F684" s="5">
        <v>114.107</v>
      </c>
      <c r="G684" s="5">
        <v>113.86960000000001</v>
      </c>
      <c r="H684" s="4">
        <v>3</v>
      </c>
      <c r="I684" s="6">
        <v>4852778</v>
      </c>
      <c r="J684" s="7">
        <v>87.88</v>
      </c>
      <c r="K684" s="9">
        <f>(PricingDataTable[[#This Row],[Current Price ($)]]-PricingDataTable[[#This Row],[Prior Price ($)]])/PricingDataTable[[#This Row],[Prior Price ($)]]</f>
        <v>-4.3088704441854447E-3</v>
      </c>
      <c r="L684" s="9">
        <f>(PricingDataTable[[#This Row],[Vendor Price ($)]]-PricingDataTable[[#This Row],[Current Price ($)]])/PricingDataTable[[#This Row],[Current Price ($)]]</f>
        <v>-2.0805033871716359E-3</v>
      </c>
      <c r="M684" t="str">
        <f t="shared" si="20"/>
        <v>STALE</v>
      </c>
      <c r="N684" s="10" t="str">
        <f t="shared" si="21"/>
        <v>LOW</v>
      </c>
    </row>
    <row r="685" spans="1:14">
      <c r="A685" s="4" t="s">
        <v>1386</v>
      </c>
      <c r="B685" s="4" t="s">
        <v>1387</v>
      </c>
      <c r="C685" s="4" t="s">
        <v>16</v>
      </c>
      <c r="D685" s="4" t="s">
        <v>13</v>
      </c>
      <c r="E685" s="5">
        <v>83.305099999999996</v>
      </c>
      <c r="F685" s="5">
        <v>82.640799999999999</v>
      </c>
      <c r="G685" s="5">
        <v>82.800299999999993</v>
      </c>
      <c r="H685" s="4">
        <v>0</v>
      </c>
      <c r="I685" s="6">
        <v>136822</v>
      </c>
      <c r="J685" s="7">
        <v>271.89</v>
      </c>
      <c r="K685" s="9">
        <f>(PricingDataTable[[#This Row],[Current Price ($)]]-PricingDataTable[[#This Row],[Prior Price ($)]])/PricingDataTable[[#This Row],[Prior Price ($)]]</f>
        <v>-7.9743016934136959E-3</v>
      </c>
      <c r="L685" s="9">
        <f>(PricingDataTable[[#This Row],[Vendor Price ($)]]-PricingDataTable[[#This Row],[Current Price ($)]])/PricingDataTable[[#This Row],[Current Price ($)]]</f>
        <v>1.9300393994249113E-3</v>
      </c>
      <c r="M685" t="str">
        <f t="shared" si="20"/>
        <v>PASS</v>
      </c>
      <c r="N685" s="10" t="str">
        <f t="shared" si="21"/>
        <v>NONE</v>
      </c>
    </row>
    <row r="686" spans="1:14">
      <c r="A686" s="4" t="s">
        <v>1388</v>
      </c>
      <c r="B686" s="4" t="s">
        <v>1389</v>
      </c>
      <c r="C686" s="4" t="s">
        <v>39</v>
      </c>
      <c r="D686" s="4" t="s">
        <v>13</v>
      </c>
      <c r="E686" s="5">
        <v>178.70269999999999</v>
      </c>
      <c r="F686" s="5">
        <v>180.91990000000001</v>
      </c>
      <c r="G686" s="5">
        <v>180.91650000000001</v>
      </c>
      <c r="H686" s="4">
        <v>0</v>
      </c>
      <c r="I686" s="6">
        <v>1475833</v>
      </c>
      <c r="J686" s="7">
        <v>413.05</v>
      </c>
      <c r="K686" s="9">
        <f>(PricingDataTable[[#This Row],[Current Price ($)]]-PricingDataTable[[#This Row],[Prior Price ($)]])/PricingDataTable[[#This Row],[Prior Price ($)]]</f>
        <v>1.2407199219709716E-2</v>
      </c>
      <c r="L686" s="9">
        <f>(PricingDataTable[[#This Row],[Vendor Price ($)]]-PricingDataTable[[#This Row],[Current Price ($)]])/PricingDataTable[[#This Row],[Current Price ($)]]</f>
        <v>-1.8792847000242545E-5</v>
      </c>
      <c r="M686" t="str">
        <f t="shared" si="20"/>
        <v>PASS</v>
      </c>
      <c r="N686" s="10" t="str">
        <f t="shared" si="21"/>
        <v>NONE</v>
      </c>
    </row>
    <row r="687" spans="1:14">
      <c r="A687" s="4" t="s">
        <v>1390</v>
      </c>
      <c r="B687" s="4" t="s">
        <v>1391</v>
      </c>
      <c r="C687" s="4" t="s">
        <v>16</v>
      </c>
      <c r="D687" s="4" t="s">
        <v>13</v>
      </c>
      <c r="E687" s="5">
        <v>96.793800000000005</v>
      </c>
      <c r="F687" s="5">
        <v>96.421499999999995</v>
      </c>
      <c r="G687" s="5">
        <v>96.835999999999999</v>
      </c>
      <c r="H687" s="4">
        <v>1</v>
      </c>
      <c r="I687" s="6">
        <v>833360</v>
      </c>
      <c r="J687" s="7">
        <v>895.83</v>
      </c>
      <c r="K687" s="9">
        <f>(PricingDataTable[[#This Row],[Current Price ($)]]-PricingDataTable[[#This Row],[Prior Price ($)]])/PricingDataTable[[#This Row],[Prior Price ($)]]</f>
        <v>-3.8463207354191057E-3</v>
      </c>
      <c r="L687" s="9">
        <f>(PricingDataTable[[#This Row],[Vendor Price ($)]]-PricingDataTable[[#This Row],[Current Price ($)]])/PricingDataTable[[#This Row],[Current Price ($)]]</f>
        <v>4.2988337663280897E-3</v>
      </c>
      <c r="M687" t="str">
        <f t="shared" si="20"/>
        <v>PASS</v>
      </c>
      <c r="N687" s="10" t="str">
        <f t="shared" si="21"/>
        <v>NONE</v>
      </c>
    </row>
    <row r="688" spans="1:14">
      <c r="A688" s="4" t="s">
        <v>1392</v>
      </c>
      <c r="B688" s="4" t="s">
        <v>1393</v>
      </c>
      <c r="C688" s="4" t="s">
        <v>12</v>
      </c>
      <c r="D688" s="4" t="s">
        <v>13</v>
      </c>
      <c r="E688" s="5">
        <v>95.563999999999993</v>
      </c>
      <c r="F688" s="5">
        <v>93.650199999999998</v>
      </c>
      <c r="G688" s="5">
        <v>93.660799999999995</v>
      </c>
      <c r="H688" s="4">
        <v>0</v>
      </c>
      <c r="I688" s="6">
        <v>2432894</v>
      </c>
      <c r="J688" s="7">
        <v>766.56</v>
      </c>
      <c r="K688" s="9">
        <f>(PricingDataTable[[#This Row],[Current Price ($)]]-PricingDataTable[[#This Row],[Prior Price ($)]])/PricingDataTable[[#This Row],[Prior Price ($)]]</f>
        <v>-2.0026369762672084E-2</v>
      </c>
      <c r="L688" s="9">
        <f>(PricingDataTable[[#This Row],[Vendor Price ($)]]-PricingDataTable[[#This Row],[Current Price ($)]])/PricingDataTable[[#This Row],[Current Price ($)]]</f>
        <v>1.1318715816940714E-4</v>
      </c>
      <c r="M688" t="str">
        <f t="shared" si="20"/>
        <v>PASS</v>
      </c>
      <c r="N688" s="10" t="str">
        <f t="shared" si="21"/>
        <v>NONE</v>
      </c>
    </row>
    <row r="689" spans="1:14">
      <c r="A689" s="4" t="s">
        <v>1394</v>
      </c>
      <c r="B689" s="4" t="s">
        <v>1395</v>
      </c>
      <c r="C689" s="4" t="s">
        <v>39</v>
      </c>
      <c r="D689" s="4" t="s">
        <v>13</v>
      </c>
      <c r="E689" s="5">
        <v>47.159399999999998</v>
      </c>
      <c r="F689" s="5">
        <v>48.019199999999998</v>
      </c>
      <c r="G689" s="5">
        <v>47.741900000000001</v>
      </c>
      <c r="H689" s="4">
        <v>0</v>
      </c>
      <c r="I689" s="6">
        <v>3321282</v>
      </c>
      <c r="J689" s="7">
        <v>7.04</v>
      </c>
      <c r="K689" s="9">
        <f>(PricingDataTable[[#This Row],[Current Price ($)]]-PricingDataTable[[#This Row],[Prior Price ($)]])/PricingDataTable[[#This Row],[Prior Price ($)]]</f>
        <v>1.8231784119390831E-2</v>
      </c>
      <c r="L689" s="9">
        <f>(PricingDataTable[[#This Row],[Vendor Price ($)]]-PricingDataTable[[#This Row],[Current Price ($)]])/PricingDataTable[[#This Row],[Current Price ($)]]</f>
        <v>-5.7747734239636805E-3</v>
      </c>
      <c r="M689" t="str">
        <f t="shared" si="20"/>
        <v>PASS</v>
      </c>
      <c r="N689" s="10" t="str">
        <f t="shared" si="21"/>
        <v>NONE</v>
      </c>
    </row>
    <row r="690" spans="1:14">
      <c r="A690" s="4" t="s">
        <v>1396</v>
      </c>
      <c r="B690" s="4" t="s">
        <v>1397</v>
      </c>
      <c r="C690" s="4" t="s">
        <v>16</v>
      </c>
      <c r="D690" s="4" t="s">
        <v>13</v>
      </c>
      <c r="E690" s="5">
        <v>107.9341</v>
      </c>
      <c r="F690" s="5">
        <v>106.94759999999999</v>
      </c>
      <c r="G690" s="5">
        <v>107.5956</v>
      </c>
      <c r="H690" s="4">
        <v>0</v>
      </c>
      <c r="I690" s="6">
        <v>221174</v>
      </c>
      <c r="J690" s="7">
        <v>138.21</v>
      </c>
      <c r="K690" s="9">
        <f>(PricingDataTable[[#This Row],[Current Price ($)]]-PricingDataTable[[#This Row],[Prior Price ($)]])/PricingDataTable[[#This Row],[Prior Price ($)]]</f>
        <v>-9.1398362519352697E-3</v>
      </c>
      <c r="L690" s="9">
        <f>(PricingDataTable[[#This Row],[Vendor Price ($)]]-PricingDataTable[[#This Row],[Current Price ($)]])/PricingDataTable[[#This Row],[Current Price ($)]]</f>
        <v>6.0590419981375026E-3</v>
      </c>
      <c r="M690" t="str">
        <f t="shared" si="20"/>
        <v>PASS</v>
      </c>
      <c r="N690" s="10" t="str">
        <f t="shared" si="21"/>
        <v>NONE</v>
      </c>
    </row>
    <row r="691" spans="1:14">
      <c r="A691" s="4" t="s">
        <v>1398</v>
      </c>
      <c r="B691" s="4" t="s">
        <v>1399</v>
      </c>
      <c r="C691" s="4" t="s">
        <v>39</v>
      </c>
      <c r="D691" s="4" t="s">
        <v>13</v>
      </c>
      <c r="E691" s="5">
        <v>122.60080000000001</v>
      </c>
      <c r="F691" s="5">
        <v>127.0727</v>
      </c>
      <c r="G691" s="5">
        <v>126.76860000000001</v>
      </c>
      <c r="H691" s="4">
        <v>0</v>
      </c>
      <c r="I691" s="6">
        <v>4848387</v>
      </c>
      <c r="J691" s="7">
        <v>386.31</v>
      </c>
      <c r="K691" s="9">
        <f>(PricingDataTable[[#This Row],[Current Price ($)]]-PricingDataTable[[#This Row],[Prior Price ($)]])/PricingDataTable[[#This Row],[Prior Price ($)]]</f>
        <v>3.6475292167750868E-2</v>
      </c>
      <c r="L691" s="9">
        <f>(PricingDataTable[[#This Row],[Vendor Price ($)]]-PricingDataTable[[#This Row],[Current Price ($)]])/PricingDataTable[[#This Row],[Current Price ($)]]</f>
        <v>-2.3931182700925625E-3</v>
      </c>
      <c r="M691" t="str">
        <f t="shared" si="20"/>
        <v>PASS</v>
      </c>
      <c r="N691" s="10" t="str">
        <f t="shared" si="21"/>
        <v>NONE</v>
      </c>
    </row>
    <row r="692" spans="1:14">
      <c r="A692" s="4" t="s">
        <v>1400</v>
      </c>
      <c r="B692" s="4" t="s">
        <v>1401</v>
      </c>
      <c r="C692" s="4" t="s">
        <v>35</v>
      </c>
      <c r="D692" s="4" t="s">
        <v>13</v>
      </c>
      <c r="E692" s="5">
        <v>162.9425</v>
      </c>
      <c r="F692" s="5">
        <v>160.85769999999999</v>
      </c>
      <c r="G692" s="5">
        <v>160.80160000000001</v>
      </c>
      <c r="H692" s="4">
        <v>0</v>
      </c>
      <c r="I692" s="6">
        <v>2183968</v>
      </c>
      <c r="J692" s="7">
        <v>753.64</v>
      </c>
      <c r="K692" s="9">
        <f>(PricingDataTable[[#This Row],[Current Price ($)]]-PricingDataTable[[#This Row],[Prior Price ($)]])/PricingDataTable[[#This Row],[Prior Price ($)]]</f>
        <v>-1.2794697515994914E-2</v>
      </c>
      <c r="L692" s="9">
        <f>(PricingDataTable[[#This Row],[Vendor Price ($)]]-PricingDataTable[[#This Row],[Current Price ($)]])/PricingDataTable[[#This Row],[Current Price ($)]]</f>
        <v>-3.4875545280074559E-4</v>
      </c>
      <c r="M692" t="str">
        <f t="shared" si="20"/>
        <v>PASS</v>
      </c>
      <c r="N692" s="10" t="str">
        <f t="shared" si="21"/>
        <v>NONE</v>
      </c>
    </row>
    <row r="693" spans="1:14">
      <c r="A693" s="4" t="s">
        <v>1402</v>
      </c>
      <c r="B693" s="4" t="s">
        <v>1403</v>
      </c>
      <c r="C693" s="4" t="s">
        <v>19</v>
      </c>
      <c r="D693" s="4" t="s">
        <v>13</v>
      </c>
      <c r="E693" s="5">
        <v>157.59800000000001</v>
      </c>
      <c r="F693" s="5">
        <v>132.64940000000001</v>
      </c>
      <c r="G693" s="5">
        <v>132.2629</v>
      </c>
      <c r="H693" s="4">
        <v>1</v>
      </c>
      <c r="I693" s="6">
        <v>3005139</v>
      </c>
      <c r="J693" s="7">
        <v>168.06</v>
      </c>
      <c r="K693" s="9">
        <f>(PricingDataTable[[#This Row],[Current Price ($)]]-PricingDataTable[[#This Row],[Prior Price ($)]])/PricingDataTable[[#This Row],[Prior Price ($)]]</f>
        <v>-0.15830530844300053</v>
      </c>
      <c r="L693" s="9">
        <f>(PricingDataTable[[#This Row],[Vendor Price ($)]]-PricingDataTable[[#This Row],[Current Price ($)]])/PricingDataTable[[#This Row],[Current Price ($)]]</f>
        <v>-2.9136958026196292E-3</v>
      </c>
      <c r="M693" t="str">
        <f t="shared" si="20"/>
        <v>LARGE MOVE</v>
      </c>
      <c r="N693" s="10" t="str">
        <f t="shared" si="21"/>
        <v>HIGH</v>
      </c>
    </row>
    <row r="694" spans="1:14">
      <c r="A694" s="4" t="s">
        <v>1404</v>
      </c>
      <c r="B694" s="4" t="s">
        <v>1405</v>
      </c>
      <c r="C694" s="4" t="s">
        <v>19</v>
      </c>
      <c r="D694" s="4" t="s">
        <v>13</v>
      </c>
      <c r="E694" s="5">
        <v>91.876999999999995</v>
      </c>
      <c r="F694" s="5">
        <v>92.240200000000002</v>
      </c>
      <c r="G694" s="5">
        <v>91.762799999999999</v>
      </c>
      <c r="H694" s="4">
        <v>0</v>
      </c>
      <c r="I694" s="6">
        <v>4860978</v>
      </c>
      <c r="J694" s="7">
        <v>780.27</v>
      </c>
      <c r="K694" s="9">
        <f>(PricingDataTable[[#This Row],[Current Price ($)]]-PricingDataTable[[#This Row],[Prior Price ($)]])/PricingDataTable[[#This Row],[Prior Price ($)]]</f>
        <v>3.9531112247897316E-3</v>
      </c>
      <c r="L694" s="9">
        <f>(PricingDataTable[[#This Row],[Vendor Price ($)]]-PricingDataTable[[#This Row],[Current Price ($)]])/PricingDataTable[[#This Row],[Current Price ($)]]</f>
        <v>-5.1756175723817049E-3</v>
      </c>
      <c r="M694" t="str">
        <f t="shared" si="20"/>
        <v>PASS</v>
      </c>
      <c r="N694" s="10" t="str">
        <f t="shared" si="21"/>
        <v>NONE</v>
      </c>
    </row>
    <row r="695" spans="1:14">
      <c r="A695" s="4" t="s">
        <v>1406</v>
      </c>
      <c r="B695" s="4" t="s">
        <v>1407</v>
      </c>
      <c r="C695" s="4" t="s">
        <v>35</v>
      </c>
      <c r="D695" s="4" t="s">
        <v>13</v>
      </c>
      <c r="E695" s="5">
        <v>27.246700000000001</v>
      </c>
      <c r="F695" s="5">
        <v>27.231200000000001</v>
      </c>
      <c r="G695" s="5">
        <v>27.282599999999999</v>
      </c>
      <c r="H695" s="4">
        <v>3</v>
      </c>
      <c r="I695" s="6">
        <v>185188</v>
      </c>
      <c r="J695" s="7">
        <v>372.49</v>
      </c>
      <c r="K695" s="9">
        <f>(PricingDataTable[[#This Row],[Current Price ($)]]-PricingDataTable[[#This Row],[Prior Price ($)]])/PricingDataTable[[#This Row],[Prior Price ($)]]</f>
        <v>-5.6887623088298412E-4</v>
      </c>
      <c r="L695" s="9">
        <f>(PricingDataTable[[#This Row],[Vendor Price ($)]]-PricingDataTable[[#This Row],[Current Price ($)]])/PricingDataTable[[#This Row],[Current Price ($)]]</f>
        <v>1.8875407620669469E-3</v>
      </c>
      <c r="M695" t="str">
        <f t="shared" si="20"/>
        <v>STALE</v>
      </c>
      <c r="N695" s="10" t="str">
        <f t="shared" si="21"/>
        <v>LOW</v>
      </c>
    </row>
    <row r="696" spans="1:14">
      <c r="A696" s="4" t="s">
        <v>1408</v>
      </c>
      <c r="B696" s="4" t="s">
        <v>1409</v>
      </c>
      <c r="C696" s="4" t="s">
        <v>19</v>
      </c>
      <c r="D696" s="4" t="s">
        <v>13</v>
      </c>
      <c r="E696" s="5">
        <v>312.28199999999998</v>
      </c>
      <c r="F696" s="5">
        <v>309.54070000000002</v>
      </c>
      <c r="G696" s="5">
        <v>308.78410000000002</v>
      </c>
      <c r="H696" s="4">
        <v>2</v>
      </c>
      <c r="I696" s="6">
        <v>264825</v>
      </c>
      <c r="J696" s="7">
        <v>105.66</v>
      </c>
      <c r="K696" s="9">
        <f>(PricingDataTable[[#This Row],[Current Price ($)]]-PricingDataTable[[#This Row],[Prior Price ($)]])/PricingDataTable[[#This Row],[Prior Price ($)]]</f>
        <v>-8.7782837307304531E-3</v>
      </c>
      <c r="L696" s="9">
        <f>(PricingDataTable[[#This Row],[Vendor Price ($)]]-PricingDataTable[[#This Row],[Current Price ($)]])/PricingDataTable[[#This Row],[Current Price ($)]]</f>
        <v>-2.4442666182508204E-3</v>
      </c>
      <c r="M696" t="str">
        <f t="shared" si="20"/>
        <v>PASS</v>
      </c>
      <c r="N696" s="10" t="str">
        <f t="shared" si="21"/>
        <v>NONE</v>
      </c>
    </row>
    <row r="697" spans="1:14">
      <c r="A697" s="4" t="s">
        <v>1410</v>
      </c>
      <c r="B697" s="4" t="s">
        <v>1411</v>
      </c>
      <c r="C697" s="4" t="s">
        <v>16</v>
      </c>
      <c r="D697" s="4" t="s">
        <v>13</v>
      </c>
      <c r="E697" s="5">
        <v>102.3241</v>
      </c>
      <c r="F697" s="5">
        <v>103.4239</v>
      </c>
      <c r="G697" s="5">
        <v>103.8522</v>
      </c>
      <c r="H697" s="4">
        <v>0</v>
      </c>
      <c r="I697" s="6">
        <v>1278971</v>
      </c>
      <c r="J697" s="7">
        <v>194.83</v>
      </c>
      <c r="K697" s="9">
        <f>(PricingDataTable[[#This Row],[Current Price ($)]]-PricingDataTable[[#This Row],[Prior Price ($)]])/PricingDataTable[[#This Row],[Prior Price ($)]]</f>
        <v>1.0748201059183534E-2</v>
      </c>
      <c r="L697" s="9">
        <f>(PricingDataTable[[#This Row],[Vendor Price ($)]]-PricingDataTable[[#This Row],[Current Price ($)]])/PricingDataTable[[#This Row],[Current Price ($)]]</f>
        <v>4.1412091402470127E-3</v>
      </c>
      <c r="M697" t="str">
        <f t="shared" si="20"/>
        <v>PASS</v>
      </c>
      <c r="N697" s="10" t="str">
        <f t="shared" si="21"/>
        <v>NONE</v>
      </c>
    </row>
    <row r="698" spans="1:14">
      <c r="A698" s="4" t="s">
        <v>1412</v>
      </c>
      <c r="B698" s="4" t="s">
        <v>1413</v>
      </c>
      <c r="C698" s="4" t="s">
        <v>35</v>
      </c>
      <c r="D698" s="4" t="s">
        <v>13</v>
      </c>
      <c r="E698" s="5">
        <v>26.6646</v>
      </c>
      <c r="F698" s="5">
        <v>27.089400000000001</v>
      </c>
      <c r="G698" s="5">
        <v>27.151800000000001</v>
      </c>
      <c r="H698" s="4">
        <v>0</v>
      </c>
      <c r="I698" s="6">
        <v>2469942</v>
      </c>
      <c r="J698" s="7">
        <v>420.45</v>
      </c>
      <c r="K698" s="9">
        <f>(PricingDataTable[[#This Row],[Current Price ($)]]-PricingDataTable[[#This Row],[Prior Price ($)]])/PricingDataTable[[#This Row],[Prior Price ($)]]</f>
        <v>1.5931234670687022E-2</v>
      </c>
      <c r="L698" s="9">
        <f>(PricingDataTable[[#This Row],[Vendor Price ($)]]-PricingDataTable[[#This Row],[Current Price ($)]])/PricingDataTable[[#This Row],[Current Price ($)]]</f>
        <v>2.3034840195796228E-3</v>
      </c>
      <c r="M698" t="str">
        <f t="shared" si="20"/>
        <v>PASS</v>
      </c>
      <c r="N698" s="10" t="str">
        <f t="shared" si="21"/>
        <v>NONE</v>
      </c>
    </row>
    <row r="699" spans="1:14">
      <c r="A699" s="4" t="s">
        <v>1414</v>
      </c>
      <c r="B699" s="4" t="s">
        <v>1415</v>
      </c>
      <c r="C699" s="4" t="s">
        <v>16</v>
      </c>
      <c r="D699" s="4" t="s">
        <v>13</v>
      </c>
      <c r="E699" s="5">
        <v>84.652699999999996</v>
      </c>
      <c r="F699" s="5">
        <v>85.3733</v>
      </c>
      <c r="G699" s="5">
        <v>85.718900000000005</v>
      </c>
      <c r="H699" s="4">
        <v>0</v>
      </c>
      <c r="I699" s="6">
        <v>2614765</v>
      </c>
      <c r="J699" s="7">
        <v>149.25</v>
      </c>
      <c r="K699" s="9">
        <f>(PricingDataTable[[#This Row],[Current Price ($)]]-PricingDataTable[[#This Row],[Prior Price ($)]])/PricingDataTable[[#This Row],[Prior Price ($)]]</f>
        <v>8.5124278375055332E-3</v>
      </c>
      <c r="L699" s="9">
        <f>(PricingDataTable[[#This Row],[Vendor Price ($)]]-PricingDataTable[[#This Row],[Current Price ($)]])/PricingDataTable[[#This Row],[Current Price ($)]]</f>
        <v>4.0481040325254453E-3</v>
      </c>
      <c r="M699" t="str">
        <f t="shared" si="20"/>
        <v>PASS</v>
      </c>
      <c r="N699" s="10" t="str">
        <f t="shared" si="21"/>
        <v>NONE</v>
      </c>
    </row>
    <row r="700" spans="1:14">
      <c r="A700" s="4" t="s">
        <v>1416</v>
      </c>
      <c r="B700" s="4" t="s">
        <v>1417</v>
      </c>
      <c r="C700" s="4" t="s">
        <v>16</v>
      </c>
      <c r="D700" s="4" t="s">
        <v>13</v>
      </c>
      <c r="E700" s="5">
        <v>104.8165</v>
      </c>
      <c r="F700" s="5">
        <v>104.6669</v>
      </c>
      <c r="G700" s="5">
        <v>104.93940000000001</v>
      </c>
      <c r="H700" s="4">
        <v>0</v>
      </c>
      <c r="I700" s="6">
        <v>540104</v>
      </c>
      <c r="J700" s="7">
        <v>404.57</v>
      </c>
      <c r="K700" s="9">
        <f>(PricingDataTable[[#This Row],[Current Price ($)]]-PricingDataTable[[#This Row],[Prior Price ($)]])/PricingDataTable[[#This Row],[Prior Price ($)]]</f>
        <v>-1.4272562048914686E-3</v>
      </c>
      <c r="L700" s="9">
        <f>(PricingDataTable[[#This Row],[Vendor Price ($)]]-PricingDataTable[[#This Row],[Current Price ($)]])/PricingDataTable[[#This Row],[Current Price ($)]]</f>
        <v>2.6034973807383993E-3</v>
      </c>
      <c r="M700" t="str">
        <f t="shared" si="20"/>
        <v>PASS</v>
      </c>
      <c r="N700" s="10" t="str">
        <f t="shared" si="21"/>
        <v>NONE</v>
      </c>
    </row>
    <row r="701" spans="1:14">
      <c r="A701" s="4" t="s">
        <v>1418</v>
      </c>
      <c r="B701" s="4" t="s">
        <v>1419</v>
      </c>
      <c r="C701" s="4" t="s">
        <v>19</v>
      </c>
      <c r="D701" s="4" t="s">
        <v>13</v>
      </c>
      <c r="E701" s="5">
        <v>214.52770000000001</v>
      </c>
      <c r="F701" s="5">
        <v>219.05170000000001</v>
      </c>
      <c r="G701" s="5">
        <v>217.92910000000001</v>
      </c>
      <c r="H701" s="4">
        <v>0</v>
      </c>
      <c r="I701" s="6">
        <v>1560567</v>
      </c>
      <c r="J701" s="7">
        <v>322.10000000000002</v>
      </c>
      <c r="K701" s="9">
        <f>(PricingDataTable[[#This Row],[Current Price ($)]]-PricingDataTable[[#This Row],[Prior Price ($)]])/PricingDataTable[[#This Row],[Prior Price ($)]]</f>
        <v>2.1088185814698991E-2</v>
      </c>
      <c r="L701" s="9">
        <f>(PricingDataTable[[#This Row],[Vendor Price ($)]]-PricingDataTable[[#This Row],[Current Price ($)]])/PricingDataTable[[#This Row],[Current Price ($)]]</f>
        <v>-5.1248175658988515E-3</v>
      </c>
      <c r="M701" t="str">
        <f t="shared" si="20"/>
        <v>PASS</v>
      </c>
      <c r="N701" s="10" t="str">
        <f t="shared" si="21"/>
        <v>NONE</v>
      </c>
    </row>
    <row r="702" spans="1:14">
      <c r="A702" s="4" t="s">
        <v>1420</v>
      </c>
      <c r="B702" s="4" t="s">
        <v>1421</v>
      </c>
      <c r="C702" s="4" t="s">
        <v>12</v>
      </c>
      <c r="D702" s="4" t="s">
        <v>13</v>
      </c>
      <c r="E702" s="5">
        <v>113.9757</v>
      </c>
      <c r="F702" s="5">
        <v>124.67789999999999</v>
      </c>
      <c r="G702" s="5">
        <v>124.90560000000001</v>
      </c>
      <c r="H702" s="4">
        <v>0</v>
      </c>
      <c r="I702" s="6">
        <v>2380128</v>
      </c>
      <c r="J702" s="7">
        <v>541.70000000000005</v>
      </c>
      <c r="K702" s="9">
        <f>(PricingDataTable[[#This Row],[Current Price ($)]]-PricingDataTable[[#This Row],[Prior Price ($)]])/PricingDataTable[[#This Row],[Prior Price ($)]]</f>
        <v>9.3898962673622452E-2</v>
      </c>
      <c r="L702" s="9">
        <f>(PricingDataTable[[#This Row],[Vendor Price ($)]]-PricingDataTable[[#This Row],[Current Price ($)]])/PricingDataTable[[#This Row],[Current Price ($)]]</f>
        <v>1.826306025366267E-3</v>
      </c>
      <c r="M702" t="str">
        <f t="shared" si="20"/>
        <v>LARGE MOVE</v>
      </c>
      <c r="N702" s="10" t="str">
        <f t="shared" si="21"/>
        <v>MEDIUM</v>
      </c>
    </row>
    <row r="703" spans="1:14">
      <c r="A703" s="4" t="s">
        <v>1422</v>
      </c>
      <c r="B703" s="4" t="s">
        <v>1423</v>
      </c>
      <c r="C703" s="4" t="s">
        <v>19</v>
      </c>
      <c r="D703" s="4" t="s">
        <v>13</v>
      </c>
      <c r="E703" s="5">
        <v>215.9033</v>
      </c>
      <c r="F703" s="5">
        <v>219.72120000000001</v>
      </c>
      <c r="G703" s="5">
        <v>218.84690000000001</v>
      </c>
      <c r="H703" s="4">
        <v>0</v>
      </c>
      <c r="I703" s="6">
        <v>2686373</v>
      </c>
      <c r="J703" s="7">
        <v>178.5</v>
      </c>
      <c r="K703" s="9">
        <f>(PricingDataTable[[#This Row],[Current Price ($)]]-PricingDataTable[[#This Row],[Prior Price ($)]])/PricingDataTable[[#This Row],[Prior Price ($)]]</f>
        <v>1.7683379550011549E-2</v>
      </c>
      <c r="L703" s="9">
        <f>(PricingDataTable[[#This Row],[Vendor Price ($)]]-PricingDataTable[[#This Row],[Current Price ($)]])/PricingDataTable[[#This Row],[Current Price ($)]]</f>
        <v>-3.979133556525293E-3</v>
      </c>
      <c r="M703" t="str">
        <f t="shared" si="20"/>
        <v>PASS</v>
      </c>
      <c r="N703" s="10" t="str">
        <f t="shared" si="21"/>
        <v>NONE</v>
      </c>
    </row>
    <row r="704" spans="1:14">
      <c r="A704" s="4" t="s">
        <v>1424</v>
      </c>
      <c r="B704" s="4" t="s">
        <v>1425</v>
      </c>
      <c r="C704" s="4" t="s">
        <v>16</v>
      </c>
      <c r="D704" s="4" t="s">
        <v>237</v>
      </c>
      <c r="E704" s="5">
        <v>96.061899999999994</v>
      </c>
      <c r="F704" s="5">
        <v>96.564099999999996</v>
      </c>
      <c r="G704" s="5">
        <v>96.688900000000004</v>
      </c>
      <c r="H704" s="4">
        <v>0</v>
      </c>
      <c r="I704" s="6">
        <v>4830814</v>
      </c>
      <c r="J704" s="7">
        <v>889.16</v>
      </c>
      <c r="K704" s="9">
        <f>(PricingDataTable[[#This Row],[Current Price ($)]]-PricingDataTable[[#This Row],[Prior Price ($)]])/PricingDataTable[[#This Row],[Prior Price ($)]]</f>
        <v>5.2278791071174108E-3</v>
      </c>
      <c r="L704" s="9">
        <f>(PricingDataTable[[#This Row],[Vendor Price ($)]]-PricingDataTable[[#This Row],[Current Price ($)]])/PricingDataTable[[#This Row],[Current Price ($)]]</f>
        <v>1.2924057698462221E-3</v>
      </c>
      <c r="M704" t="str">
        <f t="shared" si="20"/>
        <v>PASS</v>
      </c>
      <c r="N704" s="10" t="str">
        <f t="shared" si="21"/>
        <v>NONE</v>
      </c>
    </row>
    <row r="705" spans="1:14">
      <c r="A705" s="4" t="s">
        <v>1426</v>
      </c>
      <c r="B705" s="4" t="s">
        <v>1427</v>
      </c>
      <c r="C705" s="4" t="s">
        <v>19</v>
      </c>
      <c r="D705" s="4" t="s">
        <v>237</v>
      </c>
      <c r="E705" s="5">
        <v>20.6568</v>
      </c>
      <c r="F705" s="5">
        <v>20.3599</v>
      </c>
      <c r="G705" s="5">
        <v>21.037299999999998</v>
      </c>
      <c r="H705" s="4">
        <v>1</v>
      </c>
      <c r="I705" s="6">
        <v>2901985</v>
      </c>
      <c r="J705" s="7">
        <v>360.43</v>
      </c>
      <c r="K705" s="9">
        <f>(PricingDataTable[[#This Row],[Current Price ($)]]-PricingDataTable[[#This Row],[Prior Price ($)]])/PricingDataTable[[#This Row],[Prior Price ($)]]</f>
        <v>-1.437299097633713E-2</v>
      </c>
      <c r="L705" s="9">
        <f>(PricingDataTable[[#This Row],[Vendor Price ($)]]-PricingDataTable[[#This Row],[Current Price ($)]])/PricingDataTable[[#This Row],[Current Price ($)]]</f>
        <v>3.327128325777625E-2</v>
      </c>
      <c r="M705" t="str">
        <f t="shared" si="20"/>
        <v>VENDOR DIFFERENCE</v>
      </c>
      <c r="N705" s="10" t="str">
        <f t="shared" si="21"/>
        <v>MEDIUM</v>
      </c>
    </row>
    <row r="706" spans="1:14">
      <c r="A706" s="4" t="s">
        <v>1428</v>
      </c>
      <c r="B706" s="4" t="s">
        <v>1429</v>
      </c>
      <c r="C706" s="4" t="s">
        <v>16</v>
      </c>
      <c r="D706" s="4" t="s">
        <v>13</v>
      </c>
      <c r="E706" s="5">
        <v>89.922200000000004</v>
      </c>
      <c r="F706" s="5">
        <v>91.174099999999996</v>
      </c>
      <c r="G706" s="5">
        <v>91.141999999999996</v>
      </c>
      <c r="H706" s="4">
        <v>2</v>
      </c>
      <c r="I706" s="6">
        <v>1880168</v>
      </c>
      <c r="J706" s="7">
        <v>43.24</v>
      </c>
      <c r="K706" s="9">
        <f>(PricingDataTable[[#This Row],[Current Price ($)]]-PricingDataTable[[#This Row],[Prior Price ($)]])/PricingDataTable[[#This Row],[Prior Price ($)]]</f>
        <v>1.3922034825660314E-2</v>
      </c>
      <c r="L706" s="9">
        <f>(PricingDataTable[[#This Row],[Vendor Price ($)]]-PricingDataTable[[#This Row],[Current Price ($)]])/PricingDataTable[[#This Row],[Current Price ($)]]</f>
        <v>-3.5207367004445119E-4</v>
      </c>
      <c r="M706" t="str">
        <f t="shared" ref="M706:M769" si="22">IF(OR(F706="",F706=0),"MISSING",IF(H706&gt;=3,"STALE",IF(ABS(K706)&gt;=5%,"LARGE MOVE",IF(ABS(L706)&gt;=2%,"VENDOR DIFFERENCE","PASS"))))</f>
        <v>PASS</v>
      </c>
      <c r="N706" s="10" t="str">
        <f t="shared" ref="N706:N769" si="23">IF(M706="PASS","NONE",IF(M706="MISSING","HIGH",IF(OR(ABS(K706)&gt;=10%,ABS(L706)&gt;=5%),"HIGH",IF(OR(ABS(K706)&gt;=7%,ABS(L706)&gt;=3%,H706&gt;=5),"MEDIUM","LOW"))))</f>
        <v>NONE</v>
      </c>
    </row>
    <row r="707" spans="1:14">
      <c r="A707" s="4" t="s">
        <v>1430</v>
      </c>
      <c r="B707" s="4" t="s">
        <v>1431</v>
      </c>
      <c r="C707" s="4" t="s">
        <v>19</v>
      </c>
      <c r="D707" s="4" t="s">
        <v>13</v>
      </c>
      <c r="E707" s="5">
        <v>243.15880000000001</v>
      </c>
      <c r="F707" s="5">
        <v>241.52</v>
      </c>
      <c r="G707" s="5">
        <v>241.69409999999999</v>
      </c>
      <c r="H707" s="4">
        <v>0</v>
      </c>
      <c r="I707" s="6">
        <v>441326</v>
      </c>
      <c r="J707" s="7">
        <v>233.87</v>
      </c>
      <c r="K707" s="9">
        <f>(PricingDataTable[[#This Row],[Current Price ($)]]-PricingDataTable[[#This Row],[Prior Price ($)]])/PricingDataTable[[#This Row],[Prior Price ($)]]</f>
        <v>-6.7396285883957446E-3</v>
      </c>
      <c r="L707" s="9">
        <f>(PricingDataTable[[#This Row],[Vendor Price ($)]]-PricingDataTable[[#This Row],[Current Price ($)]])/PricingDataTable[[#This Row],[Current Price ($)]]</f>
        <v>7.2085127525663086E-4</v>
      </c>
      <c r="M707" t="str">
        <f t="shared" si="22"/>
        <v>PASS</v>
      </c>
      <c r="N707" s="10" t="str">
        <f t="shared" si="23"/>
        <v>NONE</v>
      </c>
    </row>
    <row r="708" spans="1:14">
      <c r="A708" s="4" t="s">
        <v>1432</v>
      </c>
      <c r="B708" s="4" t="s">
        <v>1433</v>
      </c>
      <c r="C708" s="4" t="s">
        <v>19</v>
      </c>
      <c r="D708" s="4" t="s">
        <v>13</v>
      </c>
      <c r="E708" s="5">
        <v>98.194699999999997</v>
      </c>
      <c r="F708" s="5">
        <v>97.4011</v>
      </c>
      <c r="G708" s="5">
        <v>96.922499999999999</v>
      </c>
      <c r="H708" s="4">
        <v>3</v>
      </c>
      <c r="I708" s="6">
        <v>2679756</v>
      </c>
      <c r="J708" s="7">
        <v>775.73</v>
      </c>
      <c r="K708" s="9">
        <f>(PricingDataTable[[#This Row],[Current Price ($)]]-PricingDataTable[[#This Row],[Prior Price ($)]])/PricingDataTable[[#This Row],[Prior Price ($)]]</f>
        <v>-8.0819025874105006E-3</v>
      </c>
      <c r="L708" s="9">
        <f>(PricingDataTable[[#This Row],[Vendor Price ($)]]-PricingDataTable[[#This Row],[Current Price ($)]])/PricingDataTable[[#This Row],[Current Price ($)]]</f>
        <v>-4.9137022066485913E-3</v>
      </c>
      <c r="M708" t="str">
        <f t="shared" si="22"/>
        <v>STALE</v>
      </c>
      <c r="N708" s="10" t="str">
        <f t="shared" si="23"/>
        <v>LOW</v>
      </c>
    </row>
    <row r="709" spans="1:14">
      <c r="A709" s="4" t="s">
        <v>1434</v>
      </c>
      <c r="B709" s="4" t="s">
        <v>1435</v>
      </c>
      <c r="C709" s="4" t="s">
        <v>12</v>
      </c>
      <c r="D709" s="4" t="s">
        <v>13</v>
      </c>
      <c r="E709" s="5">
        <v>101.0882</v>
      </c>
      <c r="F709" s="5">
        <v>101.1705</v>
      </c>
      <c r="G709" s="5">
        <v>101.5159</v>
      </c>
      <c r="H709" s="4">
        <v>1</v>
      </c>
      <c r="I709" s="6">
        <v>2485992</v>
      </c>
      <c r="J709" s="7">
        <v>640.29999999999995</v>
      </c>
      <c r="K709" s="9">
        <f>(PricingDataTable[[#This Row],[Current Price ($)]]-PricingDataTable[[#This Row],[Prior Price ($)]])/PricingDataTable[[#This Row],[Prior Price ($)]]</f>
        <v>8.1414052283059336E-4</v>
      </c>
      <c r="L709" s="9">
        <f>(PricingDataTable[[#This Row],[Vendor Price ($)]]-PricingDataTable[[#This Row],[Current Price ($)]])/PricingDataTable[[#This Row],[Current Price ($)]]</f>
        <v>3.4140386772823889E-3</v>
      </c>
      <c r="M709" t="str">
        <f t="shared" si="22"/>
        <v>PASS</v>
      </c>
      <c r="N709" s="10" t="str">
        <f t="shared" si="23"/>
        <v>NONE</v>
      </c>
    </row>
    <row r="710" spans="1:14">
      <c r="A710" s="4" t="s">
        <v>1436</v>
      </c>
      <c r="B710" s="4" t="s">
        <v>1437</v>
      </c>
      <c r="C710" s="4" t="s">
        <v>39</v>
      </c>
      <c r="D710" s="4" t="s">
        <v>13</v>
      </c>
      <c r="E710" s="5">
        <v>229.31989999999999</v>
      </c>
      <c r="F710" s="5">
        <v>231.93709999999999</v>
      </c>
      <c r="G710" s="5">
        <v>231.09350000000001</v>
      </c>
      <c r="H710" s="4">
        <v>0</v>
      </c>
      <c r="I710" s="6">
        <v>3231119</v>
      </c>
      <c r="J710" s="7">
        <v>169.29</v>
      </c>
      <c r="K710" s="9">
        <f>(PricingDataTable[[#This Row],[Current Price ($)]]-PricingDataTable[[#This Row],[Prior Price ($)]])/PricingDataTable[[#This Row],[Prior Price ($)]]</f>
        <v>1.1412877818279168E-2</v>
      </c>
      <c r="L710" s="9">
        <f>(PricingDataTable[[#This Row],[Vendor Price ($)]]-PricingDataTable[[#This Row],[Current Price ($)]])/PricingDataTable[[#This Row],[Current Price ($)]]</f>
        <v>-3.6371930148302312E-3</v>
      </c>
      <c r="M710" t="str">
        <f t="shared" si="22"/>
        <v>PASS</v>
      </c>
      <c r="N710" s="10" t="str">
        <f t="shared" si="23"/>
        <v>NONE</v>
      </c>
    </row>
    <row r="711" spans="1:14">
      <c r="A711" s="4" t="s">
        <v>1438</v>
      </c>
      <c r="B711" s="4" t="s">
        <v>1439</v>
      </c>
      <c r="C711" s="4" t="s">
        <v>19</v>
      </c>
      <c r="D711" s="4" t="s">
        <v>13</v>
      </c>
      <c r="E711" s="5">
        <v>188.4545</v>
      </c>
      <c r="F711" s="5">
        <v>190.8629</v>
      </c>
      <c r="G711" s="5">
        <v>190.11109999999999</v>
      </c>
      <c r="H711" s="4">
        <v>0</v>
      </c>
      <c r="I711" s="6">
        <v>1836300</v>
      </c>
      <c r="J711" s="7">
        <v>825.04</v>
      </c>
      <c r="K711" s="9">
        <f>(PricingDataTable[[#This Row],[Current Price ($)]]-PricingDataTable[[#This Row],[Prior Price ($)]])/PricingDataTable[[#This Row],[Prior Price ($)]]</f>
        <v>1.277974259038654E-2</v>
      </c>
      <c r="L711" s="9">
        <f>(PricingDataTable[[#This Row],[Vendor Price ($)]]-PricingDataTable[[#This Row],[Current Price ($)]])/PricingDataTable[[#This Row],[Current Price ($)]]</f>
        <v>-3.9389530390662774E-3</v>
      </c>
      <c r="M711" t="str">
        <f t="shared" si="22"/>
        <v>PASS</v>
      </c>
      <c r="N711" s="10" t="str">
        <f t="shared" si="23"/>
        <v>NONE</v>
      </c>
    </row>
    <row r="712" spans="1:14">
      <c r="A712" s="4" t="s">
        <v>1440</v>
      </c>
      <c r="B712" s="4" t="s">
        <v>1441</v>
      </c>
      <c r="C712" s="4" t="s">
        <v>39</v>
      </c>
      <c r="D712" s="4" t="s">
        <v>13</v>
      </c>
      <c r="E712" s="5">
        <v>274.7672</v>
      </c>
      <c r="F712" s="5">
        <v>275.7783</v>
      </c>
      <c r="G712" s="5">
        <v>276.39569999999998</v>
      </c>
      <c r="H712" s="4">
        <v>2</v>
      </c>
      <c r="I712" s="6">
        <v>900035</v>
      </c>
      <c r="J712" s="7">
        <v>670.57</v>
      </c>
      <c r="K712" s="9">
        <f>(PricingDataTable[[#This Row],[Current Price ($)]]-PricingDataTable[[#This Row],[Prior Price ($)]])/PricingDataTable[[#This Row],[Prior Price ($)]]</f>
        <v>3.6798424266069568E-3</v>
      </c>
      <c r="L712" s="9">
        <f>(PricingDataTable[[#This Row],[Vendor Price ($)]]-PricingDataTable[[#This Row],[Current Price ($)]])/PricingDataTable[[#This Row],[Current Price ($)]]</f>
        <v>2.2387548258872257E-3</v>
      </c>
      <c r="M712" t="str">
        <f t="shared" si="22"/>
        <v>PASS</v>
      </c>
      <c r="N712" s="10" t="str">
        <f t="shared" si="23"/>
        <v>NONE</v>
      </c>
    </row>
    <row r="713" spans="1:14">
      <c r="A713" s="4" t="s">
        <v>1442</v>
      </c>
      <c r="B713" s="4" t="s">
        <v>1443</v>
      </c>
      <c r="C713" s="4" t="s">
        <v>35</v>
      </c>
      <c r="D713" s="4" t="s">
        <v>13</v>
      </c>
      <c r="E713" s="5">
        <v>7.0884</v>
      </c>
      <c r="F713" s="5">
        <v>7.0392999999999999</v>
      </c>
      <c r="G713" s="5">
        <v>7.0194999999999999</v>
      </c>
      <c r="H713" s="4">
        <v>0</v>
      </c>
      <c r="I713" s="6">
        <v>4213678</v>
      </c>
      <c r="J713" s="7">
        <v>387.88</v>
      </c>
      <c r="K713" s="9">
        <f>(PricingDataTable[[#This Row],[Current Price ($)]]-PricingDataTable[[#This Row],[Prior Price ($)]])/PricingDataTable[[#This Row],[Prior Price ($)]]</f>
        <v>-6.9268099994357181E-3</v>
      </c>
      <c r="L713" s="9">
        <f>(PricingDataTable[[#This Row],[Vendor Price ($)]]-PricingDataTable[[#This Row],[Current Price ($)]])/PricingDataTable[[#This Row],[Current Price ($)]]</f>
        <v>-2.812779679797713E-3</v>
      </c>
      <c r="M713" t="str">
        <f t="shared" si="22"/>
        <v>PASS</v>
      </c>
      <c r="N713" s="10" t="str">
        <f t="shared" si="23"/>
        <v>NONE</v>
      </c>
    </row>
    <row r="714" spans="1:14">
      <c r="A714" s="4" t="s">
        <v>1444</v>
      </c>
      <c r="B714" s="4" t="s">
        <v>1445</v>
      </c>
      <c r="C714" s="4" t="s">
        <v>16</v>
      </c>
      <c r="D714" s="4" t="s">
        <v>13</v>
      </c>
      <c r="E714" s="5">
        <v>77.456699999999998</v>
      </c>
      <c r="F714" s="5">
        <v>75.879400000000004</v>
      </c>
      <c r="G714" s="5">
        <v>76.230800000000002</v>
      </c>
      <c r="H714" s="4">
        <v>0</v>
      </c>
      <c r="I714" s="6">
        <v>4351486</v>
      </c>
      <c r="J714" s="7">
        <v>390.32</v>
      </c>
      <c r="K714" s="9">
        <f>(PricingDataTable[[#This Row],[Current Price ($)]]-PricingDataTable[[#This Row],[Prior Price ($)]])/PricingDataTable[[#This Row],[Prior Price ($)]]</f>
        <v>-2.0363635424695267E-2</v>
      </c>
      <c r="L714" s="9">
        <f>(PricingDataTable[[#This Row],[Vendor Price ($)]]-PricingDataTable[[#This Row],[Current Price ($)]])/PricingDataTable[[#This Row],[Current Price ($)]]</f>
        <v>4.6310329285682034E-3</v>
      </c>
      <c r="M714" t="str">
        <f t="shared" si="22"/>
        <v>PASS</v>
      </c>
      <c r="N714" s="10" t="str">
        <f t="shared" si="23"/>
        <v>NONE</v>
      </c>
    </row>
    <row r="715" spans="1:14">
      <c r="A715" s="4" t="s">
        <v>1446</v>
      </c>
      <c r="B715" s="4" t="s">
        <v>1447</v>
      </c>
      <c r="C715" s="4" t="s">
        <v>12</v>
      </c>
      <c r="D715" s="4" t="s">
        <v>237</v>
      </c>
      <c r="E715" s="5">
        <v>85.978999999999999</v>
      </c>
      <c r="F715" s="5">
        <v>86.241799999999998</v>
      </c>
      <c r="G715" s="5">
        <v>86.264600000000002</v>
      </c>
      <c r="H715" s="4">
        <v>0</v>
      </c>
      <c r="I715" s="6">
        <v>3394690</v>
      </c>
      <c r="J715" s="7">
        <v>352.84</v>
      </c>
      <c r="K715" s="9">
        <f>(PricingDataTable[[#This Row],[Current Price ($)]]-PricingDataTable[[#This Row],[Prior Price ($)]])/PricingDataTable[[#This Row],[Prior Price ($)]]</f>
        <v>3.0565603228695217E-3</v>
      </c>
      <c r="L715" s="9">
        <f>(PricingDataTable[[#This Row],[Vendor Price ($)]]-PricingDataTable[[#This Row],[Current Price ($)]])/PricingDataTable[[#This Row],[Current Price ($)]]</f>
        <v>2.6437296067572459E-4</v>
      </c>
      <c r="M715" t="str">
        <f t="shared" si="22"/>
        <v>PASS</v>
      </c>
      <c r="N715" s="10" t="str">
        <f t="shared" si="23"/>
        <v>NONE</v>
      </c>
    </row>
    <row r="716" spans="1:14">
      <c r="A716" s="4" t="s">
        <v>1448</v>
      </c>
      <c r="B716" s="4" t="s">
        <v>1449</v>
      </c>
      <c r="C716" s="4" t="s">
        <v>39</v>
      </c>
      <c r="D716" s="4" t="s">
        <v>64</v>
      </c>
      <c r="E716" s="5">
        <v>99.747299999999996</v>
      </c>
      <c r="F716" s="5">
        <v>100.3245</v>
      </c>
      <c r="G716" s="5">
        <v>100.8325</v>
      </c>
      <c r="H716" s="4">
        <v>0</v>
      </c>
      <c r="I716" s="6">
        <v>4222484</v>
      </c>
      <c r="J716" s="7">
        <v>817.02</v>
      </c>
      <c r="K716" s="9">
        <f>(PricingDataTable[[#This Row],[Current Price ($)]]-PricingDataTable[[#This Row],[Prior Price ($)]])/PricingDataTable[[#This Row],[Prior Price ($)]]</f>
        <v>5.7866227958050477E-3</v>
      </c>
      <c r="L716" s="9">
        <f>(PricingDataTable[[#This Row],[Vendor Price ($)]]-PricingDataTable[[#This Row],[Current Price ($)]])/PricingDataTable[[#This Row],[Current Price ($)]]</f>
        <v>5.0635687195051612E-3</v>
      </c>
      <c r="M716" t="str">
        <f t="shared" si="22"/>
        <v>PASS</v>
      </c>
      <c r="N716" s="10" t="str">
        <f t="shared" si="23"/>
        <v>NONE</v>
      </c>
    </row>
    <row r="717" spans="1:14">
      <c r="A717" s="4" t="s">
        <v>1450</v>
      </c>
      <c r="B717" s="4" t="s">
        <v>1451</v>
      </c>
      <c r="C717" s="4" t="s">
        <v>39</v>
      </c>
      <c r="D717" s="4" t="s">
        <v>64</v>
      </c>
      <c r="E717" s="5">
        <v>243.2741</v>
      </c>
      <c r="F717" s="5">
        <v>245.39570000000001</v>
      </c>
      <c r="G717" s="5">
        <v>246.3723</v>
      </c>
      <c r="H717" s="4">
        <v>0</v>
      </c>
      <c r="I717" s="6">
        <v>3590674</v>
      </c>
      <c r="J717" s="7">
        <v>300.77999999999997</v>
      </c>
      <c r="K717" s="9">
        <f>(PricingDataTable[[#This Row],[Current Price ($)]]-PricingDataTable[[#This Row],[Prior Price ($)]])/PricingDataTable[[#This Row],[Prior Price ($)]]</f>
        <v>8.7210270226053682E-3</v>
      </c>
      <c r="L717" s="9">
        <f>(PricingDataTable[[#This Row],[Vendor Price ($)]]-PricingDataTable[[#This Row],[Current Price ($)]])/PricingDataTable[[#This Row],[Current Price ($)]]</f>
        <v>3.9796948357285417E-3</v>
      </c>
      <c r="M717" t="str">
        <f t="shared" si="22"/>
        <v>PASS</v>
      </c>
      <c r="N717" s="10" t="str">
        <f t="shared" si="23"/>
        <v>NONE</v>
      </c>
    </row>
    <row r="718" spans="1:14">
      <c r="A718" s="4" t="s">
        <v>1452</v>
      </c>
      <c r="B718" s="4" t="s">
        <v>1453</v>
      </c>
      <c r="C718" s="4" t="s">
        <v>35</v>
      </c>
      <c r="D718" s="4" t="s">
        <v>13</v>
      </c>
      <c r="E718" s="5">
        <v>137.32640000000001</v>
      </c>
      <c r="F718" s="5">
        <v>138.85900000000001</v>
      </c>
      <c r="G718" s="5">
        <v>129.1773</v>
      </c>
      <c r="H718" s="4">
        <v>0</v>
      </c>
      <c r="I718" s="6">
        <v>2439220</v>
      </c>
      <c r="J718" s="7">
        <v>751.86</v>
      </c>
      <c r="K718" s="9">
        <f>(PricingDataTable[[#This Row],[Current Price ($)]]-PricingDataTable[[#This Row],[Prior Price ($)]])/PricingDataTable[[#This Row],[Prior Price ($)]]</f>
        <v>1.1160272169080396E-2</v>
      </c>
      <c r="L718" s="9">
        <f>(PricingDataTable[[#This Row],[Vendor Price ($)]]-PricingDataTable[[#This Row],[Current Price ($)]])/PricingDataTable[[#This Row],[Current Price ($)]]</f>
        <v>-6.9723244442203999E-2</v>
      </c>
      <c r="M718" t="str">
        <f t="shared" si="22"/>
        <v>VENDOR DIFFERENCE</v>
      </c>
      <c r="N718" s="10" t="str">
        <f t="shared" si="23"/>
        <v>HIGH</v>
      </c>
    </row>
    <row r="719" spans="1:14">
      <c r="A719" s="4" t="s">
        <v>1454</v>
      </c>
      <c r="B719" s="4" t="s">
        <v>1455</v>
      </c>
      <c r="C719" s="4" t="s">
        <v>19</v>
      </c>
      <c r="D719" s="4" t="s">
        <v>13</v>
      </c>
      <c r="E719" s="5">
        <v>40.1173</v>
      </c>
      <c r="F719" s="5">
        <v>39.852899999999998</v>
      </c>
      <c r="G719" s="5">
        <v>40.036700000000003</v>
      </c>
      <c r="H719" s="4">
        <v>5</v>
      </c>
      <c r="I719" s="6">
        <v>3056880</v>
      </c>
      <c r="J719" s="7">
        <v>412.98</v>
      </c>
      <c r="K719" s="9">
        <f>(PricingDataTable[[#This Row],[Current Price ($)]]-PricingDataTable[[#This Row],[Prior Price ($)]])/PricingDataTable[[#This Row],[Prior Price ($)]]</f>
        <v>-6.5906728518619643E-3</v>
      </c>
      <c r="L719" s="9">
        <f>(PricingDataTable[[#This Row],[Vendor Price ($)]]-PricingDataTable[[#This Row],[Current Price ($)]])/PricingDataTable[[#This Row],[Current Price ($)]]</f>
        <v>4.6119604846825467E-3</v>
      </c>
      <c r="M719" t="str">
        <f t="shared" si="22"/>
        <v>STALE</v>
      </c>
      <c r="N719" s="10" t="str">
        <f t="shared" si="23"/>
        <v>MEDIUM</v>
      </c>
    </row>
    <row r="720" spans="1:14">
      <c r="A720" s="4" t="s">
        <v>1456</v>
      </c>
      <c r="B720" s="4" t="s">
        <v>1457</v>
      </c>
      <c r="C720" s="4" t="s">
        <v>12</v>
      </c>
      <c r="D720" s="4" t="s">
        <v>36</v>
      </c>
      <c r="E720" s="5">
        <v>113.72629999999999</v>
      </c>
      <c r="F720" s="5">
        <v>115.5583</v>
      </c>
      <c r="G720" s="5">
        <v>114.97329999999999</v>
      </c>
      <c r="H720" s="4">
        <v>1</v>
      </c>
      <c r="I720" s="6">
        <v>3443004</v>
      </c>
      <c r="J720" s="7">
        <v>770.67</v>
      </c>
      <c r="K720" s="9">
        <f>(PricingDataTable[[#This Row],[Current Price ($)]]-PricingDataTable[[#This Row],[Prior Price ($)]])/PricingDataTable[[#This Row],[Prior Price ($)]]</f>
        <v>1.6108850811114121E-2</v>
      </c>
      <c r="L720" s="9">
        <f>(PricingDataTable[[#This Row],[Vendor Price ($)]]-PricingDataTable[[#This Row],[Current Price ($)]])/PricingDataTable[[#This Row],[Current Price ($)]]</f>
        <v>-5.062379768480567E-3</v>
      </c>
      <c r="M720" t="str">
        <f t="shared" si="22"/>
        <v>PASS</v>
      </c>
      <c r="N720" s="10" t="str">
        <f t="shared" si="23"/>
        <v>NONE</v>
      </c>
    </row>
    <row r="721" spans="1:14">
      <c r="A721" s="4" t="s">
        <v>1458</v>
      </c>
      <c r="B721" s="4" t="s">
        <v>1459</v>
      </c>
      <c r="C721" s="4" t="s">
        <v>16</v>
      </c>
      <c r="D721" s="4" t="s">
        <v>13</v>
      </c>
      <c r="E721" s="5">
        <v>103.8792</v>
      </c>
      <c r="F721" s="5">
        <v>103.43729999999999</v>
      </c>
      <c r="G721" s="5">
        <v>103.1268</v>
      </c>
      <c r="H721" s="4">
        <v>3</v>
      </c>
      <c r="I721" s="6">
        <v>2298840</v>
      </c>
      <c r="J721" s="7">
        <v>789.45</v>
      </c>
      <c r="K721" s="9">
        <f>(PricingDataTable[[#This Row],[Current Price ($)]]-PricingDataTable[[#This Row],[Prior Price ($)]])/PricingDataTable[[#This Row],[Prior Price ($)]]</f>
        <v>-4.2539796224846166E-3</v>
      </c>
      <c r="L721" s="9">
        <f>(PricingDataTable[[#This Row],[Vendor Price ($)]]-PricingDataTable[[#This Row],[Current Price ($)]])/PricingDataTable[[#This Row],[Current Price ($)]]</f>
        <v>-3.0018184929420091E-3</v>
      </c>
      <c r="M721" t="str">
        <f t="shared" si="22"/>
        <v>STALE</v>
      </c>
      <c r="N721" s="10" t="str">
        <f t="shared" si="23"/>
        <v>LOW</v>
      </c>
    </row>
    <row r="722" spans="1:14">
      <c r="A722" s="4" t="s">
        <v>1460</v>
      </c>
      <c r="B722" s="4" t="s">
        <v>1461</v>
      </c>
      <c r="C722" s="4" t="s">
        <v>35</v>
      </c>
      <c r="D722" s="4" t="s">
        <v>13</v>
      </c>
      <c r="E722" s="5">
        <v>172.57849999999999</v>
      </c>
      <c r="F722" s="5">
        <v>170.97550000000001</v>
      </c>
      <c r="G722" s="5">
        <v>170.90770000000001</v>
      </c>
      <c r="H722" s="4">
        <v>0</v>
      </c>
      <c r="I722" s="6">
        <v>2595791</v>
      </c>
      <c r="J722" s="7">
        <v>171.68</v>
      </c>
      <c r="K722" s="9">
        <f>(PricingDataTable[[#This Row],[Current Price ($)]]-PricingDataTable[[#This Row],[Prior Price ($)]])/PricingDataTable[[#This Row],[Prior Price ($)]]</f>
        <v>-9.2885266704715846E-3</v>
      </c>
      <c r="L722" s="9">
        <f>(PricingDataTable[[#This Row],[Vendor Price ($)]]-PricingDataTable[[#This Row],[Current Price ($)]])/PricingDataTable[[#This Row],[Current Price ($)]]</f>
        <v>-3.9654804343315506E-4</v>
      </c>
      <c r="M722" t="str">
        <f t="shared" si="22"/>
        <v>PASS</v>
      </c>
      <c r="N722" s="10" t="str">
        <f t="shared" si="23"/>
        <v>NONE</v>
      </c>
    </row>
    <row r="723" spans="1:14">
      <c r="A723" s="4" t="s">
        <v>1462</v>
      </c>
      <c r="B723" s="4" t="s">
        <v>1463</v>
      </c>
      <c r="C723" s="4" t="s">
        <v>12</v>
      </c>
      <c r="D723" s="4" t="s">
        <v>64</v>
      </c>
      <c r="E723" s="5">
        <v>81.148099999999999</v>
      </c>
      <c r="F723" s="5">
        <v>0</v>
      </c>
      <c r="G723" s="5">
        <v>81.198499999999996</v>
      </c>
      <c r="H723" s="4">
        <v>0</v>
      </c>
      <c r="I723" s="6">
        <v>1235225</v>
      </c>
      <c r="J723" s="7">
        <v>419.79</v>
      </c>
      <c r="K723" s="9">
        <f>(PricingDataTable[[#This Row],[Current Price ($)]]-PricingDataTable[[#This Row],[Prior Price ($)]])/PricingDataTable[[#This Row],[Prior Price ($)]]</f>
        <v>-1</v>
      </c>
      <c r="L723" s="9" t="e">
        <f>(PricingDataTable[[#This Row],[Vendor Price ($)]]-PricingDataTable[[#This Row],[Current Price ($)]])/PricingDataTable[[#This Row],[Current Price ($)]]</f>
        <v>#DIV/0!</v>
      </c>
      <c r="M723" t="str">
        <f t="shared" si="22"/>
        <v>MISSING</v>
      </c>
      <c r="N723" s="10" t="str">
        <f t="shared" si="23"/>
        <v>HIGH</v>
      </c>
    </row>
    <row r="724" spans="1:14">
      <c r="A724" s="4" t="s">
        <v>1464</v>
      </c>
      <c r="B724" s="4" t="s">
        <v>1465</v>
      </c>
      <c r="C724" s="4" t="s">
        <v>35</v>
      </c>
      <c r="D724" s="4" t="s">
        <v>13</v>
      </c>
      <c r="E724" s="5">
        <v>120.249</v>
      </c>
      <c r="F724" s="5">
        <v>119.85550000000001</v>
      </c>
      <c r="G724" s="5">
        <v>114.6644</v>
      </c>
      <c r="H724" s="4">
        <v>1</v>
      </c>
      <c r="I724" s="6">
        <v>43700</v>
      </c>
      <c r="J724" s="7">
        <v>387.4</v>
      </c>
      <c r="K724" s="9">
        <f>(PricingDataTable[[#This Row],[Current Price ($)]]-PricingDataTable[[#This Row],[Prior Price ($)]])/PricingDataTable[[#This Row],[Prior Price ($)]]</f>
        <v>-3.2723764854592462E-3</v>
      </c>
      <c r="L724" s="9">
        <f>(PricingDataTable[[#This Row],[Vendor Price ($)]]-PricingDataTable[[#This Row],[Current Price ($)]])/PricingDataTable[[#This Row],[Current Price ($)]]</f>
        <v>-4.3311320715361458E-2</v>
      </c>
      <c r="M724" t="str">
        <f t="shared" si="22"/>
        <v>VENDOR DIFFERENCE</v>
      </c>
      <c r="N724" s="10" t="str">
        <f t="shared" si="23"/>
        <v>MEDIUM</v>
      </c>
    </row>
    <row r="725" spans="1:14">
      <c r="A725" s="4" t="s">
        <v>1466</v>
      </c>
      <c r="B725" s="4" t="s">
        <v>1467</v>
      </c>
      <c r="C725" s="4" t="s">
        <v>19</v>
      </c>
      <c r="D725" s="4" t="s">
        <v>13</v>
      </c>
      <c r="E725" s="5">
        <v>308.52300000000002</v>
      </c>
      <c r="F725" s="5">
        <v>309.4837</v>
      </c>
      <c r="G725" s="5">
        <v>308.41410000000002</v>
      </c>
      <c r="H725" s="4">
        <v>4</v>
      </c>
      <c r="I725" s="6">
        <v>1651269</v>
      </c>
      <c r="J725" s="7">
        <v>388.96</v>
      </c>
      <c r="K725" s="9">
        <f>(PricingDataTable[[#This Row],[Current Price ($)]]-PricingDataTable[[#This Row],[Prior Price ($)]])/PricingDataTable[[#This Row],[Prior Price ($)]]</f>
        <v>3.1138683339652935E-3</v>
      </c>
      <c r="L725" s="9">
        <f>(PricingDataTable[[#This Row],[Vendor Price ($)]]-PricingDataTable[[#This Row],[Current Price ($)]])/PricingDataTable[[#This Row],[Current Price ($)]]</f>
        <v>-3.4560786238499149E-3</v>
      </c>
      <c r="M725" t="str">
        <f t="shared" si="22"/>
        <v>STALE</v>
      </c>
      <c r="N725" s="10" t="str">
        <f t="shared" si="23"/>
        <v>LOW</v>
      </c>
    </row>
    <row r="726" spans="1:14">
      <c r="A726" s="4" t="s">
        <v>1468</v>
      </c>
      <c r="B726" s="4" t="s">
        <v>1469</v>
      </c>
      <c r="C726" s="4" t="s">
        <v>19</v>
      </c>
      <c r="D726" s="4" t="s">
        <v>13</v>
      </c>
      <c r="E726" s="5">
        <v>129.2842</v>
      </c>
      <c r="F726" s="5">
        <v>130.11930000000001</v>
      </c>
      <c r="G726" s="5">
        <v>129.60480000000001</v>
      </c>
      <c r="H726" s="4">
        <v>0</v>
      </c>
      <c r="I726" s="6">
        <v>2607640</v>
      </c>
      <c r="J726" s="7">
        <v>156.13999999999999</v>
      </c>
      <c r="K726" s="9">
        <f>(PricingDataTable[[#This Row],[Current Price ($)]]-PricingDataTable[[#This Row],[Prior Price ($)]])/PricingDataTable[[#This Row],[Prior Price ($)]]</f>
        <v>6.459412673783891E-3</v>
      </c>
      <c r="L726" s="9">
        <f>(PricingDataTable[[#This Row],[Vendor Price ($)]]-PricingDataTable[[#This Row],[Current Price ($)]])/PricingDataTable[[#This Row],[Current Price ($)]]</f>
        <v>-3.954063693856316E-3</v>
      </c>
      <c r="M726" t="str">
        <f t="shared" si="22"/>
        <v>PASS</v>
      </c>
      <c r="N726" s="10" t="str">
        <f t="shared" si="23"/>
        <v>NONE</v>
      </c>
    </row>
    <row r="727" spans="1:14">
      <c r="A727" s="4" t="s">
        <v>1470</v>
      </c>
      <c r="B727" s="4" t="s">
        <v>1471</v>
      </c>
      <c r="C727" s="4" t="s">
        <v>39</v>
      </c>
      <c r="D727" s="4" t="s">
        <v>13</v>
      </c>
      <c r="E727" s="5">
        <v>270.53980000000001</v>
      </c>
      <c r="F727" s="5">
        <v>270.5394</v>
      </c>
      <c r="G727" s="5">
        <v>271.38159999999999</v>
      </c>
      <c r="H727" s="4">
        <v>0</v>
      </c>
      <c r="I727" s="6">
        <v>1539237</v>
      </c>
      <c r="J727" s="7">
        <v>338.49</v>
      </c>
      <c r="K727" s="9">
        <f>(PricingDataTable[[#This Row],[Current Price ($)]]-PricingDataTable[[#This Row],[Prior Price ($)]])/PricingDataTable[[#This Row],[Prior Price ($)]]</f>
        <v>-1.4785255256833877E-6</v>
      </c>
      <c r="L727" s="9">
        <f>(PricingDataTable[[#This Row],[Vendor Price ($)]]-PricingDataTable[[#This Row],[Current Price ($)]])/PricingDataTable[[#This Row],[Current Price ($)]]</f>
        <v>3.113040096932244E-3</v>
      </c>
      <c r="M727" t="str">
        <f t="shared" si="22"/>
        <v>PASS</v>
      </c>
      <c r="N727" s="10" t="str">
        <f t="shared" si="23"/>
        <v>NONE</v>
      </c>
    </row>
    <row r="728" spans="1:14">
      <c r="A728" s="4" t="s">
        <v>1472</v>
      </c>
      <c r="B728" s="4" t="s">
        <v>1473</v>
      </c>
      <c r="C728" s="4" t="s">
        <v>19</v>
      </c>
      <c r="D728" s="4" t="s">
        <v>13</v>
      </c>
      <c r="E728" s="5">
        <v>115.13509999999999</v>
      </c>
      <c r="F728" s="5">
        <v>117.13679999999999</v>
      </c>
      <c r="G728" s="5">
        <v>116.916</v>
      </c>
      <c r="H728" s="4">
        <v>0</v>
      </c>
      <c r="I728" s="6">
        <v>4689469</v>
      </c>
      <c r="J728" s="7">
        <v>23.97</v>
      </c>
      <c r="K728" s="9">
        <f>(PricingDataTable[[#This Row],[Current Price ($)]]-PricingDataTable[[#This Row],[Prior Price ($)]])/PricingDataTable[[#This Row],[Prior Price ($)]]</f>
        <v>1.738566258247919E-2</v>
      </c>
      <c r="L728" s="9">
        <f>(PricingDataTable[[#This Row],[Vendor Price ($)]]-PricingDataTable[[#This Row],[Current Price ($)]])/PricingDataTable[[#This Row],[Current Price ($)]]</f>
        <v>-1.8849755158071332E-3</v>
      </c>
      <c r="M728" t="str">
        <f t="shared" si="22"/>
        <v>PASS</v>
      </c>
      <c r="N728" s="10" t="str">
        <f t="shared" si="23"/>
        <v>NONE</v>
      </c>
    </row>
    <row r="729" spans="1:14">
      <c r="A729" s="4" t="s">
        <v>1474</v>
      </c>
      <c r="B729" s="4" t="s">
        <v>1475</v>
      </c>
      <c r="C729" s="4" t="s">
        <v>39</v>
      </c>
      <c r="D729" s="4" t="s">
        <v>13</v>
      </c>
      <c r="E729" s="5">
        <v>111.4174</v>
      </c>
      <c r="F729" s="5">
        <v>111.4914</v>
      </c>
      <c r="G729" s="5">
        <v>111.8917</v>
      </c>
      <c r="H729" s="4">
        <v>0</v>
      </c>
      <c r="I729" s="6">
        <v>3294865</v>
      </c>
      <c r="J729" s="7">
        <v>113.52</v>
      </c>
      <c r="K729" s="9">
        <f>(PricingDataTable[[#This Row],[Current Price ($)]]-PricingDataTable[[#This Row],[Prior Price ($)]])/PricingDataTable[[#This Row],[Prior Price ($)]]</f>
        <v>6.6416915131746088E-4</v>
      </c>
      <c r="L729" s="9">
        <f>(PricingDataTable[[#This Row],[Vendor Price ($)]]-PricingDataTable[[#This Row],[Current Price ($)]])/PricingDataTable[[#This Row],[Current Price ($)]]</f>
        <v>3.5904114577447357E-3</v>
      </c>
      <c r="M729" t="str">
        <f t="shared" si="22"/>
        <v>PASS</v>
      </c>
      <c r="N729" s="10" t="str">
        <f t="shared" si="23"/>
        <v>NONE</v>
      </c>
    </row>
    <row r="730" spans="1:14">
      <c r="A730" s="4" t="s">
        <v>1476</v>
      </c>
      <c r="B730" s="4" t="s">
        <v>1477</v>
      </c>
      <c r="C730" s="4" t="s">
        <v>16</v>
      </c>
      <c r="D730" s="4" t="s">
        <v>32</v>
      </c>
      <c r="E730" s="5">
        <v>100.9004</v>
      </c>
      <c r="F730" s="5">
        <v>101.1711</v>
      </c>
      <c r="G730" s="5">
        <v>101.063</v>
      </c>
      <c r="H730" s="4">
        <v>0</v>
      </c>
      <c r="I730" s="6">
        <v>4744283</v>
      </c>
      <c r="J730" s="7">
        <v>433.42</v>
      </c>
      <c r="K730" s="9">
        <f>(PricingDataTable[[#This Row],[Current Price ($)]]-PricingDataTable[[#This Row],[Prior Price ($)]])/PricingDataTable[[#This Row],[Prior Price ($)]]</f>
        <v>2.6828436755452984E-3</v>
      </c>
      <c r="L730" s="9">
        <f>(PricingDataTable[[#This Row],[Vendor Price ($)]]-PricingDataTable[[#This Row],[Current Price ($)]])/PricingDataTable[[#This Row],[Current Price ($)]]</f>
        <v>-1.0684869493362552E-3</v>
      </c>
      <c r="M730" t="str">
        <f t="shared" si="22"/>
        <v>PASS</v>
      </c>
      <c r="N730" s="10" t="str">
        <f t="shared" si="23"/>
        <v>NONE</v>
      </c>
    </row>
    <row r="731" spans="1:14">
      <c r="A731" s="4" t="s">
        <v>1478</v>
      </c>
      <c r="B731" s="4" t="s">
        <v>1479</v>
      </c>
      <c r="C731" s="4" t="s">
        <v>19</v>
      </c>
      <c r="D731" s="4" t="s">
        <v>13</v>
      </c>
      <c r="E731" s="5">
        <v>182.70070000000001</v>
      </c>
      <c r="F731" s="5">
        <v>181.99780000000001</v>
      </c>
      <c r="G731" s="5">
        <v>181.167</v>
      </c>
      <c r="H731" s="4">
        <v>4</v>
      </c>
      <c r="I731" s="6">
        <v>1299350</v>
      </c>
      <c r="J731" s="7">
        <v>270.94</v>
      </c>
      <c r="K731" s="9">
        <f>(PricingDataTable[[#This Row],[Current Price ($)]]-PricingDataTable[[#This Row],[Prior Price ($)]])/PricingDataTable[[#This Row],[Prior Price ($)]]</f>
        <v>-3.8472758998733974E-3</v>
      </c>
      <c r="L731" s="9">
        <f>(PricingDataTable[[#This Row],[Vendor Price ($)]]-PricingDataTable[[#This Row],[Current Price ($)]])/PricingDataTable[[#This Row],[Current Price ($)]]</f>
        <v>-4.5648903448284022E-3</v>
      </c>
      <c r="M731" t="str">
        <f t="shared" si="22"/>
        <v>STALE</v>
      </c>
      <c r="N731" s="10" t="str">
        <f t="shared" si="23"/>
        <v>LOW</v>
      </c>
    </row>
    <row r="732" spans="1:14">
      <c r="A732" s="4" t="s">
        <v>1480</v>
      </c>
      <c r="B732" s="4" t="s">
        <v>1481</v>
      </c>
      <c r="C732" s="4" t="s">
        <v>39</v>
      </c>
      <c r="D732" s="4" t="s">
        <v>13</v>
      </c>
      <c r="E732" s="5">
        <v>76.639399999999995</v>
      </c>
      <c r="F732" s="5">
        <v>77.122900000000001</v>
      </c>
      <c r="G732" s="5">
        <v>77.177499999999995</v>
      </c>
      <c r="H732" s="4">
        <v>0</v>
      </c>
      <c r="I732" s="6">
        <v>4243995</v>
      </c>
      <c r="J732" s="7">
        <v>399.55</v>
      </c>
      <c r="K732" s="9">
        <f>(PricingDataTable[[#This Row],[Current Price ($)]]-PricingDataTable[[#This Row],[Prior Price ($)]])/PricingDataTable[[#This Row],[Prior Price ($)]]</f>
        <v>6.3087654652829554E-3</v>
      </c>
      <c r="L732" s="9">
        <f>(PricingDataTable[[#This Row],[Vendor Price ($)]]-PricingDataTable[[#This Row],[Current Price ($)]])/PricingDataTable[[#This Row],[Current Price ($)]]</f>
        <v>7.0796092989233467E-4</v>
      </c>
      <c r="M732" t="str">
        <f t="shared" si="22"/>
        <v>PASS</v>
      </c>
      <c r="N732" s="10" t="str">
        <f t="shared" si="23"/>
        <v>NONE</v>
      </c>
    </row>
    <row r="733" spans="1:14">
      <c r="A733" s="4" t="s">
        <v>1482</v>
      </c>
      <c r="B733" s="4" t="s">
        <v>1483</v>
      </c>
      <c r="C733" s="4" t="s">
        <v>19</v>
      </c>
      <c r="D733" s="4" t="s">
        <v>13</v>
      </c>
      <c r="E733" s="5">
        <v>70.942999999999998</v>
      </c>
      <c r="F733" s="5">
        <v>71.099199999999996</v>
      </c>
      <c r="G733" s="5">
        <v>71.511200000000002</v>
      </c>
      <c r="H733" s="4">
        <v>0</v>
      </c>
      <c r="I733" s="6">
        <v>1227803</v>
      </c>
      <c r="J733" s="7">
        <v>572.65</v>
      </c>
      <c r="K733" s="9">
        <f>(PricingDataTable[[#This Row],[Current Price ($)]]-PricingDataTable[[#This Row],[Prior Price ($)]])/PricingDataTable[[#This Row],[Prior Price ($)]]</f>
        <v>2.2017676162552802E-3</v>
      </c>
      <c r="L733" s="9">
        <f>(PricingDataTable[[#This Row],[Vendor Price ($)]]-PricingDataTable[[#This Row],[Current Price ($)]])/PricingDataTable[[#This Row],[Current Price ($)]]</f>
        <v>5.7947206157032173E-3</v>
      </c>
      <c r="M733" t="str">
        <f t="shared" si="22"/>
        <v>PASS</v>
      </c>
      <c r="N733" s="10" t="str">
        <f t="shared" si="23"/>
        <v>NONE</v>
      </c>
    </row>
    <row r="734" spans="1:14">
      <c r="A734" s="4" t="s">
        <v>1484</v>
      </c>
      <c r="B734" s="4" t="s">
        <v>1485</v>
      </c>
      <c r="C734" s="4" t="s">
        <v>39</v>
      </c>
      <c r="D734" s="4" t="s">
        <v>13</v>
      </c>
      <c r="E734" s="5">
        <v>66.405199999999994</v>
      </c>
      <c r="F734" s="5">
        <v>66.352699999999999</v>
      </c>
      <c r="G734" s="5">
        <v>66.102699999999999</v>
      </c>
      <c r="H734" s="4">
        <v>0</v>
      </c>
      <c r="I734" s="6">
        <v>2309388</v>
      </c>
      <c r="J734" s="7">
        <v>352.19</v>
      </c>
      <c r="K734" s="9">
        <f>(PricingDataTable[[#This Row],[Current Price ($)]]-PricingDataTable[[#This Row],[Prior Price ($)]])/PricingDataTable[[#This Row],[Prior Price ($)]]</f>
        <v>-7.9060073608685599E-4</v>
      </c>
      <c r="L734" s="9">
        <f>(PricingDataTable[[#This Row],[Vendor Price ($)]]-PricingDataTable[[#This Row],[Current Price ($)]])/PricingDataTable[[#This Row],[Current Price ($)]]</f>
        <v>-3.7677441912687803E-3</v>
      </c>
      <c r="M734" t="str">
        <f t="shared" si="22"/>
        <v>PASS</v>
      </c>
      <c r="N734" s="10" t="str">
        <f t="shared" si="23"/>
        <v>NONE</v>
      </c>
    </row>
    <row r="735" spans="1:14">
      <c r="A735" s="4" t="s">
        <v>1486</v>
      </c>
      <c r="B735" s="4" t="s">
        <v>1487</v>
      </c>
      <c r="C735" s="4" t="s">
        <v>16</v>
      </c>
      <c r="D735" s="4" t="s">
        <v>32</v>
      </c>
      <c r="E735" s="5">
        <v>82.408299999999997</v>
      </c>
      <c r="F735" s="5">
        <v>82.304000000000002</v>
      </c>
      <c r="G735" s="5">
        <v>82.426199999999994</v>
      </c>
      <c r="H735" s="4">
        <v>0</v>
      </c>
      <c r="I735" s="6">
        <v>3729563</v>
      </c>
      <c r="J735" s="7">
        <v>38.56</v>
      </c>
      <c r="K735" s="9">
        <f>(PricingDataTable[[#This Row],[Current Price ($)]]-PricingDataTable[[#This Row],[Prior Price ($)]])/PricingDataTable[[#This Row],[Prior Price ($)]]</f>
        <v>-1.2656492125185806E-3</v>
      </c>
      <c r="L735" s="9">
        <f>(PricingDataTable[[#This Row],[Vendor Price ($)]]-PricingDataTable[[#This Row],[Current Price ($)]])/PricingDataTable[[#This Row],[Current Price ($)]]</f>
        <v>1.4847395023327215E-3</v>
      </c>
      <c r="M735" t="str">
        <f t="shared" si="22"/>
        <v>PASS</v>
      </c>
      <c r="N735" s="10" t="str">
        <f t="shared" si="23"/>
        <v>NONE</v>
      </c>
    </row>
    <row r="736" spans="1:14">
      <c r="A736" s="4" t="s">
        <v>1488</v>
      </c>
      <c r="B736" s="4" t="s">
        <v>1489</v>
      </c>
      <c r="C736" s="4" t="s">
        <v>16</v>
      </c>
      <c r="D736" s="4" t="s">
        <v>32</v>
      </c>
      <c r="E736" s="5">
        <v>88.845200000000006</v>
      </c>
      <c r="F736" s="5">
        <v>89.841899999999995</v>
      </c>
      <c r="G736" s="5">
        <v>89.812899999999999</v>
      </c>
      <c r="H736" s="4">
        <v>0</v>
      </c>
      <c r="I736" s="6">
        <v>527517</v>
      </c>
      <c r="J736" s="7">
        <v>157.21</v>
      </c>
      <c r="K736" s="9">
        <f>(PricingDataTable[[#This Row],[Current Price ($)]]-PricingDataTable[[#This Row],[Prior Price ($)]])/PricingDataTable[[#This Row],[Prior Price ($)]]</f>
        <v>1.1218388838113819E-2</v>
      </c>
      <c r="L736" s="9">
        <f>(PricingDataTable[[#This Row],[Vendor Price ($)]]-PricingDataTable[[#This Row],[Current Price ($)]])/PricingDataTable[[#This Row],[Current Price ($)]]</f>
        <v>-3.2278925534740877E-4</v>
      </c>
      <c r="M736" t="str">
        <f t="shared" si="22"/>
        <v>PASS</v>
      </c>
      <c r="N736" s="10" t="str">
        <f t="shared" si="23"/>
        <v>NONE</v>
      </c>
    </row>
    <row r="737" spans="1:14">
      <c r="A737" s="4" t="s">
        <v>1490</v>
      </c>
      <c r="B737" s="4" t="s">
        <v>1491</v>
      </c>
      <c r="C737" s="4" t="s">
        <v>12</v>
      </c>
      <c r="D737" s="4" t="s">
        <v>13</v>
      </c>
      <c r="E737" s="5">
        <v>97.974100000000007</v>
      </c>
      <c r="F737" s="5">
        <v>98.381600000000006</v>
      </c>
      <c r="G737" s="5">
        <v>98.255799999999994</v>
      </c>
      <c r="H737" s="4">
        <v>3</v>
      </c>
      <c r="I737" s="6">
        <v>4058944</v>
      </c>
      <c r="J737" s="7">
        <v>339</v>
      </c>
      <c r="K737" s="9">
        <f>(PricingDataTable[[#This Row],[Current Price ($)]]-PricingDataTable[[#This Row],[Prior Price ($)]])/PricingDataTable[[#This Row],[Prior Price ($)]]</f>
        <v>4.1592624989665516E-3</v>
      </c>
      <c r="L737" s="9">
        <f>(PricingDataTable[[#This Row],[Vendor Price ($)]]-PricingDataTable[[#This Row],[Current Price ($)]])/PricingDataTable[[#This Row],[Current Price ($)]]</f>
        <v>-1.278694390008013E-3</v>
      </c>
      <c r="M737" t="str">
        <f t="shared" si="22"/>
        <v>STALE</v>
      </c>
      <c r="N737" s="10" t="str">
        <f t="shared" si="23"/>
        <v>LOW</v>
      </c>
    </row>
    <row r="738" spans="1:14">
      <c r="A738" s="4" t="s">
        <v>1492</v>
      </c>
      <c r="B738" s="4" t="s">
        <v>1493</v>
      </c>
      <c r="C738" s="4" t="s">
        <v>12</v>
      </c>
      <c r="D738" s="4" t="s">
        <v>13</v>
      </c>
      <c r="E738" s="5">
        <v>121.3706</v>
      </c>
      <c r="F738" s="5">
        <v>121.6532</v>
      </c>
      <c r="G738" s="5">
        <v>121.2132</v>
      </c>
      <c r="H738" s="4">
        <v>4</v>
      </c>
      <c r="I738" s="6">
        <v>3388100</v>
      </c>
      <c r="J738" s="7">
        <v>61</v>
      </c>
      <c r="K738" s="9">
        <f>(PricingDataTable[[#This Row],[Current Price ($)]]-PricingDataTable[[#This Row],[Prior Price ($)]])/PricingDataTable[[#This Row],[Prior Price ($)]]</f>
        <v>2.3284057259336461E-3</v>
      </c>
      <c r="L738" s="9">
        <f>(PricingDataTable[[#This Row],[Vendor Price ($)]]-PricingDataTable[[#This Row],[Current Price ($)]])/PricingDataTable[[#This Row],[Current Price ($)]]</f>
        <v>-3.6168386857065638E-3</v>
      </c>
      <c r="M738" t="str">
        <f t="shared" si="22"/>
        <v>STALE</v>
      </c>
      <c r="N738" s="10" t="str">
        <f t="shared" si="23"/>
        <v>LOW</v>
      </c>
    </row>
    <row r="739" spans="1:14">
      <c r="A739" s="4" t="s">
        <v>1494</v>
      </c>
      <c r="B739" s="4" t="s">
        <v>1495</v>
      </c>
      <c r="C739" s="4" t="s">
        <v>19</v>
      </c>
      <c r="D739" s="4" t="s">
        <v>13</v>
      </c>
      <c r="E739" s="5">
        <v>178.8064</v>
      </c>
      <c r="F739" s="5">
        <v>177.99109999999999</v>
      </c>
      <c r="G739" s="5">
        <v>177.56469999999999</v>
      </c>
      <c r="H739" s="4">
        <v>3</v>
      </c>
      <c r="I739" s="6">
        <v>1460600</v>
      </c>
      <c r="J739" s="7">
        <v>655.4</v>
      </c>
      <c r="K739" s="9">
        <f>(PricingDataTable[[#This Row],[Current Price ($)]]-PricingDataTable[[#This Row],[Prior Price ($)]])/PricingDataTable[[#This Row],[Prior Price ($)]]</f>
        <v>-4.5596801904182836E-3</v>
      </c>
      <c r="L739" s="9">
        <f>(PricingDataTable[[#This Row],[Vendor Price ($)]]-PricingDataTable[[#This Row],[Current Price ($)]])/PricingDataTable[[#This Row],[Current Price ($)]]</f>
        <v>-2.3956253992474964E-3</v>
      </c>
      <c r="M739" t="str">
        <f t="shared" si="22"/>
        <v>STALE</v>
      </c>
      <c r="N739" s="10" t="str">
        <f t="shared" si="23"/>
        <v>LOW</v>
      </c>
    </row>
    <row r="740" spans="1:14">
      <c r="A740" s="4" t="s">
        <v>1496</v>
      </c>
      <c r="B740" s="4" t="s">
        <v>1497</v>
      </c>
      <c r="C740" s="4" t="s">
        <v>35</v>
      </c>
      <c r="D740" s="4" t="s">
        <v>13</v>
      </c>
      <c r="E740" s="5">
        <v>46.586100000000002</v>
      </c>
      <c r="F740" s="5">
        <v>47.491300000000003</v>
      </c>
      <c r="G740" s="5">
        <v>47.546500000000002</v>
      </c>
      <c r="H740" s="4">
        <v>0</v>
      </c>
      <c r="I740" s="6">
        <v>904125</v>
      </c>
      <c r="J740" s="7">
        <v>628.91</v>
      </c>
      <c r="K740" s="9">
        <f>(PricingDataTable[[#This Row],[Current Price ($)]]-PricingDataTable[[#This Row],[Prior Price ($)]])/PricingDataTable[[#This Row],[Prior Price ($)]]</f>
        <v>1.943068855302334E-2</v>
      </c>
      <c r="L740" s="9">
        <f>(PricingDataTable[[#This Row],[Vendor Price ($)]]-PricingDataTable[[#This Row],[Current Price ($)]])/PricingDataTable[[#This Row],[Current Price ($)]]</f>
        <v>1.1623181509034127E-3</v>
      </c>
      <c r="M740" t="str">
        <f t="shared" si="22"/>
        <v>PASS</v>
      </c>
      <c r="N740" s="10" t="str">
        <f t="shared" si="23"/>
        <v>NONE</v>
      </c>
    </row>
    <row r="741" spans="1:14">
      <c r="A741" s="4" t="s">
        <v>1498</v>
      </c>
      <c r="B741" s="4" t="s">
        <v>1499</v>
      </c>
      <c r="C741" s="4" t="s">
        <v>35</v>
      </c>
      <c r="D741" s="4" t="s">
        <v>13</v>
      </c>
      <c r="E741" s="5">
        <v>37.552700000000002</v>
      </c>
      <c r="F741" s="5">
        <v>37.545200000000001</v>
      </c>
      <c r="G741" s="5">
        <v>37.665999999999997</v>
      </c>
      <c r="H741" s="4">
        <v>0</v>
      </c>
      <c r="I741" s="6">
        <v>1614094</v>
      </c>
      <c r="J741" s="7">
        <v>77.599999999999994</v>
      </c>
      <c r="K741" s="9">
        <f>(PricingDataTable[[#This Row],[Current Price ($)]]-PricingDataTable[[#This Row],[Prior Price ($)]])/PricingDataTable[[#This Row],[Prior Price ($)]]</f>
        <v>-1.9971932777137951E-4</v>
      </c>
      <c r="L741" s="9">
        <f>(PricingDataTable[[#This Row],[Vendor Price ($)]]-PricingDataTable[[#This Row],[Current Price ($)]])/PricingDataTable[[#This Row],[Current Price ($)]]</f>
        <v>3.2174552272992438E-3</v>
      </c>
      <c r="M741" t="str">
        <f t="shared" si="22"/>
        <v>PASS</v>
      </c>
      <c r="N741" s="10" t="str">
        <f t="shared" si="23"/>
        <v>NONE</v>
      </c>
    </row>
    <row r="742" spans="1:14">
      <c r="A742" s="4" t="s">
        <v>1500</v>
      </c>
      <c r="B742" s="4" t="s">
        <v>1501</v>
      </c>
      <c r="C742" s="4" t="s">
        <v>19</v>
      </c>
      <c r="D742" s="4" t="s">
        <v>32</v>
      </c>
      <c r="E742" s="5">
        <v>313.50549999999998</v>
      </c>
      <c r="F742" s="5">
        <v>311.05810000000002</v>
      </c>
      <c r="G742" s="5">
        <v>311.79610000000002</v>
      </c>
      <c r="H742" s="4">
        <v>0</v>
      </c>
      <c r="I742" s="6">
        <v>4431481</v>
      </c>
      <c r="J742" s="7">
        <v>446.66</v>
      </c>
      <c r="K742" s="9">
        <f>(PricingDataTable[[#This Row],[Current Price ($)]]-PricingDataTable[[#This Row],[Prior Price ($)]])/PricingDataTable[[#This Row],[Prior Price ($)]]</f>
        <v>-7.8065616073719896E-3</v>
      </c>
      <c r="L742" s="9">
        <f>(PricingDataTable[[#This Row],[Vendor Price ($)]]-PricingDataTable[[#This Row],[Current Price ($)]])/PricingDataTable[[#This Row],[Current Price ($)]]</f>
        <v>2.3725471222257174E-3</v>
      </c>
      <c r="M742" t="str">
        <f t="shared" si="22"/>
        <v>PASS</v>
      </c>
      <c r="N742" s="10" t="str">
        <f t="shared" si="23"/>
        <v>NONE</v>
      </c>
    </row>
    <row r="743" spans="1:14">
      <c r="A743" s="4" t="s">
        <v>1502</v>
      </c>
      <c r="B743" s="4" t="s">
        <v>1503</v>
      </c>
      <c r="C743" s="4" t="s">
        <v>39</v>
      </c>
      <c r="D743" s="4" t="s">
        <v>13</v>
      </c>
      <c r="E743" s="5">
        <v>129.9179</v>
      </c>
      <c r="F743" s="5">
        <v>132.3869</v>
      </c>
      <c r="G743" s="5">
        <v>131.92840000000001</v>
      </c>
      <c r="H743" s="4">
        <v>0</v>
      </c>
      <c r="I743" s="6">
        <v>1067967</v>
      </c>
      <c r="J743" s="7">
        <v>704.19</v>
      </c>
      <c r="K743" s="9">
        <f>(PricingDataTable[[#This Row],[Current Price ($)]]-PricingDataTable[[#This Row],[Prior Price ($)]])/PricingDataTable[[#This Row],[Prior Price ($)]]</f>
        <v>1.9004309644783314E-2</v>
      </c>
      <c r="L743" s="9">
        <f>(PricingDataTable[[#This Row],[Vendor Price ($)]]-PricingDataTable[[#This Row],[Current Price ($)]])/PricingDataTable[[#This Row],[Current Price ($)]]</f>
        <v>-3.4633336077813334E-3</v>
      </c>
      <c r="M743" t="str">
        <f t="shared" si="22"/>
        <v>PASS</v>
      </c>
      <c r="N743" s="10" t="str">
        <f t="shared" si="23"/>
        <v>NONE</v>
      </c>
    </row>
    <row r="744" spans="1:14">
      <c r="A744" s="4" t="s">
        <v>1504</v>
      </c>
      <c r="B744" s="4" t="s">
        <v>1505</v>
      </c>
      <c r="C744" s="4" t="s">
        <v>19</v>
      </c>
      <c r="D744" s="4" t="s">
        <v>13</v>
      </c>
      <c r="E744" s="5">
        <v>213.70939999999999</v>
      </c>
      <c r="F744" s="5">
        <v>212.8203</v>
      </c>
      <c r="G744" s="5">
        <v>213.2175</v>
      </c>
      <c r="H744" s="4">
        <v>0</v>
      </c>
      <c r="I744" s="6">
        <v>1325250</v>
      </c>
      <c r="J744" s="7">
        <v>871.31</v>
      </c>
      <c r="K744" s="9">
        <f>(PricingDataTable[[#This Row],[Current Price ($)]]-PricingDataTable[[#This Row],[Prior Price ($)]])/PricingDataTable[[#This Row],[Prior Price ($)]]</f>
        <v>-4.1603223817014362E-3</v>
      </c>
      <c r="L744" s="9">
        <f>(PricingDataTable[[#This Row],[Vendor Price ($)]]-PricingDataTable[[#This Row],[Current Price ($)]])/PricingDataTable[[#This Row],[Current Price ($)]]</f>
        <v>1.8663633121464352E-3</v>
      </c>
      <c r="M744" t="str">
        <f t="shared" si="22"/>
        <v>PASS</v>
      </c>
      <c r="N744" s="10" t="str">
        <f t="shared" si="23"/>
        <v>NONE</v>
      </c>
    </row>
    <row r="745" spans="1:14">
      <c r="A745" s="4" t="s">
        <v>1506</v>
      </c>
      <c r="B745" s="4" t="s">
        <v>1507</v>
      </c>
      <c r="C745" s="4" t="s">
        <v>12</v>
      </c>
      <c r="D745" s="4" t="s">
        <v>64</v>
      </c>
      <c r="E745" s="5">
        <v>121.59050000000001</v>
      </c>
      <c r="F745" s="5">
        <v>120.11750000000001</v>
      </c>
      <c r="G745" s="5">
        <v>120.1174</v>
      </c>
      <c r="H745" s="4">
        <v>0</v>
      </c>
      <c r="I745" s="6">
        <v>2207649</v>
      </c>
      <c r="J745" s="7">
        <v>587.98</v>
      </c>
      <c r="K745" s="9">
        <f>(PricingDataTable[[#This Row],[Current Price ($)]]-PricingDataTable[[#This Row],[Prior Price ($)]])/PricingDataTable[[#This Row],[Prior Price ($)]]</f>
        <v>-1.2114433282205427E-2</v>
      </c>
      <c r="L745" s="9">
        <f>(PricingDataTable[[#This Row],[Vendor Price ($)]]-PricingDataTable[[#This Row],[Current Price ($)]])/PricingDataTable[[#This Row],[Current Price ($)]]</f>
        <v>-8.3251815932998645E-7</v>
      </c>
      <c r="M745" t="str">
        <f t="shared" si="22"/>
        <v>PASS</v>
      </c>
      <c r="N745" s="10" t="str">
        <f t="shared" si="23"/>
        <v>NONE</v>
      </c>
    </row>
    <row r="746" spans="1:14">
      <c r="A746" s="4" t="s">
        <v>1508</v>
      </c>
      <c r="B746" s="4" t="s">
        <v>1509</v>
      </c>
      <c r="C746" s="4" t="s">
        <v>16</v>
      </c>
      <c r="D746" s="4" t="s">
        <v>13</v>
      </c>
      <c r="E746" s="5">
        <v>119.4014</v>
      </c>
      <c r="F746" s="5">
        <v>120.3032</v>
      </c>
      <c r="G746" s="5">
        <v>120.3922</v>
      </c>
      <c r="H746" s="4">
        <v>1</v>
      </c>
      <c r="I746" s="6">
        <v>4141240</v>
      </c>
      <c r="J746" s="7">
        <v>65.81</v>
      </c>
      <c r="K746" s="9">
        <f>(PricingDataTable[[#This Row],[Current Price ($)]]-PricingDataTable[[#This Row],[Prior Price ($)]])/PricingDataTable[[#This Row],[Prior Price ($)]]</f>
        <v>7.552675261764172E-3</v>
      </c>
      <c r="L746" s="9">
        <f>(PricingDataTable[[#This Row],[Vendor Price ($)]]-PricingDataTable[[#This Row],[Current Price ($)]])/PricingDataTable[[#This Row],[Current Price ($)]]</f>
        <v>7.3979744512198044E-4</v>
      </c>
      <c r="M746" t="str">
        <f t="shared" si="22"/>
        <v>PASS</v>
      </c>
      <c r="N746" s="10" t="str">
        <f t="shared" si="23"/>
        <v>NONE</v>
      </c>
    </row>
    <row r="747" spans="1:14">
      <c r="A747" s="4" t="s">
        <v>1510</v>
      </c>
      <c r="B747" s="4" t="s">
        <v>1511</v>
      </c>
      <c r="C747" s="4" t="s">
        <v>12</v>
      </c>
      <c r="D747" s="4" t="s">
        <v>32</v>
      </c>
      <c r="E747" s="5">
        <v>76.768100000000004</v>
      </c>
      <c r="F747" s="5">
        <v>79.006399999999999</v>
      </c>
      <c r="G747" s="5">
        <v>78.9375</v>
      </c>
      <c r="H747" s="4">
        <v>0</v>
      </c>
      <c r="I747" s="6">
        <v>2270188</v>
      </c>
      <c r="J747" s="7">
        <v>651.04999999999995</v>
      </c>
      <c r="K747" s="9">
        <f>(PricingDataTable[[#This Row],[Current Price ($)]]-PricingDataTable[[#This Row],[Prior Price ($)]])/PricingDataTable[[#This Row],[Prior Price ($)]]</f>
        <v>2.9156641886408485E-2</v>
      </c>
      <c r="L747" s="9">
        <f>(PricingDataTable[[#This Row],[Vendor Price ($)]]-PricingDataTable[[#This Row],[Current Price ($)]])/PricingDataTable[[#This Row],[Current Price ($)]]</f>
        <v>-8.7208124911398695E-4</v>
      </c>
      <c r="M747" t="str">
        <f t="shared" si="22"/>
        <v>PASS</v>
      </c>
      <c r="N747" s="10" t="str">
        <f t="shared" si="23"/>
        <v>NONE</v>
      </c>
    </row>
    <row r="748" spans="1:14">
      <c r="A748" s="4" t="s">
        <v>1512</v>
      </c>
      <c r="B748" s="4" t="s">
        <v>1513</v>
      </c>
      <c r="C748" s="4" t="s">
        <v>16</v>
      </c>
      <c r="D748" s="4" t="s">
        <v>13</v>
      </c>
      <c r="E748" s="5">
        <v>92.512900000000002</v>
      </c>
      <c r="F748" s="5">
        <v>90.595699999999994</v>
      </c>
      <c r="G748" s="5">
        <v>90.662199999999999</v>
      </c>
      <c r="H748" s="4">
        <v>3</v>
      </c>
      <c r="I748" s="6">
        <v>1646629</v>
      </c>
      <c r="J748" s="7">
        <v>480.86</v>
      </c>
      <c r="K748" s="9">
        <f>(PricingDataTable[[#This Row],[Current Price ($)]]-PricingDataTable[[#This Row],[Prior Price ($)]])/PricingDataTable[[#This Row],[Prior Price ($)]]</f>
        <v>-2.0723596384936677E-2</v>
      </c>
      <c r="L748" s="9">
        <f>(PricingDataTable[[#This Row],[Vendor Price ($)]]-PricingDataTable[[#This Row],[Current Price ($)]])/PricingDataTable[[#This Row],[Current Price ($)]]</f>
        <v>7.3403042307752895E-4</v>
      </c>
      <c r="M748" t="str">
        <f t="shared" si="22"/>
        <v>STALE</v>
      </c>
      <c r="N748" s="10" t="str">
        <f t="shared" si="23"/>
        <v>LOW</v>
      </c>
    </row>
    <row r="749" spans="1:14">
      <c r="A749" s="4" t="s">
        <v>1514</v>
      </c>
      <c r="B749" s="4" t="s">
        <v>1515</v>
      </c>
      <c r="C749" s="4" t="s">
        <v>16</v>
      </c>
      <c r="D749" s="4" t="s">
        <v>13</v>
      </c>
      <c r="E749" s="5">
        <v>113.2841</v>
      </c>
      <c r="F749" s="5">
        <v>112.7998</v>
      </c>
      <c r="G749" s="5">
        <v>112.462</v>
      </c>
      <c r="H749" s="4">
        <v>0</v>
      </c>
      <c r="I749" s="6">
        <v>3085563</v>
      </c>
      <c r="J749" s="7">
        <v>316.74</v>
      </c>
      <c r="K749" s="9">
        <f>(PricingDataTable[[#This Row],[Current Price ($)]]-PricingDataTable[[#This Row],[Prior Price ($)]])/PricingDataTable[[#This Row],[Prior Price ($)]]</f>
        <v>-4.2750924445706896E-3</v>
      </c>
      <c r="L749" s="9">
        <f>(PricingDataTable[[#This Row],[Vendor Price ($)]]-PricingDataTable[[#This Row],[Current Price ($)]])/PricingDataTable[[#This Row],[Current Price ($)]]</f>
        <v>-2.9946861607910778E-3</v>
      </c>
      <c r="M749" t="str">
        <f t="shared" si="22"/>
        <v>PASS</v>
      </c>
      <c r="N749" s="10" t="str">
        <f t="shared" si="23"/>
        <v>NONE</v>
      </c>
    </row>
    <row r="750" spans="1:14">
      <c r="A750" s="4" t="s">
        <v>1516</v>
      </c>
      <c r="B750" s="4" t="s">
        <v>1517</v>
      </c>
      <c r="C750" s="4" t="s">
        <v>35</v>
      </c>
      <c r="D750" s="4" t="s">
        <v>13</v>
      </c>
      <c r="E750" s="5">
        <v>18.374400000000001</v>
      </c>
      <c r="F750" s="5">
        <v>18.601500000000001</v>
      </c>
      <c r="G750" s="5">
        <v>18.6052</v>
      </c>
      <c r="H750" s="4">
        <v>0</v>
      </c>
      <c r="I750" s="6">
        <v>2097501</v>
      </c>
      <c r="J750" s="7">
        <v>731.4</v>
      </c>
      <c r="K750" s="9">
        <f>(PricingDataTable[[#This Row],[Current Price ($)]]-PricingDataTable[[#This Row],[Prior Price ($)]])/PricingDataTable[[#This Row],[Prior Price ($)]]</f>
        <v>1.2359587251828634E-2</v>
      </c>
      <c r="L750" s="9">
        <f>(PricingDataTable[[#This Row],[Vendor Price ($)]]-PricingDataTable[[#This Row],[Current Price ($)]])/PricingDataTable[[#This Row],[Current Price ($)]]</f>
        <v>1.9890869015931414E-4</v>
      </c>
      <c r="M750" t="str">
        <f t="shared" si="22"/>
        <v>PASS</v>
      </c>
      <c r="N750" s="10" t="str">
        <f t="shared" si="23"/>
        <v>NONE</v>
      </c>
    </row>
    <row r="751" spans="1:14">
      <c r="A751" s="4" t="s">
        <v>1518</v>
      </c>
      <c r="B751" s="4" t="s">
        <v>1519</v>
      </c>
      <c r="C751" s="4" t="s">
        <v>19</v>
      </c>
      <c r="D751" s="4" t="s">
        <v>13</v>
      </c>
      <c r="E751" s="5">
        <v>22.952000000000002</v>
      </c>
      <c r="F751" s="5">
        <v>22.7165</v>
      </c>
      <c r="G751" s="5">
        <v>22.7971</v>
      </c>
      <c r="H751" s="4">
        <v>0</v>
      </c>
      <c r="I751" s="6">
        <v>645277</v>
      </c>
      <c r="J751" s="7">
        <v>68.92</v>
      </c>
      <c r="K751" s="9">
        <f>(PricingDataTable[[#This Row],[Current Price ($)]]-PricingDataTable[[#This Row],[Prior Price ($)]])/PricingDataTable[[#This Row],[Prior Price ($)]]</f>
        <v>-1.02605437434647E-2</v>
      </c>
      <c r="L751" s="9">
        <f>(PricingDataTable[[#This Row],[Vendor Price ($)]]-PricingDataTable[[#This Row],[Current Price ($)]])/PricingDataTable[[#This Row],[Current Price ($)]]</f>
        <v>3.5480817907688443E-3</v>
      </c>
      <c r="M751" t="str">
        <f t="shared" si="22"/>
        <v>PASS</v>
      </c>
      <c r="N751" s="10" t="str">
        <f t="shared" si="23"/>
        <v>NONE</v>
      </c>
    </row>
    <row r="752" spans="1:14">
      <c r="A752" s="4" t="s">
        <v>1520</v>
      </c>
      <c r="B752" s="4" t="s">
        <v>1521</v>
      </c>
      <c r="C752" s="4" t="s">
        <v>16</v>
      </c>
      <c r="D752" s="4" t="s">
        <v>32</v>
      </c>
      <c r="E752" s="5">
        <v>92.847899999999996</v>
      </c>
      <c r="F752" s="5">
        <v>93.524699999999996</v>
      </c>
      <c r="G752" s="5">
        <v>93.424099999999996</v>
      </c>
      <c r="H752" s="4">
        <v>1</v>
      </c>
      <c r="I752" s="6">
        <v>4420489</v>
      </c>
      <c r="J752" s="7">
        <v>803.7</v>
      </c>
      <c r="K752" s="9">
        <f>(PricingDataTable[[#This Row],[Current Price ($)]]-PricingDataTable[[#This Row],[Prior Price ($)]])/PricingDataTable[[#This Row],[Prior Price ($)]]</f>
        <v>7.2893409543996158E-3</v>
      </c>
      <c r="L752" s="9">
        <f>(PricingDataTable[[#This Row],[Vendor Price ($)]]-PricingDataTable[[#This Row],[Current Price ($)]])/PricingDataTable[[#This Row],[Current Price ($)]]</f>
        <v>-1.0756516727666598E-3</v>
      </c>
      <c r="M752" t="str">
        <f t="shared" si="22"/>
        <v>PASS</v>
      </c>
      <c r="N752" s="10" t="str">
        <f t="shared" si="23"/>
        <v>NONE</v>
      </c>
    </row>
    <row r="753" spans="1:14">
      <c r="A753" s="4" t="s">
        <v>1522</v>
      </c>
      <c r="B753" s="4" t="s">
        <v>1523</v>
      </c>
      <c r="C753" s="4" t="s">
        <v>16</v>
      </c>
      <c r="D753" s="4" t="s">
        <v>13</v>
      </c>
      <c r="E753" s="5">
        <v>120.0213</v>
      </c>
      <c r="F753" s="5">
        <v>119.467</v>
      </c>
      <c r="G753" s="5">
        <v>118.98650000000001</v>
      </c>
      <c r="H753" s="4">
        <v>0</v>
      </c>
      <c r="I753" s="6">
        <v>4639612</v>
      </c>
      <c r="J753" s="7">
        <v>189.85</v>
      </c>
      <c r="K753" s="9">
        <f>(PricingDataTable[[#This Row],[Current Price ($)]]-PricingDataTable[[#This Row],[Prior Price ($)]])/PricingDataTable[[#This Row],[Prior Price ($)]]</f>
        <v>-4.6183469100901072E-3</v>
      </c>
      <c r="L753" s="9">
        <f>(PricingDataTable[[#This Row],[Vendor Price ($)]]-PricingDataTable[[#This Row],[Current Price ($)]])/PricingDataTable[[#This Row],[Current Price ($)]]</f>
        <v>-4.0220311885289847E-3</v>
      </c>
      <c r="M753" t="str">
        <f t="shared" si="22"/>
        <v>PASS</v>
      </c>
      <c r="N753" s="10" t="str">
        <f t="shared" si="23"/>
        <v>NONE</v>
      </c>
    </row>
    <row r="754" spans="1:14">
      <c r="A754" s="4" t="s">
        <v>1524</v>
      </c>
      <c r="B754" s="4" t="s">
        <v>1525</v>
      </c>
      <c r="C754" s="4" t="s">
        <v>19</v>
      </c>
      <c r="D754" s="4" t="s">
        <v>13</v>
      </c>
      <c r="E754" s="5">
        <v>158.57490000000001</v>
      </c>
      <c r="F754" s="5">
        <v>143.77860000000001</v>
      </c>
      <c r="G754" s="5">
        <v>142.71600000000001</v>
      </c>
      <c r="H754" s="4">
        <v>0</v>
      </c>
      <c r="I754" s="6">
        <v>3221690</v>
      </c>
      <c r="J754" s="7">
        <v>445.92</v>
      </c>
      <c r="K754" s="9">
        <f>(PricingDataTable[[#This Row],[Current Price ($)]]-PricingDataTable[[#This Row],[Prior Price ($)]])/PricingDataTable[[#This Row],[Prior Price ($)]]</f>
        <v>-9.3307957312285875E-2</v>
      </c>
      <c r="L754" s="9">
        <f>(PricingDataTable[[#This Row],[Vendor Price ($)]]-PricingDataTable[[#This Row],[Current Price ($)]])/PricingDataTable[[#This Row],[Current Price ($)]]</f>
        <v>-7.3905296059358153E-3</v>
      </c>
      <c r="M754" t="str">
        <f t="shared" si="22"/>
        <v>LARGE MOVE</v>
      </c>
      <c r="N754" s="10" t="str">
        <f t="shared" si="23"/>
        <v>MEDIUM</v>
      </c>
    </row>
    <row r="755" spans="1:14">
      <c r="A755" s="4" t="s">
        <v>1526</v>
      </c>
      <c r="B755" s="4" t="s">
        <v>1527</v>
      </c>
      <c r="C755" s="4" t="s">
        <v>16</v>
      </c>
      <c r="D755" s="4" t="s">
        <v>13</v>
      </c>
      <c r="E755" s="5">
        <v>93.966300000000004</v>
      </c>
      <c r="F755" s="5">
        <v>93.220699999999994</v>
      </c>
      <c r="G755" s="5">
        <v>92.929599999999994</v>
      </c>
      <c r="H755" s="4">
        <v>1</v>
      </c>
      <c r="I755" s="6">
        <v>2821403</v>
      </c>
      <c r="J755" s="7">
        <v>830.44</v>
      </c>
      <c r="K755" s="9">
        <f>(PricingDataTable[[#This Row],[Current Price ($)]]-PricingDataTable[[#This Row],[Prior Price ($)]])/PricingDataTable[[#This Row],[Prior Price ($)]]</f>
        <v>-7.9347595893422447E-3</v>
      </c>
      <c r="L755" s="9">
        <f>(PricingDataTable[[#This Row],[Vendor Price ($)]]-PricingDataTable[[#This Row],[Current Price ($)]])/PricingDataTable[[#This Row],[Current Price ($)]]</f>
        <v>-3.1226969975552657E-3</v>
      </c>
      <c r="M755" t="str">
        <f t="shared" si="22"/>
        <v>PASS</v>
      </c>
      <c r="N755" s="10" t="str">
        <f t="shared" si="23"/>
        <v>NONE</v>
      </c>
    </row>
    <row r="756" spans="1:14">
      <c r="A756" s="4" t="s">
        <v>1528</v>
      </c>
      <c r="B756" s="4" t="s">
        <v>1529</v>
      </c>
      <c r="C756" s="4" t="s">
        <v>19</v>
      </c>
      <c r="D756" s="4" t="s">
        <v>13</v>
      </c>
      <c r="E756" s="5">
        <v>256.21890000000002</v>
      </c>
      <c r="F756" s="5">
        <v>251.7681</v>
      </c>
      <c r="G756" s="5">
        <v>250.72139999999999</v>
      </c>
      <c r="H756" s="4">
        <v>1</v>
      </c>
      <c r="I756" s="6">
        <v>2412040</v>
      </c>
      <c r="J756" s="7">
        <v>772.69</v>
      </c>
      <c r="K756" s="9">
        <f>(PricingDataTable[[#This Row],[Current Price ($)]]-PricingDataTable[[#This Row],[Prior Price ($)]])/PricingDataTable[[#This Row],[Prior Price ($)]]</f>
        <v>-1.7371083866178548E-2</v>
      </c>
      <c r="L756" s="9">
        <f>(PricingDataTable[[#This Row],[Vendor Price ($)]]-PricingDataTable[[#This Row],[Current Price ($)]])/PricingDataTable[[#This Row],[Current Price ($)]]</f>
        <v>-4.1573972238739361E-3</v>
      </c>
      <c r="M756" t="str">
        <f t="shared" si="22"/>
        <v>PASS</v>
      </c>
      <c r="N756" s="10" t="str">
        <f t="shared" si="23"/>
        <v>NONE</v>
      </c>
    </row>
    <row r="757" spans="1:14">
      <c r="A757" s="4" t="s">
        <v>1530</v>
      </c>
      <c r="B757" s="4" t="s">
        <v>1531</v>
      </c>
      <c r="C757" s="4" t="s">
        <v>16</v>
      </c>
      <c r="D757" s="4" t="s">
        <v>13</v>
      </c>
      <c r="E757" s="5">
        <v>113.45059999999999</v>
      </c>
      <c r="F757" s="5">
        <v>113.2313</v>
      </c>
      <c r="G757" s="5">
        <v>114.0925</v>
      </c>
      <c r="H757" s="4">
        <v>0</v>
      </c>
      <c r="I757" s="6">
        <v>2302773</v>
      </c>
      <c r="J757" s="7">
        <v>77.17</v>
      </c>
      <c r="K757" s="9">
        <f>(PricingDataTable[[#This Row],[Current Price ($)]]-PricingDataTable[[#This Row],[Prior Price ($)]])/PricingDataTable[[#This Row],[Prior Price ($)]]</f>
        <v>-1.9329999136187014E-3</v>
      </c>
      <c r="L757" s="9">
        <f>(PricingDataTable[[#This Row],[Vendor Price ($)]]-PricingDataTable[[#This Row],[Current Price ($)]])/PricingDataTable[[#This Row],[Current Price ($)]]</f>
        <v>7.6056708701568963E-3</v>
      </c>
      <c r="M757" t="str">
        <f t="shared" si="22"/>
        <v>PASS</v>
      </c>
      <c r="N757" s="10" t="str">
        <f t="shared" si="23"/>
        <v>NONE</v>
      </c>
    </row>
    <row r="758" spans="1:14">
      <c r="A758" s="4" t="s">
        <v>1532</v>
      </c>
      <c r="B758" s="4" t="s">
        <v>1533</v>
      </c>
      <c r="C758" s="4" t="s">
        <v>19</v>
      </c>
      <c r="D758" s="4" t="s">
        <v>13</v>
      </c>
      <c r="E758" s="5">
        <v>21.203299999999999</v>
      </c>
      <c r="F758" s="5">
        <v>21.172699999999999</v>
      </c>
      <c r="G758" s="5">
        <v>21.2224</v>
      </c>
      <c r="H758" s="4">
        <v>1</v>
      </c>
      <c r="I758" s="6">
        <v>2693654</v>
      </c>
      <c r="J758" s="7">
        <v>752.43</v>
      </c>
      <c r="K758" s="9">
        <f>(PricingDataTable[[#This Row],[Current Price ($)]]-PricingDataTable[[#This Row],[Prior Price ($)]])/PricingDataTable[[#This Row],[Prior Price ($)]]</f>
        <v>-1.443171581782069E-3</v>
      </c>
      <c r="L758" s="9">
        <f>(PricingDataTable[[#This Row],[Vendor Price ($)]]-PricingDataTable[[#This Row],[Current Price ($)]])/PricingDataTable[[#This Row],[Current Price ($)]]</f>
        <v>2.3473624053616882E-3</v>
      </c>
      <c r="M758" t="str">
        <f t="shared" si="22"/>
        <v>PASS</v>
      </c>
      <c r="N758" s="10" t="str">
        <f t="shared" si="23"/>
        <v>NONE</v>
      </c>
    </row>
    <row r="759" spans="1:14">
      <c r="A759" s="4" t="s">
        <v>1534</v>
      </c>
      <c r="B759" s="4" t="s">
        <v>1535</v>
      </c>
      <c r="C759" s="4" t="s">
        <v>16</v>
      </c>
      <c r="D759" s="4" t="s">
        <v>13</v>
      </c>
      <c r="E759" s="5">
        <v>98.322000000000003</v>
      </c>
      <c r="F759" s="5">
        <v>99.640799999999999</v>
      </c>
      <c r="G759" s="5">
        <v>99.568100000000001</v>
      </c>
      <c r="H759" s="4">
        <v>0</v>
      </c>
      <c r="I759" s="6">
        <v>4626880</v>
      </c>
      <c r="J759" s="7">
        <v>282.76</v>
      </c>
      <c r="K759" s="9">
        <f>(PricingDataTable[[#This Row],[Current Price ($)]]-PricingDataTable[[#This Row],[Prior Price ($)]])/PricingDataTable[[#This Row],[Prior Price ($)]]</f>
        <v>1.3413071337035414E-2</v>
      </c>
      <c r="L759" s="9">
        <f>(PricingDataTable[[#This Row],[Vendor Price ($)]]-PricingDataTable[[#This Row],[Current Price ($)]])/PricingDataTable[[#This Row],[Current Price ($)]]</f>
        <v>-7.29620797906054E-4</v>
      </c>
      <c r="M759" t="str">
        <f t="shared" si="22"/>
        <v>PASS</v>
      </c>
      <c r="N759" s="10" t="str">
        <f t="shared" si="23"/>
        <v>NONE</v>
      </c>
    </row>
    <row r="760" spans="1:14">
      <c r="A760" s="4" t="s">
        <v>1536</v>
      </c>
      <c r="B760" s="4" t="s">
        <v>1537</v>
      </c>
      <c r="C760" s="4" t="s">
        <v>19</v>
      </c>
      <c r="D760" s="4" t="s">
        <v>32</v>
      </c>
      <c r="E760" s="5">
        <v>102.4414</v>
      </c>
      <c r="F760" s="5">
        <v>102.8776</v>
      </c>
      <c r="G760" s="5">
        <v>102.75960000000001</v>
      </c>
      <c r="H760" s="4">
        <v>0</v>
      </c>
      <c r="I760" s="6">
        <v>323976</v>
      </c>
      <c r="J760" s="7">
        <v>165.99</v>
      </c>
      <c r="K760" s="9">
        <f>(PricingDataTable[[#This Row],[Current Price ($)]]-PricingDataTable[[#This Row],[Prior Price ($)]])/PricingDataTable[[#This Row],[Prior Price ($)]]</f>
        <v>4.2580441110722763E-3</v>
      </c>
      <c r="L760" s="9">
        <f>(PricingDataTable[[#This Row],[Vendor Price ($)]]-PricingDataTable[[#This Row],[Current Price ($)]])/PricingDataTable[[#This Row],[Current Price ($)]]</f>
        <v>-1.1469940978404919E-3</v>
      </c>
      <c r="M760" t="str">
        <f t="shared" si="22"/>
        <v>PASS</v>
      </c>
      <c r="N760" s="10" t="str">
        <f t="shared" si="23"/>
        <v>NONE</v>
      </c>
    </row>
    <row r="761" spans="1:14">
      <c r="A761" s="4" t="s">
        <v>1538</v>
      </c>
      <c r="B761" s="4" t="s">
        <v>1539</v>
      </c>
      <c r="C761" s="4" t="s">
        <v>12</v>
      </c>
      <c r="D761" s="4" t="s">
        <v>13</v>
      </c>
      <c r="E761" s="5">
        <v>110.86790000000001</v>
      </c>
      <c r="F761" s="5">
        <v>112.82259999999999</v>
      </c>
      <c r="G761" s="5">
        <v>113.02249999999999</v>
      </c>
      <c r="H761" s="4">
        <v>1</v>
      </c>
      <c r="I761" s="6">
        <v>376248</v>
      </c>
      <c r="J761" s="7">
        <v>540.6</v>
      </c>
      <c r="K761" s="9">
        <f>(PricingDataTable[[#This Row],[Current Price ($)]]-PricingDataTable[[#This Row],[Prior Price ($)]])/PricingDataTable[[#This Row],[Prior Price ($)]]</f>
        <v>1.7630892260067955E-2</v>
      </c>
      <c r="L761" s="9">
        <f>(PricingDataTable[[#This Row],[Vendor Price ($)]]-PricingDataTable[[#This Row],[Current Price ($)]])/PricingDataTable[[#This Row],[Current Price ($)]]</f>
        <v>1.7718081306404882E-3</v>
      </c>
      <c r="M761" t="str">
        <f t="shared" si="22"/>
        <v>PASS</v>
      </c>
      <c r="N761" s="10" t="str">
        <f t="shared" si="23"/>
        <v>NONE</v>
      </c>
    </row>
    <row r="762" spans="1:14">
      <c r="A762" s="4" t="s">
        <v>1540</v>
      </c>
      <c r="B762" s="4" t="s">
        <v>1541</v>
      </c>
      <c r="C762" s="4" t="s">
        <v>19</v>
      </c>
      <c r="D762" s="4" t="s">
        <v>13</v>
      </c>
      <c r="E762" s="5">
        <v>182.7741</v>
      </c>
      <c r="F762" s="5">
        <v>182.9333</v>
      </c>
      <c r="G762" s="5">
        <v>183.41900000000001</v>
      </c>
      <c r="H762" s="4">
        <v>0</v>
      </c>
      <c r="I762" s="6">
        <v>1201237</v>
      </c>
      <c r="J762" s="7">
        <v>22.42</v>
      </c>
      <c r="K762" s="9">
        <f>(PricingDataTable[[#This Row],[Current Price ($)]]-PricingDataTable[[#This Row],[Prior Price ($)]])/PricingDataTable[[#This Row],[Prior Price ($)]]</f>
        <v>8.7102056582414277E-4</v>
      </c>
      <c r="L762" s="9">
        <f>(PricingDataTable[[#This Row],[Vendor Price ($)]]-PricingDataTable[[#This Row],[Current Price ($)]])/PricingDataTable[[#This Row],[Current Price ($)]]</f>
        <v>2.6550660814625244E-3</v>
      </c>
      <c r="M762" t="str">
        <f t="shared" si="22"/>
        <v>PASS</v>
      </c>
      <c r="N762" s="10" t="str">
        <f t="shared" si="23"/>
        <v>NONE</v>
      </c>
    </row>
    <row r="763" spans="1:14">
      <c r="A763" s="4" t="s">
        <v>1542</v>
      </c>
      <c r="B763" s="4" t="s">
        <v>1543</v>
      </c>
      <c r="C763" s="4" t="s">
        <v>19</v>
      </c>
      <c r="D763" s="4" t="s">
        <v>13</v>
      </c>
      <c r="E763" s="5">
        <v>230.97649999999999</v>
      </c>
      <c r="F763" s="5">
        <v>223.63399999999999</v>
      </c>
      <c r="G763" s="5">
        <v>223.96510000000001</v>
      </c>
      <c r="H763" s="4">
        <v>0</v>
      </c>
      <c r="I763" s="6">
        <v>215205</v>
      </c>
      <c r="J763" s="7">
        <v>95.79</v>
      </c>
      <c r="K763" s="9">
        <f>(PricingDataTable[[#This Row],[Current Price ($)]]-PricingDataTable[[#This Row],[Prior Price ($)]])/PricingDataTable[[#This Row],[Prior Price ($)]]</f>
        <v>-3.1788948226334719E-2</v>
      </c>
      <c r="L763" s="9">
        <f>(PricingDataTable[[#This Row],[Vendor Price ($)]]-PricingDataTable[[#This Row],[Current Price ($)]])/PricingDataTable[[#This Row],[Current Price ($)]]</f>
        <v>1.4805441033117531E-3</v>
      </c>
      <c r="M763" t="str">
        <f t="shared" si="22"/>
        <v>PASS</v>
      </c>
      <c r="N763" s="10" t="str">
        <f t="shared" si="23"/>
        <v>NONE</v>
      </c>
    </row>
    <row r="764" spans="1:14">
      <c r="A764" s="4" t="s">
        <v>1544</v>
      </c>
      <c r="B764" s="4" t="s">
        <v>1545</v>
      </c>
      <c r="C764" s="4" t="s">
        <v>16</v>
      </c>
      <c r="D764" s="4" t="s">
        <v>32</v>
      </c>
      <c r="E764" s="5">
        <v>100.4091</v>
      </c>
      <c r="F764" s="5">
        <v>99.444500000000005</v>
      </c>
      <c r="G764" s="5">
        <v>99.310299999999998</v>
      </c>
      <c r="H764" s="4">
        <v>0</v>
      </c>
      <c r="I764" s="6">
        <v>659044</v>
      </c>
      <c r="J764" s="7">
        <v>859.67</v>
      </c>
      <c r="K764" s="9">
        <f>(PricingDataTable[[#This Row],[Current Price ($)]]-PricingDataTable[[#This Row],[Prior Price ($)]])/PricingDataTable[[#This Row],[Prior Price ($)]]</f>
        <v>-9.6066989944137548E-3</v>
      </c>
      <c r="L764" s="9">
        <f>(PricingDataTable[[#This Row],[Vendor Price ($)]]-PricingDataTable[[#This Row],[Current Price ($)]])/PricingDataTable[[#This Row],[Current Price ($)]]</f>
        <v>-1.3494964527953478E-3</v>
      </c>
      <c r="M764" t="str">
        <f t="shared" si="22"/>
        <v>PASS</v>
      </c>
      <c r="N764" s="10" t="str">
        <f t="shared" si="23"/>
        <v>NONE</v>
      </c>
    </row>
    <row r="765" spans="1:14">
      <c r="A765" s="4" t="s">
        <v>1546</v>
      </c>
      <c r="B765" s="4" t="s">
        <v>1547</v>
      </c>
      <c r="C765" s="4" t="s">
        <v>16</v>
      </c>
      <c r="D765" s="4" t="s">
        <v>13</v>
      </c>
      <c r="E765" s="5">
        <v>102.4117</v>
      </c>
      <c r="F765" s="5">
        <v>100.67310000000001</v>
      </c>
      <c r="G765" s="5">
        <v>100.9148</v>
      </c>
      <c r="H765" s="4">
        <v>0</v>
      </c>
      <c r="I765" s="6">
        <v>3700522</v>
      </c>
      <c r="J765" s="7">
        <v>285.38</v>
      </c>
      <c r="K765" s="9">
        <f>(PricingDataTable[[#This Row],[Current Price ($)]]-PricingDataTable[[#This Row],[Prior Price ($)]])/PricingDataTable[[#This Row],[Prior Price ($)]]</f>
        <v>-1.6976575918571716E-2</v>
      </c>
      <c r="L765" s="9">
        <f>(PricingDataTable[[#This Row],[Vendor Price ($)]]-PricingDataTable[[#This Row],[Current Price ($)]])/PricingDataTable[[#This Row],[Current Price ($)]]</f>
        <v>2.4008399463212563E-3</v>
      </c>
      <c r="M765" t="str">
        <f t="shared" si="22"/>
        <v>PASS</v>
      </c>
      <c r="N765" s="10" t="str">
        <f t="shared" si="23"/>
        <v>NONE</v>
      </c>
    </row>
    <row r="766" spans="1:14">
      <c r="A766" s="4" t="s">
        <v>1548</v>
      </c>
      <c r="B766" s="4" t="s">
        <v>1549</v>
      </c>
      <c r="C766" s="4" t="s">
        <v>19</v>
      </c>
      <c r="D766" s="4" t="s">
        <v>13</v>
      </c>
      <c r="E766" s="5">
        <v>91.131100000000004</v>
      </c>
      <c r="F766" s="5">
        <v>91.245800000000003</v>
      </c>
      <c r="G766" s="5">
        <v>90.987899999999996</v>
      </c>
      <c r="H766" s="4">
        <v>0</v>
      </c>
      <c r="I766" s="6">
        <v>3439706</v>
      </c>
      <c r="J766" s="7">
        <v>325.82</v>
      </c>
      <c r="K766" s="9">
        <f>(PricingDataTable[[#This Row],[Current Price ($)]]-PricingDataTable[[#This Row],[Prior Price ($)]])/PricingDataTable[[#This Row],[Prior Price ($)]]</f>
        <v>1.2586263086915349E-3</v>
      </c>
      <c r="L766" s="9">
        <f>(PricingDataTable[[#This Row],[Vendor Price ($)]]-PricingDataTable[[#This Row],[Current Price ($)]])/PricingDataTable[[#This Row],[Current Price ($)]]</f>
        <v>-2.8264314631468676E-3</v>
      </c>
      <c r="M766" t="str">
        <f t="shared" si="22"/>
        <v>PASS</v>
      </c>
      <c r="N766" s="10" t="str">
        <f t="shared" si="23"/>
        <v>NONE</v>
      </c>
    </row>
    <row r="767" spans="1:14">
      <c r="A767" s="4" t="s">
        <v>1550</v>
      </c>
      <c r="B767" s="4" t="s">
        <v>1551</v>
      </c>
      <c r="C767" s="4" t="s">
        <v>16</v>
      </c>
      <c r="D767" s="4" t="s">
        <v>36</v>
      </c>
      <c r="E767" s="5">
        <v>107.6665</v>
      </c>
      <c r="F767" s="5">
        <v>106.5531</v>
      </c>
      <c r="G767" s="5">
        <v>106.3389</v>
      </c>
      <c r="H767" s="4">
        <v>1</v>
      </c>
      <c r="I767" s="6">
        <v>3420342</v>
      </c>
      <c r="J767" s="7">
        <v>606.76</v>
      </c>
      <c r="K767" s="9">
        <f>(PricingDataTable[[#This Row],[Current Price ($)]]-PricingDataTable[[#This Row],[Prior Price ($)]])/PricingDataTable[[#This Row],[Prior Price ($)]]</f>
        <v>-1.0341192478626115E-2</v>
      </c>
      <c r="L767" s="9">
        <f>(PricingDataTable[[#This Row],[Vendor Price ($)]]-PricingDataTable[[#This Row],[Current Price ($)]])/PricingDataTable[[#This Row],[Current Price ($)]]</f>
        <v>-2.0102653043412651E-3</v>
      </c>
      <c r="M767" t="str">
        <f t="shared" si="22"/>
        <v>PASS</v>
      </c>
      <c r="N767" s="10" t="str">
        <f t="shared" si="23"/>
        <v>NONE</v>
      </c>
    </row>
    <row r="768" spans="1:14">
      <c r="A768" s="4" t="s">
        <v>1552</v>
      </c>
      <c r="B768" s="4" t="s">
        <v>1553</v>
      </c>
      <c r="C768" s="4" t="s">
        <v>12</v>
      </c>
      <c r="D768" s="4" t="s">
        <v>32</v>
      </c>
      <c r="E768" s="5">
        <v>92.078599999999994</v>
      </c>
      <c r="F768" s="5">
        <v>92.913899999999998</v>
      </c>
      <c r="G768" s="5">
        <v>93.106700000000004</v>
      </c>
      <c r="H768" s="4">
        <v>0</v>
      </c>
      <c r="I768" s="6">
        <v>1510242</v>
      </c>
      <c r="J768" s="7">
        <v>788.79</v>
      </c>
      <c r="K768" s="9">
        <f>(PricingDataTable[[#This Row],[Current Price ($)]]-PricingDataTable[[#This Row],[Prior Price ($)]])/PricingDataTable[[#This Row],[Prior Price ($)]]</f>
        <v>9.0715975264611289E-3</v>
      </c>
      <c r="L768" s="9">
        <f>(PricingDataTable[[#This Row],[Vendor Price ($)]]-PricingDataTable[[#This Row],[Current Price ($)]])/PricingDataTable[[#This Row],[Current Price ($)]]</f>
        <v>2.075039364400864E-3</v>
      </c>
      <c r="M768" t="str">
        <f t="shared" si="22"/>
        <v>PASS</v>
      </c>
      <c r="N768" s="10" t="str">
        <f t="shared" si="23"/>
        <v>NONE</v>
      </c>
    </row>
    <row r="769" spans="1:14">
      <c r="A769" s="4" t="s">
        <v>1554</v>
      </c>
      <c r="B769" s="4" t="s">
        <v>1555</v>
      </c>
      <c r="C769" s="4" t="s">
        <v>19</v>
      </c>
      <c r="D769" s="4" t="s">
        <v>13</v>
      </c>
      <c r="E769" s="5">
        <v>197.66589999999999</v>
      </c>
      <c r="F769" s="5">
        <v>201.2045</v>
      </c>
      <c r="G769" s="5">
        <v>200.7816</v>
      </c>
      <c r="H769" s="4">
        <v>0</v>
      </c>
      <c r="I769" s="6">
        <v>1111465</v>
      </c>
      <c r="J769" s="7">
        <v>463.5</v>
      </c>
      <c r="K769" s="9">
        <f>(PricingDataTable[[#This Row],[Current Price ($)]]-PricingDataTable[[#This Row],[Prior Price ($)]])/PricingDataTable[[#This Row],[Prior Price ($)]]</f>
        <v>1.7901924408813066E-2</v>
      </c>
      <c r="L769" s="9">
        <f>(PricingDataTable[[#This Row],[Vendor Price ($)]]-PricingDataTable[[#This Row],[Current Price ($)]])/PricingDataTable[[#This Row],[Current Price ($)]]</f>
        <v>-2.1018416586110079E-3</v>
      </c>
      <c r="M769" t="str">
        <f t="shared" si="22"/>
        <v>PASS</v>
      </c>
      <c r="N769" s="10" t="str">
        <f t="shared" si="23"/>
        <v>NONE</v>
      </c>
    </row>
    <row r="770" spans="1:14">
      <c r="A770" s="4" t="s">
        <v>1556</v>
      </c>
      <c r="B770" s="4" t="s">
        <v>1557</v>
      </c>
      <c r="C770" s="4" t="s">
        <v>35</v>
      </c>
      <c r="D770" s="4" t="s">
        <v>13</v>
      </c>
      <c r="E770" s="5">
        <v>73.612499999999997</v>
      </c>
      <c r="F770" s="5">
        <v>72.307000000000002</v>
      </c>
      <c r="G770" s="5">
        <v>72.187200000000004</v>
      </c>
      <c r="H770" s="4">
        <v>2</v>
      </c>
      <c r="I770" s="6">
        <v>380481</v>
      </c>
      <c r="J770" s="7">
        <v>66.56</v>
      </c>
      <c r="K770" s="9">
        <f>(PricingDataTable[[#This Row],[Current Price ($)]]-PricingDataTable[[#This Row],[Prior Price ($)]])/PricingDataTable[[#This Row],[Prior Price ($)]]</f>
        <v>-1.7734759721514622E-2</v>
      </c>
      <c r="L770" s="9">
        <f>(PricingDataTable[[#This Row],[Vendor Price ($)]]-PricingDataTable[[#This Row],[Current Price ($)]])/PricingDataTable[[#This Row],[Current Price ($)]]</f>
        <v>-1.656824373850359E-3</v>
      </c>
      <c r="M770" t="str">
        <f t="shared" ref="M770:M833" si="24">IF(OR(F770="",F770=0),"MISSING",IF(H770&gt;=3,"STALE",IF(ABS(K770)&gt;=5%,"LARGE MOVE",IF(ABS(L770)&gt;=2%,"VENDOR DIFFERENCE","PASS"))))</f>
        <v>PASS</v>
      </c>
      <c r="N770" s="10" t="str">
        <f t="shared" ref="N770:N833" si="25">IF(M770="PASS","NONE",IF(M770="MISSING","HIGH",IF(OR(ABS(K770)&gt;=10%,ABS(L770)&gt;=5%),"HIGH",IF(OR(ABS(K770)&gt;=7%,ABS(L770)&gt;=3%,H770&gt;=5),"MEDIUM","LOW"))))</f>
        <v>NONE</v>
      </c>
    </row>
    <row r="771" spans="1:14">
      <c r="A771" s="4" t="s">
        <v>1558</v>
      </c>
      <c r="B771" s="4" t="s">
        <v>1559</v>
      </c>
      <c r="C771" s="4" t="s">
        <v>35</v>
      </c>
      <c r="D771" s="4" t="s">
        <v>13</v>
      </c>
      <c r="E771" s="5">
        <v>133.8442</v>
      </c>
      <c r="F771" s="5">
        <v>131.35769999999999</v>
      </c>
      <c r="G771" s="5">
        <v>131.61859999999999</v>
      </c>
      <c r="H771" s="4">
        <v>1</v>
      </c>
      <c r="I771" s="6">
        <v>4273938</v>
      </c>
      <c r="J771" s="7">
        <v>75.59</v>
      </c>
      <c r="K771" s="9">
        <f>(PricingDataTable[[#This Row],[Current Price ($)]]-PricingDataTable[[#This Row],[Prior Price ($)]])/PricingDataTable[[#This Row],[Prior Price ($)]]</f>
        <v>-1.8577570040390293E-2</v>
      </c>
      <c r="L771" s="9">
        <f>(PricingDataTable[[#This Row],[Vendor Price ($)]]-PricingDataTable[[#This Row],[Current Price ($)]])/PricingDataTable[[#This Row],[Current Price ($)]]</f>
        <v>1.986179721478013E-3</v>
      </c>
      <c r="M771" t="str">
        <f t="shared" si="24"/>
        <v>PASS</v>
      </c>
      <c r="N771" s="10" t="str">
        <f t="shared" si="25"/>
        <v>NONE</v>
      </c>
    </row>
    <row r="772" spans="1:14">
      <c r="A772" s="4" t="s">
        <v>1560</v>
      </c>
      <c r="B772" s="4" t="s">
        <v>1561</v>
      </c>
      <c r="C772" s="4" t="s">
        <v>12</v>
      </c>
      <c r="D772" s="4" t="s">
        <v>13</v>
      </c>
      <c r="E772" s="5">
        <v>97.676400000000001</v>
      </c>
      <c r="F772" s="5">
        <v>97.363299999999995</v>
      </c>
      <c r="G772" s="5">
        <v>97.527900000000002</v>
      </c>
      <c r="H772" s="4">
        <v>1</v>
      </c>
      <c r="I772" s="6">
        <v>406068</v>
      </c>
      <c r="J772" s="7">
        <v>507.81</v>
      </c>
      <c r="K772" s="9">
        <f>(PricingDataTable[[#This Row],[Current Price ($)]]-PricingDataTable[[#This Row],[Prior Price ($)]])/PricingDataTable[[#This Row],[Prior Price ($)]]</f>
        <v>-3.2054825935436369E-3</v>
      </c>
      <c r="L772" s="9">
        <f>(PricingDataTable[[#This Row],[Vendor Price ($)]]-PricingDataTable[[#This Row],[Current Price ($)]])/PricingDataTable[[#This Row],[Current Price ($)]]</f>
        <v>1.6905754016144398E-3</v>
      </c>
      <c r="M772" t="str">
        <f t="shared" si="24"/>
        <v>PASS</v>
      </c>
      <c r="N772" s="10" t="str">
        <f t="shared" si="25"/>
        <v>NONE</v>
      </c>
    </row>
    <row r="773" spans="1:14">
      <c r="A773" s="4" t="s">
        <v>1562</v>
      </c>
      <c r="B773" s="4" t="s">
        <v>1563</v>
      </c>
      <c r="C773" s="4" t="s">
        <v>16</v>
      </c>
      <c r="D773" s="4" t="s">
        <v>36</v>
      </c>
      <c r="E773" s="5">
        <v>89.262900000000002</v>
      </c>
      <c r="F773" s="5">
        <v>87.9178</v>
      </c>
      <c r="G773" s="5">
        <v>88.213200000000001</v>
      </c>
      <c r="H773" s="4">
        <v>3</v>
      </c>
      <c r="I773" s="6">
        <v>3612611</v>
      </c>
      <c r="J773" s="7">
        <v>467.32</v>
      </c>
      <c r="K773" s="9">
        <f>(PricingDataTable[[#This Row],[Current Price ($)]]-PricingDataTable[[#This Row],[Prior Price ($)]])/PricingDataTable[[#This Row],[Prior Price ($)]]</f>
        <v>-1.5068970423322591E-2</v>
      </c>
      <c r="L773" s="9">
        <f>(PricingDataTable[[#This Row],[Vendor Price ($)]]-PricingDataTable[[#This Row],[Current Price ($)]])/PricingDataTable[[#This Row],[Current Price ($)]]</f>
        <v>3.3599566868142828E-3</v>
      </c>
      <c r="M773" t="str">
        <f t="shared" si="24"/>
        <v>STALE</v>
      </c>
      <c r="N773" s="10" t="str">
        <f t="shared" si="25"/>
        <v>LOW</v>
      </c>
    </row>
    <row r="774" spans="1:14">
      <c r="A774" s="4" t="s">
        <v>1564</v>
      </c>
      <c r="B774" s="4" t="s">
        <v>1565</v>
      </c>
      <c r="C774" s="4" t="s">
        <v>19</v>
      </c>
      <c r="D774" s="4" t="s">
        <v>13</v>
      </c>
      <c r="E774" s="5">
        <v>64.632599999999996</v>
      </c>
      <c r="F774" s="5">
        <v>64.421700000000001</v>
      </c>
      <c r="G774" s="5">
        <v>64.638599999999997</v>
      </c>
      <c r="H774" s="4">
        <v>3</v>
      </c>
      <c r="I774" s="6">
        <v>891194</v>
      </c>
      <c r="J774" s="7">
        <v>832.08</v>
      </c>
      <c r="K774" s="9">
        <f>(PricingDataTable[[#This Row],[Current Price ($)]]-PricingDataTable[[#This Row],[Prior Price ($)]])/PricingDataTable[[#This Row],[Prior Price ($)]]</f>
        <v>-3.2630591992275602E-3</v>
      </c>
      <c r="L774" s="9">
        <f>(PricingDataTable[[#This Row],[Vendor Price ($)]]-PricingDataTable[[#This Row],[Current Price ($)]])/PricingDataTable[[#This Row],[Current Price ($)]]</f>
        <v>3.3668779308834666E-3</v>
      </c>
      <c r="M774" t="str">
        <f t="shared" si="24"/>
        <v>STALE</v>
      </c>
      <c r="N774" s="10" t="str">
        <f t="shared" si="25"/>
        <v>LOW</v>
      </c>
    </row>
    <row r="775" spans="1:14">
      <c r="A775" s="4" t="s">
        <v>1566</v>
      </c>
      <c r="B775" s="4" t="s">
        <v>1567</v>
      </c>
      <c r="C775" s="4" t="s">
        <v>19</v>
      </c>
      <c r="D775" s="4" t="s">
        <v>13</v>
      </c>
      <c r="E775" s="5">
        <v>294.86619999999999</v>
      </c>
      <c r="F775" s="5">
        <v>294.89159999999998</v>
      </c>
      <c r="G775" s="5">
        <v>294.68340000000001</v>
      </c>
      <c r="H775" s="4">
        <v>0</v>
      </c>
      <c r="I775" s="6">
        <v>217235</v>
      </c>
      <c r="J775" s="7">
        <v>332.71</v>
      </c>
      <c r="K775" s="9">
        <f>(PricingDataTable[[#This Row],[Current Price ($)]]-PricingDataTable[[#This Row],[Prior Price ($)]])/PricingDataTable[[#This Row],[Prior Price ($)]]</f>
        <v>8.6140764862132531E-5</v>
      </c>
      <c r="L775" s="9">
        <f>(PricingDataTable[[#This Row],[Vendor Price ($)]]-PricingDataTable[[#This Row],[Current Price ($)]])/PricingDataTable[[#This Row],[Current Price ($)]]</f>
        <v>-7.060221450864543E-4</v>
      </c>
      <c r="M775" t="str">
        <f t="shared" si="24"/>
        <v>PASS</v>
      </c>
      <c r="N775" s="10" t="str">
        <f t="shared" si="25"/>
        <v>NONE</v>
      </c>
    </row>
    <row r="776" spans="1:14">
      <c r="A776" s="4" t="s">
        <v>1568</v>
      </c>
      <c r="B776" s="4" t="s">
        <v>1569</v>
      </c>
      <c r="C776" s="4" t="s">
        <v>16</v>
      </c>
      <c r="D776" s="4" t="s">
        <v>13</v>
      </c>
      <c r="E776" s="5">
        <v>81.308899999999994</v>
      </c>
      <c r="F776" s="5">
        <v>79.2179</v>
      </c>
      <c r="G776" s="5">
        <v>79.369799999999998</v>
      </c>
      <c r="H776" s="4">
        <v>0</v>
      </c>
      <c r="I776" s="6">
        <v>729666</v>
      </c>
      <c r="J776" s="7">
        <v>778.08</v>
      </c>
      <c r="K776" s="9">
        <f>(PricingDataTable[[#This Row],[Current Price ($)]]-PricingDataTable[[#This Row],[Prior Price ($)]])/PricingDataTable[[#This Row],[Prior Price ($)]]</f>
        <v>-2.5716741955677597E-2</v>
      </c>
      <c r="L776" s="9">
        <f>(PricingDataTable[[#This Row],[Vendor Price ($)]]-PricingDataTable[[#This Row],[Current Price ($)]])/PricingDataTable[[#This Row],[Current Price ($)]]</f>
        <v>1.9174959194828152E-3</v>
      </c>
      <c r="M776" t="str">
        <f t="shared" si="24"/>
        <v>PASS</v>
      </c>
      <c r="N776" s="10" t="str">
        <f t="shared" si="25"/>
        <v>NONE</v>
      </c>
    </row>
    <row r="777" spans="1:14">
      <c r="A777" s="4" t="s">
        <v>1570</v>
      </c>
      <c r="B777" s="4" t="s">
        <v>1571</v>
      </c>
      <c r="C777" s="4" t="s">
        <v>35</v>
      </c>
      <c r="D777" s="4" t="s">
        <v>32</v>
      </c>
      <c r="E777" s="5">
        <v>134.48140000000001</v>
      </c>
      <c r="F777" s="5">
        <v>134.5907</v>
      </c>
      <c r="G777" s="5">
        <v>134.74700000000001</v>
      </c>
      <c r="H777" s="4">
        <v>0</v>
      </c>
      <c r="I777" s="6">
        <v>622499</v>
      </c>
      <c r="J777" s="7">
        <v>636.19000000000005</v>
      </c>
      <c r="K777" s="9">
        <f>(PricingDataTable[[#This Row],[Current Price ($)]]-PricingDataTable[[#This Row],[Prior Price ($)]])/PricingDataTable[[#This Row],[Prior Price ($)]]</f>
        <v>8.1275180062068359E-4</v>
      </c>
      <c r="L777" s="9">
        <f>(PricingDataTable[[#This Row],[Vendor Price ($)]]-PricingDataTable[[#This Row],[Current Price ($)]])/PricingDataTable[[#This Row],[Current Price ($)]]</f>
        <v>1.161298663280716E-3</v>
      </c>
      <c r="M777" t="str">
        <f t="shared" si="24"/>
        <v>PASS</v>
      </c>
      <c r="N777" s="10" t="str">
        <f t="shared" si="25"/>
        <v>NONE</v>
      </c>
    </row>
    <row r="778" spans="1:14">
      <c r="A778" s="4" t="s">
        <v>1572</v>
      </c>
      <c r="B778" s="4" t="s">
        <v>1573</v>
      </c>
      <c r="C778" s="4" t="s">
        <v>16</v>
      </c>
      <c r="D778" s="4" t="s">
        <v>36</v>
      </c>
      <c r="E778" s="5">
        <v>114.7099</v>
      </c>
      <c r="F778" s="5">
        <v>113.6223</v>
      </c>
      <c r="G778" s="5">
        <v>114.21850000000001</v>
      </c>
      <c r="H778" s="4">
        <v>0</v>
      </c>
      <c r="I778" s="6">
        <v>1149187</v>
      </c>
      <c r="J778" s="7">
        <v>527.79</v>
      </c>
      <c r="K778" s="9">
        <f>(PricingDataTable[[#This Row],[Current Price ($)]]-PricingDataTable[[#This Row],[Prior Price ($)]])/PricingDataTable[[#This Row],[Prior Price ($)]]</f>
        <v>-9.4813089367178326E-3</v>
      </c>
      <c r="L778" s="9">
        <f>(PricingDataTable[[#This Row],[Vendor Price ($)]]-PricingDataTable[[#This Row],[Current Price ($)]])/PricingDataTable[[#This Row],[Current Price ($)]]</f>
        <v>5.2472093946347702E-3</v>
      </c>
      <c r="M778" t="str">
        <f t="shared" si="24"/>
        <v>PASS</v>
      </c>
      <c r="N778" s="10" t="str">
        <f t="shared" si="25"/>
        <v>NONE</v>
      </c>
    </row>
    <row r="779" spans="1:14">
      <c r="A779" s="4" t="s">
        <v>1574</v>
      </c>
      <c r="B779" s="4" t="s">
        <v>1575</v>
      </c>
      <c r="C779" s="4" t="s">
        <v>19</v>
      </c>
      <c r="D779" s="4" t="s">
        <v>13</v>
      </c>
      <c r="E779" s="5">
        <v>286.34309999999999</v>
      </c>
      <c r="F779" s="5">
        <v>286.05439999999999</v>
      </c>
      <c r="G779" s="5">
        <v>285.3587</v>
      </c>
      <c r="H779" s="4">
        <v>4</v>
      </c>
      <c r="I779" s="6">
        <v>27824</v>
      </c>
      <c r="J779" s="7">
        <v>391</v>
      </c>
      <c r="K779" s="9">
        <f>(PricingDataTable[[#This Row],[Current Price ($)]]-PricingDataTable[[#This Row],[Prior Price ($)]])/PricingDataTable[[#This Row],[Prior Price ($)]]</f>
        <v>-1.0082310347272407E-3</v>
      </c>
      <c r="L779" s="9">
        <f>(PricingDataTable[[#This Row],[Vendor Price ($)]]-PricingDataTable[[#This Row],[Current Price ($)]])/PricingDataTable[[#This Row],[Current Price ($)]]</f>
        <v>-2.4320548818685815E-3</v>
      </c>
      <c r="M779" t="str">
        <f t="shared" si="24"/>
        <v>STALE</v>
      </c>
      <c r="N779" s="10" t="str">
        <f t="shared" si="25"/>
        <v>LOW</v>
      </c>
    </row>
    <row r="780" spans="1:14">
      <c r="A780" s="4" t="s">
        <v>1576</v>
      </c>
      <c r="B780" s="4" t="s">
        <v>1577</v>
      </c>
      <c r="C780" s="4" t="s">
        <v>12</v>
      </c>
      <c r="D780" s="4" t="s">
        <v>13</v>
      </c>
      <c r="E780" s="5">
        <v>76.940600000000003</v>
      </c>
      <c r="F780" s="5">
        <v>76.457099999999997</v>
      </c>
      <c r="G780" s="5">
        <v>76.164599999999993</v>
      </c>
      <c r="H780" s="4">
        <v>0</v>
      </c>
      <c r="I780" s="6">
        <v>2518426</v>
      </c>
      <c r="J780" s="7">
        <v>756.65</v>
      </c>
      <c r="K780" s="9">
        <f>(PricingDataTable[[#This Row],[Current Price ($)]]-PricingDataTable[[#This Row],[Prior Price ($)]])/PricingDataTable[[#This Row],[Prior Price ($)]]</f>
        <v>-6.2840684891982447E-3</v>
      </c>
      <c r="L780" s="9">
        <f>(PricingDataTable[[#This Row],[Vendor Price ($)]]-PricingDataTable[[#This Row],[Current Price ($)]])/PricingDataTable[[#This Row],[Current Price ($)]]</f>
        <v>-3.8256747901765039E-3</v>
      </c>
      <c r="M780" t="str">
        <f t="shared" si="24"/>
        <v>PASS</v>
      </c>
      <c r="N780" s="10" t="str">
        <f t="shared" si="25"/>
        <v>NONE</v>
      </c>
    </row>
    <row r="781" spans="1:14">
      <c r="A781" s="4" t="s">
        <v>1578</v>
      </c>
      <c r="B781" s="4" t="s">
        <v>1579</v>
      </c>
      <c r="C781" s="4" t="s">
        <v>16</v>
      </c>
      <c r="D781" s="4" t="s">
        <v>13</v>
      </c>
      <c r="E781" s="5">
        <v>104.8921</v>
      </c>
      <c r="F781" s="5">
        <v>103.8777</v>
      </c>
      <c r="G781" s="5">
        <v>103.8075</v>
      </c>
      <c r="H781" s="4">
        <v>2</v>
      </c>
      <c r="I781" s="6">
        <v>3752158</v>
      </c>
      <c r="J781" s="7">
        <v>292.99</v>
      </c>
      <c r="K781" s="9">
        <f>(PricingDataTable[[#This Row],[Current Price ($)]]-PricingDataTable[[#This Row],[Prior Price ($)]])/PricingDataTable[[#This Row],[Prior Price ($)]]</f>
        <v>-9.6708903721061442E-3</v>
      </c>
      <c r="L781" s="9">
        <f>(PricingDataTable[[#This Row],[Vendor Price ($)]]-PricingDataTable[[#This Row],[Current Price ($)]])/PricingDataTable[[#This Row],[Current Price ($)]]</f>
        <v>-6.7579470858519027E-4</v>
      </c>
      <c r="M781" t="str">
        <f t="shared" si="24"/>
        <v>PASS</v>
      </c>
      <c r="N781" s="10" t="str">
        <f t="shared" si="25"/>
        <v>NONE</v>
      </c>
    </row>
    <row r="782" spans="1:14">
      <c r="A782" s="4" t="s">
        <v>1580</v>
      </c>
      <c r="B782" s="4" t="s">
        <v>1581</v>
      </c>
      <c r="C782" s="4" t="s">
        <v>19</v>
      </c>
      <c r="D782" s="4" t="s">
        <v>13</v>
      </c>
      <c r="E782" s="5">
        <v>117.0658</v>
      </c>
      <c r="F782" s="5">
        <v>118.7073</v>
      </c>
      <c r="G782" s="5">
        <v>119.06740000000001</v>
      </c>
      <c r="H782" s="4">
        <v>0</v>
      </c>
      <c r="I782" s="6">
        <v>3457130</v>
      </c>
      <c r="J782" s="7">
        <v>618.55999999999995</v>
      </c>
      <c r="K782" s="9">
        <f>(PricingDataTable[[#This Row],[Current Price ($)]]-PricingDataTable[[#This Row],[Prior Price ($)]])/PricingDataTable[[#This Row],[Prior Price ($)]]</f>
        <v>1.4022028636886331E-2</v>
      </c>
      <c r="L782" s="9">
        <f>(PricingDataTable[[#This Row],[Vendor Price ($)]]-PricingDataTable[[#This Row],[Current Price ($)]])/PricingDataTable[[#This Row],[Current Price ($)]]</f>
        <v>3.0335118396257244E-3</v>
      </c>
      <c r="M782" t="str">
        <f t="shared" si="24"/>
        <v>PASS</v>
      </c>
      <c r="N782" s="10" t="str">
        <f t="shared" si="25"/>
        <v>NONE</v>
      </c>
    </row>
    <row r="783" spans="1:14">
      <c r="A783" s="4" t="s">
        <v>1582</v>
      </c>
      <c r="B783" s="4" t="s">
        <v>1583</v>
      </c>
      <c r="C783" s="4" t="s">
        <v>19</v>
      </c>
      <c r="D783" s="4" t="s">
        <v>13</v>
      </c>
      <c r="E783" s="5">
        <v>299.03800000000001</v>
      </c>
      <c r="F783" s="5">
        <v>295.15899999999999</v>
      </c>
      <c r="G783" s="5">
        <v>295.7749</v>
      </c>
      <c r="H783" s="4">
        <v>0</v>
      </c>
      <c r="I783" s="6">
        <v>2187904</v>
      </c>
      <c r="J783" s="7">
        <v>821.15</v>
      </c>
      <c r="K783" s="9">
        <f>(PricingDataTable[[#This Row],[Current Price ($)]]-PricingDataTable[[#This Row],[Prior Price ($)]])/PricingDataTable[[#This Row],[Prior Price ($)]]</f>
        <v>-1.2971595583170095E-2</v>
      </c>
      <c r="L783" s="9">
        <f>(PricingDataTable[[#This Row],[Vendor Price ($)]]-PricingDataTable[[#This Row],[Current Price ($)]])/PricingDataTable[[#This Row],[Current Price ($)]]</f>
        <v>2.0866719293669194E-3</v>
      </c>
      <c r="M783" t="str">
        <f t="shared" si="24"/>
        <v>PASS</v>
      </c>
      <c r="N783" s="10" t="str">
        <f t="shared" si="25"/>
        <v>NONE</v>
      </c>
    </row>
    <row r="784" spans="1:14">
      <c r="A784" s="4" t="s">
        <v>1584</v>
      </c>
      <c r="B784" s="4" t="s">
        <v>1585</v>
      </c>
      <c r="C784" s="4" t="s">
        <v>12</v>
      </c>
      <c r="D784" s="4" t="s">
        <v>13</v>
      </c>
      <c r="E784" s="5">
        <v>115.92619999999999</v>
      </c>
      <c r="F784" s="5">
        <v>115.4128</v>
      </c>
      <c r="G784" s="5">
        <v>115.74460000000001</v>
      </c>
      <c r="H784" s="4">
        <v>0</v>
      </c>
      <c r="I784" s="6">
        <v>2766591</v>
      </c>
      <c r="J784" s="7">
        <v>116.47</v>
      </c>
      <c r="K784" s="9">
        <f>(PricingDataTable[[#This Row],[Current Price ($)]]-PricingDataTable[[#This Row],[Prior Price ($)]])/PricingDataTable[[#This Row],[Prior Price ($)]]</f>
        <v>-4.4286796254857843E-3</v>
      </c>
      <c r="L784" s="9">
        <f>(PricingDataTable[[#This Row],[Vendor Price ($)]]-PricingDataTable[[#This Row],[Current Price ($)]])/PricingDataTable[[#This Row],[Current Price ($)]]</f>
        <v>2.8748977583075812E-3</v>
      </c>
      <c r="M784" t="str">
        <f t="shared" si="24"/>
        <v>PASS</v>
      </c>
      <c r="N784" s="10" t="str">
        <f t="shared" si="25"/>
        <v>NONE</v>
      </c>
    </row>
    <row r="785" spans="1:14">
      <c r="A785" s="4" t="s">
        <v>1586</v>
      </c>
      <c r="B785" s="4" t="s">
        <v>1587</v>
      </c>
      <c r="C785" s="4" t="s">
        <v>35</v>
      </c>
      <c r="D785" s="4" t="s">
        <v>13</v>
      </c>
      <c r="E785" s="5">
        <v>69.495500000000007</v>
      </c>
      <c r="F785" s="5">
        <v>69.638199999999998</v>
      </c>
      <c r="G785" s="5">
        <v>69.453500000000005</v>
      </c>
      <c r="H785" s="4">
        <v>0</v>
      </c>
      <c r="I785" s="6">
        <v>4492870</v>
      </c>
      <c r="J785" s="7">
        <v>178.76</v>
      </c>
      <c r="K785" s="9">
        <f>(PricingDataTable[[#This Row],[Current Price ($)]]-PricingDataTable[[#This Row],[Prior Price ($)]])/PricingDataTable[[#This Row],[Prior Price ($)]]</f>
        <v>2.0533703621096432E-3</v>
      </c>
      <c r="L785" s="9">
        <f>(PricingDataTable[[#This Row],[Vendor Price ($)]]-PricingDataTable[[#This Row],[Current Price ($)]])/PricingDataTable[[#This Row],[Current Price ($)]]</f>
        <v>-2.6522799268216628E-3</v>
      </c>
      <c r="M785" t="str">
        <f t="shared" si="24"/>
        <v>PASS</v>
      </c>
      <c r="N785" s="10" t="str">
        <f t="shared" si="25"/>
        <v>NONE</v>
      </c>
    </row>
    <row r="786" spans="1:14">
      <c r="A786" s="4" t="s">
        <v>1588</v>
      </c>
      <c r="B786" s="4" t="s">
        <v>1589</v>
      </c>
      <c r="C786" s="4" t="s">
        <v>16</v>
      </c>
      <c r="D786" s="4" t="s">
        <v>13</v>
      </c>
      <c r="E786" s="5">
        <v>89.509399999999999</v>
      </c>
      <c r="F786" s="5">
        <v>90.058599999999998</v>
      </c>
      <c r="G786" s="5">
        <v>90.280500000000004</v>
      </c>
      <c r="H786" s="4">
        <v>0</v>
      </c>
      <c r="I786" s="6">
        <v>4418066</v>
      </c>
      <c r="J786" s="7">
        <v>92.45</v>
      </c>
      <c r="K786" s="9">
        <f>(PricingDataTable[[#This Row],[Current Price ($)]]-PricingDataTable[[#This Row],[Prior Price ($)]])/PricingDataTable[[#This Row],[Prior Price ($)]]</f>
        <v>6.1356684325891923E-3</v>
      </c>
      <c r="L786" s="9">
        <f>(PricingDataTable[[#This Row],[Vendor Price ($)]]-PricingDataTable[[#This Row],[Current Price ($)]])/PricingDataTable[[#This Row],[Current Price ($)]]</f>
        <v>2.4639512495198139E-3</v>
      </c>
      <c r="M786" t="str">
        <f t="shared" si="24"/>
        <v>PASS</v>
      </c>
      <c r="N786" s="10" t="str">
        <f t="shared" si="25"/>
        <v>NONE</v>
      </c>
    </row>
    <row r="787" spans="1:14">
      <c r="A787" s="4" t="s">
        <v>1590</v>
      </c>
      <c r="B787" s="4" t="s">
        <v>1591</v>
      </c>
      <c r="C787" s="4" t="s">
        <v>19</v>
      </c>
      <c r="D787" s="4" t="s">
        <v>13</v>
      </c>
      <c r="E787" s="5">
        <v>16.291599999999999</v>
      </c>
      <c r="F787" s="5">
        <v>13.023199999999999</v>
      </c>
      <c r="G787" s="5">
        <v>12.9793</v>
      </c>
      <c r="H787" s="4">
        <v>0</v>
      </c>
      <c r="I787" s="6">
        <v>713332</v>
      </c>
      <c r="J787" s="7">
        <v>69.06</v>
      </c>
      <c r="K787" s="9">
        <f>(PricingDataTable[[#This Row],[Current Price ($)]]-PricingDataTable[[#This Row],[Prior Price ($)]])/PricingDataTable[[#This Row],[Prior Price ($)]]</f>
        <v>-0.20061872375948342</v>
      </c>
      <c r="L787" s="9">
        <f>(PricingDataTable[[#This Row],[Vendor Price ($)]]-PricingDataTable[[#This Row],[Current Price ($)]])/PricingDataTable[[#This Row],[Current Price ($)]]</f>
        <v>-3.3709073038883639E-3</v>
      </c>
      <c r="M787" t="str">
        <f t="shared" si="24"/>
        <v>LARGE MOVE</v>
      </c>
      <c r="N787" s="10" t="str">
        <f t="shared" si="25"/>
        <v>HIGH</v>
      </c>
    </row>
    <row r="788" spans="1:14">
      <c r="A788" s="4" t="s">
        <v>1592</v>
      </c>
      <c r="B788" s="4" t="s">
        <v>1593</v>
      </c>
      <c r="C788" s="4" t="s">
        <v>19</v>
      </c>
      <c r="D788" s="4" t="s">
        <v>32</v>
      </c>
      <c r="E788" s="5">
        <v>193.26070000000001</v>
      </c>
      <c r="F788" s="5">
        <v>194.16829999999999</v>
      </c>
      <c r="G788" s="5">
        <v>194.041</v>
      </c>
      <c r="H788" s="4">
        <v>1</v>
      </c>
      <c r="I788" s="6">
        <v>3567439</v>
      </c>
      <c r="J788" s="7">
        <v>461.22</v>
      </c>
      <c r="K788" s="9">
        <f>(PricingDataTable[[#This Row],[Current Price ($)]]-PricingDataTable[[#This Row],[Prior Price ($)]])/PricingDataTable[[#This Row],[Prior Price ($)]]</f>
        <v>4.6962470900704266E-3</v>
      </c>
      <c r="L788" s="9">
        <f>(PricingDataTable[[#This Row],[Vendor Price ($)]]-PricingDataTable[[#This Row],[Current Price ($)]])/PricingDataTable[[#This Row],[Current Price ($)]]</f>
        <v>-6.5561680253672255E-4</v>
      </c>
      <c r="M788" t="str">
        <f t="shared" si="24"/>
        <v>PASS</v>
      </c>
      <c r="N788" s="10" t="str">
        <f t="shared" si="25"/>
        <v>NONE</v>
      </c>
    </row>
    <row r="789" spans="1:14">
      <c r="A789" s="4" t="s">
        <v>1594</v>
      </c>
      <c r="B789" s="4" t="s">
        <v>1595</v>
      </c>
      <c r="C789" s="4" t="s">
        <v>19</v>
      </c>
      <c r="D789" s="4" t="s">
        <v>13</v>
      </c>
      <c r="E789" s="5">
        <v>98.380300000000005</v>
      </c>
      <c r="F789" s="5">
        <v>97.638300000000001</v>
      </c>
      <c r="G789" s="5">
        <v>97.363500000000002</v>
      </c>
      <c r="H789" s="4">
        <v>4</v>
      </c>
      <c r="I789" s="6">
        <v>4473838</v>
      </c>
      <c r="J789" s="7">
        <v>456.03</v>
      </c>
      <c r="K789" s="9">
        <f>(PricingDataTable[[#This Row],[Current Price ($)]]-PricingDataTable[[#This Row],[Prior Price ($)]])/PricingDataTable[[#This Row],[Prior Price ($)]]</f>
        <v>-7.5421603715378422E-3</v>
      </c>
      <c r="L789" s="9">
        <f>(PricingDataTable[[#This Row],[Vendor Price ($)]]-PricingDataTable[[#This Row],[Current Price ($)]])/PricingDataTable[[#This Row],[Current Price ($)]]</f>
        <v>-2.8144693219771242E-3</v>
      </c>
      <c r="M789" t="str">
        <f t="shared" si="24"/>
        <v>STALE</v>
      </c>
      <c r="N789" s="10" t="str">
        <f t="shared" si="25"/>
        <v>LOW</v>
      </c>
    </row>
    <row r="790" spans="1:14">
      <c r="A790" s="4" t="s">
        <v>1596</v>
      </c>
      <c r="B790" s="4" t="s">
        <v>1597</v>
      </c>
      <c r="C790" s="4" t="s">
        <v>35</v>
      </c>
      <c r="D790" s="4" t="s">
        <v>32</v>
      </c>
      <c r="E790" s="5">
        <v>171.35939999999999</v>
      </c>
      <c r="F790" s="5">
        <v>171.619</v>
      </c>
      <c r="G790" s="5">
        <v>170.80629999999999</v>
      </c>
      <c r="H790" s="4">
        <v>0</v>
      </c>
      <c r="I790" s="6">
        <v>4000741</v>
      </c>
      <c r="J790" s="7">
        <v>506.93</v>
      </c>
      <c r="K790" s="9">
        <f>(PricingDataTable[[#This Row],[Current Price ($)]]-PricingDataTable[[#This Row],[Prior Price ($)]])/PricingDataTable[[#This Row],[Prior Price ($)]]</f>
        <v>1.5149446134849098E-3</v>
      </c>
      <c r="L790" s="9">
        <f>(PricingDataTable[[#This Row],[Vendor Price ($)]]-PricingDataTable[[#This Row],[Current Price ($)]])/PricingDataTable[[#This Row],[Current Price ($)]]</f>
        <v>-4.7354896602357938E-3</v>
      </c>
      <c r="M790" t="str">
        <f t="shared" si="24"/>
        <v>PASS</v>
      </c>
      <c r="N790" s="10" t="str">
        <f t="shared" si="25"/>
        <v>NONE</v>
      </c>
    </row>
    <row r="791" spans="1:14">
      <c r="A791" s="4" t="s">
        <v>1598</v>
      </c>
      <c r="B791" s="4" t="s">
        <v>1599</v>
      </c>
      <c r="C791" s="4" t="s">
        <v>19</v>
      </c>
      <c r="D791" s="4" t="s">
        <v>32</v>
      </c>
      <c r="E791" s="5">
        <v>341.7296</v>
      </c>
      <c r="F791" s="5">
        <v>343.79160000000002</v>
      </c>
      <c r="G791" s="5">
        <v>344.14589999999998</v>
      </c>
      <c r="H791" s="4">
        <v>0</v>
      </c>
      <c r="I791" s="6">
        <v>3973128</v>
      </c>
      <c r="J791" s="7">
        <v>471.16</v>
      </c>
      <c r="K791" s="9">
        <f>(PricingDataTable[[#This Row],[Current Price ($)]]-PricingDataTable[[#This Row],[Prior Price ($)]])/PricingDataTable[[#This Row],[Prior Price ($)]]</f>
        <v>6.0340105159167124E-3</v>
      </c>
      <c r="L791" s="9">
        <f>(PricingDataTable[[#This Row],[Vendor Price ($)]]-PricingDataTable[[#This Row],[Current Price ($)]])/PricingDataTable[[#This Row],[Current Price ($)]]</f>
        <v>1.0305661918440315E-3</v>
      </c>
      <c r="M791" t="str">
        <f t="shared" si="24"/>
        <v>PASS</v>
      </c>
      <c r="N791" s="10" t="str">
        <f t="shared" si="25"/>
        <v>NONE</v>
      </c>
    </row>
    <row r="792" spans="1:14">
      <c r="A792" s="4" t="s">
        <v>1600</v>
      </c>
      <c r="B792" s="4" t="s">
        <v>1601</v>
      </c>
      <c r="C792" s="4" t="s">
        <v>19</v>
      </c>
      <c r="D792" s="4" t="s">
        <v>13</v>
      </c>
      <c r="E792" s="5">
        <v>148.85560000000001</v>
      </c>
      <c r="F792" s="5">
        <v>148.65379999999999</v>
      </c>
      <c r="G792" s="5">
        <v>147.80969999999999</v>
      </c>
      <c r="H792" s="4">
        <v>0</v>
      </c>
      <c r="I792" s="6">
        <v>1756099</v>
      </c>
      <c r="J792" s="7">
        <v>679.58</v>
      </c>
      <c r="K792" s="9">
        <f>(PricingDataTable[[#This Row],[Current Price ($)]]-PricingDataTable[[#This Row],[Prior Price ($)]])/PricingDataTable[[#This Row],[Prior Price ($)]]</f>
        <v>-1.3556762392548211E-3</v>
      </c>
      <c r="L792" s="9">
        <f>(PricingDataTable[[#This Row],[Vendor Price ($)]]-PricingDataTable[[#This Row],[Current Price ($)]])/PricingDataTable[[#This Row],[Current Price ($)]]</f>
        <v>-5.678294130388846E-3</v>
      </c>
      <c r="M792" t="str">
        <f t="shared" si="24"/>
        <v>PASS</v>
      </c>
      <c r="N792" s="10" t="str">
        <f t="shared" si="25"/>
        <v>NONE</v>
      </c>
    </row>
    <row r="793" spans="1:14">
      <c r="A793" s="4" t="s">
        <v>1602</v>
      </c>
      <c r="B793" s="4" t="s">
        <v>1603</v>
      </c>
      <c r="C793" s="4" t="s">
        <v>16</v>
      </c>
      <c r="D793" s="4" t="s">
        <v>237</v>
      </c>
      <c r="E793" s="5">
        <v>86.787000000000006</v>
      </c>
      <c r="F793" s="5">
        <v>85.625799999999998</v>
      </c>
      <c r="G793" s="5">
        <v>85.696700000000007</v>
      </c>
      <c r="H793" s="4">
        <v>1</v>
      </c>
      <c r="I793" s="6">
        <v>651154</v>
      </c>
      <c r="J793" s="7">
        <v>338.24</v>
      </c>
      <c r="K793" s="9">
        <f>(PricingDataTable[[#This Row],[Current Price ($)]]-PricingDataTable[[#This Row],[Prior Price ($)]])/PricingDataTable[[#This Row],[Prior Price ($)]]</f>
        <v>-1.3379884084021892E-2</v>
      </c>
      <c r="L793" s="9">
        <f>(PricingDataTable[[#This Row],[Vendor Price ($)]]-PricingDataTable[[#This Row],[Current Price ($)]])/PricingDataTable[[#This Row],[Current Price ($)]]</f>
        <v>8.2802146082149128E-4</v>
      </c>
      <c r="M793" t="str">
        <f t="shared" si="24"/>
        <v>PASS</v>
      </c>
      <c r="N793" s="10" t="str">
        <f t="shared" si="25"/>
        <v>NONE</v>
      </c>
    </row>
    <row r="794" spans="1:14">
      <c r="A794" s="4" t="s">
        <v>1604</v>
      </c>
      <c r="B794" s="4" t="s">
        <v>1605</v>
      </c>
      <c r="C794" s="4" t="s">
        <v>16</v>
      </c>
      <c r="D794" s="4" t="s">
        <v>13</v>
      </c>
      <c r="E794" s="5">
        <v>84.868399999999994</v>
      </c>
      <c r="F794" s="5">
        <v>85.210300000000004</v>
      </c>
      <c r="G794" s="5">
        <v>85.118600000000001</v>
      </c>
      <c r="H794" s="4">
        <v>0</v>
      </c>
      <c r="I794" s="6">
        <v>4590282</v>
      </c>
      <c r="J794" s="7">
        <v>376.45</v>
      </c>
      <c r="K794" s="9">
        <f>(PricingDataTable[[#This Row],[Current Price ($)]]-PricingDataTable[[#This Row],[Prior Price ($)]])/PricingDataTable[[#This Row],[Prior Price ($)]]</f>
        <v>4.0285901466271274E-3</v>
      </c>
      <c r="L794" s="9">
        <f>(PricingDataTable[[#This Row],[Vendor Price ($)]]-PricingDataTable[[#This Row],[Current Price ($)]])/PricingDataTable[[#This Row],[Current Price ($)]]</f>
        <v>-1.0761609805387728E-3</v>
      </c>
      <c r="M794" t="str">
        <f t="shared" si="24"/>
        <v>PASS</v>
      </c>
      <c r="N794" s="10" t="str">
        <f t="shared" si="25"/>
        <v>NONE</v>
      </c>
    </row>
    <row r="795" spans="1:14">
      <c r="A795" s="4" t="s">
        <v>1606</v>
      </c>
      <c r="B795" s="4" t="s">
        <v>1607</v>
      </c>
      <c r="C795" s="4" t="s">
        <v>19</v>
      </c>
      <c r="D795" s="4" t="s">
        <v>237</v>
      </c>
      <c r="E795" s="5">
        <v>254.22049999999999</v>
      </c>
      <c r="F795" s="5">
        <v>255.9914</v>
      </c>
      <c r="G795" s="5">
        <v>255.57400000000001</v>
      </c>
      <c r="H795" s="4">
        <v>0</v>
      </c>
      <c r="I795" s="6">
        <v>1716150</v>
      </c>
      <c r="J795" s="7">
        <v>722.57</v>
      </c>
      <c r="K795" s="9">
        <f>(PricingDataTable[[#This Row],[Current Price ($)]]-PricingDataTable[[#This Row],[Prior Price ($)]])/PricingDataTable[[#This Row],[Prior Price ($)]]</f>
        <v>6.9659999881992668E-3</v>
      </c>
      <c r="L795" s="9">
        <f>(PricingDataTable[[#This Row],[Vendor Price ($)]]-PricingDataTable[[#This Row],[Current Price ($)]])/PricingDataTable[[#This Row],[Current Price ($)]]</f>
        <v>-1.6305235253996284E-3</v>
      </c>
      <c r="M795" t="str">
        <f t="shared" si="24"/>
        <v>PASS</v>
      </c>
      <c r="N795" s="10" t="str">
        <f t="shared" si="25"/>
        <v>NONE</v>
      </c>
    </row>
    <row r="796" spans="1:14">
      <c r="A796" s="4" t="s">
        <v>1608</v>
      </c>
      <c r="B796" s="4" t="s">
        <v>1609</v>
      </c>
      <c r="C796" s="4" t="s">
        <v>16</v>
      </c>
      <c r="D796" s="4" t="s">
        <v>13</v>
      </c>
      <c r="E796" s="5">
        <v>98.144000000000005</v>
      </c>
      <c r="F796" s="5">
        <v>100.6255</v>
      </c>
      <c r="G796" s="5">
        <v>100.35590000000001</v>
      </c>
      <c r="H796" s="4">
        <v>0</v>
      </c>
      <c r="I796" s="6">
        <v>83386</v>
      </c>
      <c r="J796" s="7">
        <v>286.06</v>
      </c>
      <c r="K796" s="9">
        <f>(PricingDataTable[[#This Row],[Current Price ($)]]-PricingDataTable[[#This Row],[Prior Price ($)]])/PricingDataTable[[#This Row],[Prior Price ($)]]</f>
        <v>2.5284276165634136E-2</v>
      </c>
      <c r="L796" s="9">
        <f>(PricingDataTable[[#This Row],[Vendor Price ($)]]-PricingDataTable[[#This Row],[Current Price ($)]])/PricingDataTable[[#This Row],[Current Price ($)]]</f>
        <v>-2.6792413453845887E-3</v>
      </c>
      <c r="M796" t="str">
        <f t="shared" si="24"/>
        <v>PASS</v>
      </c>
      <c r="N796" s="10" t="str">
        <f t="shared" si="25"/>
        <v>NONE</v>
      </c>
    </row>
    <row r="797" spans="1:14">
      <c r="A797" s="4" t="s">
        <v>1610</v>
      </c>
      <c r="B797" s="4" t="s">
        <v>1611</v>
      </c>
      <c r="C797" s="4" t="s">
        <v>16</v>
      </c>
      <c r="D797" s="4" t="s">
        <v>237</v>
      </c>
      <c r="E797" s="5">
        <v>75.280100000000004</v>
      </c>
      <c r="F797" s="5">
        <v>75.099299999999999</v>
      </c>
      <c r="G797" s="5">
        <v>74.956000000000003</v>
      </c>
      <c r="H797" s="4">
        <v>0</v>
      </c>
      <c r="I797" s="6">
        <v>561124</v>
      </c>
      <c r="J797" s="7">
        <v>315.54000000000002</v>
      </c>
      <c r="K797" s="9">
        <f>(PricingDataTable[[#This Row],[Current Price ($)]]-PricingDataTable[[#This Row],[Prior Price ($)]])/PricingDataTable[[#This Row],[Prior Price ($)]]</f>
        <v>-2.4016971284576529E-3</v>
      </c>
      <c r="L797" s="9">
        <f>(PricingDataTable[[#This Row],[Vendor Price ($)]]-PricingDataTable[[#This Row],[Current Price ($)]])/PricingDataTable[[#This Row],[Current Price ($)]]</f>
        <v>-1.9081402889240837E-3</v>
      </c>
      <c r="M797" t="str">
        <f t="shared" si="24"/>
        <v>PASS</v>
      </c>
      <c r="N797" s="10" t="str">
        <f t="shared" si="25"/>
        <v>NONE</v>
      </c>
    </row>
    <row r="798" spans="1:14">
      <c r="A798" s="4" t="s">
        <v>1612</v>
      </c>
      <c r="B798" s="4" t="s">
        <v>1613</v>
      </c>
      <c r="C798" s="4" t="s">
        <v>19</v>
      </c>
      <c r="D798" s="4" t="s">
        <v>13</v>
      </c>
      <c r="E798" s="5">
        <v>73.883099999999999</v>
      </c>
      <c r="F798" s="5">
        <v>73.466899999999995</v>
      </c>
      <c r="G798" s="5">
        <v>73.941100000000006</v>
      </c>
      <c r="H798" s="4">
        <v>0</v>
      </c>
      <c r="I798" s="6">
        <v>4707951</v>
      </c>
      <c r="J798" s="7">
        <v>487.01</v>
      </c>
      <c r="K798" s="9">
        <f>(PricingDataTable[[#This Row],[Current Price ($)]]-PricingDataTable[[#This Row],[Prior Price ($)]])/PricingDataTable[[#This Row],[Prior Price ($)]]</f>
        <v>-5.6332232946371156E-3</v>
      </c>
      <c r="L798" s="9">
        <f>(PricingDataTable[[#This Row],[Vendor Price ($)]]-PricingDataTable[[#This Row],[Current Price ($)]])/PricingDataTable[[#This Row],[Current Price ($)]]</f>
        <v>6.4546074490690426E-3</v>
      </c>
      <c r="M798" t="str">
        <f t="shared" si="24"/>
        <v>PASS</v>
      </c>
      <c r="N798" s="10" t="str">
        <f t="shared" si="25"/>
        <v>NONE</v>
      </c>
    </row>
    <row r="799" spans="1:14">
      <c r="A799" s="4" t="s">
        <v>1614</v>
      </c>
      <c r="B799" s="4" t="s">
        <v>1615</v>
      </c>
      <c r="C799" s="4" t="s">
        <v>19</v>
      </c>
      <c r="D799" s="4" t="s">
        <v>13</v>
      </c>
      <c r="E799" s="5">
        <v>257.88510000000002</v>
      </c>
      <c r="F799" s="5">
        <v>257.4323</v>
      </c>
      <c r="G799" s="5">
        <v>258.0249</v>
      </c>
      <c r="H799" s="4">
        <v>0</v>
      </c>
      <c r="I799" s="6">
        <v>4968481</v>
      </c>
      <c r="J799" s="7">
        <v>544.38</v>
      </c>
      <c r="K799" s="9">
        <f>(PricingDataTable[[#This Row],[Current Price ($)]]-PricingDataTable[[#This Row],[Prior Price ($)]])/PricingDataTable[[#This Row],[Prior Price ($)]]</f>
        <v>-1.7558207124026347E-3</v>
      </c>
      <c r="L799" s="9">
        <f>(PricingDataTable[[#This Row],[Vendor Price ($)]]-PricingDataTable[[#This Row],[Current Price ($)]])/PricingDataTable[[#This Row],[Current Price ($)]]</f>
        <v>2.3019644388058702E-3</v>
      </c>
      <c r="M799" t="str">
        <f t="shared" si="24"/>
        <v>PASS</v>
      </c>
      <c r="N799" s="10" t="str">
        <f t="shared" si="25"/>
        <v>NONE</v>
      </c>
    </row>
    <row r="800" spans="1:14">
      <c r="A800" s="4" t="s">
        <v>1616</v>
      </c>
      <c r="B800" s="4" t="s">
        <v>1617</v>
      </c>
      <c r="C800" s="4" t="s">
        <v>12</v>
      </c>
      <c r="D800" s="4" t="s">
        <v>13</v>
      </c>
      <c r="E800" s="5">
        <v>83.405000000000001</v>
      </c>
      <c r="F800" s="5">
        <v>84.031099999999995</v>
      </c>
      <c r="G800" s="5">
        <v>83.289900000000003</v>
      </c>
      <c r="H800" s="4">
        <v>0</v>
      </c>
      <c r="I800" s="6">
        <v>2713354</v>
      </c>
      <c r="J800" s="7">
        <v>70.19</v>
      </c>
      <c r="K800" s="9">
        <f>(PricingDataTable[[#This Row],[Current Price ($)]]-PricingDataTable[[#This Row],[Prior Price ($)]])/PricingDataTable[[#This Row],[Prior Price ($)]]</f>
        <v>7.5067441999879369E-3</v>
      </c>
      <c r="L800" s="9">
        <f>(PricingDataTable[[#This Row],[Vendor Price ($)]]-PricingDataTable[[#This Row],[Current Price ($)]])/PricingDataTable[[#This Row],[Current Price ($)]]</f>
        <v>-8.8205438224656357E-3</v>
      </c>
      <c r="M800" t="str">
        <f t="shared" si="24"/>
        <v>PASS</v>
      </c>
      <c r="N800" s="10" t="str">
        <f t="shared" si="25"/>
        <v>NONE</v>
      </c>
    </row>
    <row r="801" spans="1:14">
      <c r="A801" s="4" t="s">
        <v>1618</v>
      </c>
      <c r="B801" s="4" t="s">
        <v>1619</v>
      </c>
      <c r="C801" s="4" t="s">
        <v>16</v>
      </c>
      <c r="D801" s="4" t="s">
        <v>13</v>
      </c>
      <c r="E801" s="5">
        <v>108.24209999999999</v>
      </c>
      <c r="F801" s="5">
        <v>107.5296</v>
      </c>
      <c r="G801" s="5">
        <v>107.8659</v>
      </c>
      <c r="H801" s="4">
        <v>0</v>
      </c>
      <c r="I801" s="6">
        <v>2616247</v>
      </c>
      <c r="J801" s="7">
        <v>754.82</v>
      </c>
      <c r="K801" s="9">
        <f>(PricingDataTable[[#This Row],[Current Price ($)]]-PricingDataTable[[#This Row],[Prior Price ($)]])/PricingDataTable[[#This Row],[Prior Price ($)]]</f>
        <v>-6.5824665264254071E-3</v>
      </c>
      <c r="L801" s="9">
        <f>(PricingDataTable[[#This Row],[Vendor Price ($)]]-PricingDataTable[[#This Row],[Current Price ($)]])/PricingDataTable[[#This Row],[Current Price ($)]]</f>
        <v>3.1275109365234712E-3</v>
      </c>
      <c r="M801" t="str">
        <f t="shared" si="24"/>
        <v>PASS</v>
      </c>
      <c r="N801" s="10" t="str">
        <f t="shared" si="25"/>
        <v>NONE</v>
      </c>
    </row>
    <row r="802" spans="1:14">
      <c r="A802" s="4" t="s">
        <v>1620</v>
      </c>
      <c r="B802" s="4" t="s">
        <v>1621</v>
      </c>
      <c r="C802" s="4" t="s">
        <v>19</v>
      </c>
      <c r="D802" s="4" t="s">
        <v>13</v>
      </c>
      <c r="E802" s="5">
        <v>81.153599999999997</v>
      </c>
      <c r="F802" s="5">
        <v>81.847899999999996</v>
      </c>
      <c r="G802" s="5">
        <v>82.148700000000005</v>
      </c>
      <c r="H802" s="4">
        <v>0</v>
      </c>
      <c r="I802" s="6">
        <v>2102673</v>
      </c>
      <c r="J802" s="7">
        <v>616.89</v>
      </c>
      <c r="K802" s="9">
        <f>(PricingDataTable[[#This Row],[Current Price ($)]]-PricingDataTable[[#This Row],[Prior Price ($)]])/PricingDataTable[[#This Row],[Prior Price ($)]]</f>
        <v>8.5553814002089657E-3</v>
      </c>
      <c r="L802" s="9">
        <f>(PricingDataTable[[#This Row],[Vendor Price ($)]]-PricingDataTable[[#This Row],[Current Price ($)]])/PricingDataTable[[#This Row],[Current Price ($)]]</f>
        <v>3.6751095629821841E-3</v>
      </c>
      <c r="M802" t="str">
        <f t="shared" si="24"/>
        <v>PASS</v>
      </c>
      <c r="N802" s="10" t="str">
        <f t="shared" si="25"/>
        <v>NONE</v>
      </c>
    </row>
    <row r="803" spans="1:14">
      <c r="A803" s="4" t="s">
        <v>1622</v>
      </c>
      <c r="B803" s="4" t="s">
        <v>1623</v>
      </c>
      <c r="C803" s="4" t="s">
        <v>12</v>
      </c>
      <c r="D803" s="4" t="s">
        <v>13</v>
      </c>
      <c r="E803" s="5">
        <v>118.3069</v>
      </c>
      <c r="F803" s="5">
        <v>119.8049</v>
      </c>
      <c r="G803" s="5">
        <v>119.31829999999999</v>
      </c>
      <c r="H803" s="4">
        <v>0</v>
      </c>
      <c r="I803" s="6">
        <v>1603090</v>
      </c>
      <c r="J803" s="7">
        <v>344.34</v>
      </c>
      <c r="K803" s="9">
        <f>(PricingDataTable[[#This Row],[Current Price ($)]]-PricingDataTable[[#This Row],[Prior Price ($)]])/PricingDataTable[[#This Row],[Prior Price ($)]]</f>
        <v>1.2661983366988778E-2</v>
      </c>
      <c r="L803" s="9">
        <f>(PricingDataTable[[#This Row],[Vendor Price ($)]]-PricingDataTable[[#This Row],[Current Price ($)]])/PricingDataTable[[#This Row],[Current Price ($)]]</f>
        <v>-4.0616034903414623E-3</v>
      </c>
      <c r="M803" t="str">
        <f t="shared" si="24"/>
        <v>PASS</v>
      </c>
      <c r="N803" s="10" t="str">
        <f t="shared" si="25"/>
        <v>NONE</v>
      </c>
    </row>
    <row r="804" spans="1:14">
      <c r="A804" s="4" t="s">
        <v>1624</v>
      </c>
      <c r="B804" s="4" t="s">
        <v>1625</v>
      </c>
      <c r="C804" s="4" t="s">
        <v>19</v>
      </c>
      <c r="D804" s="4" t="s">
        <v>13</v>
      </c>
      <c r="E804" s="5">
        <v>74.651899999999998</v>
      </c>
      <c r="F804" s="5">
        <v>73.966899999999995</v>
      </c>
      <c r="G804" s="5">
        <v>73.864800000000002</v>
      </c>
      <c r="H804" s="4">
        <v>0</v>
      </c>
      <c r="I804" s="6">
        <v>2307459</v>
      </c>
      <c r="J804" s="7">
        <v>577.58000000000004</v>
      </c>
      <c r="K804" s="9">
        <f>(PricingDataTable[[#This Row],[Current Price ($)]]-PricingDataTable[[#This Row],[Prior Price ($)]])/PricingDataTable[[#This Row],[Prior Price ($)]]</f>
        <v>-9.1759218452578204E-3</v>
      </c>
      <c r="L804" s="9">
        <f>(PricingDataTable[[#This Row],[Vendor Price ($)]]-PricingDataTable[[#This Row],[Current Price ($)]])/PricingDataTable[[#This Row],[Current Price ($)]]</f>
        <v>-1.3803471552815243E-3</v>
      </c>
      <c r="M804" t="str">
        <f t="shared" si="24"/>
        <v>PASS</v>
      </c>
      <c r="N804" s="10" t="str">
        <f t="shared" si="25"/>
        <v>NONE</v>
      </c>
    </row>
    <row r="805" spans="1:14">
      <c r="A805" s="4" t="s">
        <v>1626</v>
      </c>
      <c r="B805" s="4" t="s">
        <v>1627</v>
      </c>
      <c r="C805" s="4" t="s">
        <v>35</v>
      </c>
      <c r="D805" s="4" t="s">
        <v>13</v>
      </c>
      <c r="E805" s="5">
        <v>50.802900000000001</v>
      </c>
      <c r="F805" s="5">
        <v>62.699300000000001</v>
      </c>
      <c r="G805" s="5">
        <v>62.785499999999999</v>
      </c>
      <c r="H805" s="4">
        <v>0</v>
      </c>
      <c r="I805" s="6">
        <v>4577718</v>
      </c>
      <c r="J805" s="7">
        <v>726.73</v>
      </c>
      <c r="K805" s="9">
        <f>(PricingDataTable[[#This Row],[Current Price ($)]]-PricingDataTable[[#This Row],[Prior Price ($)]])/PricingDataTable[[#This Row],[Prior Price ($)]]</f>
        <v>0.2341677345190924</v>
      </c>
      <c r="L805" s="9">
        <f>(PricingDataTable[[#This Row],[Vendor Price ($)]]-PricingDataTable[[#This Row],[Current Price ($)]])/PricingDataTable[[#This Row],[Current Price ($)]]</f>
        <v>1.3748159867813207E-3</v>
      </c>
      <c r="M805" t="str">
        <f t="shared" si="24"/>
        <v>LARGE MOVE</v>
      </c>
      <c r="N805" s="10" t="str">
        <f t="shared" si="25"/>
        <v>HIGH</v>
      </c>
    </row>
    <row r="806" spans="1:14">
      <c r="A806" s="4" t="s">
        <v>1628</v>
      </c>
      <c r="B806" s="4" t="s">
        <v>1629</v>
      </c>
      <c r="C806" s="4" t="s">
        <v>19</v>
      </c>
      <c r="D806" s="4" t="s">
        <v>36</v>
      </c>
      <c r="E806" s="5">
        <v>60.391599999999997</v>
      </c>
      <c r="F806" s="5">
        <v>60.264600000000002</v>
      </c>
      <c r="G806" s="5">
        <v>59.900100000000002</v>
      </c>
      <c r="H806" s="4">
        <v>2</v>
      </c>
      <c r="I806" s="6">
        <v>523823</v>
      </c>
      <c r="J806" s="7">
        <v>282.95</v>
      </c>
      <c r="K806" s="9">
        <f>(PricingDataTable[[#This Row],[Current Price ($)]]-PricingDataTable[[#This Row],[Prior Price ($)]])/PricingDataTable[[#This Row],[Prior Price ($)]]</f>
        <v>-2.1029414686809978E-3</v>
      </c>
      <c r="L806" s="9">
        <f>(PricingDataTable[[#This Row],[Vendor Price ($)]]-PricingDataTable[[#This Row],[Current Price ($)]])/PricingDataTable[[#This Row],[Current Price ($)]]</f>
        <v>-6.0483268784659585E-3</v>
      </c>
      <c r="M806" t="str">
        <f t="shared" si="24"/>
        <v>PASS</v>
      </c>
      <c r="N806" s="10" t="str">
        <f t="shared" si="25"/>
        <v>NONE</v>
      </c>
    </row>
    <row r="807" spans="1:14">
      <c r="A807" s="4" t="s">
        <v>1630</v>
      </c>
      <c r="B807" s="4" t="s">
        <v>1631</v>
      </c>
      <c r="C807" s="4" t="s">
        <v>35</v>
      </c>
      <c r="D807" s="4" t="s">
        <v>13</v>
      </c>
      <c r="E807" s="5">
        <v>111.2927</v>
      </c>
      <c r="F807" s="5">
        <v>113.8237</v>
      </c>
      <c r="G807" s="5">
        <v>113.8917</v>
      </c>
      <c r="H807" s="4">
        <v>1</v>
      </c>
      <c r="I807" s="6">
        <v>3073382</v>
      </c>
      <c r="J807" s="7">
        <v>464.8</v>
      </c>
      <c r="K807" s="9">
        <f>(PricingDataTable[[#This Row],[Current Price ($)]]-PricingDataTable[[#This Row],[Prior Price ($)]])/PricingDataTable[[#This Row],[Prior Price ($)]]</f>
        <v>2.2741833022291724E-2</v>
      </c>
      <c r="L807" s="9">
        <f>(PricingDataTable[[#This Row],[Vendor Price ($)]]-PricingDataTable[[#This Row],[Current Price ($)]])/PricingDataTable[[#This Row],[Current Price ($)]]</f>
        <v>5.9741512532098179E-4</v>
      </c>
      <c r="M807" t="str">
        <f t="shared" si="24"/>
        <v>PASS</v>
      </c>
      <c r="N807" s="10" t="str">
        <f t="shared" si="25"/>
        <v>NONE</v>
      </c>
    </row>
    <row r="808" spans="1:14">
      <c r="A808" s="4" t="s">
        <v>1632</v>
      </c>
      <c r="B808" s="4" t="s">
        <v>1633</v>
      </c>
      <c r="C808" s="4" t="s">
        <v>16</v>
      </c>
      <c r="D808" s="4" t="s">
        <v>13</v>
      </c>
      <c r="E808" s="5">
        <v>78.074200000000005</v>
      </c>
      <c r="F808" s="5">
        <v>78.630600000000001</v>
      </c>
      <c r="G808" s="5">
        <v>79.004499999999993</v>
      </c>
      <c r="H808" s="4">
        <v>0</v>
      </c>
      <c r="I808" s="6">
        <v>4241154</v>
      </c>
      <c r="J808" s="7">
        <v>368.44</v>
      </c>
      <c r="K808" s="9">
        <f>(PricingDataTable[[#This Row],[Current Price ($)]]-PricingDataTable[[#This Row],[Prior Price ($)]])/PricingDataTable[[#This Row],[Prior Price ($)]]</f>
        <v>7.1265539704537017E-3</v>
      </c>
      <c r="L808" s="9">
        <f>(PricingDataTable[[#This Row],[Vendor Price ($)]]-PricingDataTable[[#This Row],[Current Price ($)]])/PricingDataTable[[#This Row],[Current Price ($)]]</f>
        <v>4.7551462153409985E-3</v>
      </c>
      <c r="M808" t="str">
        <f t="shared" si="24"/>
        <v>PASS</v>
      </c>
      <c r="N808" s="10" t="str">
        <f t="shared" si="25"/>
        <v>NONE</v>
      </c>
    </row>
    <row r="809" spans="1:14">
      <c r="A809" s="4" t="s">
        <v>1634</v>
      </c>
      <c r="B809" s="4" t="s">
        <v>1635</v>
      </c>
      <c r="C809" s="4" t="s">
        <v>19</v>
      </c>
      <c r="D809" s="4" t="s">
        <v>13</v>
      </c>
      <c r="E809" s="5">
        <v>48.258400000000002</v>
      </c>
      <c r="F809" s="5">
        <v>47.181699999999999</v>
      </c>
      <c r="G809" s="5">
        <v>47.238300000000002</v>
      </c>
      <c r="H809" s="4">
        <v>0</v>
      </c>
      <c r="I809" s="6">
        <v>725923</v>
      </c>
      <c r="J809" s="7">
        <v>167.26</v>
      </c>
      <c r="K809" s="9">
        <f>(PricingDataTable[[#This Row],[Current Price ($)]]-PricingDataTable[[#This Row],[Prior Price ($)]])/PricingDataTable[[#This Row],[Prior Price ($)]]</f>
        <v>-2.2311141687250353E-2</v>
      </c>
      <c r="L809" s="9">
        <f>(PricingDataTable[[#This Row],[Vendor Price ($)]]-PricingDataTable[[#This Row],[Current Price ($)]])/PricingDataTable[[#This Row],[Current Price ($)]]</f>
        <v>1.1996176483679709E-3</v>
      </c>
      <c r="M809" t="str">
        <f t="shared" si="24"/>
        <v>PASS</v>
      </c>
      <c r="N809" s="10" t="str">
        <f t="shared" si="25"/>
        <v>NONE</v>
      </c>
    </row>
    <row r="810" spans="1:14">
      <c r="A810" s="4" t="s">
        <v>1636</v>
      </c>
      <c r="B810" s="4" t="s">
        <v>1637</v>
      </c>
      <c r="C810" s="4" t="s">
        <v>39</v>
      </c>
      <c r="D810" s="4" t="s">
        <v>32</v>
      </c>
      <c r="E810" s="5">
        <v>82.393799999999999</v>
      </c>
      <c r="F810" s="5">
        <v>82.106800000000007</v>
      </c>
      <c r="G810" s="5">
        <v>82.178799999999995</v>
      </c>
      <c r="H810" s="4">
        <v>1</v>
      </c>
      <c r="I810" s="6">
        <v>1603946</v>
      </c>
      <c r="J810" s="7">
        <v>672.72</v>
      </c>
      <c r="K810" s="9">
        <f>(PricingDataTable[[#This Row],[Current Price ($)]]-PricingDataTable[[#This Row],[Prior Price ($)]])/PricingDataTable[[#This Row],[Prior Price ($)]]</f>
        <v>-3.4832717995770548E-3</v>
      </c>
      <c r="L810" s="9">
        <f>(PricingDataTable[[#This Row],[Vendor Price ($)]]-PricingDataTable[[#This Row],[Current Price ($)]])/PricingDataTable[[#This Row],[Current Price ($)]]</f>
        <v>8.7690666302898805E-4</v>
      </c>
      <c r="M810" t="str">
        <f t="shared" si="24"/>
        <v>PASS</v>
      </c>
      <c r="N810" s="10" t="str">
        <f t="shared" si="25"/>
        <v>NONE</v>
      </c>
    </row>
    <row r="811" spans="1:14">
      <c r="A811" s="4" t="s">
        <v>1638</v>
      </c>
      <c r="B811" s="4" t="s">
        <v>1639</v>
      </c>
      <c r="C811" s="4" t="s">
        <v>19</v>
      </c>
      <c r="D811" s="4" t="s">
        <v>13</v>
      </c>
      <c r="E811" s="5">
        <v>106.1802</v>
      </c>
      <c r="F811" s="5">
        <v>105.8826</v>
      </c>
      <c r="G811" s="5">
        <v>106.28570000000001</v>
      </c>
      <c r="H811" s="4">
        <v>0</v>
      </c>
      <c r="I811" s="6">
        <v>2176619</v>
      </c>
      <c r="J811" s="7">
        <v>627.86</v>
      </c>
      <c r="K811" s="9">
        <f>(PricingDataTable[[#This Row],[Current Price ($)]]-PricingDataTable[[#This Row],[Prior Price ($)]])/PricingDataTable[[#This Row],[Prior Price ($)]]</f>
        <v>-2.8027824396639179E-3</v>
      </c>
      <c r="L811" s="9">
        <f>(PricingDataTable[[#This Row],[Vendor Price ($)]]-PricingDataTable[[#This Row],[Current Price ($)]])/PricingDataTable[[#This Row],[Current Price ($)]]</f>
        <v>3.8070466724467395E-3</v>
      </c>
      <c r="M811" t="str">
        <f t="shared" si="24"/>
        <v>PASS</v>
      </c>
      <c r="N811" s="10" t="str">
        <f t="shared" si="25"/>
        <v>NONE</v>
      </c>
    </row>
    <row r="812" spans="1:14">
      <c r="A812" s="4" t="s">
        <v>1640</v>
      </c>
      <c r="B812" s="4" t="s">
        <v>1641</v>
      </c>
      <c r="C812" s="4" t="s">
        <v>16</v>
      </c>
      <c r="D812" s="4" t="s">
        <v>13</v>
      </c>
      <c r="E812" s="5">
        <v>92.442999999999998</v>
      </c>
      <c r="F812" s="5">
        <v>91.680899999999994</v>
      </c>
      <c r="G812" s="5">
        <v>91.447100000000006</v>
      </c>
      <c r="H812" s="4">
        <v>0</v>
      </c>
      <c r="I812" s="6">
        <v>4513641</v>
      </c>
      <c r="J812" s="7">
        <v>511.93</v>
      </c>
      <c r="K812" s="9">
        <f>(PricingDataTable[[#This Row],[Current Price ($)]]-PricingDataTable[[#This Row],[Prior Price ($)]])/PricingDataTable[[#This Row],[Prior Price ($)]]</f>
        <v>-8.2439990047921824E-3</v>
      </c>
      <c r="L812" s="9">
        <f>(PricingDataTable[[#This Row],[Vendor Price ($)]]-PricingDataTable[[#This Row],[Current Price ($)]])/PricingDataTable[[#This Row],[Current Price ($)]]</f>
        <v>-2.5501494858796983E-3</v>
      </c>
      <c r="M812" t="str">
        <f t="shared" si="24"/>
        <v>PASS</v>
      </c>
      <c r="N812" s="10" t="str">
        <f t="shared" si="25"/>
        <v>NONE</v>
      </c>
    </row>
    <row r="813" spans="1:14">
      <c r="A813" s="4" t="s">
        <v>1642</v>
      </c>
      <c r="B813" s="4" t="s">
        <v>1643</v>
      </c>
      <c r="C813" s="4" t="s">
        <v>19</v>
      </c>
      <c r="D813" s="4" t="s">
        <v>32</v>
      </c>
      <c r="E813" s="5">
        <v>280.32479999999998</v>
      </c>
      <c r="F813" s="5">
        <v>281.70319999999998</v>
      </c>
      <c r="G813" s="5">
        <v>282.9674</v>
      </c>
      <c r="H813" s="4">
        <v>1</v>
      </c>
      <c r="I813" s="6">
        <v>2167054</v>
      </c>
      <c r="J813" s="7">
        <v>196.59</v>
      </c>
      <c r="K813" s="9">
        <f>(PricingDataTable[[#This Row],[Current Price ($)]]-PricingDataTable[[#This Row],[Prior Price ($)]])/PricingDataTable[[#This Row],[Prior Price ($)]]</f>
        <v>4.9171532450928328E-3</v>
      </c>
      <c r="L813" s="9">
        <f>(PricingDataTable[[#This Row],[Vendor Price ($)]]-PricingDataTable[[#This Row],[Current Price ($)]])/PricingDataTable[[#This Row],[Current Price ($)]]</f>
        <v>4.487701950137651E-3</v>
      </c>
      <c r="M813" t="str">
        <f t="shared" si="24"/>
        <v>PASS</v>
      </c>
      <c r="N813" s="10" t="str">
        <f t="shared" si="25"/>
        <v>NONE</v>
      </c>
    </row>
    <row r="814" spans="1:14">
      <c r="A814" s="4" t="s">
        <v>1644</v>
      </c>
      <c r="B814" s="4" t="s">
        <v>1645</v>
      </c>
      <c r="C814" s="4" t="s">
        <v>35</v>
      </c>
      <c r="D814" s="4" t="s">
        <v>13</v>
      </c>
      <c r="E814" s="5">
        <v>114.3382</v>
      </c>
      <c r="F814" s="5">
        <v>112.8171</v>
      </c>
      <c r="G814" s="5">
        <v>112.876</v>
      </c>
      <c r="H814" s="4">
        <v>0</v>
      </c>
      <c r="I814" s="6">
        <v>878557</v>
      </c>
      <c r="J814" s="7">
        <v>566.6</v>
      </c>
      <c r="K814" s="9">
        <f>(PricingDataTable[[#This Row],[Current Price ($)]]-PricingDataTable[[#This Row],[Prior Price ($)]])/PricingDataTable[[#This Row],[Prior Price ($)]]</f>
        <v>-1.3303515360570693E-2</v>
      </c>
      <c r="L814" s="9">
        <f>(PricingDataTable[[#This Row],[Vendor Price ($)]]-PricingDataTable[[#This Row],[Current Price ($)]])/PricingDataTable[[#This Row],[Current Price ($)]]</f>
        <v>5.2208397485849569E-4</v>
      </c>
      <c r="M814" t="str">
        <f t="shared" si="24"/>
        <v>PASS</v>
      </c>
      <c r="N814" s="10" t="str">
        <f t="shared" si="25"/>
        <v>NONE</v>
      </c>
    </row>
    <row r="815" spans="1:14">
      <c r="A815" s="4" t="s">
        <v>1646</v>
      </c>
      <c r="B815" s="4" t="s">
        <v>1647</v>
      </c>
      <c r="C815" s="4" t="s">
        <v>16</v>
      </c>
      <c r="D815" s="4" t="s">
        <v>13</v>
      </c>
      <c r="E815" s="5">
        <v>107.39409999999999</v>
      </c>
      <c r="F815" s="5">
        <v>109.69670000000001</v>
      </c>
      <c r="G815" s="5">
        <v>110.1251</v>
      </c>
      <c r="H815" s="4">
        <v>0</v>
      </c>
      <c r="I815" s="6">
        <v>3829943</v>
      </c>
      <c r="J815" s="7">
        <v>534.29999999999995</v>
      </c>
      <c r="K815" s="9">
        <f>(PricingDataTable[[#This Row],[Current Price ($)]]-PricingDataTable[[#This Row],[Prior Price ($)]])/PricingDataTable[[#This Row],[Prior Price ($)]]</f>
        <v>2.1440656423397677E-2</v>
      </c>
      <c r="L815" s="9">
        <f>(PricingDataTable[[#This Row],[Vendor Price ($)]]-PricingDataTable[[#This Row],[Current Price ($)]])/PricingDataTable[[#This Row],[Current Price ($)]]</f>
        <v>3.9053134688645723E-3</v>
      </c>
      <c r="M815" t="str">
        <f t="shared" si="24"/>
        <v>PASS</v>
      </c>
      <c r="N815" s="10" t="str">
        <f t="shared" si="25"/>
        <v>NONE</v>
      </c>
    </row>
    <row r="816" spans="1:14">
      <c r="A816" s="4" t="s">
        <v>1648</v>
      </c>
      <c r="B816" s="4" t="s">
        <v>1649</v>
      </c>
      <c r="C816" s="4" t="s">
        <v>39</v>
      </c>
      <c r="D816" s="4" t="s">
        <v>13</v>
      </c>
      <c r="E816" s="5">
        <v>91.307299999999998</v>
      </c>
      <c r="F816" s="5">
        <v>91.06</v>
      </c>
      <c r="G816" s="5">
        <v>90.694900000000004</v>
      </c>
      <c r="H816" s="4">
        <v>0</v>
      </c>
      <c r="I816" s="6">
        <v>4253695</v>
      </c>
      <c r="J816" s="7">
        <v>97.25</v>
      </c>
      <c r="K816" s="9">
        <f>(PricingDataTable[[#This Row],[Current Price ($)]]-PricingDataTable[[#This Row],[Prior Price ($)]])/PricingDataTable[[#This Row],[Prior Price ($)]]</f>
        <v>-2.7084362367521069E-3</v>
      </c>
      <c r="L816" s="9">
        <f>(PricingDataTable[[#This Row],[Vendor Price ($)]]-PricingDataTable[[#This Row],[Current Price ($)]])/PricingDataTable[[#This Row],[Current Price ($)]]</f>
        <v>-4.0094443224247553E-3</v>
      </c>
      <c r="M816" t="str">
        <f t="shared" si="24"/>
        <v>PASS</v>
      </c>
      <c r="N816" s="10" t="str">
        <f t="shared" si="25"/>
        <v>NONE</v>
      </c>
    </row>
    <row r="817" spans="1:14">
      <c r="A817" s="4" t="s">
        <v>1650</v>
      </c>
      <c r="B817" s="4" t="s">
        <v>1651</v>
      </c>
      <c r="C817" s="4" t="s">
        <v>35</v>
      </c>
      <c r="D817" s="4" t="s">
        <v>13</v>
      </c>
      <c r="E817" s="5">
        <v>7.0827999999999998</v>
      </c>
      <c r="F817" s="5">
        <v>6.8912000000000004</v>
      </c>
      <c r="G817" s="5">
        <v>6.8876999999999997</v>
      </c>
      <c r="H817" s="4">
        <v>3</v>
      </c>
      <c r="I817" s="6">
        <v>1171623</v>
      </c>
      <c r="J817" s="7">
        <v>117.08</v>
      </c>
      <c r="K817" s="9">
        <f>(PricingDataTable[[#This Row],[Current Price ($)]]-PricingDataTable[[#This Row],[Prior Price ($)]])/PricingDataTable[[#This Row],[Prior Price ($)]]</f>
        <v>-2.7051448579657668E-2</v>
      </c>
      <c r="L817" s="9">
        <f>(PricingDataTable[[#This Row],[Vendor Price ($)]]-PricingDataTable[[#This Row],[Current Price ($)]])/PricingDataTable[[#This Row],[Current Price ($)]]</f>
        <v>-5.0789412584175829E-4</v>
      </c>
      <c r="M817" t="str">
        <f t="shared" si="24"/>
        <v>STALE</v>
      </c>
      <c r="N817" s="10" t="str">
        <f t="shared" si="25"/>
        <v>LOW</v>
      </c>
    </row>
    <row r="818" spans="1:14">
      <c r="A818" s="4" t="s">
        <v>1652</v>
      </c>
      <c r="B818" s="4" t="s">
        <v>1653</v>
      </c>
      <c r="C818" s="4" t="s">
        <v>35</v>
      </c>
      <c r="D818" s="4" t="s">
        <v>13</v>
      </c>
      <c r="E818" s="5">
        <v>138.31649999999999</v>
      </c>
      <c r="F818" s="5">
        <v>138.90110000000001</v>
      </c>
      <c r="G818" s="5">
        <v>132.34639999999999</v>
      </c>
      <c r="H818" s="4">
        <v>0</v>
      </c>
      <c r="I818" s="6">
        <v>1706588</v>
      </c>
      <c r="J818" s="7">
        <v>393.01</v>
      </c>
      <c r="K818" s="9">
        <f>(PricingDataTable[[#This Row],[Current Price ($)]]-PricingDataTable[[#This Row],[Prior Price ($)]])/PricingDataTable[[#This Row],[Prior Price ($)]]</f>
        <v>4.2265384100958533E-3</v>
      </c>
      <c r="L818" s="9">
        <f>(PricingDataTable[[#This Row],[Vendor Price ($)]]-PricingDataTable[[#This Row],[Current Price ($)]])/PricingDataTable[[#This Row],[Current Price ($)]]</f>
        <v>-4.7189691082360215E-2</v>
      </c>
      <c r="M818" t="str">
        <f t="shared" si="24"/>
        <v>VENDOR DIFFERENCE</v>
      </c>
      <c r="N818" s="10" t="str">
        <f t="shared" si="25"/>
        <v>MEDIUM</v>
      </c>
    </row>
    <row r="819" spans="1:14">
      <c r="A819" s="4" t="s">
        <v>1654</v>
      </c>
      <c r="B819" s="4" t="s">
        <v>1655</v>
      </c>
      <c r="C819" s="4" t="s">
        <v>19</v>
      </c>
      <c r="D819" s="4" t="s">
        <v>13</v>
      </c>
      <c r="E819" s="5">
        <v>273.25810000000001</v>
      </c>
      <c r="F819" s="5">
        <v>275.1891</v>
      </c>
      <c r="G819" s="5">
        <v>275.20420000000001</v>
      </c>
      <c r="H819" s="4">
        <v>0</v>
      </c>
      <c r="I819" s="6">
        <v>3157562</v>
      </c>
      <c r="J819" s="7">
        <v>748.25</v>
      </c>
      <c r="K819" s="9">
        <f>(PricingDataTable[[#This Row],[Current Price ($)]]-PricingDataTable[[#This Row],[Prior Price ($)]])/PricingDataTable[[#This Row],[Prior Price ($)]]</f>
        <v>7.0665791791715707E-3</v>
      </c>
      <c r="L819" s="9">
        <f>(PricingDataTable[[#This Row],[Vendor Price ($)]]-PricingDataTable[[#This Row],[Current Price ($)]])/PricingDataTable[[#This Row],[Current Price ($)]]</f>
        <v>5.4871359367133724E-5</v>
      </c>
      <c r="M819" t="str">
        <f t="shared" si="24"/>
        <v>PASS</v>
      </c>
      <c r="N819" s="10" t="str">
        <f t="shared" si="25"/>
        <v>NONE</v>
      </c>
    </row>
    <row r="820" spans="1:14">
      <c r="A820" s="4" t="s">
        <v>1656</v>
      </c>
      <c r="B820" s="4" t="s">
        <v>1657</v>
      </c>
      <c r="C820" s="4" t="s">
        <v>39</v>
      </c>
      <c r="D820" s="4" t="s">
        <v>13</v>
      </c>
      <c r="E820" s="5">
        <v>51.947800000000001</v>
      </c>
      <c r="F820" s="5">
        <v>51.975099999999998</v>
      </c>
      <c r="G820" s="5">
        <v>51.8919</v>
      </c>
      <c r="H820" s="4">
        <v>1</v>
      </c>
      <c r="I820" s="6">
        <v>3304856</v>
      </c>
      <c r="J820" s="7">
        <v>480.8</v>
      </c>
      <c r="K820" s="9">
        <f>(PricingDataTable[[#This Row],[Current Price ($)]]-PricingDataTable[[#This Row],[Prior Price ($)]])/PricingDataTable[[#This Row],[Prior Price ($)]]</f>
        <v>5.2552754880854952E-4</v>
      </c>
      <c r="L820" s="9">
        <f>(PricingDataTable[[#This Row],[Vendor Price ($)]]-PricingDataTable[[#This Row],[Current Price ($)]])/PricingDataTable[[#This Row],[Current Price ($)]]</f>
        <v>-1.6007665208916952E-3</v>
      </c>
      <c r="M820" t="str">
        <f t="shared" si="24"/>
        <v>PASS</v>
      </c>
      <c r="N820" s="10" t="str">
        <f t="shared" si="25"/>
        <v>NONE</v>
      </c>
    </row>
    <row r="821" spans="1:14">
      <c r="A821" s="4" t="s">
        <v>1658</v>
      </c>
      <c r="B821" s="4" t="s">
        <v>1659</v>
      </c>
      <c r="C821" s="4" t="s">
        <v>12</v>
      </c>
      <c r="D821" s="4" t="s">
        <v>237</v>
      </c>
      <c r="E821" s="5">
        <v>76.344800000000006</v>
      </c>
      <c r="F821" s="5"/>
      <c r="G821" s="5">
        <v>76.681700000000006</v>
      </c>
      <c r="H821" s="4">
        <v>0</v>
      </c>
      <c r="I821" s="6">
        <v>3341182</v>
      </c>
      <c r="J821" s="7">
        <v>823.14</v>
      </c>
      <c r="K821" s="9">
        <f>(PricingDataTable[[#This Row],[Current Price ($)]]-PricingDataTable[[#This Row],[Prior Price ($)]])/PricingDataTable[[#This Row],[Prior Price ($)]]</f>
        <v>-1</v>
      </c>
      <c r="L821" s="9" t="e">
        <f>(PricingDataTable[[#This Row],[Vendor Price ($)]]-PricingDataTable[[#This Row],[Current Price ($)]])/PricingDataTable[[#This Row],[Current Price ($)]]</f>
        <v>#DIV/0!</v>
      </c>
      <c r="M821" t="str">
        <f t="shared" si="24"/>
        <v>MISSING</v>
      </c>
      <c r="N821" s="10" t="str">
        <f t="shared" si="25"/>
        <v>HIGH</v>
      </c>
    </row>
    <row r="822" spans="1:14">
      <c r="A822" s="4" t="s">
        <v>1660</v>
      </c>
      <c r="B822" s="4" t="s">
        <v>1661</v>
      </c>
      <c r="C822" s="4" t="s">
        <v>19</v>
      </c>
      <c r="D822" s="4" t="s">
        <v>13</v>
      </c>
      <c r="E822" s="5">
        <v>80.241500000000002</v>
      </c>
      <c r="F822" s="5">
        <v>79.435599999999994</v>
      </c>
      <c r="G822" s="5">
        <v>79.521299999999997</v>
      </c>
      <c r="H822" s="4">
        <v>0</v>
      </c>
      <c r="I822" s="6">
        <v>293147</v>
      </c>
      <c r="J822" s="7">
        <v>235.07</v>
      </c>
      <c r="K822" s="9">
        <f>(PricingDataTable[[#This Row],[Current Price ($)]]-PricingDataTable[[#This Row],[Prior Price ($)]])/PricingDataTable[[#This Row],[Prior Price ($)]]</f>
        <v>-1.0043431391487051E-2</v>
      </c>
      <c r="L822" s="9">
        <f>(PricingDataTable[[#This Row],[Vendor Price ($)]]-PricingDataTable[[#This Row],[Current Price ($)]])/PricingDataTable[[#This Row],[Current Price ($)]]</f>
        <v>1.0788613669438234E-3</v>
      </c>
      <c r="M822" t="str">
        <f t="shared" si="24"/>
        <v>PASS</v>
      </c>
      <c r="N822" s="10" t="str">
        <f t="shared" si="25"/>
        <v>NONE</v>
      </c>
    </row>
    <row r="823" spans="1:14">
      <c r="A823" s="4" t="s">
        <v>1662</v>
      </c>
      <c r="B823" s="4" t="s">
        <v>1663</v>
      </c>
      <c r="C823" s="4" t="s">
        <v>19</v>
      </c>
      <c r="D823" s="4" t="s">
        <v>13</v>
      </c>
      <c r="E823" s="5">
        <v>293.3075</v>
      </c>
      <c r="F823" s="5">
        <v>291.88099999999997</v>
      </c>
      <c r="G823" s="5">
        <v>291.96050000000002</v>
      </c>
      <c r="H823" s="4">
        <v>2</v>
      </c>
      <c r="I823" s="6">
        <v>2677182</v>
      </c>
      <c r="J823" s="7">
        <v>116.04</v>
      </c>
      <c r="K823" s="9">
        <f>(PricingDataTable[[#This Row],[Current Price ($)]]-PricingDataTable[[#This Row],[Prior Price ($)]])/PricingDataTable[[#This Row],[Prior Price ($)]]</f>
        <v>-4.8634965011124251E-3</v>
      </c>
      <c r="L823" s="9">
        <f>(PricingDataTable[[#This Row],[Vendor Price ($)]]-PricingDataTable[[#This Row],[Current Price ($)]])/PricingDataTable[[#This Row],[Current Price ($)]]</f>
        <v>2.7237127459496426E-4</v>
      </c>
      <c r="M823" t="str">
        <f t="shared" si="24"/>
        <v>PASS</v>
      </c>
      <c r="N823" s="10" t="str">
        <f t="shared" si="25"/>
        <v>NONE</v>
      </c>
    </row>
    <row r="824" spans="1:14">
      <c r="A824" s="4" t="s">
        <v>1664</v>
      </c>
      <c r="B824" s="4" t="s">
        <v>1665</v>
      </c>
      <c r="C824" s="4" t="s">
        <v>12</v>
      </c>
      <c r="D824" s="4" t="s">
        <v>13</v>
      </c>
      <c r="E824" s="5">
        <v>107.6909</v>
      </c>
      <c r="F824" s="5">
        <v>107.04</v>
      </c>
      <c r="G824" s="5">
        <v>106.7449</v>
      </c>
      <c r="H824" s="4">
        <v>1</v>
      </c>
      <c r="I824" s="6">
        <v>3778138</v>
      </c>
      <c r="J824" s="7">
        <v>451.96</v>
      </c>
      <c r="K824" s="9">
        <f>(PricingDataTable[[#This Row],[Current Price ($)]]-PricingDataTable[[#This Row],[Prior Price ($)]])/PricingDataTable[[#This Row],[Prior Price ($)]]</f>
        <v>-6.0441504342520396E-3</v>
      </c>
      <c r="L824" s="9">
        <f>(PricingDataTable[[#This Row],[Vendor Price ($)]]-PricingDataTable[[#This Row],[Current Price ($)]])/PricingDataTable[[#This Row],[Current Price ($)]]</f>
        <v>-2.756913303438014E-3</v>
      </c>
      <c r="M824" t="str">
        <f t="shared" si="24"/>
        <v>PASS</v>
      </c>
      <c r="N824" s="10" t="str">
        <f t="shared" si="25"/>
        <v>NONE</v>
      </c>
    </row>
    <row r="825" spans="1:14">
      <c r="A825" s="4" t="s">
        <v>1666</v>
      </c>
      <c r="B825" s="4" t="s">
        <v>1667</v>
      </c>
      <c r="C825" s="4" t="s">
        <v>39</v>
      </c>
      <c r="D825" s="4" t="s">
        <v>237</v>
      </c>
      <c r="E825" s="5">
        <v>46.191899999999997</v>
      </c>
      <c r="F825" s="5"/>
      <c r="G825" s="5">
        <v>46.575600000000001</v>
      </c>
      <c r="H825" s="4">
        <v>0</v>
      </c>
      <c r="I825" s="6">
        <v>4951562</v>
      </c>
      <c r="J825" s="7">
        <v>232.2</v>
      </c>
      <c r="K825" s="9">
        <f>(PricingDataTable[[#This Row],[Current Price ($)]]-PricingDataTable[[#This Row],[Prior Price ($)]])/PricingDataTable[[#This Row],[Prior Price ($)]]</f>
        <v>-1</v>
      </c>
      <c r="L825" s="9" t="e">
        <f>(PricingDataTable[[#This Row],[Vendor Price ($)]]-PricingDataTable[[#This Row],[Current Price ($)]])/PricingDataTable[[#This Row],[Current Price ($)]]</f>
        <v>#DIV/0!</v>
      </c>
      <c r="M825" t="str">
        <f t="shared" si="24"/>
        <v>MISSING</v>
      </c>
      <c r="N825" s="10" t="str">
        <f t="shared" si="25"/>
        <v>HIGH</v>
      </c>
    </row>
    <row r="826" spans="1:14">
      <c r="A826" s="4" t="s">
        <v>1668</v>
      </c>
      <c r="B826" s="4" t="s">
        <v>1669</v>
      </c>
      <c r="C826" s="4" t="s">
        <v>12</v>
      </c>
      <c r="D826" s="4" t="s">
        <v>13</v>
      </c>
      <c r="E826" s="5">
        <v>77.427199999999999</v>
      </c>
      <c r="F826" s="5">
        <v>77.333500000000001</v>
      </c>
      <c r="G826" s="5">
        <v>77.449299999999994</v>
      </c>
      <c r="H826" s="4">
        <v>2</v>
      </c>
      <c r="I826" s="6">
        <v>2831834</v>
      </c>
      <c r="J826" s="7">
        <v>607.55999999999995</v>
      </c>
      <c r="K826" s="9">
        <f>(PricingDataTable[[#This Row],[Current Price ($)]]-PricingDataTable[[#This Row],[Prior Price ($)]])/PricingDataTable[[#This Row],[Prior Price ($)]]</f>
        <v>-1.2101690362043098E-3</v>
      </c>
      <c r="L826" s="9">
        <f>(PricingDataTable[[#This Row],[Vendor Price ($)]]-PricingDataTable[[#This Row],[Current Price ($)]])/PricingDataTable[[#This Row],[Current Price ($)]]</f>
        <v>1.4974105659254142E-3</v>
      </c>
      <c r="M826" t="str">
        <f t="shared" si="24"/>
        <v>PASS</v>
      </c>
      <c r="N826" s="10" t="str">
        <f t="shared" si="25"/>
        <v>NONE</v>
      </c>
    </row>
    <row r="827" spans="1:14">
      <c r="A827" s="4" t="s">
        <v>1670</v>
      </c>
      <c r="B827" s="4" t="s">
        <v>1671</v>
      </c>
      <c r="C827" s="4" t="s">
        <v>19</v>
      </c>
      <c r="D827" s="4" t="s">
        <v>13</v>
      </c>
      <c r="E827" s="5">
        <v>150.63460000000001</v>
      </c>
      <c r="F827" s="5">
        <v>149.19919999999999</v>
      </c>
      <c r="G827" s="5">
        <v>149.3227</v>
      </c>
      <c r="H827" s="4">
        <v>1</v>
      </c>
      <c r="I827" s="6">
        <v>1470966</v>
      </c>
      <c r="J827" s="7">
        <v>75.83</v>
      </c>
      <c r="K827" s="9">
        <f>(PricingDataTable[[#This Row],[Current Price ($)]]-PricingDataTable[[#This Row],[Prior Price ($)]])/PricingDataTable[[#This Row],[Prior Price ($)]]</f>
        <v>-9.5290192293139529E-3</v>
      </c>
      <c r="L827" s="9">
        <f>(PricingDataTable[[#This Row],[Vendor Price ($)]]-PricingDataTable[[#This Row],[Current Price ($)]])/PricingDataTable[[#This Row],[Current Price ($)]]</f>
        <v>8.2775242762700505E-4</v>
      </c>
      <c r="M827" t="str">
        <f t="shared" si="24"/>
        <v>PASS</v>
      </c>
      <c r="N827" s="10" t="str">
        <f t="shared" si="25"/>
        <v>NONE</v>
      </c>
    </row>
    <row r="828" spans="1:14">
      <c r="A828" s="4" t="s">
        <v>1672</v>
      </c>
      <c r="B828" s="4" t="s">
        <v>1673</v>
      </c>
      <c r="C828" s="4" t="s">
        <v>12</v>
      </c>
      <c r="D828" s="4" t="s">
        <v>13</v>
      </c>
      <c r="E828" s="5">
        <v>96.555000000000007</v>
      </c>
      <c r="F828" s="5">
        <v>96.076499999999996</v>
      </c>
      <c r="G828" s="5">
        <v>96.837500000000006</v>
      </c>
      <c r="H828" s="4">
        <v>1</v>
      </c>
      <c r="I828" s="6">
        <v>4392929</v>
      </c>
      <c r="J828" s="7">
        <v>512.25</v>
      </c>
      <c r="K828" s="9">
        <f>(PricingDataTable[[#This Row],[Current Price ($)]]-PricingDataTable[[#This Row],[Prior Price ($)]])/PricingDataTable[[#This Row],[Prior Price ($)]]</f>
        <v>-4.9557247164829475E-3</v>
      </c>
      <c r="L828" s="9">
        <f>(PricingDataTable[[#This Row],[Vendor Price ($)]]-PricingDataTable[[#This Row],[Current Price ($)]])/PricingDataTable[[#This Row],[Current Price ($)]]</f>
        <v>7.9207714685694212E-3</v>
      </c>
      <c r="M828" t="str">
        <f t="shared" si="24"/>
        <v>PASS</v>
      </c>
      <c r="N828" s="10" t="str">
        <f t="shared" si="25"/>
        <v>NONE</v>
      </c>
    </row>
    <row r="829" spans="1:14">
      <c r="A829" s="4" t="s">
        <v>1674</v>
      </c>
      <c r="B829" s="4" t="s">
        <v>1675</v>
      </c>
      <c r="C829" s="4" t="s">
        <v>19</v>
      </c>
      <c r="D829" s="4" t="s">
        <v>13</v>
      </c>
      <c r="E829" s="5">
        <v>216.3989</v>
      </c>
      <c r="F829" s="5">
        <v>215.6206</v>
      </c>
      <c r="G829" s="5">
        <v>214.453</v>
      </c>
      <c r="H829" s="4">
        <v>1</v>
      </c>
      <c r="I829" s="6">
        <v>2534241</v>
      </c>
      <c r="J829" s="7">
        <v>380.39</v>
      </c>
      <c r="K829" s="9">
        <f>(PricingDataTable[[#This Row],[Current Price ($)]]-PricingDataTable[[#This Row],[Prior Price ($)]])/PricingDataTable[[#This Row],[Prior Price ($)]]</f>
        <v>-3.5965986888103476E-3</v>
      </c>
      <c r="L829" s="9">
        <f>(PricingDataTable[[#This Row],[Vendor Price ($)]]-PricingDataTable[[#This Row],[Current Price ($)]])/PricingDataTable[[#This Row],[Current Price ($)]]</f>
        <v>-5.4150670204980095E-3</v>
      </c>
      <c r="M829" t="str">
        <f t="shared" si="24"/>
        <v>PASS</v>
      </c>
      <c r="N829" s="10" t="str">
        <f t="shared" si="25"/>
        <v>NONE</v>
      </c>
    </row>
    <row r="830" spans="1:14">
      <c r="A830" s="4" t="s">
        <v>1676</v>
      </c>
      <c r="B830" s="4" t="s">
        <v>1677</v>
      </c>
      <c r="C830" s="4" t="s">
        <v>35</v>
      </c>
      <c r="D830" s="4" t="s">
        <v>13</v>
      </c>
      <c r="E830" s="5">
        <v>118.2154</v>
      </c>
      <c r="F830" s="5">
        <v>120.2182</v>
      </c>
      <c r="G830" s="5">
        <v>119.7574</v>
      </c>
      <c r="H830" s="4">
        <v>0</v>
      </c>
      <c r="I830" s="6">
        <v>4313076</v>
      </c>
      <c r="J830" s="7">
        <v>485.33</v>
      </c>
      <c r="K830" s="9">
        <f>(PricingDataTable[[#This Row],[Current Price ($)]]-PricingDataTable[[#This Row],[Prior Price ($)]])/PricingDataTable[[#This Row],[Prior Price ($)]]</f>
        <v>1.6941955109063569E-2</v>
      </c>
      <c r="L830" s="9">
        <f>(PricingDataTable[[#This Row],[Vendor Price ($)]]-PricingDataTable[[#This Row],[Current Price ($)]])/PricingDataTable[[#This Row],[Current Price ($)]]</f>
        <v>-3.83303027328634E-3</v>
      </c>
      <c r="M830" t="str">
        <f t="shared" si="24"/>
        <v>PASS</v>
      </c>
      <c r="N830" s="10" t="str">
        <f t="shared" si="25"/>
        <v>NONE</v>
      </c>
    </row>
    <row r="831" spans="1:14">
      <c r="A831" s="4" t="s">
        <v>1678</v>
      </c>
      <c r="B831" s="4" t="s">
        <v>1679</v>
      </c>
      <c r="C831" s="4" t="s">
        <v>16</v>
      </c>
      <c r="D831" s="4" t="s">
        <v>13</v>
      </c>
      <c r="E831" s="5">
        <v>113.036</v>
      </c>
      <c r="F831" s="5">
        <v>110.96169999999999</v>
      </c>
      <c r="G831" s="5">
        <v>111.1746</v>
      </c>
      <c r="H831" s="4">
        <v>1</v>
      </c>
      <c r="I831" s="6">
        <v>2391019</v>
      </c>
      <c r="J831" s="7">
        <v>245.56</v>
      </c>
      <c r="K831" s="9">
        <f>(PricingDataTable[[#This Row],[Current Price ($)]]-PricingDataTable[[#This Row],[Prior Price ($)]])/PricingDataTable[[#This Row],[Prior Price ($)]]</f>
        <v>-1.8350790898474894E-2</v>
      </c>
      <c r="L831" s="9">
        <f>(PricingDataTable[[#This Row],[Vendor Price ($)]]-PricingDataTable[[#This Row],[Current Price ($)]])/PricingDataTable[[#This Row],[Current Price ($)]]</f>
        <v>1.9186800490620167E-3</v>
      </c>
      <c r="M831" t="str">
        <f t="shared" si="24"/>
        <v>PASS</v>
      </c>
      <c r="N831" s="10" t="str">
        <f t="shared" si="25"/>
        <v>NONE</v>
      </c>
    </row>
    <row r="832" spans="1:14">
      <c r="A832" s="4" t="s">
        <v>1680</v>
      </c>
      <c r="B832" s="4" t="s">
        <v>1681</v>
      </c>
      <c r="C832" s="4" t="s">
        <v>19</v>
      </c>
      <c r="D832" s="4" t="s">
        <v>13</v>
      </c>
      <c r="E832" s="5">
        <v>52.380299999999998</v>
      </c>
      <c r="F832" s="5">
        <v>52.289400000000001</v>
      </c>
      <c r="G832" s="5">
        <v>52.500300000000003</v>
      </c>
      <c r="H832" s="4">
        <v>0</v>
      </c>
      <c r="I832" s="6">
        <v>535542</v>
      </c>
      <c r="J832" s="7">
        <v>550.33000000000004</v>
      </c>
      <c r="K832" s="9">
        <f>(PricingDataTable[[#This Row],[Current Price ($)]]-PricingDataTable[[#This Row],[Prior Price ($)]])/PricingDataTable[[#This Row],[Prior Price ($)]]</f>
        <v>-1.7353852497980684E-3</v>
      </c>
      <c r="L832" s="9">
        <f>(PricingDataTable[[#This Row],[Vendor Price ($)]]-PricingDataTable[[#This Row],[Current Price ($)]])/PricingDataTable[[#This Row],[Current Price ($)]]</f>
        <v>4.0333222412191061E-3</v>
      </c>
      <c r="M832" t="str">
        <f t="shared" si="24"/>
        <v>PASS</v>
      </c>
      <c r="N832" s="10" t="str">
        <f t="shared" si="25"/>
        <v>NONE</v>
      </c>
    </row>
    <row r="833" spans="1:14">
      <c r="A833" s="4" t="s">
        <v>1682</v>
      </c>
      <c r="B833" s="4" t="s">
        <v>1683</v>
      </c>
      <c r="C833" s="4" t="s">
        <v>39</v>
      </c>
      <c r="D833" s="4" t="s">
        <v>13</v>
      </c>
      <c r="E833" s="5">
        <v>225.09229999999999</v>
      </c>
      <c r="F833" s="5">
        <v>223.81899999999999</v>
      </c>
      <c r="G833" s="5">
        <v>236.79750000000001</v>
      </c>
      <c r="H833" s="4">
        <v>1</v>
      </c>
      <c r="I833" s="6">
        <v>4186702</v>
      </c>
      <c r="J833" s="7">
        <v>189.73</v>
      </c>
      <c r="K833" s="9">
        <f>(PricingDataTable[[#This Row],[Current Price ($)]]-PricingDataTable[[#This Row],[Prior Price ($)]])/PricingDataTable[[#This Row],[Prior Price ($)]]</f>
        <v>-5.6567905699129025E-3</v>
      </c>
      <c r="L833" s="9">
        <f>(PricingDataTable[[#This Row],[Vendor Price ($)]]-PricingDataTable[[#This Row],[Current Price ($)]])/PricingDataTable[[#This Row],[Current Price ($)]]</f>
        <v>5.7986587376406946E-2</v>
      </c>
      <c r="M833" t="str">
        <f t="shared" si="24"/>
        <v>VENDOR DIFFERENCE</v>
      </c>
      <c r="N833" s="10" t="str">
        <f t="shared" si="25"/>
        <v>HIGH</v>
      </c>
    </row>
    <row r="834" spans="1:14">
      <c r="A834" s="4" t="s">
        <v>1684</v>
      </c>
      <c r="B834" s="4" t="s">
        <v>1685</v>
      </c>
      <c r="C834" s="4" t="s">
        <v>12</v>
      </c>
      <c r="D834" s="4" t="s">
        <v>13</v>
      </c>
      <c r="E834" s="5">
        <v>76.613299999999995</v>
      </c>
      <c r="F834" s="5">
        <v>78.057299999999998</v>
      </c>
      <c r="G834" s="5">
        <v>77.566100000000006</v>
      </c>
      <c r="H834" s="4">
        <v>0</v>
      </c>
      <c r="I834" s="6">
        <v>3098002</v>
      </c>
      <c r="J834" s="7">
        <v>273.77</v>
      </c>
      <c r="K834" s="9">
        <f>(PricingDataTable[[#This Row],[Current Price ($)]]-PricingDataTable[[#This Row],[Prior Price ($)]])/PricingDataTable[[#This Row],[Prior Price ($)]]</f>
        <v>1.8847902387705565E-2</v>
      </c>
      <c r="L834" s="9">
        <f>(PricingDataTable[[#This Row],[Vendor Price ($)]]-PricingDataTable[[#This Row],[Current Price ($)]])/PricingDataTable[[#This Row],[Current Price ($)]]</f>
        <v>-6.2928131001199388E-3</v>
      </c>
      <c r="M834" t="str">
        <f t="shared" ref="M834:M897" si="26">IF(OR(F834="",F834=0),"MISSING",IF(H834&gt;=3,"STALE",IF(ABS(K834)&gt;=5%,"LARGE MOVE",IF(ABS(L834)&gt;=2%,"VENDOR DIFFERENCE","PASS"))))</f>
        <v>PASS</v>
      </c>
      <c r="N834" s="10" t="str">
        <f t="shared" ref="N834:N897" si="27">IF(M834="PASS","NONE",IF(M834="MISSING","HIGH",IF(OR(ABS(K834)&gt;=10%,ABS(L834)&gt;=5%),"HIGH",IF(OR(ABS(K834)&gt;=7%,ABS(L834)&gt;=3%,H834&gt;=5),"MEDIUM","LOW"))))</f>
        <v>NONE</v>
      </c>
    </row>
    <row r="835" spans="1:14">
      <c r="A835" s="4" t="s">
        <v>1686</v>
      </c>
      <c r="B835" s="4" t="s">
        <v>1687</v>
      </c>
      <c r="C835" s="4" t="s">
        <v>12</v>
      </c>
      <c r="D835" s="4" t="s">
        <v>13</v>
      </c>
      <c r="E835" s="5">
        <v>106.2431</v>
      </c>
      <c r="F835" s="5">
        <v>106.8361</v>
      </c>
      <c r="G835" s="5">
        <v>107.0946</v>
      </c>
      <c r="H835" s="4">
        <v>0</v>
      </c>
      <c r="I835" s="6">
        <v>4117767</v>
      </c>
      <c r="J835" s="7">
        <v>890.71</v>
      </c>
      <c r="K835" s="9">
        <f>(PricingDataTable[[#This Row],[Current Price ($)]]-PricingDataTable[[#This Row],[Prior Price ($)]])/PricingDataTable[[#This Row],[Prior Price ($)]]</f>
        <v>5.5815389422936975E-3</v>
      </c>
      <c r="L835" s="9">
        <f>(PricingDataTable[[#This Row],[Vendor Price ($)]]-PricingDataTable[[#This Row],[Current Price ($)]])/PricingDataTable[[#This Row],[Current Price ($)]]</f>
        <v>2.4195941259555331E-3</v>
      </c>
      <c r="M835" t="str">
        <f t="shared" si="26"/>
        <v>PASS</v>
      </c>
      <c r="N835" s="10" t="str">
        <f t="shared" si="27"/>
        <v>NONE</v>
      </c>
    </row>
    <row r="836" spans="1:14">
      <c r="A836" s="4" t="s">
        <v>1688</v>
      </c>
      <c r="B836" s="4" t="s">
        <v>1689</v>
      </c>
      <c r="C836" s="4" t="s">
        <v>19</v>
      </c>
      <c r="D836" s="4" t="s">
        <v>13</v>
      </c>
      <c r="E836" s="5">
        <v>298.5865</v>
      </c>
      <c r="F836" s="5">
        <v>300.64870000000002</v>
      </c>
      <c r="G836" s="5">
        <v>301.01100000000002</v>
      </c>
      <c r="H836" s="4">
        <v>0</v>
      </c>
      <c r="I836" s="6">
        <v>3365809</v>
      </c>
      <c r="J836" s="7">
        <v>495.15</v>
      </c>
      <c r="K836" s="9">
        <f>(PricingDataTable[[#This Row],[Current Price ($)]]-PricingDataTable[[#This Row],[Prior Price ($)]])/PricingDataTable[[#This Row],[Prior Price ($)]]</f>
        <v>6.9065413205219211E-3</v>
      </c>
      <c r="L836" s="9">
        <f>(PricingDataTable[[#This Row],[Vendor Price ($)]]-PricingDataTable[[#This Row],[Current Price ($)]])/PricingDataTable[[#This Row],[Current Price ($)]]</f>
        <v>1.205060923263612E-3</v>
      </c>
      <c r="M836" t="str">
        <f t="shared" si="26"/>
        <v>PASS</v>
      </c>
      <c r="N836" s="10" t="str">
        <f t="shared" si="27"/>
        <v>NONE</v>
      </c>
    </row>
    <row r="837" spans="1:14">
      <c r="A837" s="4" t="s">
        <v>1690</v>
      </c>
      <c r="B837" s="4" t="s">
        <v>1691</v>
      </c>
      <c r="C837" s="4" t="s">
        <v>16</v>
      </c>
      <c r="D837" s="4" t="s">
        <v>13</v>
      </c>
      <c r="E837" s="5">
        <v>90.970200000000006</v>
      </c>
      <c r="F837" s="5">
        <v>90.633499999999998</v>
      </c>
      <c r="G837" s="5">
        <v>90.730800000000002</v>
      </c>
      <c r="H837" s="4">
        <v>1</v>
      </c>
      <c r="I837" s="6">
        <v>3290788</v>
      </c>
      <c r="J837" s="7">
        <v>202.74</v>
      </c>
      <c r="K837" s="9">
        <f>(PricingDataTable[[#This Row],[Current Price ($)]]-PricingDataTable[[#This Row],[Prior Price ($)]])/PricingDataTable[[#This Row],[Prior Price ($)]]</f>
        <v>-3.7012120452632568E-3</v>
      </c>
      <c r="L837" s="9">
        <f>(PricingDataTable[[#This Row],[Vendor Price ($)]]-PricingDataTable[[#This Row],[Current Price ($)]])/PricingDataTable[[#This Row],[Current Price ($)]]</f>
        <v>1.0735544804074009E-3</v>
      </c>
      <c r="M837" t="str">
        <f t="shared" si="26"/>
        <v>PASS</v>
      </c>
      <c r="N837" s="10" t="str">
        <f t="shared" si="27"/>
        <v>NONE</v>
      </c>
    </row>
    <row r="838" spans="1:14">
      <c r="A838" s="4" t="s">
        <v>1692</v>
      </c>
      <c r="B838" s="4" t="s">
        <v>1693</v>
      </c>
      <c r="C838" s="4" t="s">
        <v>39</v>
      </c>
      <c r="D838" s="4" t="s">
        <v>13</v>
      </c>
      <c r="E838" s="5">
        <v>324.19619999999998</v>
      </c>
      <c r="F838" s="5">
        <v>328.56029999999998</v>
      </c>
      <c r="G838" s="5">
        <v>362.25900000000001</v>
      </c>
      <c r="H838" s="4">
        <v>0</v>
      </c>
      <c r="I838" s="6">
        <v>4867716</v>
      </c>
      <c r="J838" s="7">
        <v>587.86</v>
      </c>
      <c r="K838" s="9">
        <f>(PricingDataTable[[#This Row],[Current Price ($)]]-PricingDataTable[[#This Row],[Prior Price ($)]])/PricingDataTable[[#This Row],[Prior Price ($)]]</f>
        <v>1.3461292883753752E-2</v>
      </c>
      <c r="L838" s="9">
        <f>(PricingDataTable[[#This Row],[Vendor Price ($)]]-PricingDataTable[[#This Row],[Current Price ($)]])/PricingDataTable[[#This Row],[Current Price ($)]]</f>
        <v>0.10256473469253599</v>
      </c>
      <c r="M838" t="str">
        <f t="shared" si="26"/>
        <v>VENDOR DIFFERENCE</v>
      </c>
      <c r="N838" s="10" t="str">
        <f t="shared" si="27"/>
        <v>HIGH</v>
      </c>
    </row>
    <row r="839" spans="1:14">
      <c r="A839" s="4" t="s">
        <v>1694</v>
      </c>
      <c r="B839" s="4" t="s">
        <v>1695</v>
      </c>
      <c r="C839" s="4" t="s">
        <v>19</v>
      </c>
      <c r="D839" s="4" t="s">
        <v>13</v>
      </c>
      <c r="E839" s="5">
        <v>84.673900000000003</v>
      </c>
      <c r="F839" s="5">
        <v>83.746200000000002</v>
      </c>
      <c r="G839" s="5">
        <v>83.557100000000005</v>
      </c>
      <c r="H839" s="4">
        <v>0</v>
      </c>
      <c r="I839" s="6">
        <v>1397358</v>
      </c>
      <c r="J839" s="7">
        <v>512.46</v>
      </c>
      <c r="K839" s="9">
        <f>(PricingDataTable[[#This Row],[Current Price ($)]]-PricingDataTable[[#This Row],[Prior Price ($)]])/PricingDataTable[[#This Row],[Prior Price ($)]]</f>
        <v>-1.0956150596582908E-2</v>
      </c>
      <c r="L839" s="9">
        <f>(PricingDataTable[[#This Row],[Vendor Price ($)]]-PricingDataTable[[#This Row],[Current Price ($)]])/PricingDataTable[[#This Row],[Current Price ($)]]</f>
        <v>-2.2580129008838165E-3</v>
      </c>
      <c r="M839" t="str">
        <f t="shared" si="26"/>
        <v>PASS</v>
      </c>
      <c r="N839" s="10" t="str">
        <f t="shared" si="27"/>
        <v>NONE</v>
      </c>
    </row>
    <row r="840" spans="1:14">
      <c r="A840" s="4" t="s">
        <v>1696</v>
      </c>
      <c r="B840" s="4" t="s">
        <v>1697</v>
      </c>
      <c r="C840" s="4" t="s">
        <v>35</v>
      </c>
      <c r="D840" s="4" t="s">
        <v>13</v>
      </c>
      <c r="E840" s="5">
        <v>109.039</v>
      </c>
      <c r="F840" s="5">
        <v>109.3612</v>
      </c>
      <c r="G840" s="5">
        <v>109.0455</v>
      </c>
      <c r="H840" s="4">
        <v>3</v>
      </c>
      <c r="I840" s="6">
        <v>2008522</v>
      </c>
      <c r="J840" s="7">
        <v>157.85</v>
      </c>
      <c r="K840" s="9">
        <f>(PricingDataTable[[#This Row],[Current Price ($)]]-PricingDataTable[[#This Row],[Prior Price ($)]])/PricingDataTable[[#This Row],[Prior Price ($)]]</f>
        <v>2.9549060427919841E-3</v>
      </c>
      <c r="L840" s="9">
        <f>(PricingDataTable[[#This Row],[Vendor Price ($)]]-PricingDataTable[[#This Row],[Current Price ($)]])/PricingDataTable[[#This Row],[Current Price ($)]]</f>
        <v>-2.8867642271664224E-3</v>
      </c>
      <c r="M840" t="str">
        <f t="shared" si="26"/>
        <v>STALE</v>
      </c>
      <c r="N840" s="10" t="str">
        <f t="shared" si="27"/>
        <v>LOW</v>
      </c>
    </row>
    <row r="841" spans="1:14">
      <c r="A841" s="4" t="s">
        <v>1698</v>
      </c>
      <c r="B841" s="4" t="s">
        <v>1699</v>
      </c>
      <c r="C841" s="4" t="s">
        <v>19</v>
      </c>
      <c r="D841" s="4" t="s">
        <v>13</v>
      </c>
      <c r="E841" s="5">
        <v>313.90039999999999</v>
      </c>
      <c r="F841" s="5">
        <v>315.01830000000001</v>
      </c>
      <c r="G841" s="5">
        <v>316.03120000000001</v>
      </c>
      <c r="H841" s="4">
        <v>5</v>
      </c>
      <c r="I841" s="6">
        <v>4197107</v>
      </c>
      <c r="J841" s="7">
        <v>577.30999999999995</v>
      </c>
      <c r="K841" s="9">
        <f>(PricingDataTable[[#This Row],[Current Price ($)]]-PricingDataTable[[#This Row],[Prior Price ($)]])/PricingDataTable[[#This Row],[Prior Price ($)]]</f>
        <v>3.5613207246630463E-3</v>
      </c>
      <c r="L841" s="9">
        <f>(PricingDataTable[[#This Row],[Vendor Price ($)]]-PricingDataTable[[#This Row],[Current Price ($)]])/PricingDataTable[[#This Row],[Current Price ($)]]</f>
        <v>3.2153687579420049E-3</v>
      </c>
      <c r="M841" t="str">
        <f t="shared" si="26"/>
        <v>STALE</v>
      </c>
      <c r="N841" s="10" t="str">
        <f t="shared" si="27"/>
        <v>MEDIUM</v>
      </c>
    </row>
    <row r="842" spans="1:14">
      <c r="A842" s="4" t="s">
        <v>1700</v>
      </c>
      <c r="B842" s="4" t="s">
        <v>1701</v>
      </c>
      <c r="C842" s="4" t="s">
        <v>39</v>
      </c>
      <c r="D842" s="4" t="s">
        <v>36</v>
      </c>
      <c r="E842" s="5">
        <v>91.743300000000005</v>
      </c>
      <c r="F842" s="5">
        <v>91.670100000000005</v>
      </c>
      <c r="G842" s="5">
        <v>91.567099999999996</v>
      </c>
      <c r="H842" s="4">
        <v>0</v>
      </c>
      <c r="I842" s="6">
        <v>3233261</v>
      </c>
      <c r="J842" s="7">
        <v>63.51</v>
      </c>
      <c r="K842" s="9">
        <f>(PricingDataTable[[#This Row],[Current Price ($)]]-PricingDataTable[[#This Row],[Prior Price ($)]])/PricingDataTable[[#This Row],[Prior Price ($)]]</f>
        <v>-7.9787842817949568E-4</v>
      </c>
      <c r="L842" s="9">
        <f>(PricingDataTable[[#This Row],[Vendor Price ($)]]-PricingDataTable[[#This Row],[Current Price ($)]])/PricingDataTable[[#This Row],[Current Price ($)]]</f>
        <v>-1.1235942799234279E-3</v>
      </c>
      <c r="M842" t="str">
        <f t="shared" si="26"/>
        <v>PASS</v>
      </c>
      <c r="N842" s="10" t="str">
        <f t="shared" si="27"/>
        <v>NONE</v>
      </c>
    </row>
    <row r="843" spans="1:14">
      <c r="A843" s="4" t="s">
        <v>1702</v>
      </c>
      <c r="B843" s="4" t="s">
        <v>1703</v>
      </c>
      <c r="C843" s="4" t="s">
        <v>35</v>
      </c>
      <c r="D843" s="4" t="s">
        <v>13</v>
      </c>
      <c r="E843" s="5">
        <v>129.41149999999999</v>
      </c>
      <c r="F843" s="5">
        <v>125.7543</v>
      </c>
      <c r="G843" s="5">
        <v>125.04730000000001</v>
      </c>
      <c r="H843" s="4">
        <v>1</v>
      </c>
      <c r="I843" s="6">
        <v>335759</v>
      </c>
      <c r="J843" s="7">
        <v>327.16000000000003</v>
      </c>
      <c r="K843" s="9">
        <f>(PricingDataTable[[#This Row],[Current Price ($)]]-PricingDataTable[[#This Row],[Prior Price ($)]])/PricingDataTable[[#This Row],[Prior Price ($)]]</f>
        <v>-2.8260239623217328E-2</v>
      </c>
      <c r="L843" s="9">
        <f>(PricingDataTable[[#This Row],[Vendor Price ($)]]-PricingDataTable[[#This Row],[Current Price ($)]])/PricingDataTable[[#This Row],[Current Price ($)]]</f>
        <v>-5.6220741557147045E-3</v>
      </c>
      <c r="M843" t="str">
        <f t="shared" si="26"/>
        <v>PASS</v>
      </c>
      <c r="N843" s="10" t="str">
        <f t="shared" si="27"/>
        <v>NONE</v>
      </c>
    </row>
    <row r="844" spans="1:14">
      <c r="A844" s="4" t="s">
        <v>1704</v>
      </c>
      <c r="B844" s="4" t="s">
        <v>1705</v>
      </c>
      <c r="C844" s="4" t="s">
        <v>12</v>
      </c>
      <c r="D844" s="4" t="s">
        <v>13</v>
      </c>
      <c r="E844" s="5">
        <v>114.3712</v>
      </c>
      <c r="F844" s="5">
        <v>116.4868</v>
      </c>
      <c r="G844" s="5">
        <v>116.8972</v>
      </c>
      <c r="H844" s="4">
        <v>1</v>
      </c>
      <c r="I844" s="6">
        <v>2851739</v>
      </c>
      <c r="J844" s="7">
        <v>127.93</v>
      </c>
      <c r="K844" s="9">
        <f>(PricingDataTable[[#This Row],[Current Price ($)]]-PricingDataTable[[#This Row],[Prior Price ($)]])/PricingDataTable[[#This Row],[Prior Price ($)]]</f>
        <v>1.8497663747516862E-2</v>
      </c>
      <c r="L844" s="9">
        <f>(PricingDataTable[[#This Row],[Vendor Price ($)]]-PricingDataTable[[#This Row],[Current Price ($)]])/PricingDataTable[[#This Row],[Current Price ($)]]</f>
        <v>3.5231459701871425E-3</v>
      </c>
      <c r="M844" t="str">
        <f t="shared" si="26"/>
        <v>PASS</v>
      </c>
      <c r="N844" s="10" t="str">
        <f t="shared" si="27"/>
        <v>NONE</v>
      </c>
    </row>
    <row r="845" spans="1:14">
      <c r="A845" s="4" t="s">
        <v>1706</v>
      </c>
      <c r="B845" s="4" t="s">
        <v>1707</v>
      </c>
      <c r="C845" s="4" t="s">
        <v>19</v>
      </c>
      <c r="D845" s="4" t="s">
        <v>13</v>
      </c>
      <c r="E845" s="5">
        <v>227.5762</v>
      </c>
      <c r="F845" s="5">
        <v>232.80420000000001</v>
      </c>
      <c r="G845" s="5">
        <v>233.47559999999999</v>
      </c>
      <c r="H845" s="4">
        <v>0</v>
      </c>
      <c r="I845" s="6">
        <v>3779029</v>
      </c>
      <c r="J845" s="7">
        <v>629.66999999999996</v>
      </c>
      <c r="K845" s="9">
        <f>(PricingDataTable[[#This Row],[Current Price ($)]]-PricingDataTable[[#This Row],[Prior Price ($)]])/PricingDataTable[[#This Row],[Prior Price ($)]]</f>
        <v>2.2972525246488906E-2</v>
      </c>
      <c r="L845" s="9">
        <f>(PricingDataTable[[#This Row],[Vendor Price ($)]]-PricingDataTable[[#This Row],[Current Price ($)]])/PricingDataTable[[#This Row],[Current Price ($)]]</f>
        <v>2.8839685881954756E-3</v>
      </c>
      <c r="M845" t="str">
        <f t="shared" si="26"/>
        <v>PASS</v>
      </c>
      <c r="N845" s="10" t="str">
        <f t="shared" si="27"/>
        <v>NONE</v>
      </c>
    </row>
    <row r="846" spans="1:14">
      <c r="A846" s="4" t="s">
        <v>1708</v>
      </c>
      <c r="B846" s="4" t="s">
        <v>1709</v>
      </c>
      <c r="C846" s="4" t="s">
        <v>12</v>
      </c>
      <c r="D846" s="4" t="s">
        <v>32</v>
      </c>
      <c r="E846" s="5">
        <v>82.401200000000003</v>
      </c>
      <c r="F846" s="5">
        <v>82.234099999999998</v>
      </c>
      <c r="G846" s="5">
        <v>82.403400000000005</v>
      </c>
      <c r="H846" s="4">
        <v>0</v>
      </c>
      <c r="I846" s="6">
        <v>2557355</v>
      </c>
      <c r="J846" s="7">
        <v>427.86</v>
      </c>
      <c r="K846" s="9">
        <f>(PricingDataTable[[#This Row],[Current Price ($)]]-PricingDataTable[[#This Row],[Prior Price ($)]])/PricingDataTable[[#This Row],[Prior Price ($)]]</f>
        <v>-2.0278830890812865E-3</v>
      </c>
      <c r="L846" s="9">
        <f>(PricingDataTable[[#This Row],[Vendor Price ($)]]-PricingDataTable[[#This Row],[Current Price ($)]])/PricingDataTable[[#This Row],[Current Price ($)]]</f>
        <v>2.0587566471817276E-3</v>
      </c>
      <c r="M846" t="str">
        <f t="shared" si="26"/>
        <v>PASS</v>
      </c>
      <c r="N846" s="10" t="str">
        <f t="shared" si="27"/>
        <v>NONE</v>
      </c>
    </row>
    <row r="847" spans="1:14">
      <c r="A847" s="4" t="s">
        <v>1710</v>
      </c>
      <c r="B847" s="4" t="s">
        <v>1711</v>
      </c>
      <c r="C847" s="4" t="s">
        <v>19</v>
      </c>
      <c r="D847" s="4" t="s">
        <v>32</v>
      </c>
      <c r="E847" s="5">
        <v>51.965200000000003</v>
      </c>
      <c r="F847" s="5">
        <v>51.001399999999997</v>
      </c>
      <c r="G847" s="5">
        <v>50.811999999999998</v>
      </c>
      <c r="H847" s="4">
        <v>2</v>
      </c>
      <c r="I847" s="6">
        <v>102222</v>
      </c>
      <c r="J847" s="7">
        <v>233.63</v>
      </c>
      <c r="K847" s="9">
        <f>(PricingDataTable[[#This Row],[Current Price ($)]]-PricingDataTable[[#This Row],[Prior Price ($)]])/PricingDataTable[[#This Row],[Prior Price ($)]]</f>
        <v>-1.8547027626180716E-2</v>
      </c>
      <c r="L847" s="9">
        <f>(PricingDataTable[[#This Row],[Vendor Price ($)]]-PricingDataTable[[#This Row],[Current Price ($)]])/PricingDataTable[[#This Row],[Current Price ($)]]</f>
        <v>-3.7136235475888728E-3</v>
      </c>
      <c r="M847" t="str">
        <f t="shared" si="26"/>
        <v>PASS</v>
      </c>
      <c r="N847" s="10" t="str">
        <f t="shared" si="27"/>
        <v>NONE</v>
      </c>
    </row>
    <row r="848" spans="1:14">
      <c r="A848" s="4" t="s">
        <v>1712</v>
      </c>
      <c r="B848" s="4" t="s">
        <v>1713</v>
      </c>
      <c r="C848" s="4" t="s">
        <v>39</v>
      </c>
      <c r="D848" s="4" t="s">
        <v>237</v>
      </c>
      <c r="E848" s="5">
        <v>146.7989</v>
      </c>
      <c r="F848" s="5">
        <v>146.0068</v>
      </c>
      <c r="G848" s="5">
        <v>145.8254</v>
      </c>
      <c r="H848" s="4">
        <v>2</v>
      </c>
      <c r="I848" s="6">
        <v>4071536</v>
      </c>
      <c r="J848" s="7">
        <v>583.61</v>
      </c>
      <c r="K848" s="9">
        <f>(PricingDataTable[[#This Row],[Current Price ($)]]-PricingDataTable[[#This Row],[Prior Price ($)]])/PricingDataTable[[#This Row],[Prior Price ($)]]</f>
        <v>-5.3958169986287694E-3</v>
      </c>
      <c r="L848" s="9">
        <f>(PricingDataTable[[#This Row],[Vendor Price ($)]]-PricingDataTable[[#This Row],[Current Price ($)]])/PricingDataTable[[#This Row],[Current Price ($)]]</f>
        <v>-1.2424078878517744E-3</v>
      </c>
      <c r="M848" t="str">
        <f t="shared" si="26"/>
        <v>PASS</v>
      </c>
      <c r="N848" s="10" t="str">
        <f t="shared" si="27"/>
        <v>NONE</v>
      </c>
    </row>
    <row r="849" spans="1:14">
      <c r="A849" s="4" t="s">
        <v>1714</v>
      </c>
      <c r="B849" s="4" t="s">
        <v>1715</v>
      </c>
      <c r="C849" s="4" t="s">
        <v>19</v>
      </c>
      <c r="D849" s="4" t="s">
        <v>36</v>
      </c>
      <c r="E849" s="5">
        <v>12.8675</v>
      </c>
      <c r="F849" s="5">
        <v>13.001099999999999</v>
      </c>
      <c r="G849" s="5">
        <v>12.9895</v>
      </c>
      <c r="H849" s="4">
        <v>0</v>
      </c>
      <c r="I849" s="6">
        <v>1653070</v>
      </c>
      <c r="J849" s="7">
        <v>320.98</v>
      </c>
      <c r="K849" s="9">
        <f>(PricingDataTable[[#This Row],[Current Price ($)]]-PricingDataTable[[#This Row],[Prior Price ($)]])/PricingDataTable[[#This Row],[Prior Price ($)]]</f>
        <v>1.0382747231396891E-2</v>
      </c>
      <c r="L849" s="9">
        <f>(PricingDataTable[[#This Row],[Vendor Price ($)]]-PricingDataTable[[#This Row],[Current Price ($)]])/PricingDataTable[[#This Row],[Current Price ($)]]</f>
        <v>-8.9223219573725384E-4</v>
      </c>
      <c r="M849" t="str">
        <f t="shared" si="26"/>
        <v>PASS</v>
      </c>
      <c r="N849" s="10" t="str">
        <f t="shared" si="27"/>
        <v>NONE</v>
      </c>
    </row>
    <row r="850" spans="1:14">
      <c r="A850" s="4" t="s">
        <v>1716</v>
      </c>
      <c r="B850" s="4" t="s">
        <v>1717</v>
      </c>
      <c r="C850" s="4" t="s">
        <v>35</v>
      </c>
      <c r="D850" s="4" t="s">
        <v>36</v>
      </c>
      <c r="E850" s="5">
        <v>151.51589999999999</v>
      </c>
      <c r="F850" s="5">
        <v>153.31489999999999</v>
      </c>
      <c r="G850" s="5">
        <v>152.65199999999999</v>
      </c>
      <c r="H850" s="4">
        <v>0</v>
      </c>
      <c r="I850" s="6">
        <v>830130</v>
      </c>
      <c r="J850" s="7">
        <v>856.84</v>
      </c>
      <c r="K850" s="9">
        <f>(PricingDataTable[[#This Row],[Current Price ($)]]-PricingDataTable[[#This Row],[Prior Price ($)]])/PricingDataTable[[#This Row],[Prior Price ($)]]</f>
        <v>1.1873341345693797E-2</v>
      </c>
      <c r="L850" s="9">
        <f>(PricingDataTable[[#This Row],[Vendor Price ($)]]-PricingDataTable[[#This Row],[Current Price ($)]])/PricingDataTable[[#This Row],[Current Price ($)]]</f>
        <v>-4.3237806631971692E-3</v>
      </c>
      <c r="M850" t="str">
        <f t="shared" si="26"/>
        <v>PASS</v>
      </c>
      <c r="N850" s="10" t="str">
        <f t="shared" si="27"/>
        <v>NONE</v>
      </c>
    </row>
    <row r="851" spans="1:14">
      <c r="A851" s="4" t="s">
        <v>1718</v>
      </c>
      <c r="B851" s="4" t="s">
        <v>1719</v>
      </c>
      <c r="C851" s="4" t="s">
        <v>19</v>
      </c>
      <c r="D851" s="4" t="s">
        <v>237</v>
      </c>
      <c r="E851" s="5">
        <v>297.53910000000002</v>
      </c>
      <c r="F851" s="5">
        <v>296.12700000000001</v>
      </c>
      <c r="G851" s="5">
        <v>296.0421</v>
      </c>
      <c r="H851" s="4">
        <v>0</v>
      </c>
      <c r="I851" s="6">
        <v>1533469</v>
      </c>
      <c r="J851" s="7">
        <v>620.79</v>
      </c>
      <c r="K851" s="9">
        <f>(PricingDataTable[[#This Row],[Current Price ($)]]-PricingDataTable[[#This Row],[Prior Price ($)]])/PricingDataTable[[#This Row],[Prior Price ($)]]</f>
        <v>-4.7459308709343053E-3</v>
      </c>
      <c r="L851" s="9">
        <f>(PricingDataTable[[#This Row],[Vendor Price ($)]]-PricingDataTable[[#This Row],[Current Price ($)]])/PricingDataTable[[#This Row],[Current Price ($)]]</f>
        <v>-2.8670131396328142E-4</v>
      </c>
      <c r="M851" t="str">
        <f t="shared" si="26"/>
        <v>PASS</v>
      </c>
      <c r="N851" s="10" t="str">
        <f t="shared" si="27"/>
        <v>NONE</v>
      </c>
    </row>
    <row r="852" spans="1:14">
      <c r="A852" s="4" t="s">
        <v>1720</v>
      </c>
      <c r="B852" s="4" t="s">
        <v>1721</v>
      </c>
      <c r="C852" s="4" t="s">
        <v>19</v>
      </c>
      <c r="D852" s="4" t="s">
        <v>13</v>
      </c>
      <c r="E852" s="5">
        <v>68.681299999999993</v>
      </c>
      <c r="F852" s="5">
        <v>69.323700000000002</v>
      </c>
      <c r="G852" s="5">
        <v>69.302599999999998</v>
      </c>
      <c r="H852" s="4">
        <v>1</v>
      </c>
      <c r="I852" s="6">
        <v>1112901</v>
      </c>
      <c r="J852" s="7">
        <v>470.4</v>
      </c>
      <c r="K852" s="9">
        <f>(PricingDataTable[[#This Row],[Current Price ($)]]-PricingDataTable[[#This Row],[Prior Price ($)]])/PricingDataTable[[#This Row],[Prior Price ($)]]</f>
        <v>9.3533465441103941E-3</v>
      </c>
      <c r="L852" s="9">
        <f>(PricingDataTable[[#This Row],[Vendor Price ($)]]-PricingDataTable[[#This Row],[Current Price ($)]])/PricingDataTable[[#This Row],[Current Price ($)]]</f>
        <v>-3.0436921283780459E-4</v>
      </c>
      <c r="M852" t="str">
        <f t="shared" si="26"/>
        <v>PASS</v>
      </c>
      <c r="N852" s="10" t="str">
        <f t="shared" si="27"/>
        <v>NONE</v>
      </c>
    </row>
    <row r="853" spans="1:14">
      <c r="A853" s="4" t="s">
        <v>1722</v>
      </c>
      <c r="B853" s="4" t="s">
        <v>1723</v>
      </c>
      <c r="C853" s="4" t="s">
        <v>19</v>
      </c>
      <c r="D853" s="4" t="s">
        <v>13</v>
      </c>
      <c r="E853" s="5">
        <v>206.7945</v>
      </c>
      <c r="F853" s="5">
        <v>203.79249999999999</v>
      </c>
      <c r="G853" s="5">
        <v>203.9614</v>
      </c>
      <c r="H853" s="4">
        <v>0</v>
      </c>
      <c r="I853" s="6">
        <v>700494</v>
      </c>
      <c r="J853" s="7">
        <v>428.54</v>
      </c>
      <c r="K853" s="9">
        <f>(PricingDataTable[[#This Row],[Current Price ($)]]-PricingDataTable[[#This Row],[Prior Price ($)]])/PricingDataTable[[#This Row],[Prior Price ($)]]</f>
        <v>-1.451682709162966E-2</v>
      </c>
      <c r="L853" s="9">
        <f>(PricingDataTable[[#This Row],[Vendor Price ($)]]-PricingDataTable[[#This Row],[Current Price ($)]])/PricingDataTable[[#This Row],[Current Price ($)]]</f>
        <v>8.2878417998703499E-4</v>
      </c>
      <c r="M853" t="str">
        <f t="shared" si="26"/>
        <v>PASS</v>
      </c>
      <c r="N853" s="10" t="str">
        <f t="shared" si="27"/>
        <v>NONE</v>
      </c>
    </row>
    <row r="854" spans="1:14">
      <c r="A854" s="4" t="s">
        <v>1724</v>
      </c>
      <c r="B854" s="4" t="s">
        <v>1725</v>
      </c>
      <c r="C854" s="4" t="s">
        <v>12</v>
      </c>
      <c r="D854" s="4" t="s">
        <v>13</v>
      </c>
      <c r="E854" s="5">
        <v>89.998000000000005</v>
      </c>
      <c r="F854" s="5">
        <v>91.140600000000006</v>
      </c>
      <c r="G854" s="5">
        <v>91.158100000000005</v>
      </c>
      <c r="H854" s="4">
        <v>0</v>
      </c>
      <c r="I854" s="6">
        <v>3828339</v>
      </c>
      <c r="J854" s="7">
        <v>893.02</v>
      </c>
      <c r="K854" s="9">
        <f>(PricingDataTable[[#This Row],[Current Price ($)]]-PricingDataTable[[#This Row],[Prior Price ($)]])/PricingDataTable[[#This Row],[Prior Price ($)]]</f>
        <v>1.2695837685281913E-2</v>
      </c>
      <c r="L854" s="9">
        <f>(PricingDataTable[[#This Row],[Vendor Price ($)]]-PricingDataTable[[#This Row],[Current Price ($)]])/PricingDataTable[[#This Row],[Current Price ($)]]</f>
        <v>1.9201102472441803E-4</v>
      </c>
      <c r="M854" t="str">
        <f t="shared" si="26"/>
        <v>PASS</v>
      </c>
      <c r="N854" s="10" t="str">
        <f t="shared" si="27"/>
        <v>NONE</v>
      </c>
    </row>
    <row r="855" spans="1:14">
      <c r="A855" s="4" t="s">
        <v>1726</v>
      </c>
      <c r="B855" s="4" t="s">
        <v>1727</v>
      </c>
      <c r="C855" s="4" t="s">
        <v>12</v>
      </c>
      <c r="D855" s="4" t="s">
        <v>13</v>
      </c>
      <c r="E855" s="5">
        <v>83.826599999999999</v>
      </c>
      <c r="F855" s="5">
        <v>82.619100000000003</v>
      </c>
      <c r="G855" s="5">
        <v>82.605500000000006</v>
      </c>
      <c r="H855" s="4">
        <v>2</v>
      </c>
      <c r="I855" s="6">
        <v>4709226</v>
      </c>
      <c r="J855" s="7">
        <v>452.86</v>
      </c>
      <c r="K855" s="9">
        <f>(PricingDataTable[[#This Row],[Current Price ($)]]-PricingDataTable[[#This Row],[Prior Price ($)]])/PricingDataTable[[#This Row],[Prior Price ($)]]</f>
        <v>-1.4404735489689383E-2</v>
      </c>
      <c r="L855" s="9">
        <f>(PricingDataTable[[#This Row],[Vendor Price ($)]]-PricingDataTable[[#This Row],[Current Price ($)]])/PricingDataTable[[#This Row],[Current Price ($)]]</f>
        <v>-1.6461084664438035E-4</v>
      </c>
      <c r="M855" t="str">
        <f t="shared" si="26"/>
        <v>PASS</v>
      </c>
      <c r="N855" s="10" t="str">
        <f t="shared" si="27"/>
        <v>NONE</v>
      </c>
    </row>
    <row r="856" spans="1:14">
      <c r="A856" s="4" t="s">
        <v>1728</v>
      </c>
      <c r="B856" s="4" t="s">
        <v>1729</v>
      </c>
      <c r="C856" s="4" t="s">
        <v>19</v>
      </c>
      <c r="D856" s="4" t="s">
        <v>32</v>
      </c>
      <c r="E856" s="5">
        <v>70.305700000000002</v>
      </c>
      <c r="F856" s="5">
        <v>72.089200000000005</v>
      </c>
      <c r="G856" s="5">
        <v>72.107900000000001</v>
      </c>
      <c r="H856" s="4">
        <v>0</v>
      </c>
      <c r="I856" s="6">
        <v>794293</v>
      </c>
      <c r="J856" s="7">
        <v>832.78</v>
      </c>
      <c r="K856" s="9">
        <f>(PricingDataTable[[#This Row],[Current Price ($)]]-PricingDataTable[[#This Row],[Prior Price ($)]])/PricingDataTable[[#This Row],[Prior Price ($)]]</f>
        <v>2.5367786680169653E-2</v>
      </c>
      <c r="L856" s="9">
        <f>(PricingDataTable[[#This Row],[Vendor Price ($)]]-PricingDataTable[[#This Row],[Current Price ($)]])/PricingDataTable[[#This Row],[Current Price ($)]]</f>
        <v>2.5940085338713008E-4</v>
      </c>
      <c r="M856" t="str">
        <f t="shared" si="26"/>
        <v>PASS</v>
      </c>
      <c r="N856" s="10" t="str">
        <f t="shared" si="27"/>
        <v>NONE</v>
      </c>
    </row>
    <row r="857" spans="1:14">
      <c r="A857" s="4" t="s">
        <v>1730</v>
      </c>
      <c r="B857" s="4" t="s">
        <v>1731</v>
      </c>
      <c r="C857" s="4" t="s">
        <v>12</v>
      </c>
      <c r="D857" s="4" t="s">
        <v>13</v>
      </c>
      <c r="E857" s="5">
        <v>84.132800000000003</v>
      </c>
      <c r="F857" s="5">
        <v>84.440899999999999</v>
      </c>
      <c r="G857" s="5">
        <v>84.018199999999993</v>
      </c>
      <c r="H857" s="4">
        <v>0</v>
      </c>
      <c r="I857" s="6">
        <v>2518097</v>
      </c>
      <c r="J857" s="7">
        <v>834.81</v>
      </c>
      <c r="K857" s="9">
        <f>(PricingDataTable[[#This Row],[Current Price ($)]]-PricingDataTable[[#This Row],[Prior Price ($)]])/PricingDataTable[[#This Row],[Prior Price ($)]]</f>
        <v>3.6620675883840314E-3</v>
      </c>
      <c r="L857" s="9">
        <f>(PricingDataTable[[#This Row],[Vendor Price ($)]]-PricingDataTable[[#This Row],[Current Price ($)]])/PricingDataTable[[#This Row],[Current Price ($)]]</f>
        <v>-5.0058680094599425E-3</v>
      </c>
      <c r="M857" t="str">
        <f t="shared" si="26"/>
        <v>PASS</v>
      </c>
      <c r="N857" s="10" t="str">
        <f t="shared" si="27"/>
        <v>NONE</v>
      </c>
    </row>
    <row r="858" spans="1:14">
      <c r="A858" s="4" t="s">
        <v>1732</v>
      </c>
      <c r="B858" s="4" t="s">
        <v>1733</v>
      </c>
      <c r="C858" s="4" t="s">
        <v>12</v>
      </c>
      <c r="D858" s="4" t="s">
        <v>13</v>
      </c>
      <c r="E858" s="5">
        <v>84.595200000000006</v>
      </c>
      <c r="F858" s="5">
        <v>84.099800000000002</v>
      </c>
      <c r="G858" s="5">
        <v>84.193799999999996</v>
      </c>
      <c r="H858" s="4">
        <v>0</v>
      </c>
      <c r="I858" s="6">
        <v>4994148</v>
      </c>
      <c r="J858" s="7">
        <v>709.92</v>
      </c>
      <c r="K858" s="9">
        <f>(PricingDataTable[[#This Row],[Current Price ($)]]-PricingDataTable[[#This Row],[Prior Price ($)]])/PricingDataTable[[#This Row],[Prior Price ($)]]</f>
        <v>-5.8561242245423334E-3</v>
      </c>
      <c r="L858" s="9">
        <f>(PricingDataTable[[#This Row],[Vendor Price ($)]]-PricingDataTable[[#This Row],[Current Price ($)]])/PricingDataTable[[#This Row],[Current Price ($)]]</f>
        <v>1.1177196616400287E-3</v>
      </c>
      <c r="M858" t="str">
        <f t="shared" si="26"/>
        <v>PASS</v>
      </c>
      <c r="N858" s="10" t="str">
        <f t="shared" si="27"/>
        <v>NONE</v>
      </c>
    </row>
    <row r="859" spans="1:14">
      <c r="A859" s="4" t="s">
        <v>1734</v>
      </c>
      <c r="B859" s="4" t="s">
        <v>1735</v>
      </c>
      <c r="C859" s="4" t="s">
        <v>19</v>
      </c>
      <c r="D859" s="4" t="s">
        <v>13</v>
      </c>
      <c r="E859" s="5">
        <v>327.54090000000002</v>
      </c>
      <c r="F859" s="5">
        <v>329.45530000000002</v>
      </c>
      <c r="G859" s="5">
        <v>328.63470000000001</v>
      </c>
      <c r="H859" s="4">
        <v>1</v>
      </c>
      <c r="I859" s="6">
        <v>4726188</v>
      </c>
      <c r="J859" s="7">
        <v>354.31</v>
      </c>
      <c r="K859" s="9">
        <f>(PricingDataTable[[#This Row],[Current Price ($)]]-PricingDataTable[[#This Row],[Prior Price ($)]])/PricingDataTable[[#This Row],[Prior Price ($)]]</f>
        <v>5.8447662566720685E-3</v>
      </c>
      <c r="L859" s="9">
        <f>(PricingDataTable[[#This Row],[Vendor Price ($)]]-PricingDataTable[[#This Row],[Current Price ($)]])/PricingDataTable[[#This Row],[Current Price ($)]]</f>
        <v>-2.4907779598628797E-3</v>
      </c>
      <c r="M859" t="str">
        <f t="shared" si="26"/>
        <v>PASS</v>
      </c>
      <c r="N859" s="10" t="str">
        <f t="shared" si="27"/>
        <v>NONE</v>
      </c>
    </row>
    <row r="860" spans="1:14">
      <c r="A860" s="4" t="s">
        <v>1736</v>
      </c>
      <c r="B860" s="4" t="s">
        <v>1737</v>
      </c>
      <c r="C860" s="4" t="s">
        <v>39</v>
      </c>
      <c r="D860" s="4" t="s">
        <v>13</v>
      </c>
      <c r="E860" s="5">
        <v>339.2885</v>
      </c>
      <c r="F860" s="5">
        <v>334.82470000000001</v>
      </c>
      <c r="G860" s="5">
        <v>336.27030000000002</v>
      </c>
      <c r="H860" s="4">
        <v>0</v>
      </c>
      <c r="I860" s="6">
        <v>2147890</v>
      </c>
      <c r="J860" s="7">
        <v>265.45999999999998</v>
      </c>
      <c r="K860" s="9">
        <f>(PricingDataTable[[#This Row],[Current Price ($)]]-PricingDataTable[[#This Row],[Prior Price ($)]])/PricingDataTable[[#This Row],[Prior Price ($)]]</f>
        <v>-1.3156355137294639E-2</v>
      </c>
      <c r="L860" s="9">
        <f>(PricingDataTable[[#This Row],[Vendor Price ($)]]-PricingDataTable[[#This Row],[Current Price ($)]])/PricingDataTable[[#This Row],[Current Price ($)]]</f>
        <v>4.3174831486446881E-3</v>
      </c>
      <c r="M860" t="str">
        <f t="shared" si="26"/>
        <v>PASS</v>
      </c>
      <c r="N860" s="10" t="str">
        <f t="shared" si="27"/>
        <v>NONE</v>
      </c>
    </row>
    <row r="861" spans="1:14">
      <c r="A861" s="4" t="s">
        <v>1738</v>
      </c>
      <c r="B861" s="4" t="s">
        <v>1739</v>
      </c>
      <c r="C861" s="4" t="s">
        <v>19</v>
      </c>
      <c r="D861" s="4" t="s">
        <v>32</v>
      </c>
      <c r="E861" s="5">
        <v>119.3843</v>
      </c>
      <c r="F861" s="5">
        <v>118.4958</v>
      </c>
      <c r="G861" s="5">
        <v>118.4085</v>
      </c>
      <c r="H861" s="4">
        <v>2</v>
      </c>
      <c r="I861" s="6">
        <v>2731349</v>
      </c>
      <c r="J861" s="7">
        <v>650.62</v>
      </c>
      <c r="K861" s="9">
        <f>(PricingDataTable[[#This Row],[Current Price ($)]]-PricingDataTable[[#This Row],[Prior Price ($)]])/PricingDataTable[[#This Row],[Prior Price ($)]]</f>
        <v>-7.4423521350796837E-3</v>
      </c>
      <c r="L861" s="9">
        <f>(PricingDataTable[[#This Row],[Vendor Price ($)]]-PricingDataTable[[#This Row],[Current Price ($)]])/PricingDataTable[[#This Row],[Current Price ($)]]</f>
        <v>-7.3673497288510685E-4</v>
      </c>
      <c r="M861" t="str">
        <f t="shared" si="26"/>
        <v>PASS</v>
      </c>
      <c r="N861" s="10" t="str">
        <f t="shared" si="27"/>
        <v>NONE</v>
      </c>
    </row>
    <row r="862" spans="1:14">
      <c r="A862" s="4" t="s">
        <v>1740</v>
      </c>
      <c r="B862" s="4" t="s">
        <v>1741</v>
      </c>
      <c r="C862" s="4" t="s">
        <v>16</v>
      </c>
      <c r="D862" s="4" t="s">
        <v>237</v>
      </c>
      <c r="E862" s="5">
        <v>77.3</v>
      </c>
      <c r="F862" s="5">
        <v>76.537199999999999</v>
      </c>
      <c r="G862" s="5">
        <v>76.242099999999994</v>
      </c>
      <c r="H862" s="4">
        <v>0</v>
      </c>
      <c r="I862" s="6">
        <v>851939</v>
      </c>
      <c r="J862" s="7">
        <v>50.69</v>
      </c>
      <c r="K862" s="9">
        <f>(PricingDataTable[[#This Row],[Current Price ($)]]-PricingDataTable[[#This Row],[Prior Price ($)]])/PricingDataTable[[#This Row],[Prior Price ($)]]</f>
        <v>-9.8680465717981714E-3</v>
      </c>
      <c r="L862" s="9">
        <f>(PricingDataTable[[#This Row],[Vendor Price ($)]]-PricingDataTable[[#This Row],[Current Price ($)]])/PricingDataTable[[#This Row],[Current Price ($)]]</f>
        <v>-3.8556414397182682E-3</v>
      </c>
      <c r="M862" t="str">
        <f t="shared" si="26"/>
        <v>PASS</v>
      </c>
      <c r="N862" s="10" t="str">
        <f t="shared" si="27"/>
        <v>NONE</v>
      </c>
    </row>
    <row r="863" spans="1:14">
      <c r="A863" s="4" t="s">
        <v>1742</v>
      </c>
      <c r="B863" s="4" t="s">
        <v>1743</v>
      </c>
      <c r="C863" s="4" t="s">
        <v>16</v>
      </c>
      <c r="D863" s="4" t="s">
        <v>13</v>
      </c>
      <c r="E863" s="5">
        <v>89.211799999999997</v>
      </c>
      <c r="F863" s="5">
        <v>87.037999999999997</v>
      </c>
      <c r="G863" s="5">
        <v>87.132800000000003</v>
      </c>
      <c r="H863" s="4">
        <v>1</v>
      </c>
      <c r="I863" s="6">
        <v>4948670</v>
      </c>
      <c r="J863" s="7">
        <v>269.11</v>
      </c>
      <c r="K863" s="9">
        <f>(PricingDataTable[[#This Row],[Current Price ($)]]-PricingDataTable[[#This Row],[Prior Price ($)]])/PricingDataTable[[#This Row],[Prior Price ($)]]</f>
        <v>-2.4366731755216239E-2</v>
      </c>
      <c r="L863" s="9">
        <f>(PricingDataTable[[#This Row],[Vendor Price ($)]]-PricingDataTable[[#This Row],[Current Price ($)]])/PricingDataTable[[#This Row],[Current Price ($)]]</f>
        <v>1.0891794388658566E-3</v>
      </c>
      <c r="M863" t="str">
        <f t="shared" si="26"/>
        <v>PASS</v>
      </c>
      <c r="N863" s="10" t="str">
        <f t="shared" si="27"/>
        <v>NONE</v>
      </c>
    </row>
    <row r="864" spans="1:14">
      <c r="A864" s="4" t="s">
        <v>1744</v>
      </c>
      <c r="B864" s="4" t="s">
        <v>1745</v>
      </c>
      <c r="C864" s="4" t="s">
        <v>19</v>
      </c>
      <c r="D864" s="4" t="s">
        <v>13</v>
      </c>
      <c r="E864" s="5">
        <v>203.87469999999999</v>
      </c>
      <c r="F864" s="5">
        <v>204.0274</v>
      </c>
      <c r="G864" s="5">
        <v>203.5531</v>
      </c>
      <c r="H864" s="4">
        <v>0</v>
      </c>
      <c r="I864" s="6">
        <v>2634697</v>
      </c>
      <c r="J864" s="7">
        <v>861.49</v>
      </c>
      <c r="K864" s="9">
        <f>(PricingDataTable[[#This Row],[Current Price ($)]]-PricingDataTable[[#This Row],[Prior Price ($)]])/PricingDataTable[[#This Row],[Prior Price ($)]]</f>
        <v>7.4898945283554091E-4</v>
      </c>
      <c r="L864" s="9">
        <f>(PricingDataTable[[#This Row],[Vendor Price ($)]]-PricingDataTable[[#This Row],[Current Price ($)]])/PricingDataTable[[#This Row],[Current Price ($)]]</f>
        <v>-2.3246877625260113E-3</v>
      </c>
      <c r="M864" t="str">
        <f t="shared" si="26"/>
        <v>PASS</v>
      </c>
      <c r="N864" s="10" t="str">
        <f t="shared" si="27"/>
        <v>NONE</v>
      </c>
    </row>
    <row r="865" spans="1:14">
      <c r="A865" s="4" t="s">
        <v>1746</v>
      </c>
      <c r="B865" s="4" t="s">
        <v>1747</v>
      </c>
      <c r="C865" s="4" t="s">
        <v>39</v>
      </c>
      <c r="D865" s="4" t="s">
        <v>13</v>
      </c>
      <c r="E865" s="5">
        <v>117.8734</v>
      </c>
      <c r="F865" s="5">
        <v>118.0609</v>
      </c>
      <c r="G865" s="5">
        <v>118.3935</v>
      </c>
      <c r="H865" s="4">
        <v>0</v>
      </c>
      <c r="I865" s="6">
        <v>1177669</v>
      </c>
      <c r="J865" s="7">
        <v>107.45</v>
      </c>
      <c r="K865" s="9">
        <f>(PricingDataTable[[#This Row],[Current Price ($)]]-PricingDataTable[[#This Row],[Prior Price ($)]])/PricingDataTable[[#This Row],[Prior Price ($)]]</f>
        <v>1.5906896721397702E-3</v>
      </c>
      <c r="L865" s="9">
        <f>(PricingDataTable[[#This Row],[Vendor Price ($)]]-PricingDataTable[[#This Row],[Current Price ($)]])/PricingDataTable[[#This Row],[Current Price ($)]]</f>
        <v>2.817190111205313E-3</v>
      </c>
      <c r="M865" t="str">
        <f t="shared" si="26"/>
        <v>PASS</v>
      </c>
      <c r="N865" s="10" t="str">
        <f t="shared" si="27"/>
        <v>NONE</v>
      </c>
    </row>
    <row r="866" spans="1:14">
      <c r="A866" s="4" t="s">
        <v>1748</v>
      </c>
      <c r="B866" s="4" t="s">
        <v>1749</v>
      </c>
      <c r="C866" s="4" t="s">
        <v>16</v>
      </c>
      <c r="D866" s="4" t="s">
        <v>13</v>
      </c>
      <c r="E866" s="5">
        <v>77.401600000000002</v>
      </c>
      <c r="F866" s="5">
        <v>75.381600000000006</v>
      </c>
      <c r="G866" s="5">
        <v>84.307599999999994</v>
      </c>
      <c r="H866" s="4">
        <v>4</v>
      </c>
      <c r="I866" s="6">
        <v>4520860</v>
      </c>
      <c r="J866" s="7">
        <v>442.91</v>
      </c>
      <c r="K866" s="9">
        <f>(PricingDataTable[[#This Row],[Current Price ($)]]-PricingDataTable[[#This Row],[Prior Price ($)]])/PricingDataTable[[#This Row],[Prior Price ($)]]</f>
        <v>-2.6097651728129598E-2</v>
      </c>
      <c r="L866" s="9">
        <f>(PricingDataTable[[#This Row],[Vendor Price ($)]]-PricingDataTable[[#This Row],[Current Price ($)]])/PricingDataTable[[#This Row],[Current Price ($)]]</f>
        <v>0.11841085888333475</v>
      </c>
      <c r="M866" t="str">
        <f t="shared" si="26"/>
        <v>STALE</v>
      </c>
      <c r="N866" s="10" t="str">
        <f t="shared" si="27"/>
        <v>HIGH</v>
      </c>
    </row>
    <row r="867" spans="1:14">
      <c r="A867" s="4" t="s">
        <v>1750</v>
      </c>
      <c r="B867" s="4" t="s">
        <v>1751</v>
      </c>
      <c r="C867" s="4" t="s">
        <v>12</v>
      </c>
      <c r="D867" s="4" t="s">
        <v>32</v>
      </c>
      <c r="E867" s="5">
        <v>103.2653</v>
      </c>
      <c r="F867" s="5">
        <v>105.3954</v>
      </c>
      <c r="G867" s="5">
        <v>105.3066</v>
      </c>
      <c r="H867" s="4">
        <v>2</v>
      </c>
      <c r="I867" s="6">
        <v>1602280</v>
      </c>
      <c r="J867" s="7">
        <v>676.77</v>
      </c>
      <c r="K867" s="9">
        <f>(PricingDataTable[[#This Row],[Current Price ($)]]-PricingDataTable[[#This Row],[Prior Price ($)]])/PricingDataTable[[#This Row],[Prior Price ($)]]</f>
        <v>2.0627451815856814E-2</v>
      </c>
      <c r="L867" s="9">
        <f>(PricingDataTable[[#This Row],[Vendor Price ($)]]-PricingDataTable[[#This Row],[Current Price ($)]])/PricingDataTable[[#This Row],[Current Price ($)]]</f>
        <v>-8.4254151509451081E-4</v>
      </c>
      <c r="M867" t="str">
        <f t="shared" si="26"/>
        <v>PASS</v>
      </c>
      <c r="N867" s="10" t="str">
        <f t="shared" si="27"/>
        <v>NONE</v>
      </c>
    </row>
    <row r="868" spans="1:14">
      <c r="A868" s="4" t="s">
        <v>1752</v>
      </c>
      <c r="B868" s="4" t="s">
        <v>1753</v>
      </c>
      <c r="C868" s="4" t="s">
        <v>39</v>
      </c>
      <c r="D868" s="4" t="s">
        <v>13</v>
      </c>
      <c r="E868" s="5">
        <v>312.15969999999999</v>
      </c>
      <c r="F868" s="5">
        <v>314.3109</v>
      </c>
      <c r="G868" s="5">
        <v>314.29169999999999</v>
      </c>
      <c r="H868" s="4">
        <v>0</v>
      </c>
      <c r="I868" s="6">
        <v>3628210</v>
      </c>
      <c r="J868" s="7">
        <v>800.48</v>
      </c>
      <c r="K868" s="9">
        <f>(PricingDataTable[[#This Row],[Current Price ($)]]-PricingDataTable[[#This Row],[Prior Price ($)]])/PricingDataTable[[#This Row],[Prior Price ($)]]</f>
        <v>6.8913443983961327E-3</v>
      </c>
      <c r="L868" s="9">
        <f>(PricingDataTable[[#This Row],[Vendor Price ($)]]-PricingDataTable[[#This Row],[Current Price ($)]])/PricingDataTable[[#This Row],[Current Price ($)]]</f>
        <v>-6.1086013879926198E-5</v>
      </c>
      <c r="M868" t="str">
        <f t="shared" si="26"/>
        <v>PASS</v>
      </c>
      <c r="N868" s="10" t="str">
        <f t="shared" si="27"/>
        <v>NONE</v>
      </c>
    </row>
    <row r="869" spans="1:14">
      <c r="A869" s="4" t="s">
        <v>1754</v>
      </c>
      <c r="B869" s="4" t="s">
        <v>1755</v>
      </c>
      <c r="C869" s="4" t="s">
        <v>19</v>
      </c>
      <c r="D869" s="4" t="s">
        <v>13</v>
      </c>
      <c r="E869" s="5">
        <v>141.36199999999999</v>
      </c>
      <c r="F869" s="5">
        <v>142.85650000000001</v>
      </c>
      <c r="G869" s="5">
        <v>142.8767</v>
      </c>
      <c r="H869" s="4">
        <v>0</v>
      </c>
      <c r="I869" s="6">
        <v>1681502</v>
      </c>
      <c r="J869" s="7">
        <v>692.98</v>
      </c>
      <c r="K869" s="9">
        <f>(PricingDataTable[[#This Row],[Current Price ($)]]-PricingDataTable[[#This Row],[Prior Price ($)]])/PricingDataTable[[#This Row],[Prior Price ($)]]</f>
        <v>1.0572148102036024E-2</v>
      </c>
      <c r="L869" s="9">
        <f>(PricingDataTable[[#This Row],[Vendor Price ($)]]-PricingDataTable[[#This Row],[Current Price ($)]])/PricingDataTable[[#This Row],[Current Price ($)]]</f>
        <v>1.4140063630278249E-4</v>
      </c>
      <c r="M869" t="str">
        <f t="shared" si="26"/>
        <v>PASS</v>
      </c>
      <c r="N869" s="10" t="str">
        <f t="shared" si="27"/>
        <v>NONE</v>
      </c>
    </row>
    <row r="870" spans="1:14">
      <c r="A870" s="4" t="s">
        <v>1756</v>
      </c>
      <c r="B870" s="4" t="s">
        <v>1757</v>
      </c>
      <c r="C870" s="4" t="s">
        <v>35</v>
      </c>
      <c r="D870" s="4" t="s">
        <v>13</v>
      </c>
      <c r="E870" s="5">
        <v>104.68040000000001</v>
      </c>
      <c r="F870" s="5">
        <v>104.9472</v>
      </c>
      <c r="G870" s="5">
        <v>105.1125</v>
      </c>
      <c r="H870" s="4">
        <v>0</v>
      </c>
      <c r="I870" s="6">
        <v>1069067</v>
      </c>
      <c r="J870" s="7">
        <v>486.16</v>
      </c>
      <c r="K870" s="9">
        <f>(PricingDataTable[[#This Row],[Current Price ($)]]-PricingDataTable[[#This Row],[Prior Price ($)]])/PricingDataTable[[#This Row],[Prior Price ($)]]</f>
        <v>2.5487101692388378E-3</v>
      </c>
      <c r="L870" s="9">
        <f>(PricingDataTable[[#This Row],[Vendor Price ($)]]-PricingDataTable[[#This Row],[Current Price ($)]])/PricingDataTable[[#This Row],[Current Price ($)]]</f>
        <v>1.5750777533845783E-3</v>
      </c>
      <c r="M870" t="str">
        <f t="shared" si="26"/>
        <v>PASS</v>
      </c>
      <c r="N870" s="10" t="str">
        <f t="shared" si="27"/>
        <v>NONE</v>
      </c>
    </row>
    <row r="871" spans="1:14">
      <c r="A871" s="4" t="s">
        <v>1758</v>
      </c>
      <c r="B871" s="4" t="s">
        <v>1759</v>
      </c>
      <c r="C871" s="4" t="s">
        <v>39</v>
      </c>
      <c r="D871" s="4" t="s">
        <v>36</v>
      </c>
      <c r="E871" s="5">
        <v>233.09309999999999</v>
      </c>
      <c r="F871" s="5">
        <v>233.59219999999999</v>
      </c>
      <c r="G871" s="5">
        <v>233.99160000000001</v>
      </c>
      <c r="H871" s="4">
        <v>3</v>
      </c>
      <c r="I871" s="6">
        <v>3688975</v>
      </c>
      <c r="J871" s="7">
        <v>110.97</v>
      </c>
      <c r="K871" s="9">
        <f>(PricingDataTable[[#This Row],[Current Price ($)]]-PricingDataTable[[#This Row],[Prior Price ($)]])/PricingDataTable[[#This Row],[Prior Price ($)]]</f>
        <v>2.1412045229996022E-3</v>
      </c>
      <c r="L871" s="9">
        <f>(PricingDataTable[[#This Row],[Vendor Price ($)]]-PricingDataTable[[#This Row],[Current Price ($)]])/PricingDataTable[[#This Row],[Current Price ($)]]</f>
        <v>1.7098173654771615E-3</v>
      </c>
      <c r="M871" t="str">
        <f t="shared" si="26"/>
        <v>STALE</v>
      </c>
      <c r="N871" s="10" t="str">
        <f t="shared" si="27"/>
        <v>LOW</v>
      </c>
    </row>
    <row r="872" spans="1:14">
      <c r="A872" s="4" t="s">
        <v>1760</v>
      </c>
      <c r="B872" s="4" t="s">
        <v>1761</v>
      </c>
      <c r="C872" s="4" t="s">
        <v>16</v>
      </c>
      <c r="D872" s="4" t="s">
        <v>32</v>
      </c>
      <c r="E872" s="5">
        <v>111.9956</v>
      </c>
      <c r="F872" s="5">
        <v>110.9269</v>
      </c>
      <c r="G872" s="5">
        <v>111.1741</v>
      </c>
      <c r="H872" s="4">
        <v>0</v>
      </c>
      <c r="I872" s="6">
        <v>1469818</v>
      </c>
      <c r="J872" s="7">
        <v>456.13</v>
      </c>
      <c r="K872" s="9">
        <f>(PricingDataTable[[#This Row],[Current Price ($)]]-PricingDataTable[[#This Row],[Prior Price ($)]])/PricingDataTable[[#This Row],[Prior Price ($)]]</f>
        <v>-9.5423391633242087E-3</v>
      </c>
      <c r="L872" s="9">
        <f>(PricingDataTable[[#This Row],[Vendor Price ($)]]-PricingDataTable[[#This Row],[Current Price ($)]])/PricingDataTable[[#This Row],[Current Price ($)]]</f>
        <v>2.2284946212324723E-3</v>
      </c>
      <c r="M872" t="str">
        <f t="shared" si="26"/>
        <v>PASS</v>
      </c>
      <c r="N872" s="10" t="str">
        <f t="shared" si="27"/>
        <v>NONE</v>
      </c>
    </row>
    <row r="873" spans="1:14">
      <c r="A873" s="4" t="s">
        <v>1762</v>
      </c>
      <c r="B873" s="4" t="s">
        <v>1763</v>
      </c>
      <c r="C873" s="4" t="s">
        <v>19</v>
      </c>
      <c r="D873" s="4" t="s">
        <v>32</v>
      </c>
      <c r="E873" s="5">
        <v>49.162500000000001</v>
      </c>
      <c r="F873" s="5">
        <v>48.360500000000002</v>
      </c>
      <c r="G873" s="5">
        <v>48.374000000000002</v>
      </c>
      <c r="H873" s="4">
        <v>0</v>
      </c>
      <c r="I873" s="6">
        <v>3019711</v>
      </c>
      <c r="J873" s="7">
        <v>430.29</v>
      </c>
      <c r="K873" s="9">
        <f>(PricingDataTable[[#This Row],[Current Price ($)]]-PricingDataTable[[#This Row],[Prior Price ($)]])/PricingDataTable[[#This Row],[Prior Price ($)]]</f>
        <v>-1.6313246885329258E-2</v>
      </c>
      <c r="L873" s="9">
        <f>(PricingDataTable[[#This Row],[Vendor Price ($)]]-PricingDataTable[[#This Row],[Current Price ($)]])/PricingDataTable[[#This Row],[Current Price ($)]]</f>
        <v>2.7915344134160131E-4</v>
      </c>
      <c r="M873" t="str">
        <f t="shared" si="26"/>
        <v>PASS</v>
      </c>
      <c r="N873" s="10" t="str">
        <f t="shared" si="27"/>
        <v>NONE</v>
      </c>
    </row>
    <row r="874" spans="1:14">
      <c r="A874" s="4" t="s">
        <v>1764</v>
      </c>
      <c r="B874" s="4" t="s">
        <v>1765</v>
      </c>
      <c r="C874" s="4" t="s">
        <v>35</v>
      </c>
      <c r="D874" s="4" t="s">
        <v>13</v>
      </c>
      <c r="E874" s="5">
        <v>69.645200000000003</v>
      </c>
      <c r="F874" s="5">
        <v>67.775400000000005</v>
      </c>
      <c r="G874" s="5">
        <v>68.025400000000005</v>
      </c>
      <c r="H874" s="4">
        <v>0</v>
      </c>
      <c r="I874" s="6">
        <v>2523407</v>
      </c>
      <c r="J874" s="7">
        <v>206.58</v>
      </c>
      <c r="K874" s="9">
        <f>(PricingDataTable[[#This Row],[Current Price ($)]]-PricingDataTable[[#This Row],[Prior Price ($)]])/PricingDataTable[[#This Row],[Prior Price ($)]]</f>
        <v>-2.6847507078736191E-2</v>
      </c>
      <c r="L874" s="9">
        <f>(PricingDataTable[[#This Row],[Vendor Price ($)]]-PricingDataTable[[#This Row],[Current Price ($)]])/PricingDataTable[[#This Row],[Current Price ($)]]</f>
        <v>3.6886539954024615E-3</v>
      </c>
      <c r="M874" t="str">
        <f t="shared" si="26"/>
        <v>PASS</v>
      </c>
      <c r="N874" s="10" t="str">
        <f t="shared" si="27"/>
        <v>NONE</v>
      </c>
    </row>
    <row r="875" spans="1:14">
      <c r="A875" s="4" t="s">
        <v>1766</v>
      </c>
      <c r="B875" s="4" t="s">
        <v>1767</v>
      </c>
      <c r="C875" s="4" t="s">
        <v>12</v>
      </c>
      <c r="D875" s="4" t="s">
        <v>32</v>
      </c>
      <c r="E875" s="5">
        <v>118.7971</v>
      </c>
      <c r="F875" s="5">
        <v>122.45820000000001</v>
      </c>
      <c r="G875" s="5">
        <v>122.55249999999999</v>
      </c>
      <c r="H875" s="4">
        <v>0</v>
      </c>
      <c r="I875" s="6">
        <v>78795</v>
      </c>
      <c r="J875" s="7">
        <v>115.33</v>
      </c>
      <c r="K875" s="9">
        <f>(PricingDataTable[[#This Row],[Current Price ($)]]-PricingDataTable[[#This Row],[Prior Price ($)]])/PricingDataTable[[#This Row],[Prior Price ($)]]</f>
        <v>3.0818092360840498E-2</v>
      </c>
      <c r="L875" s="9">
        <f>(PricingDataTable[[#This Row],[Vendor Price ($)]]-PricingDataTable[[#This Row],[Current Price ($)]])/PricingDataTable[[#This Row],[Current Price ($)]]</f>
        <v>7.7005868124788569E-4</v>
      </c>
      <c r="M875" t="str">
        <f t="shared" si="26"/>
        <v>PASS</v>
      </c>
      <c r="N875" s="10" t="str">
        <f t="shared" si="27"/>
        <v>NONE</v>
      </c>
    </row>
    <row r="876" spans="1:14">
      <c r="A876" s="4" t="s">
        <v>1768</v>
      </c>
      <c r="B876" s="4" t="s">
        <v>1769</v>
      </c>
      <c r="C876" s="4" t="s">
        <v>12</v>
      </c>
      <c r="D876" s="4" t="s">
        <v>32</v>
      </c>
      <c r="E876" s="5">
        <v>78.059100000000001</v>
      </c>
      <c r="F876" s="5">
        <v>78.666499999999999</v>
      </c>
      <c r="G876" s="5">
        <v>78.218400000000003</v>
      </c>
      <c r="H876" s="4">
        <v>0</v>
      </c>
      <c r="I876" s="6">
        <v>4351329</v>
      </c>
      <c r="J876" s="7">
        <v>868.78</v>
      </c>
      <c r="K876" s="9">
        <f>(PricingDataTable[[#This Row],[Current Price ($)]]-PricingDataTable[[#This Row],[Prior Price ($)]])/PricingDataTable[[#This Row],[Prior Price ($)]]</f>
        <v>7.7812836683999482E-3</v>
      </c>
      <c r="L876" s="9">
        <f>(PricingDataTable[[#This Row],[Vendor Price ($)]]-PricingDataTable[[#This Row],[Current Price ($)]])/PricingDataTable[[#This Row],[Current Price ($)]]</f>
        <v>-5.6961985088951027E-3</v>
      </c>
      <c r="M876" t="str">
        <f t="shared" si="26"/>
        <v>PASS</v>
      </c>
      <c r="N876" s="10" t="str">
        <f t="shared" si="27"/>
        <v>NONE</v>
      </c>
    </row>
    <row r="877" spans="1:14">
      <c r="A877" s="4" t="s">
        <v>1770</v>
      </c>
      <c r="B877" s="4" t="s">
        <v>1771</v>
      </c>
      <c r="C877" s="4" t="s">
        <v>16</v>
      </c>
      <c r="D877" s="4" t="s">
        <v>36</v>
      </c>
      <c r="E877" s="5">
        <v>114.3278</v>
      </c>
      <c r="F877" s="5">
        <v>115.2384</v>
      </c>
      <c r="G877" s="5">
        <v>115.2821</v>
      </c>
      <c r="H877" s="4">
        <v>2</v>
      </c>
      <c r="I877" s="6">
        <v>217678</v>
      </c>
      <c r="J877" s="7">
        <v>298.56</v>
      </c>
      <c r="K877" s="9">
        <f>(PricingDataTable[[#This Row],[Current Price ($)]]-PricingDataTable[[#This Row],[Prior Price ($)]])/PricingDataTable[[#This Row],[Prior Price ($)]]</f>
        <v>7.9648169561559162E-3</v>
      </c>
      <c r="L877" s="9">
        <f>(PricingDataTable[[#This Row],[Vendor Price ($)]]-PricingDataTable[[#This Row],[Current Price ($)]])/PricingDataTable[[#This Row],[Current Price ($)]]</f>
        <v>3.7921387315340357E-4</v>
      </c>
      <c r="M877" t="str">
        <f t="shared" si="26"/>
        <v>PASS</v>
      </c>
      <c r="N877" s="10" t="str">
        <f t="shared" si="27"/>
        <v>NONE</v>
      </c>
    </row>
    <row r="878" spans="1:14">
      <c r="A878" s="4" t="s">
        <v>1772</v>
      </c>
      <c r="B878" s="4" t="s">
        <v>1773</v>
      </c>
      <c r="C878" s="4" t="s">
        <v>39</v>
      </c>
      <c r="D878" s="4" t="s">
        <v>13</v>
      </c>
      <c r="E878" s="5">
        <v>147.4178</v>
      </c>
      <c r="F878" s="5">
        <v>144.51</v>
      </c>
      <c r="G878" s="5">
        <v>144.3295</v>
      </c>
      <c r="H878" s="4">
        <v>0</v>
      </c>
      <c r="I878" s="6">
        <v>3523232</v>
      </c>
      <c r="J878" s="7">
        <v>889.37</v>
      </c>
      <c r="K878" s="9">
        <f>(PricingDataTable[[#This Row],[Current Price ($)]]-PricingDataTable[[#This Row],[Prior Price ($)]])/PricingDataTable[[#This Row],[Prior Price ($)]]</f>
        <v>-1.9724890752677145E-2</v>
      </c>
      <c r="L878" s="9">
        <f>(PricingDataTable[[#This Row],[Vendor Price ($)]]-PricingDataTable[[#This Row],[Current Price ($)]])/PricingDataTable[[#This Row],[Current Price ($)]]</f>
        <v>-1.249048508753685E-3</v>
      </c>
      <c r="M878" t="str">
        <f t="shared" si="26"/>
        <v>PASS</v>
      </c>
      <c r="N878" s="10" t="str">
        <f t="shared" si="27"/>
        <v>NONE</v>
      </c>
    </row>
    <row r="879" spans="1:14">
      <c r="A879" s="4" t="s">
        <v>1774</v>
      </c>
      <c r="B879" s="4" t="s">
        <v>1775</v>
      </c>
      <c r="C879" s="4" t="s">
        <v>16</v>
      </c>
      <c r="D879" s="4" t="s">
        <v>13</v>
      </c>
      <c r="E879" s="5">
        <v>119.9072</v>
      </c>
      <c r="F879" s="5">
        <v>117.2663</v>
      </c>
      <c r="G879" s="5">
        <v>125.6818</v>
      </c>
      <c r="H879" s="4">
        <v>2</v>
      </c>
      <c r="I879" s="6">
        <v>3067730</v>
      </c>
      <c r="J879" s="7">
        <v>861.22</v>
      </c>
      <c r="K879" s="9">
        <f>(PricingDataTable[[#This Row],[Current Price ($)]]-PricingDataTable[[#This Row],[Prior Price ($)]])/PricingDataTable[[#This Row],[Prior Price ($)]]</f>
        <v>-2.2024532304982535E-2</v>
      </c>
      <c r="L879" s="9">
        <f>(PricingDataTable[[#This Row],[Vendor Price ($)]]-PricingDataTable[[#This Row],[Current Price ($)]])/PricingDataTable[[#This Row],[Current Price ($)]]</f>
        <v>7.1764010632210565E-2</v>
      </c>
      <c r="M879" t="str">
        <f t="shared" si="26"/>
        <v>VENDOR DIFFERENCE</v>
      </c>
      <c r="N879" s="10" t="str">
        <f t="shared" si="27"/>
        <v>HIGH</v>
      </c>
    </row>
    <row r="880" spans="1:14">
      <c r="A880" s="4" t="s">
        <v>1776</v>
      </c>
      <c r="B880" s="4" t="s">
        <v>1777</v>
      </c>
      <c r="C880" s="4" t="s">
        <v>16</v>
      </c>
      <c r="D880" s="4" t="s">
        <v>32</v>
      </c>
      <c r="E880" s="5">
        <v>117.5984</v>
      </c>
      <c r="F880" s="5">
        <v>117.9272</v>
      </c>
      <c r="G880" s="5">
        <v>118.1621</v>
      </c>
      <c r="H880" s="4">
        <v>0</v>
      </c>
      <c r="I880" s="6">
        <v>3388643</v>
      </c>
      <c r="J880" s="7">
        <v>254.21</v>
      </c>
      <c r="K880" s="9">
        <f>(PricingDataTable[[#This Row],[Current Price ($)]]-PricingDataTable[[#This Row],[Prior Price ($)]])/PricingDataTable[[#This Row],[Prior Price ($)]]</f>
        <v>2.7959564075701803E-3</v>
      </c>
      <c r="L880" s="9">
        <f>(PricingDataTable[[#This Row],[Vendor Price ($)]]-PricingDataTable[[#This Row],[Current Price ($)]])/PricingDataTable[[#This Row],[Current Price ($)]]</f>
        <v>1.9919068713578894E-3</v>
      </c>
      <c r="M880" t="str">
        <f t="shared" si="26"/>
        <v>PASS</v>
      </c>
      <c r="N880" s="10" t="str">
        <f t="shared" si="27"/>
        <v>NONE</v>
      </c>
    </row>
    <row r="881" spans="1:14">
      <c r="A881" s="4" t="s">
        <v>1778</v>
      </c>
      <c r="B881" s="4" t="s">
        <v>1779</v>
      </c>
      <c r="C881" s="4" t="s">
        <v>19</v>
      </c>
      <c r="D881" s="4" t="s">
        <v>13</v>
      </c>
      <c r="E881" s="5">
        <v>257.67039999999997</v>
      </c>
      <c r="F881" s="5">
        <v>256.13380000000001</v>
      </c>
      <c r="G881" s="5">
        <v>257.2817</v>
      </c>
      <c r="H881" s="4">
        <v>0</v>
      </c>
      <c r="I881" s="6">
        <v>1105839</v>
      </c>
      <c r="J881" s="7">
        <v>295.27999999999997</v>
      </c>
      <c r="K881" s="9">
        <f>(PricingDataTable[[#This Row],[Current Price ($)]]-PricingDataTable[[#This Row],[Prior Price ($)]])/PricingDataTable[[#This Row],[Prior Price ($)]]</f>
        <v>-5.9634323538907252E-3</v>
      </c>
      <c r="L881" s="9">
        <f>(PricingDataTable[[#This Row],[Vendor Price ($)]]-PricingDataTable[[#This Row],[Current Price ($)]])/PricingDataTable[[#This Row],[Current Price ($)]]</f>
        <v>4.481642016789634E-3</v>
      </c>
      <c r="M881" t="str">
        <f t="shared" si="26"/>
        <v>PASS</v>
      </c>
      <c r="N881" s="10" t="str">
        <f t="shared" si="27"/>
        <v>NONE</v>
      </c>
    </row>
    <row r="882" spans="1:14">
      <c r="A882" s="4" t="s">
        <v>1780</v>
      </c>
      <c r="B882" s="4" t="s">
        <v>1781</v>
      </c>
      <c r="C882" s="4" t="s">
        <v>12</v>
      </c>
      <c r="D882" s="4" t="s">
        <v>36</v>
      </c>
      <c r="E882" s="5">
        <v>76.711299999999994</v>
      </c>
      <c r="F882" s="5">
        <v>77.465299999999999</v>
      </c>
      <c r="G882" s="5">
        <v>77.337699999999998</v>
      </c>
      <c r="H882" s="4">
        <v>0</v>
      </c>
      <c r="I882" s="6">
        <v>1996057</v>
      </c>
      <c r="J882" s="7">
        <v>145.86000000000001</v>
      </c>
      <c r="K882" s="9">
        <f>(PricingDataTable[[#This Row],[Current Price ($)]]-PricingDataTable[[#This Row],[Prior Price ($)]])/PricingDataTable[[#This Row],[Prior Price ($)]]</f>
        <v>9.8290603861491722E-3</v>
      </c>
      <c r="L882" s="9">
        <f>(PricingDataTable[[#This Row],[Vendor Price ($)]]-PricingDataTable[[#This Row],[Current Price ($)]])/PricingDataTable[[#This Row],[Current Price ($)]]</f>
        <v>-1.647189128551765E-3</v>
      </c>
      <c r="M882" t="str">
        <f t="shared" si="26"/>
        <v>PASS</v>
      </c>
      <c r="N882" s="10" t="str">
        <f t="shared" si="27"/>
        <v>NONE</v>
      </c>
    </row>
    <row r="883" spans="1:14">
      <c r="A883" s="4" t="s">
        <v>1782</v>
      </c>
      <c r="B883" s="4" t="s">
        <v>1783</v>
      </c>
      <c r="C883" s="4" t="s">
        <v>12</v>
      </c>
      <c r="D883" s="4" t="s">
        <v>13</v>
      </c>
      <c r="E883" s="5">
        <v>92.195099999999996</v>
      </c>
      <c r="F883" s="5">
        <v>90.787400000000005</v>
      </c>
      <c r="G883" s="5">
        <v>90.424300000000002</v>
      </c>
      <c r="H883" s="4">
        <v>0</v>
      </c>
      <c r="I883" s="6">
        <v>989338</v>
      </c>
      <c r="J883" s="7">
        <v>670.52</v>
      </c>
      <c r="K883" s="9">
        <f>(PricingDataTable[[#This Row],[Current Price ($)]]-PricingDataTable[[#This Row],[Prior Price ($)]])/PricingDataTable[[#This Row],[Prior Price ($)]]</f>
        <v>-1.526870733911012E-2</v>
      </c>
      <c r="L883" s="9">
        <f>(PricingDataTable[[#This Row],[Vendor Price ($)]]-PricingDataTable[[#This Row],[Current Price ($)]])/PricingDataTable[[#This Row],[Current Price ($)]]</f>
        <v>-3.9994536686809275E-3</v>
      </c>
      <c r="M883" t="str">
        <f t="shared" si="26"/>
        <v>PASS</v>
      </c>
      <c r="N883" s="10" t="str">
        <f t="shared" si="27"/>
        <v>NONE</v>
      </c>
    </row>
    <row r="884" spans="1:14">
      <c r="A884" s="4" t="s">
        <v>1784</v>
      </c>
      <c r="B884" s="4" t="s">
        <v>1785</v>
      </c>
      <c r="C884" s="4" t="s">
        <v>35</v>
      </c>
      <c r="D884" s="4" t="s">
        <v>13</v>
      </c>
      <c r="E884" s="5">
        <v>160.8698</v>
      </c>
      <c r="F884" s="5">
        <v>160.7535</v>
      </c>
      <c r="G884" s="5">
        <v>161.62780000000001</v>
      </c>
      <c r="H884" s="4">
        <v>0</v>
      </c>
      <c r="I884" s="6">
        <v>4355299</v>
      </c>
      <c r="J884" s="7">
        <v>236.72</v>
      </c>
      <c r="K884" s="9">
        <f>(PricingDataTable[[#This Row],[Current Price ($)]]-PricingDataTable[[#This Row],[Prior Price ($)]])/PricingDataTable[[#This Row],[Prior Price ($)]]</f>
        <v>-7.2294489083715783E-4</v>
      </c>
      <c r="L884" s="9">
        <f>(PricingDataTable[[#This Row],[Vendor Price ($)]]-PricingDataTable[[#This Row],[Current Price ($)]])/PricingDataTable[[#This Row],[Current Price ($)]]</f>
        <v>5.4387618310021563E-3</v>
      </c>
      <c r="M884" t="str">
        <f t="shared" si="26"/>
        <v>PASS</v>
      </c>
      <c r="N884" s="10" t="str">
        <f t="shared" si="27"/>
        <v>NONE</v>
      </c>
    </row>
    <row r="885" spans="1:14">
      <c r="A885" s="4" t="s">
        <v>1786</v>
      </c>
      <c r="B885" s="4" t="s">
        <v>1787</v>
      </c>
      <c r="C885" s="4" t="s">
        <v>12</v>
      </c>
      <c r="D885" s="4" t="s">
        <v>237</v>
      </c>
      <c r="E885" s="5">
        <v>81.311400000000006</v>
      </c>
      <c r="F885" s="5">
        <v>81.465999999999994</v>
      </c>
      <c r="G885" s="5">
        <v>81.733400000000003</v>
      </c>
      <c r="H885" s="4">
        <v>0</v>
      </c>
      <c r="I885" s="6">
        <v>3659809</v>
      </c>
      <c r="J885" s="7">
        <v>498.06</v>
      </c>
      <c r="K885" s="9">
        <f>(PricingDataTable[[#This Row],[Current Price ($)]]-PricingDataTable[[#This Row],[Prior Price ($)]])/PricingDataTable[[#This Row],[Prior Price ($)]]</f>
        <v>1.9013324084936165E-3</v>
      </c>
      <c r="L885" s="9">
        <f>(PricingDataTable[[#This Row],[Vendor Price ($)]]-PricingDataTable[[#This Row],[Current Price ($)]])/PricingDataTable[[#This Row],[Current Price ($)]]</f>
        <v>3.2823509194020721E-3</v>
      </c>
      <c r="M885" t="str">
        <f t="shared" si="26"/>
        <v>PASS</v>
      </c>
      <c r="N885" s="10" t="str">
        <f t="shared" si="27"/>
        <v>NONE</v>
      </c>
    </row>
    <row r="886" spans="1:14">
      <c r="A886" s="4" t="s">
        <v>1788</v>
      </c>
      <c r="B886" s="4" t="s">
        <v>1789</v>
      </c>
      <c r="C886" s="4" t="s">
        <v>19</v>
      </c>
      <c r="D886" s="4" t="s">
        <v>64</v>
      </c>
      <c r="E886" s="5">
        <v>310.88350000000003</v>
      </c>
      <c r="F886" s="5">
        <v>308.82589999999999</v>
      </c>
      <c r="G886" s="5">
        <v>308.79090000000002</v>
      </c>
      <c r="H886" s="4">
        <v>0</v>
      </c>
      <c r="I886" s="6">
        <v>1274149</v>
      </c>
      <c r="J886" s="7">
        <v>506.68</v>
      </c>
      <c r="K886" s="9">
        <f>(PricingDataTable[[#This Row],[Current Price ($)]]-PricingDataTable[[#This Row],[Prior Price ($)]])/PricingDataTable[[#This Row],[Prior Price ($)]]</f>
        <v>-6.6185564689024545E-3</v>
      </c>
      <c r="L886" s="9">
        <f>(PricingDataTable[[#This Row],[Vendor Price ($)]]-PricingDataTable[[#This Row],[Current Price ($)]])/PricingDataTable[[#This Row],[Current Price ($)]]</f>
        <v>-1.1333246337165428E-4</v>
      </c>
      <c r="M886" t="str">
        <f t="shared" si="26"/>
        <v>PASS</v>
      </c>
      <c r="N886" s="10" t="str">
        <f t="shared" si="27"/>
        <v>NONE</v>
      </c>
    </row>
    <row r="887" spans="1:14">
      <c r="A887" s="4" t="s">
        <v>1790</v>
      </c>
      <c r="B887" s="4" t="s">
        <v>1791</v>
      </c>
      <c r="C887" s="4" t="s">
        <v>19</v>
      </c>
      <c r="D887" s="4" t="s">
        <v>13</v>
      </c>
      <c r="E887" s="5">
        <v>192.49440000000001</v>
      </c>
      <c r="F887" s="5">
        <v>189.7526</v>
      </c>
      <c r="G887" s="5">
        <v>187.923</v>
      </c>
      <c r="H887" s="4">
        <v>1</v>
      </c>
      <c r="I887" s="6">
        <v>1898985</v>
      </c>
      <c r="J887" s="7">
        <v>758.95</v>
      </c>
      <c r="K887" s="9">
        <f>(PricingDataTable[[#This Row],[Current Price ($)]]-PricingDataTable[[#This Row],[Prior Price ($)]])/PricingDataTable[[#This Row],[Prior Price ($)]]</f>
        <v>-1.4243531240389393E-2</v>
      </c>
      <c r="L887" s="9">
        <f>(PricingDataTable[[#This Row],[Vendor Price ($)]]-PricingDataTable[[#This Row],[Current Price ($)]])/PricingDataTable[[#This Row],[Current Price ($)]]</f>
        <v>-9.6420286204246964E-3</v>
      </c>
      <c r="M887" t="str">
        <f t="shared" si="26"/>
        <v>PASS</v>
      </c>
      <c r="N887" s="10" t="str">
        <f t="shared" si="27"/>
        <v>NONE</v>
      </c>
    </row>
    <row r="888" spans="1:14">
      <c r="A888" s="4" t="s">
        <v>1792</v>
      </c>
      <c r="B888" s="4" t="s">
        <v>1793</v>
      </c>
      <c r="C888" s="4" t="s">
        <v>16</v>
      </c>
      <c r="D888" s="4" t="s">
        <v>237</v>
      </c>
      <c r="E888" s="5">
        <v>96.200800000000001</v>
      </c>
      <c r="F888" s="5">
        <v>96.308999999999997</v>
      </c>
      <c r="G888" s="5">
        <v>96.3964</v>
      </c>
      <c r="H888" s="4">
        <v>0</v>
      </c>
      <c r="I888" s="6">
        <v>3998556</v>
      </c>
      <c r="J888" s="7">
        <v>421.31</v>
      </c>
      <c r="K888" s="9">
        <f>(PricingDataTable[[#This Row],[Current Price ($)]]-PricingDataTable[[#This Row],[Prior Price ($)]])/PricingDataTable[[#This Row],[Prior Price ($)]]</f>
        <v>1.1247307714696397E-3</v>
      </c>
      <c r="L888" s="9">
        <f>(PricingDataTable[[#This Row],[Vendor Price ($)]]-PricingDataTable[[#This Row],[Current Price ($)]])/PricingDataTable[[#This Row],[Current Price ($)]]</f>
        <v>9.0749566499498868E-4</v>
      </c>
      <c r="M888" t="str">
        <f t="shared" si="26"/>
        <v>PASS</v>
      </c>
      <c r="N888" s="10" t="str">
        <f t="shared" si="27"/>
        <v>NONE</v>
      </c>
    </row>
    <row r="889" spans="1:14">
      <c r="A889" s="4" t="s">
        <v>1794</v>
      </c>
      <c r="B889" s="4" t="s">
        <v>1795</v>
      </c>
      <c r="C889" s="4" t="s">
        <v>19</v>
      </c>
      <c r="D889" s="4" t="s">
        <v>13</v>
      </c>
      <c r="E889" s="5">
        <v>198.06899999999999</v>
      </c>
      <c r="F889" s="5">
        <v>196.03700000000001</v>
      </c>
      <c r="G889" s="5">
        <v>197.2704</v>
      </c>
      <c r="H889" s="4">
        <v>0</v>
      </c>
      <c r="I889" s="6">
        <v>1345299</v>
      </c>
      <c r="J889" s="7">
        <v>688.18</v>
      </c>
      <c r="K889" s="9">
        <f>(PricingDataTable[[#This Row],[Current Price ($)]]-PricingDataTable[[#This Row],[Prior Price ($)]])/PricingDataTable[[#This Row],[Prior Price ($)]]</f>
        <v>-1.025905113874449E-2</v>
      </c>
      <c r="L889" s="9">
        <f>(PricingDataTable[[#This Row],[Vendor Price ($)]]-PricingDataTable[[#This Row],[Current Price ($)]])/PricingDataTable[[#This Row],[Current Price ($)]]</f>
        <v>6.2916694297504494E-3</v>
      </c>
      <c r="M889" t="str">
        <f t="shared" si="26"/>
        <v>PASS</v>
      </c>
      <c r="N889" s="10" t="str">
        <f t="shared" si="27"/>
        <v>NONE</v>
      </c>
    </row>
    <row r="890" spans="1:14">
      <c r="A890" s="4" t="s">
        <v>1796</v>
      </c>
      <c r="B890" s="4" t="s">
        <v>1797</v>
      </c>
      <c r="C890" s="4" t="s">
        <v>39</v>
      </c>
      <c r="D890" s="4" t="s">
        <v>13</v>
      </c>
      <c r="E890" s="5">
        <v>141.72190000000001</v>
      </c>
      <c r="F890" s="5">
        <v>142.84520000000001</v>
      </c>
      <c r="G890" s="5">
        <v>143.6069</v>
      </c>
      <c r="H890" s="4">
        <v>0</v>
      </c>
      <c r="I890" s="6">
        <v>4916134</v>
      </c>
      <c r="J890" s="7">
        <v>849.92</v>
      </c>
      <c r="K890" s="9">
        <f>(PricingDataTable[[#This Row],[Current Price ($)]]-PricingDataTable[[#This Row],[Prior Price ($)]])/PricingDataTable[[#This Row],[Prior Price ($)]]</f>
        <v>7.9260862294394888E-3</v>
      </c>
      <c r="L890" s="9">
        <f>(PricingDataTable[[#This Row],[Vendor Price ($)]]-PricingDataTable[[#This Row],[Current Price ($)]])/PricingDataTable[[#This Row],[Current Price ($)]]</f>
        <v>5.3323457841074843E-3</v>
      </c>
      <c r="M890" t="str">
        <f t="shared" si="26"/>
        <v>PASS</v>
      </c>
      <c r="N890" s="10" t="str">
        <f t="shared" si="27"/>
        <v>NONE</v>
      </c>
    </row>
    <row r="891" spans="1:14">
      <c r="A891" s="4" t="s">
        <v>1798</v>
      </c>
      <c r="B891" s="4" t="s">
        <v>1799</v>
      </c>
      <c r="C891" s="4" t="s">
        <v>16</v>
      </c>
      <c r="D891" s="4" t="s">
        <v>13</v>
      </c>
      <c r="E891" s="5">
        <v>113.0292</v>
      </c>
      <c r="F891" s="5">
        <v>113.7052</v>
      </c>
      <c r="G891" s="5">
        <v>113.7167</v>
      </c>
      <c r="H891" s="4">
        <v>0</v>
      </c>
      <c r="I891" s="6">
        <v>2507702</v>
      </c>
      <c r="J891" s="7">
        <v>740.05</v>
      </c>
      <c r="K891" s="9">
        <f>(PricingDataTable[[#This Row],[Current Price ($)]]-PricingDataTable[[#This Row],[Prior Price ($)]])/PricingDataTable[[#This Row],[Prior Price ($)]]</f>
        <v>5.9807554154147945E-3</v>
      </c>
      <c r="L891" s="9">
        <f>(PricingDataTable[[#This Row],[Vendor Price ($)]]-PricingDataTable[[#This Row],[Current Price ($)]])/PricingDataTable[[#This Row],[Current Price ($)]]</f>
        <v>1.0113873420035379E-4</v>
      </c>
      <c r="M891" t="str">
        <f t="shared" si="26"/>
        <v>PASS</v>
      </c>
      <c r="N891" s="10" t="str">
        <f t="shared" si="27"/>
        <v>NONE</v>
      </c>
    </row>
    <row r="892" spans="1:14">
      <c r="A892" s="4" t="s">
        <v>1800</v>
      </c>
      <c r="B892" s="4" t="s">
        <v>1801</v>
      </c>
      <c r="C892" s="4" t="s">
        <v>16</v>
      </c>
      <c r="D892" s="4" t="s">
        <v>13</v>
      </c>
      <c r="E892" s="5">
        <v>123.9496</v>
      </c>
      <c r="F892" s="5">
        <v>125.0997</v>
      </c>
      <c r="G892" s="5">
        <v>124.91679999999999</v>
      </c>
      <c r="H892" s="4">
        <v>0</v>
      </c>
      <c r="I892" s="6">
        <v>3914501</v>
      </c>
      <c r="J892" s="7">
        <v>383.43</v>
      </c>
      <c r="K892" s="9">
        <f>(PricingDataTable[[#This Row],[Current Price ($)]]-PricingDataTable[[#This Row],[Prior Price ($)]])/PricingDataTable[[#This Row],[Prior Price ($)]]</f>
        <v>9.2787713715896999E-3</v>
      </c>
      <c r="L892" s="9">
        <f>(PricingDataTable[[#This Row],[Vendor Price ($)]]-PricingDataTable[[#This Row],[Current Price ($)]])/PricingDataTable[[#This Row],[Current Price ($)]]</f>
        <v>-1.4620338817759244E-3</v>
      </c>
      <c r="M892" t="str">
        <f t="shared" si="26"/>
        <v>PASS</v>
      </c>
      <c r="N892" s="10" t="str">
        <f t="shared" si="27"/>
        <v>NONE</v>
      </c>
    </row>
    <row r="893" spans="1:14">
      <c r="A893" s="4" t="s">
        <v>1802</v>
      </c>
      <c r="B893" s="4" t="s">
        <v>1803</v>
      </c>
      <c r="C893" s="4" t="s">
        <v>39</v>
      </c>
      <c r="D893" s="4" t="s">
        <v>13</v>
      </c>
      <c r="E893" s="5">
        <v>43.243200000000002</v>
      </c>
      <c r="F893" s="5">
        <v>43.948700000000002</v>
      </c>
      <c r="G893" s="5">
        <v>43.945999999999998</v>
      </c>
      <c r="H893" s="4">
        <v>2</v>
      </c>
      <c r="I893" s="6">
        <v>3628882</v>
      </c>
      <c r="J893" s="7">
        <v>379.62</v>
      </c>
      <c r="K893" s="9">
        <f>(PricingDataTable[[#This Row],[Current Price ($)]]-PricingDataTable[[#This Row],[Prior Price ($)]])/PricingDataTable[[#This Row],[Prior Price ($)]]</f>
        <v>1.6314703814703829E-2</v>
      </c>
      <c r="L893" s="9">
        <f>(PricingDataTable[[#This Row],[Vendor Price ($)]]-PricingDataTable[[#This Row],[Current Price ($)]])/PricingDataTable[[#This Row],[Current Price ($)]]</f>
        <v>-6.1435264296881713E-5</v>
      </c>
      <c r="M893" t="str">
        <f t="shared" si="26"/>
        <v>PASS</v>
      </c>
      <c r="N893" s="10" t="str">
        <f t="shared" si="27"/>
        <v>NONE</v>
      </c>
    </row>
    <row r="894" spans="1:14">
      <c r="A894" s="4" t="s">
        <v>1804</v>
      </c>
      <c r="B894" s="4" t="s">
        <v>1805</v>
      </c>
      <c r="C894" s="4" t="s">
        <v>39</v>
      </c>
      <c r="D894" s="4" t="s">
        <v>13</v>
      </c>
      <c r="E894" s="5">
        <v>255.6259</v>
      </c>
      <c r="F894" s="5">
        <v>255.24799999999999</v>
      </c>
      <c r="G894" s="5">
        <v>255.82339999999999</v>
      </c>
      <c r="H894" s="4">
        <v>1</v>
      </c>
      <c r="I894" s="6">
        <v>849348</v>
      </c>
      <c r="J894" s="7">
        <v>641.84</v>
      </c>
      <c r="K894" s="9">
        <f>(PricingDataTable[[#This Row],[Current Price ($)]]-PricingDataTable[[#This Row],[Prior Price ($)]])/PricingDataTable[[#This Row],[Prior Price ($)]]</f>
        <v>-1.4783322034270041E-3</v>
      </c>
      <c r="L894" s="9">
        <f>(PricingDataTable[[#This Row],[Vendor Price ($)]]-PricingDataTable[[#This Row],[Current Price ($)]])/PricingDataTable[[#This Row],[Current Price ($)]]</f>
        <v>2.2542781921895644E-3</v>
      </c>
      <c r="M894" t="str">
        <f t="shared" si="26"/>
        <v>PASS</v>
      </c>
      <c r="N894" s="10" t="str">
        <f t="shared" si="27"/>
        <v>NONE</v>
      </c>
    </row>
    <row r="895" spans="1:14">
      <c r="A895" s="4" t="s">
        <v>1806</v>
      </c>
      <c r="B895" s="4" t="s">
        <v>1807</v>
      </c>
      <c r="C895" s="4" t="s">
        <v>12</v>
      </c>
      <c r="D895" s="4" t="s">
        <v>13</v>
      </c>
      <c r="E895" s="5">
        <v>96.688400000000001</v>
      </c>
      <c r="F895" s="5">
        <v>96.293999999999997</v>
      </c>
      <c r="G895" s="5">
        <v>97.282700000000006</v>
      </c>
      <c r="H895" s="4">
        <v>0</v>
      </c>
      <c r="I895" s="6">
        <v>3210374</v>
      </c>
      <c r="J895" s="7">
        <v>38.08</v>
      </c>
      <c r="K895" s="9">
        <f>(PricingDataTable[[#This Row],[Current Price ($)]]-PricingDataTable[[#This Row],[Prior Price ($)]])/PricingDataTable[[#This Row],[Prior Price ($)]]</f>
        <v>-4.0790829096355357E-3</v>
      </c>
      <c r="L895" s="9">
        <f>(PricingDataTable[[#This Row],[Vendor Price ($)]]-PricingDataTable[[#This Row],[Current Price ($)]])/PricingDataTable[[#This Row],[Current Price ($)]]</f>
        <v>1.0267514071489486E-2</v>
      </c>
      <c r="M895" t="str">
        <f t="shared" si="26"/>
        <v>PASS</v>
      </c>
      <c r="N895" s="10" t="str">
        <f t="shared" si="27"/>
        <v>NONE</v>
      </c>
    </row>
    <row r="896" spans="1:14">
      <c r="A896" s="4" t="s">
        <v>1808</v>
      </c>
      <c r="B896" s="4" t="s">
        <v>1809</v>
      </c>
      <c r="C896" s="4" t="s">
        <v>39</v>
      </c>
      <c r="D896" s="4" t="s">
        <v>13</v>
      </c>
      <c r="E896" s="5">
        <v>41.713200000000001</v>
      </c>
      <c r="F896" s="5">
        <v>42.793700000000001</v>
      </c>
      <c r="G896" s="5">
        <v>42.9818</v>
      </c>
      <c r="H896" s="4">
        <v>1</v>
      </c>
      <c r="I896" s="6">
        <v>335411</v>
      </c>
      <c r="J896" s="7">
        <v>312.7</v>
      </c>
      <c r="K896" s="9">
        <f>(PricingDataTable[[#This Row],[Current Price ($)]]-PricingDataTable[[#This Row],[Prior Price ($)]])/PricingDataTable[[#This Row],[Prior Price ($)]]</f>
        <v>2.5903071449804874E-2</v>
      </c>
      <c r="L896" s="9">
        <f>(PricingDataTable[[#This Row],[Vendor Price ($)]]-PricingDataTable[[#This Row],[Current Price ($)]])/PricingDataTable[[#This Row],[Current Price ($)]]</f>
        <v>4.3955068152554842E-3</v>
      </c>
      <c r="M896" t="str">
        <f t="shared" si="26"/>
        <v>PASS</v>
      </c>
      <c r="N896" s="10" t="str">
        <f t="shared" si="27"/>
        <v>NONE</v>
      </c>
    </row>
    <row r="897" spans="1:14">
      <c r="A897" s="4" t="s">
        <v>1810</v>
      </c>
      <c r="B897" s="4" t="s">
        <v>1811</v>
      </c>
      <c r="C897" s="4" t="s">
        <v>12</v>
      </c>
      <c r="D897" s="4" t="s">
        <v>13</v>
      </c>
      <c r="E897" s="5">
        <v>122.0099</v>
      </c>
      <c r="F897" s="5">
        <v>122.8058</v>
      </c>
      <c r="G897" s="5">
        <v>122.3279</v>
      </c>
      <c r="H897" s="4">
        <v>0</v>
      </c>
      <c r="I897" s="6">
        <v>2760535</v>
      </c>
      <c r="J897" s="7">
        <v>89.1</v>
      </c>
      <c r="K897" s="9">
        <f>(PricingDataTable[[#This Row],[Current Price ($)]]-PricingDataTable[[#This Row],[Prior Price ($)]])/PricingDataTable[[#This Row],[Prior Price ($)]]</f>
        <v>6.5232411468249965E-3</v>
      </c>
      <c r="L897" s="9">
        <f>(PricingDataTable[[#This Row],[Vendor Price ($)]]-PricingDataTable[[#This Row],[Current Price ($)]])/PricingDataTable[[#This Row],[Current Price ($)]]</f>
        <v>-3.8915100101135718E-3</v>
      </c>
      <c r="M897" t="str">
        <f t="shared" si="26"/>
        <v>PASS</v>
      </c>
      <c r="N897" s="10" t="str">
        <f t="shared" si="27"/>
        <v>NONE</v>
      </c>
    </row>
    <row r="898" spans="1:14">
      <c r="A898" s="4" t="s">
        <v>1812</v>
      </c>
      <c r="B898" s="4" t="s">
        <v>1813</v>
      </c>
      <c r="C898" s="4" t="s">
        <v>12</v>
      </c>
      <c r="D898" s="4" t="s">
        <v>64</v>
      </c>
      <c r="E898" s="5">
        <v>87.675700000000006</v>
      </c>
      <c r="F898" s="5">
        <v>88.078100000000006</v>
      </c>
      <c r="G898" s="5">
        <v>87.857500000000002</v>
      </c>
      <c r="H898" s="4">
        <v>0</v>
      </c>
      <c r="I898" s="6">
        <v>2208660</v>
      </c>
      <c r="J898" s="7">
        <v>691.8</v>
      </c>
      <c r="K898" s="9">
        <f>(PricingDataTable[[#This Row],[Current Price ($)]]-PricingDataTable[[#This Row],[Prior Price ($)]])/PricingDataTable[[#This Row],[Prior Price ($)]]</f>
        <v>4.5896411434411142E-3</v>
      </c>
      <c r="L898" s="9">
        <f>(PricingDataTable[[#This Row],[Vendor Price ($)]]-PricingDataTable[[#This Row],[Current Price ($)]])/PricingDataTable[[#This Row],[Current Price ($)]]</f>
        <v>-2.5045953534420539E-3</v>
      </c>
      <c r="M898" t="str">
        <f t="shared" ref="M898:M961" si="28">IF(OR(F898="",F898=0),"MISSING",IF(H898&gt;=3,"STALE",IF(ABS(K898)&gt;=5%,"LARGE MOVE",IF(ABS(L898)&gt;=2%,"VENDOR DIFFERENCE","PASS"))))</f>
        <v>PASS</v>
      </c>
      <c r="N898" s="10" t="str">
        <f t="shared" ref="N898:N961" si="29">IF(M898="PASS","NONE",IF(M898="MISSING","HIGH",IF(OR(ABS(K898)&gt;=10%,ABS(L898)&gt;=5%),"HIGH",IF(OR(ABS(K898)&gt;=7%,ABS(L898)&gt;=3%,H898&gt;=5),"MEDIUM","LOW"))))</f>
        <v>NONE</v>
      </c>
    </row>
    <row r="899" spans="1:14">
      <c r="A899" s="4" t="s">
        <v>1814</v>
      </c>
      <c r="B899" s="4" t="s">
        <v>1815</v>
      </c>
      <c r="C899" s="4" t="s">
        <v>16</v>
      </c>
      <c r="D899" s="4" t="s">
        <v>64</v>
      </c>
      <c r="E899" s="5">
        <v>107.4143</v>
      </c>
      <c r="F899" s="5">
        <v>107.2885</v>
      </c>
      <c r="G899" s="5">
        <v>106.7509</v>
      </c>
      <c r="H899" s="4">
        <v>0</v>
      </c>
      <c r="I899" s="6">
        <v>4516040</v>
      </c>
      <c r="J899" s="7">
        <v>665.93</v>
      </c>
      <c r="K899" s="9">
        <f>(PricingDataTable[[#This Row],[Current Price ($)]]-PricingDataTable[[#This Row],[Prior Price ($)]])/PricingDataTable[[#This Row],[Prior Price ($)]]</f>
        <v>-1.1711662227468608E-3</v>
      </c>
      <c r="L899" s="9">
        <f>(PricingDataTable[[#This Row],[Vendor Price ($)]]-PricingDataTable[[#This Row],[Current Price ($)]])/PricingDataTable[[#This Row],[Current Price ($)]]</f>
        <v>-5.0107886679373621E-3</v>
      </c>
      <c r="M899" t="str">
        <f t="shared" si="28"/>
        <v>PASS</v>
      </c>
      <c r="N899" s="10" t="str">
        <f t="shared" si="29"/>
        <v>NONE</v>
      </c>
    </row>
    <row r="900" spans="1:14">
      <c r="A900" s="4" t="s">
        <v>1816</v>
      </c>
      <c r="B900" s="4" t="s">
        <v>1817</v>
      </c>
      <c r="C900" s="4" t="s">
        <v>39</v>
      </c>
      <c r="D900" s="4" t="s">
        <v>13</v>
      </c>
      <c r="E900" s="5">
        <v>254.90369999999999</v>
      </c>
      <c r="F900" s="5">
        <v>253.20740000000001</v>
      </c>
      <c r="G900" s="5">
        <v>252.70179999999999</v>
      </c>
      <c r="H900" s="4">
        <v>0</v>
      </c>
      <c r="I900" s="6">
        <v>2941994</v>
      </c>
      <c r="J900" s="7">
        <v>303.43</v>
      </c>
      <c r="K900" s="9">
        <f>(PricingDataTable[[#This Row],[Current Price ($)]]-PricingDataTable[[#This Row],[Prior Price ($)]])/PricingDataTable[[#This Row],[Prior Price ($)]]</f>
        <v>-6.6546699792901379E-3</v>
      </c>
      <c r="L900" s="9">
        <f>(PricingDataTable[[#This Row],[Vendor Price ($)]]-PricingDataTable[[#This Row],[Current Price ($)]])/PricingDataTable[[#This Row],[Current Price ($)]]</f>
        <v>-1.996782084567889E-3</v>
      </c>
      <c r="M900" t="str">
        <f t="shared" si="28"/>
        <v>PASS</v>
      </c>
      <c r="N900" s="10" t="str">
        <f t="shared" si="29"/>
        <v>NONE</v>
      </c>
    </row>
    <row r="901" spans="1:14">
      <c r="A901" s="4" t="s">
        <v>1818</v>
      </c>
      <c r="B901" s="4" t="s">
        <v>1819</v>
      </c>
      <c r="C901" s="4" t="s">
        <v>39</v>
      </c>
      <c r="D901" s="4" t="s">
        <v>237</v>
      </c>
      <c r="E901" s="5">
        <v>118.38379999999999</v>
      </c>
      <c r="F901" s="5">
        <v>119.8181</v>
      </c>
      <c r="G901" s="5">
        <v>120.1241</v>
      </c>
      <c r="H901" s="4">
        <v>0</v>
      </c>
      <c r="I901" s="6">
        <v>3339424</v>
      </c>
      <c r="J901" s="7">
        <v>556.70000000000005</v>
      </c>
      <c r="K901" s="9">
        <f>(PricingDataTable[[#This Row],[Current Price ($)]]-PricingDataTable[[#This Row],[Prior Price ($)]])/PricingDataTable[[#This Row],[Prior Price ($)]]</f>
        <v>1.2115677989725009E-2</v>
      </c>
      <c r="L901" s="9">
        <f>(PricingDataTable[[#This Row],[Vendor Price ($)]]-PricingDataTable[[#This Row],[Current Price ($)]])/PricingDataTable[[#This Row],[Current Price ($)]]</f>
        <v>2.5538712431594007E-3</v>
      </c>
      <c r="M901" t="str">
        <f t="shared" si="28"/>
        <v>PASS</v>
      </c>
      <c r="N901" s="10" t="str">
        <f t="shared" si="29"/>
        <v>NONE</v>
      </c>
    </row>
    <row r="902" spans="1:14">
      <c r="A902" s="4" t="s">
        <v>1820</v>
      </c>
      <c r="B902" s="4" t="s">
        <v>1821</v>
      </c>
      <c r="C902" s="4" t="s">
        <v>19</v>
      </c>
      <c r="D902" s="4" t="s">
        <v>13</v>
      </c>
      <c r="E902" s="5">
        <v>320.82650000000001</v>
      </c>
      <c r="F902" s="5">
        <v>316.92070000000001</v>
      </c>
      <c r="G902" s="5">
        <v>315.3313</v>
      </c>
      <c r="H902" s="4">
        <v>0</v>
      </c>
      <c r="I902" s="6">
        <v>2466514</v>
      </c>
      <c r="J902" s="7">
        <v>552.16</v>
      </c>
      <c r="K902" s="9">
        <f>(PricingDataTable[[#This Row],[Current Price ($)]]-PricingDataTable[[#This Row],[Prior Price ($)]])/PricingDataTable[[#This Row],[Prior Price ($)]]</f>
        <v>-1.2174181372174677E-2</v>
      </c>
      <c r="L902" s="9">
        <f>(PricingDataTable[[#This Row],[Vendor Price ($)]]-PricingDataTable[[#This Row],[Current Price ($)]])/PricingDataTable[[#This Row],[Current Price ($)]]</f>
        <v>-5.0151347008889346E-3</v>
      </c>
      <c r="M902" t="str">
        <f t="shared" si="28"/>
        <v>PASS</v>
      </c>
      <c r="N902" s="10" t="str">
        <f t="shared" si="29"/>
        <v>NONE</v>
      </c>
    </row>
    <row r="903" spans="1:14">
      <c r="A903" s="4" t="s">
        <v>1822</v>
      </c>
      <c r="B903" s="4" t="s">
        <v>1823</v>
      </c>
      <c r="C903" s="4" t="s">
        <v>35</v>
      </c>
      <c r="D903" s="4" t="s">
        <v>13</v>
      </c>
      <c r="E903" s="5">
        <v>9.2576000000000001</v>
      </c>
      <c r="F903" s="5">
        <v>9.1000999999999994</v>
      </c>
      <c r="G903" s="5">
        <v>9.0881000000000007</v>
      </c>
      <c r="H903" s="4">
        <v>1</v>
      </c>
      <c r="I903" s="6">
        <v>1895421</v>
      </c>
      <c r="J903" s="7">
        <v>396.43</v>
      </c>
      <c r="K903" s="9">
        <f>(PricingDataTable[[#This Row],[Current Price ($)]]-PricingDataTable[[#This Row],[Prior Price ($)]])/PricingDataTable[[#This Row],[Prior Price ($)]]</f>
        <v>-1.701304873833398E-2</v>
      </c>
      <c r="L903" s="9">
        <f>(PricingDataTable[[#This Row],[Vendor Price ($)]]-PricingDataTable[[#This Row],[Current Price ($)]])/PricingDataTable[[#This Row],[Current Price ($)]]</f>
        <v>-1.3186668278369117E-3</v>
      </c>
      <c r="M903" t="str">
        <f t="shared" si="28"/>
        <v>PASS</v>
      </c>
      <c r="N903" s="10" t="str">
        <f t="shared" si="29"/>
        <v>NONE</v>
      </c>
    </row>
    <row r="904" spans="1:14">
      <c r="A904" s="4" t="s">
        <v>1824</v>
      </c>
      <c r="B904" s="4" t="s">
        <v>1825</v>
      </c>
      <c r="C904" s="4" t="s">
        <v>19</v>
      </c>
      <c r="D904" s="4" t="s">
        <v>13</v>
      </c>
      <c r="E904" s="5">
        <v>15.104699999999999</v>
      </c>
      <c r="F904" s="5">
        <v>14.8414</v>
      </c>
      <c r="G904" s="5">
        <v>14.786300000000001</v>
      </c>
      <c r="H904" s="4">
        <v>0</v>
      </c>
      <c r="I904" s="6">
        <v>4873905</v>
      </c>
      <c r="J904" s="7">
        <v>359.78</v>
      </c>
      <c r="K904" s="9">
        <f>(PricingDataTable[[#This Row],[Current Price ($)]]-PricingDataTable[[#This Row],[Prior Price ($)]])/PricingDataTable[[#This Row],[Prior Price ($)]]</f>
        <v>-1.7431660344131246E-2</v>
      </c>
      <c r="L904" s="9">
        <f>(PricingDataTable[[#This Row],[Vendor Price ($)]]-PricingDataTable[[#This Row],[Current Price ($)]])/PricingDataTable[[#This Row],[Current Price ($)]]</f>
        <v>-3.7125877612623798E-3</v>
      </c>
      <c r="M904" t="str">
        <f t="shared" si="28"/>
        <v>PASS</v>
      </c>
      <c r="N904" s="10" t="str">
        <f t="shared" si="29"/>
        <v>NONE</v>
      </c>
    </row>
    <row r="905" spans="1:14">
      <c r="A905" s="4" t="s">
        <v>1826</v>
      </c>
      <c r="B905" s="4" t="s">
        <v>1827</v>
      </c>
      <c r="C905" s="4" t="s">
        <v>39</v>
      </c>
      <c r="D905" s="4" t="s">
        <v>13</v>
      </c>
      <c r="E905" s="5">
        <v>343.81529999999998</v>
      </c>
      <c r="F905" s="5">
        <v>344.8784</v>
      </c>
      <c r="G905" s="5">
        <v>344.11430000000001</v>
      </c>
      <c r="H905" s="4">
        <v>3</v>
      </c>
      <c r="I905" s="6">
        <v>1129207</v>
      </c>
      <c r="J905" s="7">
        <v>289.63</v>
      </c>
      <c r="K905" s="9">
        <f>(PricingDataTable[[#This Row],[Current Price ($)]]-PricingDataTable[[#This Row],[Prior Price ($)]])/PricingDataTable[[#This Row],[Prior Price ($)]]</f>
        <v>3.0920671651320343E-3</v>
      </c>
      <c r="L905" s="9">
        <f>(PricingDataTable[[#This Row],[Vendor Price ($)]]-PricingDataTable[[#This Row],[Current Price ($)]])/PricingDataTable[[#This Row],[Current Price ($)]]</f>
        <v>-2.2155635145604505E-3</v>
      </c>
      <c r="M905" t="str">
        <f t="shared" si="28"/>
        <v>STALE</v>
      </c>
      <c r="N905" s="10" t="str">
        <f t="shared" si="29"/>
        <v>LOW</v>
      </c>
    </row>
    <row r="906" spans="1:14">
      <c r="A906" s="4" t="s">
        <v>1828</v>
      </c>
      <c r="B906" s="4" t="s">
        <v>1829</v>
      </c>
      <c r="C906" s="4" t="s">
        <v>39</v>
      </c>
      <c r="D906" s="4" t="s">
        <v>13</v>
      </c>
      <c r="E906" s="5">
        <v>41.044499999999999</v>
      </c>
      <c r="F906" s="5">
        <v>42.289400000000001</v>
      </c>
      <c r="G906" s="5">
        <v>42.106400000000001</v>
      </c>
      <c r="H906" s="4">
        <v>0</v>
      </c>
      <c r="I906" s="6">
        <v>2923111</v>
      </c>
      <c r="J906" s="7">
        <v>645.86</v>
      </c>
      <c r="K906" s="9">
        <f>(PricingDataTable[[#This Row],[Current Price ($)]]-PricingDataTable[[#This Row],[Prior Price ($)]])/PricingDataTable[[#This Row],[Prior Price ($)]]</f>
        <v>3.0330494950602426E-2</v>
      </c>
      <c r="L906" s="9">
        <f>(PricingDataTable[[#This Row],[Vendor Price ($)]]-PricingDataTable[[#This Row],[Current Price ($)]])/PricingDataTable[[#This Row],[Current Price ($)]]</f>
        <v>-4.3273255236536776E-3</v>
      </c>
      <c r="M906" t="str">
        <f t="shared" si="28"/>
        <v>PASS</v>
      </c>
      <c r="N906" s="10" t="str">
        <f t="shared" si="29"/>
        <v>NONE</v>
      </c>
    </row>
    <row r="907" spans="1:14">
      <c r="A907" s="4" t="s">
        <v>1830</v>
      </c>
      <c r="B907" s="4" t="s">
        <v>1831</v>
      </c>
      <c r="C907" s="4" t="s">
        <v>39</v>
      </c>
      <c r="D907" s="4" t="s">
        <v>13</v>
      </c>
      <c r="E907" s="5">
        <v>100.0436</v>
      </c>
      <c r="F907" s="5">
        <v>100.73390000000001</v>
      </c>
      <c r="G907" s="5">
        <v>100.4468</v>
      </c>
      <c r="H907" s="4">
        <v>0</v>
      </c>
      <c r="I907" s="6">
        <v>3763024</v>
      </c>
      <c r="J907" s="7">
        <v>503.18</v>
      </c>
      <c r="K907" s="9">
        <f>(PricingDataTable[[#This Row],[Current Price ($)]]-PricingDataTable[[#This Row],[Prior Price ($)]])/PricingDataTable[[#This Row],[Prior Price ($)]]</f>
        <v>6.8999916036608811E-3</v>
      </c>
      <c r="L907" s="9">
        <f>(PricingDataTable[[#This Row],[Vendor Price ($)]]-PricingDataTable[[#This Row],[Current Price ($)]])/PricingDataTable[[#This Row],[Current Price ($)]]</f>
        <v>-2.850083239108279E-3</v>
      </c>
      <c r="M907" t="str">
        <f t="shared" si="28"/>
        <v>PASS</v>
      </c>
      <c r="N907" s="10" t="str">
        <f t="shared" si="29"/>
        <v>NONE</v>
      </c>
    </row>
    <row r="908" spans="1:14">
      <c r="A908" s="4" t="s">
        <v>1832</v>
      </c>
      <c r="B908" s="4" t="s">
        <v>1833</v>
      </c>
      <c r="C908" s="4" t="s">
        <v>16</v>
      </c>
      <c r="D908" s="4" t="s">
        <v>13</v>
      </c>
      <c r="E908" s="5">
        <v>78.188800000000001</v>
      </c>
      <c r="F908" s="5">
        <v>76.764899999999997</v>
      </c>
      <c r="G908" s="5">
        <v>77.218900000000005</v>
      </c>
      <c r="H908" s="4">
        <v>2</v>
      </c>
      <c r="I908" s="6">
        <v>3615064</v>
      </c>
      <c r="J908" s="7">
        <v>633.86</v>
      </c>
      <c r="K908" s="9">
        <f>(PricingDataTable[[#This Row],[Current Price ($)]]-PricingDataTable[[#This Row],[Prior Price ($)]])/PricingDataTable[[#This Row],[Prior Price ($)]]</f>
        <v>-1.821104812965544E-2</v>
      </c>
      <c r="L908" s="9">
        <f>(PricingDataTable[[#This Row],[Vendor Price ($)]]-PricingDataTable[[#This Row],[Current Price ($)]])/PricingDataTable[[#This Row],[Current Price ($)]]</f>
        <v>5.9141612898604406E-3</v>
      </c>
      <c r="M908" t="str">
        <f t="shared" si="28"/>
        <v>PASS</v>
      </c>
      <c r="N908" s="10" t="str">
        <f t="shared" si="29"/>
        <v>NONE</v>
      </c>
    </row>
    <row r="909" spans="1:14">
      <c r="A909" s="4" t="s">
        <v>1834</v>
      </c>
      <c r="B909" s="4" t="s">
        <v>1835</v>
      </c>
      <c r="C909" s="4" t="s">
        <v>19</v>
      </c>
      <c r="D909" s="4" t="s">
        <v>13</v>
      </c>
      <c r="E909" s="5">
        <v>192.13130000000001</v>
      </c>
      <c r="F909" s="5">
        <v>191.18979999999999</v>
      </c>
      <c r="G909" s="5">
        <v>190.73249999999999</v>
      </c>
      <c r="H909" s="4">
        <v>3</v>
      </c>
      <c r="I909" s="6">
        <v>4924043</v>
      </c>
      <c r="J909" s="7">
        <v>283.14999999999998</v>
      </c>
      <c r="K909" s="9">
        <f>(PricingDataTable[[#This Row],[Current Price ($)]]-PricingDataTable[[#This Row],[Prior Price ($)]])/PricingDataTable[[#This Row],[Prior Price ($)]]</f>
        <v>-4.9002947463532443E-3</v>
      </c>
      <c r="L909" s="9">
        <f>(PricingDataTable[[#This Row],[Vendor Price ($)]]-PricingDataTable[[#This Row],[Current Price ($)]])/PricingDataTable[[#This Row],[Current Price ($)]]</f>
        <v>-2.3918640011130489E-3</v>
      </c>
      <c r="M909" t="str">
        <f t="shared" si="28"/>
        <v>STALE</v>
      </c>
      <c r="N909" s="10" t="str">
        <f t="shared" si="29"/>
        <v>LOW</v>
      </c>
    </row>
    <row r="910" spans="1:14">
      <c r="A910" s="4" t="s">
        <v>1836</v>
      </c>
      <c r="B910" s="4" t="s">
        <v>1837</v>
      </c>
      <c r="C910" s="4" t="s">
        <v>19</v>
      </c>
      <c r="D910" s="4" t="s">
        <v>32</v>
      </c>
      <c r="E910" s="5">
        <v>208.90710000000001</v>
      </c>
      <c r="F910" s="5">
        <v>209.05539999999999</v>
      </c>
      <c r="G910" s="5">
        <v>208.8175</v>
      </c>
      <c r="H910" s="4">
        <v>0</v>
      </c>
      <c r="I910" s="6">
        <v>1505419</v>
      </c>
      <c r="J910" s="7">
        <v>752.2</v>
      </c>
      <c r="K910" s="9">
        <f>(PricingDataTable[[#This Row],[Current Price ($)]]-PricingDataTable[[#This Row],[Prior Price ($)]])/PricingDataTable[[#This Row],[Prior Price ($)]]</f>
        <v>7.0988492013903629E-4</v>
      </c>
      <c r="L910" s="9">
        <f>(PricingDataTable[[#This Row],[Vendor Price ($)]]-PricingDataTable[[#This Row],[Current Price ($)]])/PricingDataTable[[#This Row],[Current Price ($)]]</f>
        <v>-1.137975866684124E-3</v>
      </c>
      <c r="M910" t="str">
        <f t="shared" si="28"/>
        <v>PASS</v>
      </c>
      <c r="N910" s="10" t="str">
        <f t="shared" si="29"/>
        <v>NONE</v>
      </c>
    </row>
    <row r="911" spans="1:14">
      <c r="A911" s="4" t="s">
        <v>1838</v>
      </c>
      <c r="B911" s="4" t="s">
        <v>1839</v>
      </c>
      <c r="C911" s="4" t="s">
        <v>12</v>
      </c>
      <c r="D911" s="4" t="s">
        <v>13</v>
      </c>
      <c r="E911" s="5">
        <v>79.708100000000002</v>
      </c>
      <c r="F911" s="5">
        <v>78.486500000000007</v>
      </c>
      <c r="G911" s="5">
        <v>78.694900000000004</v>
      </c>
      <c r="H911" s="4">
        <v>0</v>
      </c>
      <c r="I911" s="6">
        <v>1536028</v>
      </c>
      <c r="J911" s="7">
        <v>86.46</v>
      </c>
      <c r="K911" s="9">
        <f>(PricingDataTable[[#This Row],[Current Price ($)]]-PricingDataTable[[#This Row],[Prior Price ($)]])/PricingDataTable[[#This Row],[Prior Price ($)]]</f>
        <v>-1.5325920452250086E-2</v>
      </c>
      <c r="L911" s="9">
        <f>(PricingDataTable[[#This Row],[Vendor Price ($)]]-PricingDataTable[[#This Row],[Current Price ($)]])/PricingDataTable[[#This Row],[Current Price ($)]]</f>
        <v>2.6552337026112447E-3</v>
      </c>
      <c r="M911" t="str">
        <f t="shared" si="28"/>
        <v>PASS</v>
      </c>
      <c r="N911" s="10" t="str">
        <f t="shared" si="29"/>
        <v>NONE</v>
      </c>
    </row>
    <row r="912" spans="1:14">
      <c r="A912" s="4" t="s">
        <v>1840</v>
      </c>
      <c r="B912" s="4" t="s">
        <v>1841</v>
      </c>
      <c r="C912" s="4" t="s">
        <v>12</v>
      </c>
      <c r="D912" s="4" t="s">
        <v>64</v>
      </c>
      <c r="E912" s="5">
        <v>99.984099999999998</v>
      </c>
      <c r="F912" s="5">
        <v>100.4699</v>
      </c>
      <c r="G912" s="5">
        <v>100.74979999999999</v>
      </c>
      <c r="H912" s="4">
        <v>0</v>
      </c>
      <c r="I912" s="6">
        <v>4395517</v>
      </c>
      <c r="J912" s="7">
        <v>232.14</v>
      </c>
      <c r="K912" s="9">
        <f>(PricingDataTable[[#This Row],[Current Price ($)]]-PricingDataTable[[#This Row],[Prior Price ($)]])/PricingDataTable[[#This Row],[Prior Price ($)]]</f>
        <v>4.8587725448346044E-3</v>
      </c>
      <c r="L912" s="9">
        <f>(PricingDataTable[[#This Row],[Vendor Price ($)]]-PricingDataTable[[#This Row],[Current Price ($)]])/PricingDataTable[[#This Row],[Current Price ($)]]</f>
        <v>2.785909013545329E-3</v>
      </c>
      <c r="M912" t="str">
        <f t="shared" si="28"/>
        <v>PASS</v>
      </c>
      <c r="N912" s="10" t="str">
        <f t="shared" si="29"/>
        <v>NONE</v>
      </c>
    </row>
    <row r="913" spans="1:14">
      <c r="A913" s="4" t="s">
        <v>1842</v>
      </c>
      <c r="B913" s="4" t="s">
        <v>1843</v>
      </c>
      <c r="C913" s="4" t="s">
        <v>35</v>
      </c>
      <c r="D913" s="4" t="s">
        <v>13</v>
      </c>
      <c r="E913" s="5">
        <v>68.420199999999994</v>
      </c>
      <c r="F913" s="5">
        <v>69.455600000000004</v>
      </c>
      <c r="G913" s="5">
        <v>73.680400000000006</v>
      </c>
      <c r="H913" s="4">
        <v>1</v>
      </c>
      <c r="I913" s="6">
        <v>583079</v>
      </c>
      <c r="J913" s="7">
        <v>860.15</v>
      </c>
      <c r="K913" s="9">
        <f>(PricingDataTable[[#This Row],[Current Price ($)]]-PricingDataTable[[#This Row],[Prior Price ($)]])/PricingDataTable[[#This Row],[Prior Price ($)]]</f>
        <v>1.5132957810705172E-2</v>
      </c>
      <c r="L913" s="9">
        <f>(PricingDataTable[[#This Row],[Vendor Price ($)]]-PricingDataTable[[#This Row],[Current Price ($)]])/PricingDataTable[[#This Row],[Current Price ($)]]</f>
        <v>6.0827348694705706E-2</v>
      </c>
      <c r="M913" t="str">
        <f t="shared" si="28"/>
        <v>VENDOR DIFFERENCE</v>
      </c>
      <c r="N913" s="10" t="str">
        <f t="shared" si="29"/>
        <v>HIGH</v>
      </c>
    </row>
    <row r="914" spans="1:14">
      <c r="A914" s="4" t="s">
        <v>1844</v>
      </c>
      <c r="B914" s="4" t="s">
        <v>1845</v>
      </c>
      <c r="C914" s="4" t="s">
        <v>16</v>
      </c>
      <c r="D914" s="4" t="s">
        <v>13</v>
      </c>
      <c r="E914" s="5">
        <v>123.78870000000001</v>
      </c>
      <c r="F914" s="5">
        <v>125.6357</v>
      </c>
      <c r="G914" s="5">
        <v>125.9628</v>
      </c>
      <c r="H914" s="4">
        <v>0</v>
      </c>
      <c r="I914" s="6">
        <v>1489910</v>
      </c>
      <c r="J914" s="7">
        <v>456.69</v>
      </c>
      <c r="K914" s="9">
        <f>(PricingDataTable[[#This Row],[Current Price ($)]]-PricingDataTable[[#This Row],[Prior Price ($)]])/PricingDataTable[[#This Row],[Prior Price ($)]]</f>
        <v>1.4920586450944183E-2</v>
      </c>
      <c r="L914" s="9">
        <f>(PricingDataTable[[#This Row],[Vendor Price ($)]]-PricingDataTable[[#This Row],[Current Price ($)]])/PricingDataTable[[#This Row],[Current Price ($)]]</f>
        <v>2.6035593386274881E-3</v>
      </c>
      <c r="M914" t="str">
        <f t="shared" si="28"/>
        <v>PASS</v>
      </c>
      <c r="N914" s="10" t="str">
        <f t="shared" si="29"/>
        <v>NONE</v>
      </c>
    </row>
    <row r="915" spans="1:14">
      <c r="A915" s="4" t="s">
        <v>1846</v>
      </c>
      <c r="B915" s="4" t="s">
        <v>1847</v>
      </c>
      <c r="C915" s="4" t="s">
        <v>12</v>
      </c>
      <c r="D915" s="4" t="s">
        <v>36</v>
      </c>
      <c r="E915" s="5">
        <v>119.4117</v>
      </c>
      <c r="F915" s="5">
        <v>119.60809999999999</v>
      </c>
      <c r="G915" s="5">
        <v>119.4333</v>
      </c>
      <c r="H915" s="4">
        <v>0</v>
      </c>
      <c r="I915" s="6">
        <v>1405129</v>
      </c>
      <c r="J915" s="7">
        <v>810.23</v>
      </c>
      <c r="K915" s="9">
        <f>(PricingDataTable[[#This Row],[Current Price ($)]]-PricingDataTable[[#This Row],[Prior Price ($)]])/PricingDataTable[[#This Row],[Prior Price ($)]]</f>
        <v>1.6447299552723646E-3</v>
      </c>
      <c r="L915" s="9">
        <f>(PricingDataTable[[#This Row],[Vendor Price ($)]]-PricingDataTable[[#This Row],[Current Price ($)]])/PricingDataTable[[#This Row],[Current Price ($)]]</f>
        <v>-1.4614394844495527E-3</v>
      </c>
      <c r="M915" t="str">
        <f t="shared" si="28"/>
        <v>PASS</v>
      </c>
      <c r="N915" s="10" t="str">
        <f t="shared" si="29"/>
        <v>NONE</v>
      </c>
    </row>
    <row r="916" spans="1:14">
      <c r="A916" s="4" t="s">
        <v>1848</v>
      </c>
      <c r="B916" s="4" t="s">
        <v>1849</v>
      </c>
      <c r="C916" s="4" t="s">
        <v>12</v>
      </c>
      <c r="D916" s="4" t="s">
        <v>237</v>
      </c>
      <c r="E916" s="5">
        <v>121</v>
      </c>
      <c r="F916" s="5">
        <v>124.0847</v>
      </c>
      <c r="G916" s="5">
        <v>123.759</v>
      </c>
      <c r="H916" s="4">
        <v>0</v>
      </c>
      <c r="I916" s="6">
        <v>2839234</v>
      </c>
      <c r="J916" s="7">
        <v>221.75</v>
      </c>
      <c r="K916" s="9">
        <f>(PricingDataTable[[#This Row],[Current Price ($)]]-PricingDataTable[[#This Row],[Prior Price ($)]])/PricingDataTable[[#This Row],[Prior Price ($)]]</f>
        <v>2.5493388429752049E-2</v>
      </c>
      <c r="L916" s="9">
        <f>(PricingDataTable[[#This Row],[Vendor Price ($)]]-PricingDataTable[[#This Row],[Current Price ($)]])/PricingDataTable[[#This Row],[Current Price ($)]]</f>
        <v>-2.6248199818349697E-3</v>
      </c>
      <c r="M916" t="str">
        <f t="shared" si="28"/>
        <v>PASS</v>
      </c>
      <c r="N916" s="10" t="str">
        <f t="shared" si="29"/>
        <v>NONE</v>
      </c>
    </row>
    <row r="917" spans="1:14">
      <c r="A917" s="4" t="s">
        <v>1850</v>
      </c>
      <c r="B917" s="4" t="s">
        <v>1851</v>
      </c>
      <c r="C917" s="4" t="s">
        <v>35</v>
      </c>
      <c r="D917" s="4" t="s">
        <v>13</v>
      </c>
      <c r="E917" s="5">
        <v>143.3416</v>
      </c>
      <c r="F917" s="5">
        <v>143.91919999999999</v>
      </c>
      <c r="G917" s="5">
        <v>143.958</v>
      </c>
      <c r="H917" s="4">
        <v>2</v>
      </c>
      <c r="I917" s="6">
        <v>4959784</v>
      </c>
      <c r="J917" s="7">
        <v>89.08</v>
      </c>
      <c r="K917" s="9">
        <f>(PricingDataTable[[#This Row],[Current Price ($)]]-PricingDataTable[[#This Row],[Prior Price ($)]])/PricingDataTable[[#This Row],[Prior Price ($)]]</f>
        <v>4.0295350407696696E-3</v>
      </c>
      <c r="L917" s="9">
        <f>(PricingDataTable[[#This Row],[Vendor Price ($)]]-PricingDataTable[[#This Row],[Current Price ($)]])/PricingDataTable[[#This Row],[Current Price ($)]]</f>
        <v>2.6959571759715907E-4</v>
      </c>
      <c r="M917" t="str">
        <f t="shared" si="28"/>
        <v>PASS</v>
      </c>
      <c r="N917" s="10" t="str">
        <f t="shared" si="29"/>
        <v>NONE</v>
      </c>
    </row>
    <row r="918" spans="1:14">
      <c r="A918" s="4" t="s">
        <v>1852</v>
      </c>
      <c r="B918" s="4" t="s">
        <v>1853</v>
      </c>
      <c r="C918" s="4" t="s">
        <v>12</v>
      </c>
      <c r="D918" s="4" t="s">
        <v>13</v>
      </c>
      <c r="E918" s="5">
        <v>101.3669</v>
      </c>
      <c r="F918" s="5">
        <v>100.0318</v>
      </c>
      <c r="G918" s="5">
        <v>99.863699999999994</v>
      </c>
      <c r="H918" s="4">
        <v>0</v>
      </c>
      <c r="I918" s="6">
        <v>1662292</v>
      </c>
      <c r="J918" s="7">
        <v>263.8</v>
      </c>
      <c r="K918" s="9">
        <f>(PricingDataTable[[#This Row],[Current Price ($)]]-PricingDataTable[[#This Row],[Prior Price ($)]])/PricingDataTable[[#This Row],[Prior Price ($)]]</f>
        <v>-1.3170966064859407E-2</v>
      </c>
      <c r="L918" s="9">
        <f>(PricingDataTable[[#This Row],[Vendor Price ($)]]-PricingDataTable[[#This Row],[Current Price ($)]])/PricingDataTable[[#This Row],[Current Price ($)]]</f>
        <v>-1.6804656119355013E-3</v>
      </c>
      <c r="M918" t="str">
        <f t="shared" si="28"/>
        <v>PASS</v>
      </c>
      <c r="N918" s="10" t="str">
        <f t="shared" si="29"/>
        <v>NONE</v>
      </c>
    </row>
    <row r="919" spans="1:14">
      <c r="A919" s="4" t="s">
        <v>1854</v>
      </c>
      <c r="B919" s="4" t="s">
        <v>1855</v>
      </c>
      <c r="C919" s="4" t="s">
        <v>16</v>
      </c>
      <c r="D919" s="4" t="s">
        <v>13</v>
      </c>
      <c r="E919" s="5">
        <v>99.523300000000006</v>
      </c>
      <c r="F919" s="5">
        <v>98.472999999999999</v>
      </c>
      <c r="G919" s="5">
        <v>98.487300000000005</v>
      </c>
      <c r="H919" s="4">
        <v>0</v>
      </c>
      <c r="I919" s="6">
        <v>463342</v>
      </c>
      <c r="J919" s="7">
        <v>474.89</v>
      </c>
      <c r="K919" s="9">
        <f>(PricingDataTable[[#This Row],[Current Price ($)]]-PricingDataTable[[#This Row],[Prior Price ($)]])/PricingDataTable[[#This Row],[Prior Price ($)]]</f>
        <v>-1.0553307617412275E-2</v>
      </c>
      <c r="L919" s="9">
        <f>(PricingDataTable[[#This Row],[Vendor Price ($)]]-PricingDataTable[[#This Row],[Current Price ($)]])/PricingDataTable[[#This Row],[Current Price ($)]]</f>
        <v>1.4521747077885058E-4</v>
      </c>
      <c r="M919" t="str">
        <f t="shared" si="28"/>
        <v>PASS</v>
      </c>
      <c r="N919" s="10" t="str">
        <f t="shared" si="29"/>
        <v>NONE</v>
      </c>
    </row>
    <row r="920" spans="1:14">
      <c r="A920" s="4" t="s">
        <v>1856</v>
      </c>
      <c r="B920" s="4" t="s">
        <v>1857</v>
      </c>
      <c r="C920" s="4" t="s">
        <v>35</v>
      </c>
      <c r="D920" s="4" t="s">
        <v>13</v>
      </c>
      <c r="E920" s="5">
        <v>106.56959999999999</v>
      </c>
      <c r="F920" s="5">
        <v>107.8656</v>
      </c>
      <c r="G920" s="5">
        <v>107.62820000000001</v>
      </c>
      <c r="H920" s="4">
        <v>0</v>
      </c>
      <c r="I920" s="6">
        <v>1580063</v>
      </c>
      <c r="J920" s="7">
        <v>316.72000000000003</v>
      </c>
      <c r="K920" s="9">
        <f>(PricingDataTable[[#This Row],[Current Price ($)]]-PricingDataTable[[#This Row],[Prior Price ($)]])/PricingDataTable[[#This Row],[Prior Price ($)]]</f>
        <v>1.2161066570579289E-2</v>
      </c>
      <c r="L920" s="9">
        <f>(PricingDataTable[[#This Row],[Vendor Price ($)]]-PricingDataTable[[#This Row],[Current Price ($)]])/PricingDataTable[[#This Row],[Current Price ($)]]</f>
        <v>-2.2008870297851569E-3</v>
      </c>
      <c r="M920" t="str">
        <f t="shared" si="28"/>
        <v>PASS</v>
      </c>
      <c r="N920" s="10" t="str">
        <f t="shared" si="29"/>
        <v>NONE</v>
      </c>
    </row>
    <row r="921" spans="1:14">
      <c r="A921" s="4" t="s">
        <v>1858</v>
      </c>
      <c r="B921" s="4" t="s">
        <v>1859</v>
      </c>
      <c r="C921" s="4" t="s">
        <v>39</v>
      </c>
      <c r="D921" s="4" t="s">
        <v>13</v>
      </c>
      <c r="E921" s="5">
        <v>156.36099999999999</v>
      </c>
      <c r="F921" s="5">
        <v>152.71619999999999</v>
      </c>
      <c r="G921" s="5">
        <v>152.66929999999999</v>
      </c>
      <c r="H921" s="4">
        <v>0</v>
      </c>
      <c r="I921" s="6">
        <v>1558809</v>
      </c>
      <c r="J921" s="7">
        <v>803.14</v>
      </c>
      <c r="K921" s="9">
        <f>(PricingDataTable[[#This Row],[Current Price ($)]]-PricingDataTable[[#This Row],[Prior Price ($)]])/PricingDataTable[[#This Row],[Prior Price ($)]]</f>
        <v>-2.3310160462007814E-2</v>
      </c>
      <c r="L921" s="9">
        <f>(PricingDataTable[[#This Row],[Vendor Price ($)]]-PricingDataTable[[#This Row],[Current Price ($)]])/PricingDataTable[[#This Row],[Current Price ($)]]</f>
        <v>-3.0710559848918275E-4</v>
      </c>
      <c r="M921" t="str">
        <f t="shared" si="28"/>
        <v>PASS</v>
      </c>
      <c r="N921" s="10" t="str">
        <f t="shared" si="29"/>
        <v>NONE</v>
      </c>
    </row>
    <row r="922" spans="1:14">
      <c r="A922" s="4" t="s">
        <v>1860</v>
      </c>
      <c r="B922" s="4" t="s">
        <v>1861</v>
      </c>
      <c r="C922" s="4" t="s">
        <v>19</v>
      </c>
      <c r="D922" s="4" t="s">
        <v>13</v>
      </c>
      <c r="E922" s="5">
        <v>78.703999999999994</v>
      </c>
      <c r="F922" s="5">
        <v>78.5976</v>
      </c>
      <c r="G922" s="5"/>
      <c r="H922" s="4">
        <v>1</v>
      </c>
      <c r="I922" s="6">
        <v>2017515</v>
      </c>
      <c r="J922" s="7">
        <v>593.70000000000005</v>
      </c>
      <c r="K922" s="9">
        <f>(PricingDataTable[[#This Row],[Current Price ($)]]-PricingDataTable[[#This Row],[Prior Price ($)]])/PricingDataTable[[#This Row],[Prior Price ($)]]</f>
        <v>-1.351900792843993E-3</v>
      </c>
      <c r="L922" s="9">
        <f>(PricingDataTable[[#This Row],[Vendor Price ($)]]-PricingDataTable[[#This Row],[Current Price ($)]])/PricingDataTable[[#This Row],[Current Price ($)]]</f>
        <v>-1</v>
      </c>
      <c r="M922" t="str">
        <f t="shared" si="28"/>
        <v>VENDOR DIFFERENCE</v>
      </c>
      <c r="N922" s="10" t="str">
        <f t="shared" si="29"/>
        <v>HIGH</v>
      </c>
    </row>
    <row r="923" spans="1:14">
      <c r="A923" s="4" t="s">
        <v>1862</v>
      </c>
      <c r="B923" s="4" t="s">
        <v>1863</v>
      </c>
      <c r="C923" s="4" t="s">
        <v>35</v>
      </c>
      <c r="D923" s="4" t="s">
        <v>64</v>
      </c>
      <c r="E923" s="5">
        <v>68.177499999999995</v>
      </c>
      <c r="F923" s="5">
        <v>68.307299999999998</v>
      </c>
      <c r="G923" s="5">
        <v>68.254400000000004</v>
      </c>
      <c r="H923" s="4">
        <v>0</v>
      </c>
      <c r="I923" s="6">
        <v>4787034</v>
      </c>
      <c r="J923" s="7">
        <v>639.21</v>
      </c>
      <c r="K923" s="9">
        <f>(PricingDataTable[[#This Row],[Current Price ($)]]-PricingDataTable[[#This Row],[Prior Price ($)]])/PricingDataTable[[#This Row],[Prior Price ($)]]</f>
        <v>1.9038539107477251E-3</v>
      </c>
      <c r="L923" s="9">
        <f>(PricingDataTable[[#This Row],[Vendor Price ($)]]-PricingDataTable[[#This Row],[Current Price ($)]])/PricingDataTable[[#This Row],[Current Price ($)]]</f>
        <v>-7.7444138474209859E-4</v>
      </c>
      <c r="M923" t="str">
        <f t="shared" si="28"/>
        <v>PASS</v>
      </c>
      <c r="N923" s="10" t="str">
        <f t="shared" si="29"/>
        <v>NONE</v>
      </c>
    </row>
    <row r="924" spans="1:14">
      <c r="A924" s="4" t="s">
        <v>1864</v>
      </c>
      <c r="B924" s="4" t="s">
        <v>1865</v>
      </c>
      <c r="C924" s="4" t="s">
        <v>19</v>
      </c>
      <c r="D924" s="4" t="s">
        <v>64</v>
      </c>
      <c r="E924" s="5">
        <v>259.92869999999999</v>
      </c>
      <c r="F924" s="5">
        <v>259.25240000000002</v>
      </c>
      <c r="G924" s="5">
        <v>260.43119999999999</v>
      </c>
      <c r="H924" s="4">
        <v>0</v>
      </c>
      <c r="I924" s="6">
        <v>4096456</v>
      </c>
      <c r="J924" s="7">
        <v>228.23</v>
      </c>
      <c r="K924" s="9">
        <f>(PricingDataTable[[#This Row],[Current Price ($)]]-PricingDataTable[[#This Row],[Prior Price ($)]])/PricingDataTable[[#This Row],[Prior Price ($)]]</f>
        <v>-2.6018673582408149E-3</v>
      </c>
      <c r="L924" s="9">
        <f>(PricingDataTable[[#This Row],[Vendor Price ($)]]-PricingDataTable[[#This Row],[Current Price ($)]])/PricingDataTable[[#This Row],[Current Price ($)]]</f>
        <v>4.54692029851977E-3</v>
      </c>
      <c r="M924" t="str">
        <f t="shared" si="28"/>
        <v>PASS</v>
      </c>
      <c r="N924" s="10" t="str">
        <f t="shared" si="29"/>
        <v>NONE</v>
      </c>
    </row>
    <row r="925" spans="1:14">
      <c r="A925" s="4" t="s">
        <v>1866</v>
      </c>
      <c r="B925" s="4" t="s">
        <v>1867</v>
      </c>
      <c r="C925" s="4" t="s">
        <v>19</v>
      </c>
      <c r="D925" s="4" t="s">
        <v>32</v>
      </c>
      <c r="E925" s="5">
        <v>52.079799999999999</v>
      </c>
      <c r="F925" s="5">
        <v>51.991100000000003</v>
      </c>
      <c r="G925" s="5">
        <v>51.935699999999997</v>
      </c>
      <c r="H925" s="4">
        <v>1</v>
      </c>
      <c r="I925" s="6">
        <v>1404973</v>
      </c>
      <c r="J925" s="7">
        <v>849.16</v>
      </c>
      <c r="K925" s="9">
        <f>(PricingDataTable[[#This Row],[Current Price ($)]]-PricingDataTable[[#This Row],[Prior Price ($)]])/PricingDataTable[[#This Row],[Prior Price ($)]]</f>
        <v>-1.7031555420718933E-3</v>
      </c>
      <c r="L925" s="9">
        <f>(PricingDataTable[[#This Row],[Vendor Price ($)]]-PricingDataTable[[#This Row],[Current Price ($)]])/PricingDataTable[[#This Row],[Current Price ($)]]</f>
        <v>-1.0655669912736196E-3</v>
      </c>
      <c r="M925" t="str">
        <f t="shared" si="28"/>
        <v>PASS</v>
      </c>
      <c r="N925" s="10" t="str">
        <f t="shared" si="29"/>
        <v>NONE</v>
      </c>
    </row>
    <row r="926" spans="1:14">
      <c r="A926" s="4" t="s">
        <v>1868</v>
      </c>
      <c r="B926" s="4" t="s">
        <v>1869</v>
      </c>
      <c r="C926" s="4" t="s">
        <v>19</v>
      </c>
      <c r="D926" s="4" t="s">
        <v>13</v>
      </c>
      <c r="E926" s="5">
        <v>300.5838</v>
      </c>
      <c r="F926" s="5">
        <v>300.14319999999998</v>
      </c>
      <c r="G926" s="5">
        <v>301.66269999999997</v>
      </c>
      <c r="H926" s="4">
        <v>0</v>
      </c>
      <c r="I926" s="6">
        <v>1685333</v>
      </c>
      <c r="J926" s="7">
        <v>114.58</v>
      </c>
      <c r="K926" s="9">
        <f>(PricingDataTable[[#This Row],[Current Price ($)]]-PricingDataTable[[#This Row],[Prior Price ($)]])/PricingDataTable[[#This Row],[Prior Price ($)]]</f>
        <v>-1.4658141922486098E-3</v>
      </c>
      <c r="L926" s="9">
        <f>(PricingDataTable[[#This Row],[Vendor Price ($)]]-PricingDataTable[[#This Row],[Current Price ($)]])/PricingDataTable[[#This Row],[Current Price ($)]]</f>
        <v>5.0625834601616621E-3</v>
      </c>
      <c r="M926" t="str">
        <f t="shared" si="28"/>
        <v>PASS</v>
      </c>
      <c r="N926" s="10" t="str">
        <f t="shared" si="29"/>
        <v>NONE</v>
      </c>
    </row>
    <row r="927" spans="1:14">
      <c r="A927" s="4" t="s">
        <v>1870</v>
      </c>
      <c r="B927" s="4" t="s">
        <v>1871</v>
      </c>
      <c r="C927" s="4" t="s">
        <v>16</v>
      </c>
      <c r="D927" s="4" t="s">
        <v>13</v>
      </c>
      <c r="E927" s="5">
        <v>76.901600000000002</v>
      </c>
      <c r="F927" s="5">
        <v>76.607399999999998</v>
      </c>
      <c r="G927" s="5">
        <v>76.669600000000003</v>
      </c>
      <c r="H927" s="4">
        <v>0</v>
      </c>
      <c r="I927" s="6">
        <v>3708964</v>
      </c>
      <c r="J927" s="7">
        <v>537.38</v>
      </c>
      <c r="K927" s="9">
        <f>(PricingDataTable[[#This Row],[Current Price ($)]]-PricingDataTable[[#This Row],[Prior Price ($)]])/PricingDataTable[[#This Row],[Prior Price ($)]]</f>
        <v>-3.8256681265409764E-3</v>
      </c>
      <c r="L927" s="9">
        <f>(PricingDataTable[[#This Row],[Vendor Price ($)]]-PricingDataTable[[#This Row],[Current Price ($)]])/PricingDataTable[[#This Row],[Current Price ($)]]</f>
        <v>8.1193200656861156E-4</v>
      </c>
      <c r="M927" t="str">
        <f t="shared" si="28"/>
        <v>PASS</v>
      </c>
      <c r="N927" s="10" t="str">
        <f t="shared" si="29"/>
        <v>NONE</v>
      </c>
    </row>
    <row r="928" spans="1:14">
      <c r="A928" s="4" t="s">
        <v>1872</v>
      </c>
      <c r="B928" s="4" t="s">
        <v>1873</v>
      </c>
      <c r="C928" s="4" t="s">
        <v>39</v>
      </c>
      <c r="D928" s="4" t="s">
        <v>13</v>
      </c>
      <c r="E928" s="5">
        <v>79.967500000000001</v>
      </c>
      <c r="F928" s="5">
        <v>79.452299999999994</v>
      </c>
      <c r="G928" s="5">
        <v>79.733800000000002</v>
      </c>
      <c r="H928" s="4">
        <v>4</v>
      </c>
      <c r="I928" s="6">
        <v>1684168</v>
      </c>
      <c r="J928" s="7">
        <v>811.43</v>
      </c>
      <c r="K928" s="9">
        <f>(PricingDataTable[[#This Row],[Current Price ($)]]-PricingDataTable[[#This Row],[Prior Price ($)]])/PricingDataTable[[#This Row],[Prior Price ($)]]</f>
        <v>-6.4426173132836112E-3</v>
      </c>
      <c r="L928" s="9">
        <f>(PricingDataTable[[#This Row],[Vendor Price ($)]]-PricingDataTable[[#This Row],[Current Price ($)]])/PricingDataTable[[#This Row],[Current Price ($)]]</f>
        <v>3.5430063069289159E-3</v>
      </c>
      <c r="M928" t="str">
        <f t="shared" si="28"/>
        <v>STALE</v>
      </c>
      <c r="N928" s="10" t="str">
        <f t="shared" si="29"/>
        <v>LOW</v>
      </c>
    </row>
    <row r="929" spans="1:14">
      <c r="A929" s="4" t="s">
        <v>1874</v>
      </c>
      <c r="B929" s="4" t="s">
        <v>1875</v>
      </c>
      <c r="C929" s="4" t="s">
        <v>16</v>
      </c>
      <c r="D929" s="4" t="s">
        <v>36</v>
      </c>
      <c r="E929" s="5">
        <v>100.27970000000001</v>
      </c>
      <c r="F929" s="5">
        <v>100.54170000000001</v>
      </c>
      <c r="G929" s="5">
        <v>100.9603</v>
      </c>
      <c r="H929" s="4">
        <v>0</v>
      </c>
      <c r="I929" s="6">
        <v>4434854</v>
      </c>
      <c r="J929" s="7">
        <v>259.17</v>
      </c>
      <c r="K929" s="9">
        <f>(PricingDataTable[[#This Row],[Current Price ($)]]-PricingDataTable[[#This Row],[Prior Price ($)]])/PricingDataTable[[#This Row],[Prior Price ($)]]</f>
        <v>2.6126922996379171E-3</v>
      </c>
      <c r="L929" s="9">
        <f>(PricingDataTable[[#This Row],[Vendor Price ($)]]-PricingDataTable[[#This Row],[Current Price ($)]])/PricingDataTable[[#This Row],[Current Price ($)]]</f>
        <v>4.1634466097151511E-3</v>
      </c>
      <c r="M929" t="str">
        <f t="shared" si="28"/>
        <v>PASS</v>
      </c>
      <c r="N929" s="10" t="str">
        <f t="shared" si="29"/>
        <v>NONE</v>
      </c>
    </row>
    <row r="930" spans="1:14">
      <c r="A930" s="4" t="s">
        <v>1876</v>
      </c>
      <c r="B930" s="4" t="s">
        <v>1877</v>
      </c>
      <c r="C930" s="4" t="s">
        <v>16</v>
      </c>
      <c r="D930" s="4" t="s">
        <v>13</v>
      </c>
      <c r="E930" s="5">
        <v>80.568299999999994</v>
      </c>
      <c r="F930" s="5">
        <v>67.694100000000006</v>
      </c>
      <c r="G930" s="5">
        <v>67.791799999999995</v>
      </c>
      <c r="H930" s="4">
        <v>0</v>
      </c>
      <c r="I930" s="6">
        <v>50506</v>
      </c>
      <c r="J930" s="7">
        <v>343.22</v>
      </c>
      <c r="K930" s="9">
        <f>(PricingDataTable[[#This Row],[Current Price ($)]]-PricingDataTable[[#This Row],[Prior Price ($)]])/PricingDataTable[[#This Row],[Prior Price ($)]]</f>
        <v>-0.15979237491668546</v>
      </c>
      <c r="L930" s="9">
        <f>(PricingDataTable[[#This Row],[Vendor Price ($)]]-PricingDataTable[[#This Row],[Current Price ($)]])/PricingDataTable[[#This Row],[Current Price ($)]]</f>
        <v>1.4432572410297058E-3</v>
      </c>
      <c r="M930" t="str">
        <f t="shared" si="28"/>
        <v>LARGE MOVE</v>
      </c>
      <c r="N930" s="10" t="str">
        <f t="shared" si="29"/>
        <v>HIGH</v>
      </c>
    </row>
    <row r="931" spans="1:14">
      <c r="A931" s="4" t="s">
        <v>1878</v>
      </c>
      <c r="B931" s="4" t="s">
        <v>1879</v>
      </c>
      <c r="C931" s="4" t="s">
        <v>39</v>
      </c>
      <c r="D931" s="4" t="s">
        <v>32</v>
      </c>
      <c r="E931" s="5">
        <v>48.9176</v>
      </c>
      <c r="F931" s="5">
        <v>49.049300000000002</v>
      </c>
      <c r="G931" s="5">
        <v>49.253599999999999</v>
      </c>
      <c r="H931" s="4">
        <v>0</v>
      </c>
      <c r="I931" s="6">
        <v>3239461</v>
      </c>
      <c r="J931" s="7">
        <v>254.37</v>
      </c>
      <c r="K931" s="9">
        <f>(PricingDataTable[[#This Row],[Current Price ($)]]-PricingDataTable[[#This Row],[Prior Price ($)]])/PricingDataTable[[#This Row],[Prior Price ($)]]</f>
        <v>2.6922825322583722E-3</v>
      </c>
      <c r="L931" s="9">
        <f>(PricingDataTable[[#This Row],[Vendor Price ($)]]-PricingDataTable[[#This Row],[Current Price ($)]])/PricingDataTable[[#This Row],[Current Price ($)]]</f>
        <v>4.1651970568386577E-3</v>
      </c>
      <c r="M931" t="str">
        <f t="shared" si="28"/>
        <v>PASS</v>
      </c>
      <c r="N931" s="10" t="str">
        <f t="shared" si="29"/>
        <v>NONE</v>
      </c>
    </row>
    <row r="932" spans="1:14">
      <c r="A932" s="4" t="s">
        <v>1880</v>
      </c>
      <c r="B932" s="4" t="s">
        <v>1881</v>
      </c>
      <c r="C932" s="4" t="s">
        <v>16</v>
      </c>
      <c r="D932" s="4" t="s">
        <v>32</v>
      </c>
      <c r="E932" s="5">
        <v>109.14409999999999</v>
      </c>
      <c r="F932" s="5">
        <v>108.2282</v>
      </c>
      <c r="G932" s="5">
        <v>108.03400000000001</v>
      </c>
      <c r="H932" s="4">
        <v>3</v>
      </c>
      <c r="I932" s="6">
        <v>3022032</v>
      </c>
      <c r="J932" s="7">
        <v>201.61</v>
      </c>
      <c r="K932" s="9">
        <f>(PricingDataTable[[#This Row],[Current Price ($)]]-PricingDataTable[[#This Row],[Prior Price ($)]])/PricingDataTable[[#This Row],[Prior Price ($)]]</f>
        <v>-8.3916583672410464E-3</v>
      </c>
      <c r="L932" s="9">
        <f>(PricingDataTable[[#This Row],[Vendor Price ($)]]-PricingDataTable[[#This Row],[Current Price ($)]])/PricingDataTable[[#This Row],[Current Price ($)]]</f>
        <v>-1.7943567388166396E-3</v>
      </c>
      <c r="M932" t="str">
        <f t="shared" si="28"/>
        <v>STALE</v>
      </c>
      <c r="N932" s="10" t="str">
        <f t="shared" si="29"/>
        <v>LOW</v>
      </c>
    </row>
    <row r="933" spans="1:14">
      <c r="A933" s="4" t="s">
        <v>1882</v>
      </c>
      <c r="B933" s="4" t="s">
        <v>1883</v>
      </c>
      <c r="C933" s="4" t="s">
        <v>35</v>
      </c>
      <c r="D933" s="4" t="s">
        <v>13</v>
      </c>
      <c r="E933" s="5">
        <v>47.783499999999997</v>
      </c>
      <c r="F933" s="5">
        <v>48.286299999999997</v>
      </c>
      <c r="G933" s="5">
        <v>48.487299999999998</v>
      </c>
      <c r="H933" s="4">
        <v>0</v>
      </c>
      <c r="I933" s="6">
        <v>1905093</v>
      </c>
      <c r="J933" s="7">
        <v>888.74</v>
      </c>
      <c r="K933" s="9">
        <f>(PricingDataTable[[#This Row],[Current Price ($)]]-PricingDataTable[[#This Row],[Prior Price ($)]])/PricingDataTable[[#This Row],[Prior Price ($)]]</f>
        <v>1.0522460682034607E-2</v>
      </c>
      <c r="L933" s="9">
        <f>(PricingDataTable[[#This Row],[Vendor Price ($)]]-PricingDataTable[[#This Row],[Current Price ($)]])/PricingDataTable[[#This Row],[Current Price ($)]]</f>
        <v>4.1626713995481226E-3</v>
      </c>
      <c r="M933" t="str">
        <f t="shared" si="28"/>
        <v>PASS</v>
      </c>
      <c r="N933" s="10" t="str">
        <f t="shared" si="29"/>
        <v>NONE</v>
      </c>
    </row>
    <row r="934" spans="1:14">
      <c r="A934" s="4" t="s">
        <v>1884</v>
      </c>
      <c r="B934" s="4" t="s">
        <v>1885</v>
      </c>
      <c r="C934" s="4" t="s">
        <v>19</v>
      </c>
      <c r="D934" s="4" t="s">
        <v>13</v>
      </c>
      <c r="E934" s="5">
        <v>310.19869999999997</v>
      </c>
      <c r="F934" s="5">
        <v>306.23869999999999</v>
      </c>
      <c r="G934" s="5">
        <v>306.48579999999998</v>
      </c>
      <c r="H934" s="4">
        <v>0</v>
      </c>
      <c r="I934" s="6">
        <v>4446431</v>
      </c>
      <c r="J934" s="7">
        <v>185.48</v>
      </c>
      <c r="K934" s="9">
        <f>(PricingDataTable[[#This Row],[Current Price ($)]]-PricingDataTable[[#This Row],[Prior Price ($)]])/PricingDataTable[[#This Row],[Prior Price ($)]]</f>
        <v>-1.2766010947176696E-2</v>
      </c>
      <c r="L934" s="9">
        <f>(PricingDataTable[[#This Row],[Vendor Price ($)]]-PricingDataTable[[#This Row],[Current Price ($)]])/PricingDataTable[[#This Row],[Current Price ($)]]</f>
        <v>8.0688691533757487E-4</v>
      </c>
      <c r="M934" t="str">
        <f t="shared" si="28"/>
        <v>PASS</v>
      </c>
      <c r="N934" s="10" t="str">
        <f t="shared" si="29"/>
        <v>NONE</v>
      </c>
    </row>
    <row r="935" spans="1:14">
      <c r="A935" s="4" t="s">
        <v>1886</v>
      </c>
      <c r="B935" s="4" t="s">
        <v>1887</v>
      </c>
      <c r="C935" s="4" t="s">
        <v>16</v>
      </c>
      <c r="D935" s="4" t="s">
        <v>36</v>
      </c>
      <c r="E935" s="5">
        <v>111.4653</v>
      </c>
      <c r="F935" s="5">
        <v>111.7358</v>
      </c>
      <c r="G935" s="5">
        <v>111.42449999999999</v>
      </c>
      <c r="H935" s="4">
        <v>1</v>
      </c>
      <c r="I935" s="6">
        <v>3296293</v>
      </c>
      <c r="J935" s="7">
        <v>127.37</v>
      </c>
      <c r="K935" s="9">
        <f>(PricingDataTable[[#This Row],[Current Price ($)]]-PricingDataTable[[#This Row],[Prior Price ($)]])/PricingDataTable[[#This Row],[Prior Price ($)]]</f>
        <v>2.4267642037476994E-3</v>
      </c>
      <c r="L935" s="9">
        <f>(PricingDataTable[[#This Row],[Vendor Price ($)]]-PricingDataTable[[#This Row],[Current Price ($)]])/PricingDataTable[[#This Row],[Current Price ($)]]</f>
        <v>-2.7860363464529973E-3</v>
      </c>
      <c r="M935" t="str">
        <f t="shared" si="28"/>
        <v>PASS</v>
      </c>
      <c r="N935" s="10" t="str">
        <f t="shared" si="29"/>
        <v>NONE</v>
      </c>
    </row>
    <row r="936" spans="1:14">
      <c r="A936" s="4" t="s">
        <v>1888</v>
      </c>
      <c r="B936" s="4" t="s">
        <v>1889</v>
      </c>
      <c r="C936" s="4" t="s">
        <v>12</v>
      </c>
      <c r="D936" s="4" t="s">
        <v>13</v>
      </c>
      <c r="E936" s="5">
        <v>116.6444</v>
      </c>
      <c r="F936" s="5">
        <v>116.94540000000001</v>
      </c>
      <c r="G936" s="5">
        <v>116.46080000000001</v>
      </c>
      <c r="H936" s="4">
        <v>0</v>
      </c>
      <c r="I936" s="6">
        <v>4342111</v>
      </c>
      <c r="J936" s="7">
        <v>388.72</v>
      </c>
      <c r="K936" s="9">
        <f>(PricingDataTable[[#This Row],[Current Price ($)]]-PricingDataTable[[#This Row],[Prior Price ($)]])/PricingDataTable[[#This Row],[Prior Price ($)]]</f>
        <v>2.5804925054267666E-3</v>
      </c>
      <c r="L936" s="9">
        <f>(PricingDataTable[[#This Row],[Vendor Price ($)]]-PricingDataTable[[#This Row],[Current Price ($)]])/PricingDataTable[[#This Row],[Current Price ($)]]</f>
        <v>-4.1438141218038535E-3</v>
      </c>
      <c r="M936" t="str">
        <f t="shared" si="28"/>
        <v>PASS</v>
      </c>
      <c r="N936" s="10" t="str">
        <f t="shared" si="29"/>
        <v>NONE</v>
      </c>
    </row>
    <row r="937" spans="1:14">
      <c r="A937" s="4" t="s">
        <v>1890</v>
      </c>
      <c r="B937" s="4" t="s">
        <v>1891</v>
      </c>
      <c r="C937" s="4" t="s">
        <v>12</v>
      </c>
      <c r="D937" s="4" t="s">
        <v>13</v>
      </c>
      <c r="E937" s="5">
        <v>108.3497</v>
      </c>
      <c r="F937" s="5">
        <v>108.0354</v>
      </c>
      <c r="G937" s="5">
        <v>108.56619999999999</v>
      </c>
      <c r="H937" s="4">
        <v>0</v>
      </c>
      <c r="I937" s="6">
        <v>3451148</v>
      </c>
      <c r="J937" s="7">
        <v>284.98</v>
      </c>
      <c r="K937" s="9">
        <f>(PricingDataTable[[#This Row],[Current Price ($)]]-PricingDataTable[[#This Row],[Prior Price ($)]])/PricingDataTable[[#This Row],[Prior Price ($)]]</f>
        <v>-2.90079252642142E-3</v>
      </c>
      <c r="L937" s="9">
        <f>(PricingDataTable[[#This Row],[Vendor Price ($)]]-PricingDataTable[[#This Row],[Current Price ($)]])/PricingDataTable[[#This Row],[Current Price ($)]]</f>
        <v>4.9132043756028049E-3</v>
      </c>
      <c r="M937" t="str">
        <f t="shared" si="28"/>
        <v>PASS</v>
      </c>
      <c r="N937" s="10" t="str">
        <f t="shared" si="29"/>
        <v>NONE</v>
      </c>
    </row>
    <row r="938" spans="1:14">
      <c r="A938" s="4" t="s">
        <v>1892</v>
      </c>
      <c r="B938" s="4" t="s">
        <v>1893</v>
      </c>
      <c r="C938" s="4" t="s">
        <v>39</v>
      </c>
      <c r="D938" s="4" t="s">
        <v>13</v>
      </c>
      <c r="E938" s="5">
        <v>216.74250000000001</v>
      </c>
      <c r="F938" s="5">
        <v>217.01130000000001</v>
      </c>
      <c r="G938" s="5">
        <v>216.21350000000001</v>
      </c>
      <c r="H938" s="4">
        <v>0</v>
      </c>
      <c r="I938" s="6">
        <v>443521</v>
      </c>
      <c r="J938" s="7">
        <v>298.49</v>
      </c>
      <c r="K938" s="9">
        <f>(PricingDataTable[[#This Row],[Current Price ($)]]-PricingDataTable[[#This Row],[Prior Price ($)]])/PricingDataTable[[#This Row],[Prior Price ($)]]</f>
        <v>1.2401813211529757E-3</v>
      </c>
      <c r="L938" s="9">
        <f>(PricingDataTable[[#This Row],[Vendor Price ($)]]-PricingDataTable[[#This Row],[Current Price ($)]])/PricingDataTable[[#This Row],[Current Price ($)]]</f>
        <v>-3.6763062568630996E-3</v>
      </c>
      <c r="M938" t="str">
        <f t="shared" si="28"/>
        <v>PASS</v>
      </c>
      <c r="N938" s="10" t="str">
        <f t="shared" si="29"/>
        <v>NONE</v>
      </c>
    </row>
    <row r="939" spans="1:14">
      <c r="A939" s="4" t="s">
        <v>1894</v>
      </c>
      <c r="B939" s="4" t="s">
        <v>1895</v>
      </c>
      <c r="C939" s="4" t="s">
        <v>35</v>
      </c>
      <c r="D939" s="4" t="s">
        <v>13</v>
      </c>
      <c r="E939" s="5">
        <v>134.358</v>
      </c>
      <c r="F939" s="5">
        <v>135.69239999999999</v>
      </c>
      <c r="G939" s="5">
        <v>135.60120000000001</v>
      </c>
      <c r="H939" s="4">
        <v>0</v>
      </c>
      <c r="I939" s="6">
        <v>2841556</v>
      </c>
      <c r="J939" s="7">
        <v>633.29999999999995</v>
      </c>
      <c r="K939" s="9">
        <f>(PricingDataTable[[#This Row],[Current Price ($)]]-PricingDataTable[[#This Row],[Prior Price ($)]])/PricingDataTable[[#This Row],[Prior Price ($)]]</f>
        <v>9.9316750770329122E-3</v>
      </c>
      <c r="L939" s="9">
        <f>(PricingDataTable[[#This Row],[Vendor Price ($)]]-PricingDataTable[[#This Row],[Current Price ($)]])/PricingDataTable[[#This Row],[Current Price ($)]]</f>
        <v>-6.7210838632072545E-4</v>
      </c>
      <c r="M939" t="str">
        <f t="shared" si="28"/>
        <v>PASS</v>
      </c>
      <c r="N939" s="10" t="str">
        <f t="shared" si="29"/>
        <v>NONE</v>
      </c>
    </row>
    <row r="940" spans="1:14">
      <c r="A940" s="4" t="s">
        <v>1896</v>
      </c>
      <c r="B940" s="4" t="s">
        <v>1897</v>
      </c>
      <c r="C940" s="4" t="s">
        <v>19</v>
      </c>
      <c r="D940" s="4" t="s">
        <v>13</v>
      </c>
      <c r="E940" s="5">
        <v>316.07940000000002</v>
      </c>
      <c r="F940" s="5">
        <v>318.34829999999999</v>
      </c>
      <c r="G940" s="5">
        <v>319.15589999999997</v>
      </c>
      <c r="H940" s="4">
        <v>0</v>
      </c>
      <c r="I940" s="6">
        <v>2360166</v>
      </c>
      <c r="J940" s="7">
        <v>621.03</v>
      </c>
      <c r="K940" s="9">
        <f>(PricingDataTable[[#This Row],[Current Price ($)]]-PricingDataTable[[#This Row],[Prior Price ($)]])/PricingDataTable[[#This Row],[Prior Price ($)]]</f>
        <v>7.1782596398245937E-3</v>
      </c>
      <c r="L940" s="9">
        <f>(PricingDataTable[[#This Row],[Vendor Price ($)]]-PricingDataTable[[#This Row],[Current Price ($)]])/PricingDataTable[[#This Row],[Current Price ($)]]</f>
        <v>2.5368440792678318E-3</v>
      </c>
      <c r="M940" t="str">
        <f t="shared" si="28"/>
        <v>PASS</v>
      </c>
      <c r="N940" s="10" t="str">
        <f t="shared" si="29"/>
        <v>NONE</v>
      </c>
    </row>
    <row r="941" spans="1:14">
      <c r="A941" s="4" t="s">
        <v>1898</v>
      </c>
      <c r="B941" s="4" t="s">
        <v>1899</v>
      </c>
      <c r="C941" s="4" t="s">
        <v>12</v>
      </c>
      <c r="D941" s="4" t="s">
        <v>13</v>
      </c>
      <c r="E941" s="5">
        <v>97.245199999999997</v>
      </c>
      <c r="F941" s="5">
        <v>97.267600000000002</v>
      </c>
      <c r="G941" s="5">
        <v>97.110200000000006</v>
      </c>
      <c r="H941" s="4">
        <v>0</v>
      </c>
      <c r="I941" s="6">
        <v>3040899</v>
      </c>
      <c r="J941" s="7">
        <v>837.86</v>
      </c>
      <c r="K941" s="9">
        <f>(PricingDataTable[[#This Row],[Current Price ($)]]-PricingDataTable[[#This Row],[Prior Price ($)]])/PricingDataTable[[#This Row],[Prior Price ($)]]</f>
        <v>2.3034555947239185E-4</v>
      </c>
      <c r="L941" s="9">
        <f>(PricingDataTable[[#This Row],[Vendor Price ($)]]-PricingDataTable[[#This Row],[Current Price ($)]])/PricingDataTable[[#This Row],[Current Price ($)]]</f>
        <v>-1.6182161377477757E-3</v>
      </c>
      <c r="M941" t="str">
        <f t="shared" si="28"/>
        <v>PASS</v>
      </c>
      <c r="N941" s="10" t="str">
        <f t="shared" si="29"/>
        <v>NONE</v>
      </c>
    </row>
    <row r="942" spans="1:14">
      <c r="A942" s="4" t="s">
        <v>1900</v>
      </c>
      <c r="B942" s="4" t="s">
        <v>1901</v>
      </c>
      <c r="C942" s="4" t="s">
        <v>19</v>
      </c>
      <c r="D942" s="4" t="s">
        <v>36</v>
      </c>
      <c r="E942" s="5">
        <v>339.8415</v>
      </c>
      <c r="F942" s="5">
        <v>344.82220000000001</v>
      </c>
      <c r="G942" s="5">
        <v>344.38170000000002</v>
      </c>
      <c r="H942" s="4">
        <v>2</v>
      </c>
      <c r="I942" s="6">
        <v>2518459</v>
      </c>
      <c r="J942" s="7">
        <v>609.70000000000005</v>
      </c>
      <c r="K942" s="9">
        <f>(PricingDataTable[[#This Row],[Current Price ($)]]-PricingDataTable[[#This Row],[Prior Price ($)]])/PricingDataTable[[#This Row],[Prior Price ($)]]</f>
        <v>1.4655949906059186E-2</v>
      </c>
      <c r="L942" s="9">
        <f>(PricingDataTable[[#This Row],[Vendor Price ($)]]-PricingDataTable[[#This Row],[Current Price ($)]])/PricingDataTable[[#This Row],[Current Price ($)]]</f>
        <v>-1.2774699540806418E-3</v>
      </c>
      <c r="M942" t="str">
        <f t="shared" si="28"/>
        <v>PASS</v>
      </c>
      <c r="N942" s="10" t="str">
        <f t="shared" si="29"/>
        <v>NONE</v>
      </c>
    </row>
    <row r="943" spans="1:14">
      <c r="A943" s="4" t="s">
        <v>1902</v>
      </c>
      <c r="B943" s="4" t="s">
        <v>1903</v>
      </c>
      <c r="C943" s="4" t="s">
        <v>35</v>
      </c>
      <c r="D943" s="4" t="s">
        <v>32</v>
      </c>
      <c r="E943" s="5">
        <v>121.06489999999999</v>
      </c>
      <c r="F943" s="5">
        <v>122.30540000000001</v>
      </c>
      <c r="G943" s="5">
        <v>122.2283</v>
      </c>
      <c r="H943" s="4">
        <v>0</v>
      </c>
      <c r="I943" s="6">
        <v>134844</v>
      </c>
      <c r="J943" s="7">
        <v>559.75</v>
      </c>
      <c r="K943" s="9">
        <f>(PricingDataTable[[#This Row],[Current Price ($)]]-PricingDataTable[[#This Row],[Prior Price ($)]])/PricingDataTable[[#This Row],[Prior Price ($)]]</f>
        <v>1.024657022803481E-2</v>
      </c>
      <c r="L943" s="9">
        <f>(PricingDataTable[[#This Row],[Vendor Price ($)]]-PricingDataTable[[#This Row],[Current Price ($)]])/PricingDataTable[[#This Row],[Current Price ($)]]</f>
        <v>-6.3038917333168849E-4</v>
      </c>
      <c r="M943" t="str">
        <f t="shared" si="28"/>
        <v>PASS</v>
      </c>
      <c r="N943" s="10" t="str">
        <f t="shared" si="29"/>
        <v>NONE</v>
      </c>
    </row>
    <row r="944" spans="1:14">
      <c r="A944" s="4" t="s">
        <v>1904</v>
      </c>
      <c r="B944" s="4" t="s">
        <v>1905</v>
      </c>
      <c r="C944" s="4" t="s">
        <v>35</v>
      </c>
      <c r="D944" s="4" t="s">
        <v>13</v>
      </c>
      <c r="E944" s="5">
        <v>46.983400000000003</v>
      </c>
      <c r="F944" s="5">
        <v>45.390599999999999</v>
      </c>
      <c r="G944" s="5">
        <v>50.398800000000001</v>
      </c>
      <c r="H944" s="4">
        <v>0</v>
      </c>
      <c r="I944" s="6">
        <v>3766906</v>
      </c>
      <c r="J944" s="7">
        <v>896.54</v>
      </c>
      <c r="K944" s="9">
        <f>(PricingDataTable[[#This Row],[Current Price ($)]]-PricingDataTable[[#This Row],[Prior Price ($)]])/PricingDataTable[[#This Row],[Prior Price ($)]]</f>
        <v>-3.3901335365256746E-2</v>
      </c>
      <c r="L944" s="9">
        <f>(PricingDataTable[[#This Row],[Vendor Price ($)]]-PricingDataTable[[#This Row],[Current Price ($)]])/PricingDataTable[[#This Row],[Current Price ($)]]</f>
        <v>0.11033562015042767</v>
      </c>
      <c r="M944" t="str">
        <f t="shared" si="28"/>
        <v>VENDOR DIFFERENCE</v>
      </c>
      <c r="N944" s="10" t="str">
        <f t="shared" si="29"/>
        <v>HIGH</v>
      </c>
    </row>
    <row r="945" spans="1:14">
      <c r="A945" s="4" t="s">
        <v>1906</v>
      </c>
      <c r="B945" s="4" t="s">
        <v>1907</v>
      </c>
      <c r="C945" s="4" t="s">
        <v>19</v>
      </c>
      <c r="D945" s="4" t="s">
        <v>237</v>
      </c>
      <c r="E945" s="5">
        <v>232.5891</v>
      </c>
      <c r="F945" s="5">
        <v>190.5583</v>
      </c>
      <c r="G945" s="5">
        <v>198.50309999999999</v>
      </c>
      <c r="H945" s="4">
        <v>0</v>
      </c>
      <c r="I945" s="6">
        <v>2268303</v>
      </c>
      <c r="J945" s="7">
        <v>627.23</v>
      </c>
      <c r="K945" s="9">
        <f>(PricingDataTable[[#This Row],[Current Price ($)]]-PricingDataTable[[#This Row],[Prior Price ($)]])/PricingDataTable[[#This Row],[Prior Price ($)]]</f>
        <v>-0.18070838229306532</v>
      </c>
      <c r="L945" s="9">
        <f>(PricingDataTable[[#This Row],[Vendor Price ($)]]-PricingDataTable[[#This Row],[Current Price ($)]])/PricingDataTable[[#This Row],[Current Price ($)]]</f>
        <v>4.1692227523020445E-2</v>
      </c>
      <c r="M945" t="str">
        <f t="shared" si="28"/>
        <v>LARGE MOVE</v>
      </c>
      <c r="N945" s="10" t="str">
        <f t="shared" si="29"/>
        <v>HIGH</v>
      </c>
    </row>
    <row r="946" spans="1:14">
      <c r="A946" s="4" t="s">
        <v>1908</v>
      </c>
      <c r="B946" s="4" t="s">
        <v>1909</v>
      </c>
      <c r="C946" s="4" t="s">
        <v>39</v>
      </c>
      <c r="D946" s="4" t="s">
        <v>64</v>
      </c>
      <c r="E946" s="5">
        <v>276.16919999999999</v>
      </c>
      <c r="F946" s="5">
        <v>273.63749999999999</v>
      </c>
      <c r="G946" s="5">
        <v>274.05119999999999</v>
      </c>
      <c r="H946" s="4">
        <v>0</v>
      </c>
      <c r="I946" s="6">
        <v>3774818</v>
      </c>
      <c r="J946" s="7">
        <v>826.91</v>
      </c>
      <c r="K946" s="9">
        <f>(PricingDataTable[[#This Row],[Current Price ($)]]-PricingDataTable[[#This Row],[Prior Price ($)]])/PricingDataTable[[#This Row],[Prior Price ($)]]</f>
        <v>-9.1672061909872666E-3</v>
      </c>
      <c r="L946" s="9">
        <f>(PricingDataTable[[#This Row],[Vendor Price ($)]]-PricingDataTable[[#This Row],[Current Price ($)]])/PricingDataTable[[#This Row],[Current Price ($)]]</f>
        <v>1.5118541866520699E-3</v>
      </c>
      <c r="M946" t="str">
        <f t="shared" si="28"/>
        <v>PASS</v>
      </c>
      <c r="N946" s="10" t="str">
        <f t="shared" si="29"/>
        <v>NONE</v>
      </c>
    </row>
    <row r="947" spans="1:14">
      <c r="A947" s="4" t="s">
        <v>1910</v>
      </c>
      <c r="B947" s="4" t="s">
        <v>1911</v>
      </c>
      <c r="C947" s="4" t="s">
        <v>39</v>
      </c>
      <c r="D947" s="4" t="s">
        <v>36</v>
      </c>
      <c r="E947" s="5">
        <v>15.868600000000001</v>
      </c>
      <c r="F947" s="5">
        <v>16.0916</v>
      </c>
      <c r="G947" s="5">
        <v>16.150700000000001</v>
      </c>
      <c r="H947" s="4">
        <v>0</v>
      </c>
      <c r="I947" s="6">
        <v>734055</v>
      </c>
      <c r="J947" s="7">
        <v>777.35</v>
      </c>
      <c r="K947" s="9">
        <f>(PricingDataTable[[#This Row],[Current Price ($)]]-PricingDataTable[[#This Row],[Prior Price ($)]])/PricingDataTable[[#This Row],[Prior Price ($)]]</f>
        <v>1.4052909519428241E-2</v>
      </c>
      <c r="L947" s="9">
        <f>(PricingDataTable[[#This Row],[Vendor Price ($)]]-PricingDataTable[[#This Row],[Current Price ($)]])/PricingDataTable[[#This Row],[Current Price ($)]]</f>
        <v>3.6727236570633635E-3</v>
      </c>
      <c r="M947" t="str">
        <f t="shared" si="28"/>
        <v>PASS</v>
      </c>
      <c r="N947" s="10" t="str">
        <f t="shared" si="29"/>
        <v>NONE</v>
      </c>
    </row>
    <row r="948" spans="1:14">
      <c r="A948" s="4" t="s">
        <v>1912</v>
      </c>
      <c r="B948" s="4" t="s">
        <v>1913</v>
      </c>
      <c r="C948" s="4" t="s">
        <v>39</v>
      </c>
      <c r="D948" s="4" t="s">
        <v>13</v>
      </c>
      <c r="E948" s="5">
        <v>318.84769999999997</v>
      </c>
      <c r="F948" s="5">
        <v>323.41989999999998</v>
      </c>
      <c r="G948" s="5">
        <v>323.96890000000002</v>
      </c>
      <c r="H948" s="4">
        <v>0</v>
      </c>
      <c r="I948" s="6">
        <v>1024228</v>
      </c>
      <c r="J948" s="7">
        <v>50.74</v>
      </c>
      <c r="K948" s="9">
        <f>(PricingDataTable[[#This Row],[Current Price ($)]]-PricingDataTable[[#This Row],[Prior Price ($)]])/PricingDataTable[[#This Row],[Prior Price ($)]]</f>
        <v>1.4339761585233356E-2</v>
      </c>
      <c r="L948" s="9">
        <f>(PricingDataTable[[#This Row],[Vendor Price ($)]]-PricingDataTable[[#This Row],[Current Price ($)]])/PricingDataTable[[#This Row],[Current Price ($)]]</f>
        <v>1.6974836737010772E-3</v>
      </c>
      <c r="M948" t="str">
        <f t="shared" si="28"/>
        <v>PASS</v>
      </c>
      <c r="N948" s="10" t="str">
        <f t="shared" si="29"/>
        <v>NONE</v>
      </c>
    </row>
    <row r="949" spans="1:14">
      <c r="A949" s="4" t="s">
        <v>1914</v>
      </c>
      <c r="B949" s="4" t="s">
        <v>1915</v>
      </c>
      <c r="C949" s="4" t="s">
        <v>35</v>
      </c>
      <c r="D949" s="4" t="s">
        <v>36</v>
      </c>
      <c r="E949" s="5">
        <v>35.032299999999999</v>
      </c>
      <c r="F949" s="5">
        <v>34.995800000000003</v>
      </c>
      <c r="G949" s="5">
        <v>34.950699999999998</v>
      </c>
      <c r="H949" s="4">
        <v>0</v>
      </c>
      <c r="I949" s="6">
        <v>4441371</v>
      </c>
      <c r="J949" s="7">
        <v>173.54</v>
      </c>
      <c r="K949" s="9">
        <f>(PricingDataTable[[#This Row],[Current Price ($)]]-PricingDataTable[[#This Row],[Prior Price ($)]])/PricingDataTable[[#This Row],[Prior Price ($)]]</f>
        <v>-1.0418956220401357E-3</v>
      </c>
      <c r="L949" s="9">
        <f>(PricingDataTable[[#This Row],[Vendor Price ($)]]-PricingDataTable[[#This Row],[Current Price ($)]])/PricingDataTable[[#This Row],[Current Price ($)]]</f>
        <v>-1.2887260757006561E-3</v>
      </c>
      <c r="M949" t="str">
        <f t="shared" si="28"/>
        <v>PASS</v>
      </c>
      <c r="N949" s="10" t="str">
        <f t="shared" si="29"/>
        <v>NONE</v>
      </c>
    </row>
    <row r="950" spans="1:14">
      <c r="A950" s="4" t="s">
        <v>1916</v>
      </c>
      <c r="B950" s="4" t="s">
        <v>1917</v>
      </c>
      <c r="C950" s="4" t="s">
        <v>12</v>
      </c>
      <c r="D950" s="4" t="s">
        <v>13</v>
      </c>
      <c r="E950" s="5">
        <v>89.403199999999998</v>
      </c>
      <c r="F950" s="5">
        <v>88.442400000000006</v>
      </c>
      <c r="G950" s="5">
        <v>87.967500000000001</v>
      </c>
      <c r="H950" s="4">
        <v>0</v>
      </c>
      <c r="I950" s="6">
        <v>1208060</v>
      </c>
      <c r="J950" s="7">
        <v>790.38</v>
      </c>
      <c r="K950" s="9">
        <f>(PricingDataTable[[#This Row],[Current Price ($)]]-PricingDataTable[[#This Row],[Prior Price ($)]])/PricingDataTable[[#This Row],[Prior Price ($)]]</f>
        <v>-1.0746818905810886E-2</v>
      </c>
      <c r="L950" s="9">
        <f>(PricingDataTable[[#This Row],[Vendor Price ($)]]-PricingDataTable[[#This Row],[Current Price ($)]])/PricingDataTable[[#This Row],[Current Price ($)]]</f>
        <v>-5.3695964831348445E-3</v>
      </c>
      <c r="M950" t="str">
        <f t="shared" si="28"/>
        <v>PASS</v>
      </c>
      <c r="N950" s="10" t="str">
        <f t="shared" si="29"/>
        <v>NONE</v>
      </c>
    </row>
    <row r="951" spans="1:14">
      <c r="A951" s="4" t="s">
        <v>1918</v>
      </c>
      <c r="B951" s="4" t="s">
        <v>1919</v>
      </c>
      <c r="C951" s="4" t="s">
        <v>12</v>
      </c>
      <c r="D951" s="4" t="s">
        <v>13</v>
      </c>
      <c r="E951" s="5">
        <v>78.789000000000001</v>
      </c>
      <c r="F951" s="5">
        <v>79.109800000000007</v>
      </c>
      <c r="G951" s="5">
        <v>79.302599999999998</v>
      </c>
      <c r="H951" s="4">
        <v>0</v>
      </c>
      <c r="I951" s="6">
        <v>4251125</v>
      </c>
      <c r="J951" s="7">
        <v>576.61</v>
      </c>
      <c r="K951" s="9">
        <f>(PricingDataTable[[#This Row],[Current Price ($)]]-PricingDataTable[[#This Row],[Prior Price ($)]])/PricingDataTable[[#This Row],[Prior Price ($)]]</f>
        <v>4.0716343652033348E-3</v>
      </c>
      <c r="L951" s="9">
        <f>(PricingDataTable[[#This Row],[Vendor Price ($)]]-PricingDataTable[[#This Row],[Current Price ($)]])/PricingDataTable[[#This Row],[Current Price ($)]]</f>
        <v>2.4371190421413171E-3</v>
      </c>
      <c r="M951" t="str">
        <f t="shared" si="28"/>
        <v>PASS</v>
      </c>
      <c r="N951" s="10" t="str">
        <f t="shared" si="29"/>
        <v>NONE</v>
      </c>
    </row>
    <row r="952" spans="1:14">
      <c r="A952" s="4" t="s">
        <v>1920</v>
      </c>
      <c r="B952" s="4" t="s">
        <v>1921</v>
      </c>
      <c r="C952" s="4" t="s">
        <v>19</v>
      </c>
      <c r="D952" s="4" t="s">
        <v>13</v>
      </c>
      <c r="E952" s="5">
        <v>90.343599999999995</v>
      </c>
      <c r="F952" s="5">
        <v>92.621799999999993</v>
      </c>
      <c r="G952" s="5">
        <v>92.647499999999994</v>
      </c>
      <c r="H952" s="4">
        <v>0</v>
      </c>
      <c r="I952" s="6">
        <v>507705</v>
      </c>
      <c r="J952" s="7">
        <v>557.94000000000005</v>
      </c>
      <c r="K952" s="9">
        <f>(PricingDataTable[[#This Row],[Current Price ($)]]-PricingDataTable[[#This Row],[Prior Price ($)]])/PricingDataTable[[#This Row],[Prior Price ($)]]</f>
        <v>2.5217060201275999E-2</v>
      </c>
      <c r="L952" s="9">
        <f>(PricingDataTable[[#This Row],[Vendor Price ($)]]-PricingDataTable[[#This Row],[Current Price ($)]])/PricingDataTable[[#This Row],[Current Price ($)]]</f>
        <v>2.7747247408278075E-4</v>
      </c>
      <c r="M952" t="str">
        <f t="shared" si="28"/>
        <v>PASS</v>
      </c>
      <c r="N952" s="10" t="str">
        <f t="shared" si="29"/>
        <v>NONE</v>
      </c>
    </row>
    <row r="953" spans="1:14">
      <c r="A953" s="4" t="s">
        <v>1922</v>
      </c>
      <c r="B953" s="4" t="s">
        <v>1923</v>
      </c>
      <c r="C953" s="4" t="s">
        <v>12</v>
      </c>
      <c r="D953" s="4" t="s">
        <v>36</v>
      </c>
      <c r="E953" s="5">
        <v>97.296599999999998</v>
      </c>
      <c r="F953" s="5">
        <v>99.027900000000002</v>
      </c>
      <c r="G953" s="5">
        <v>98.964299999999994</v>
      </c>
      <c r="H953" s="4">
        <v>3</v>
      </c>
      <c r="I953" s="6">
        <v>553631</v>
      </c>
      <c r="J953" s="7">
        <v>512.37</v>
      </c>
      <c r="K953" s="9">
        <f>(PricingDataTable[[#This Row],[Current Price ($)]]-PricingDataTable[[#This Row],[Prior Price ($)]])/PricingDataTable[[#This Row],[Prior Price ($)]]</f>
        <v>1.7794044190650081E-2</v>
      </c>
      <c r="L953" s="9">
        <f>(PricingDataTable[[#This Row],[Vendor Price ($)]]-PricingDataTable[[#This Row],[Current Price ($)]])/PricingDataTable[[#This Row],[Current Price ($)]]</f>
        <v>-6.4224324660028232E-4</v>
      </c>
      <c r="M953" t="str">
        <f t="shared" si="28"/>
        <v>STALE</v>
      </c>
      <c r="N953" s="10" t="str">
        <f t="shared" si="29"/>
        <v>LOW</v>
      </c>
    </row>
    <row r="954" spans="1:14">
      <c r="A954" s="4" t="s">
        <v>1924</v>
      </c>
      <c r="B954" s="4" t="s">
        <v>1925</v>
      </c>
      <c r="C954" s="4" t="s">
        <v>16</v>
      </c>
      <c r="D954" s="4" t="s">
        <v>32</v>
      </c>
      <c r="E954" s="5">
        <v>99.022400000000005</v>
      </c>
      <c r="F954" s="5">
        <v>97.004900000000006</v>
      </c>
      <c r="G954" s="5">
        <v>97.005799999999994</v>
      </c>
      <c r="H954" s="4">
        <v>0</v>
      </c>
      <c r="I954" s="6">
        <v>2961297</v>
      </c>
      <c r="J954" s="7">
        <v>368.88</v>
      </c>
      <c r="K954" s="9">
        <f>(PricingDataTable[[#This Row],[Current Price ($)]]-PricingDataTable[[#This Row],[Prior Price ($)]])/PricingDataTable[[#This Row],[Prior Price ($)]]</f>
        <v>-2.0374177963773835E-2</v>
      </c>
      <c r="L954" s="9">
        <f>(PricingDataTable[[#This Row],[Vendor Price ($)]]-PricingDataTable[[#This Row],[Current Price ($)]])/PricingDataTable[[#This Row],[Current Price ($)]]</f>
        <v>9.2778818388271557E-6</v>
      </c>
      <c r="M954" t="str">
        <f t="shared" si="28"/>
        <v>PASS</v>
      </c>
      <c r="N954" s="10" t="str">
        <f t="shared" si="29"/>
        <v>NONE</v>
      </c>
    </row>
    <row r="955" spans="1:14">
      <c r="A955" s="4" t="s">
        <v>1926</v>
      </c>
      <c r="B955" s="4" t="s">
        <v>1927</v>
      </c>
      <c r="C955" s="4" t="s">
        <v>35</v>
      </c>
      <c r="D955" s="4" t="s">
        <v>64</v>
      </c>
      <c r="E955" s="5">
        <v>175.0651</v>
      </c>
      <c r="F955" s="5">
        <v>170.68279999999999</v>
      </c>
      <c r="G955" s="5">
        <v>170.93129999999999</v>
      </c>
      <c r="H955" s="4">
        <v>1</v>
      </c>
      <c r="I955" s="6">
        <v>1170640</v>
      </c>
      <c r="J955" s="7">
        <v>709.48</v>
      </c>
      <c r="K955" s="9">
        <f>(PricingDataTable[[#This Row],[Current Price ($)]]-PricingDataTable[[#This Row],[Prior Price ($)]])/PricingDataTable[[#This Row],[Prior Price ($)]]</f>
        <v>-2.5032402232084035E-2</v>
      </c>
      <c r="L955" s="9">
        <f>(PricingDataTable[[#This Row],[Vendor Price ($)]]-PricingDataTable[[#This Row],[Current Price ($)]])/PricingDataTable[[#This Row],[Current Price ($)]]</f>
        <v>1.4559170578406675E-3</v>
      </c>
      <c r="M955" t="str">
        <f t="shared" si="28"/>
        <v>PASS</v>
      </c>
      <c r="N955" s="10" t="str">
        <f t="shared" si="29"/>
        <v>NONE</v>
      </c>
    </row>
    <row r="956" spans="1:14">
      <c r="A956" s="4" t="s">
        <v>1928</v>
      </c>
      <c r="B956" s="4" t="s">
        <v>1929</v>
      </c>
      <c r="C956" s="4" t="s">
        <v>16</v>
      </c>
      <c r="D956" s="4" t="s">
        <v>13</v>
      </c>
      <c r="E956" s="5">
        <v>114.5688</v>
      </c>
      <c r="F956" s="5">
        <v>114.123</v>
      </c>
      <c r="G956" s="5">
        <v>113.94370000000001</v>
      </c>
      <c r="H956" s="4">
        <v>0</v>
      </c>
      <c r="I956" s="6">
        <v>2830605</v>
      </c>
      <c r="J956" s="7">
        <v>178.14</v>
      </c>
      <c r="K956" s="9">
        <f>(PricingDataTable[[#This Row],[Current Price ($)]]-PricingDataTable[[#This Row],[Prior Price ($)]])/PricingDataTable[[#This Row],[Prior Price ($)]]</f>
        <v>-3.8911117162787018E-3</v>
      </c>
      <c r="L956" s="9">
        <f>(PricingDataTable[[#This Row],[Vendor Price ($)]]-PricingDataTable[[#This Row],[Current Price ($)]])/PricingDataTable[[#This Row],[Current Price ($)]]</f>
        <v>-1.5711118705256416E-3</v>
      </c>
      <c r="M956" t="str">
        <f t="shared" si="28"/>
        <v>PASS</v>
      </c>
      <c r="N956" s="10" t="str">
        <f t="shared" si="29"/>
        <v>NONE</v>
      </c>
    </row>
    <row r="957" spans="1:14">
      <c r="A957" s="4" t="s">
        <v>1930</v>
      </c>
      <c r="B957" s="4" t="s">
        <v>1931</v>
      </c>
      <c r="C957" s="4" t="s">
        <v>19</v>
      </c>
      <c r="D957" s="4" t="s">
        <v>64</v>
      </c>
      <c r="E957" s="5">
        <v>300.00459999999998</v>
      </c>
      <c r="F957" s="5">
        <v>299.60039999999998</v>
      </c>
      <c r="G957" s="5">
        <v>300.17500000000001</v>
      </c>
      <c r="H957" s="4">
        <v>0</v>
      </c>
      <c r="I957" s="6">
        <v>502306</v>
      </c>
      <c r="J957" s="7">
        <v>318.16000000000003</v>
      </c>
      <c r="K957" s="9">
        <f>(PricingDataTable[[#This Row],[Current Price ($)]]-PricingDataTable[[#This Row],[Prior Price ($)]])/PricingDataTable[[#This Row],[Prior Price ($)]]</f>
        <v>-1.3473126745390004E-3</v>
      </c>
      <c r="L957" s="9">
        <f>(PricingDataTable[[#This Row],[Vendor Price ($)]]-PricingDataTable[[#This Row],[Current Price ($)]])/PricingDataTable[[#This Row],[Current Price ($)]]</f>
        <v>1.917887960096289E-3</v>
      </c>
      <c r="M957" t="str">
        <f t="shared" si="28"/>
        <v>PASS</v>
      </c>
      <c r="N957" s="10" t="str">
        <f t="shared" si="29"/>
        <v>NONE</v>
      </c>
    </row>
    <row r="958" spans="1:14">
      <c r="A958" s="4" t="s">
        <v>1932</v>
      </c>
      <c r="B958" s="4" t="s">
        <v>1933</v>
      </c>
      <c r="C958" s="4" t="s">
        <v>35</v>
      </c>
      <c r="D958" s="4" t="s">
        <v>13</v>
      </c>
      <c r="E958" s="5">
        <v>110.1915</v>
      </c>
      <c r="F958" s="5">
        <v>111.1995</v>
      </c>
      <c r="G958" s="5">
        <v>111.5127</v>
      </c>
      <c r="H958" s="4">
        <v>0</v>
      </c>
      <c r="I958" s="6">
        <v>2841219</v>
      </c>
      <c r="J958" s="7">
        <v>567.49</v>
      </c>
      <c r="K958" s="9">
        <f>(PricingDataTable[[#This Row],[Current Price ($)]]-PricingDataTable[[#This Row],[Prior Price ($)]])/PricingDataTable[[#This Row],[Prior Price ($)]]</f>
        <v>9.1477110303425906E-3</v>
      </c>
      <c r="L958" s="9">
        <f>(PricingDataTable[[#This Row],[Vendor Price ($)]]-PricingDataTable[[#This Row],[Current Price ($)]])/PricingDataTable[[#This Row],[Current Price ($)]]</f>
        <v>2.8165594269757943E-3</v>
      </c>
      <c r="M958" t="str">
        <f t="shared" si="28"/>
        <v>PASS</v>
      </c>
      <c r="N958" s="10" t="str">
        <f t="shared" si="29"/>
        <v>NONE</v>
      </c>
    </row>
    <row r="959" spans="1:14">
      <c r="A959" s="4" t="s">
        <v>1934</v>
      </c>
      <c r="B959" s="4" t="s">
        <v>1935</v>
      </c>
      <c r="C959" s="4" t="s">
        <v>16</v>
      </c>
      <c r="D959" s="4" t="s">
        <v>13</v>
      </c>
      <c r="E959" s="5">
        <v>81.471400000000003</v>
      </c>
      <c r="F959" s="5">
        <v>81.158799999999999</v>
      </c>
      <c r="G959" s="5">
        <v>81.542000000000002</v>
      </c>
      <c r="H959" s="4">
        <v>0</v>
      </c>
      <c r="I959" s="6">
        <v>3751363</v>
      </c>
      <c r="J959" s="7">
        <v>333.13</v>
      </c>
      <c r="K959" s="9">
        <f>(PricingDataTable[[#This Row],[Current Price ($)]]-PricingDataTable[[#This Row],[Prior Price ($)]])/PricingDataTable[[#This Row],[Prior Price ($)]]</f>
        <v>-3.8369292782498314E-3</v>
      </c>
      <c r="L959" s="9">
        <f>(PricingDataTable[[#This Row],[Vendor Price ($)]]-PricingDataTable[[#This Row],[Current Price ($)]])/PricingDataTable[[#This Row],[Current Price ($)]]</f>
        <v>4.721607515143179E-3</v>
      </c>
      <c r="M959" t="str">
        <f t="shared" si="28"/>
        <v>PASS</v>
      </c>
      <c r="N959" s="10" t="str">
        <f t="shared" si="29"/>
        <v>NONE</v>
      </c>
    </row>
    <row r="960" spans="1:14">
      <c r="A960" s="4" t="s">
        <v>1936</v>
      </c>
      <c r="B960" s="4" t="s">
        <v>1937</v>
      </c>
      <c r="C960" s="4" t="s">
        <v>35</v>
      </c>
      <c r="D960" s="4" t="s">
        <v>13</v>
      </c>
      <c r="E960" s="5">
        <v>164.006</v>
      </c>
      <c r="F960" s="5">
        <v>166.28909999999999</v>
      </c>
      <c r="G960" s="5">
        <v>165.8827</v>
      </c>
      <c r="H960" s="4">
        <v>0</v>
      </c>
      <c r="I960" s="6">
        <v>1631558</v>
      </c>
      <c r="J960" s="7">
        <v>811.69</v>
      </c>
      <c r="K960" s="9">
        <f>(PricingDataTable[[#This Row],[Current Price ($)]]-PricingDataTable[[#This Row],[Prior Price ($)]])/PricingDataTable[[#This Row],[Prior Price ($)]]</f>
        <v>1.3920832164676843E-2</v>
      </c>
      <c r="L960" s="9">
        <f>(PricingDataTable[[#This Row],[Vendor Price ($)]]-PricingDataTable[[#This Row],[Current Price ($)]])/PricingDataTable[[#This Row],[Current Price ($)]]</f>
        <v>-2.443936493732847E-3</v>
      </c>
      <c r="M960" t="str">
        <f t="shared" si="28"/>
        <v>PASS</v>
      </c>
      <c r="N960" s="10" t="str">
        <f t="shared" si="29"/>
        <v>NONE</v>
      </c>
    </row>
    <row r="961" spans="1:14">
      <c r="A961" s="4" t="s">
        <v>1938</v>
      </c>
      <c r="B961" s="4" t="s">
        <v>1939</v>
      </c>
      <c r="C961" s="4" t="s">
        <v>35</v>
      </c>
      <c r="D961" s="4" t="s">
        <v>13</v>
      </c>
      <c r="E961" s="5">
        <v>107.52460000000001</v>
      </c>
      <c r="F961" s="5">
        <v>107.7192</v>
      </c>
      <c r="G961" s="5">
        <v>108.31529999999999</v>
      </c>
      <c r="H961" s="4">
        <v>0</v>
      </c>
      <c r="I961" s="6">
        <v>1245495</v>
      </c>
      <c r="J961" s="7">
        <v>561.32000000000005</v>
      </c>
      <c r="K961" s="9">
        <f>(PricingDataTable[[#This Row],[Current Price ($)]]-PricingDataTable[[#This Row],[Prior Price ($)]])/PricingDataTable[[#This Row],[Prior Price ($)]]</f>
        <v>1.8098184043464853E-3</v>
      </c>
      <c r="L961" s="9">
        <f>(PricingDataTable[[#This Row],[Vendor Price ($)]]-PricingDataTable[[#This Row],[Current Price ($)]])/PricingDataTable[[#This Row],[Current Price ($)]]</f>
        <v>5.5338324087070151E-3</v>
      </c>
      <c r="M961" t="str">
        <f t="shared" si="28"/>
        <v>PASS</v>
      </c>
      <c r="N961" s="10" t="str">
        <f t="shared" si="29"/>
        <v>NONE</v>
      </c>
    </row>
    <row r="962" spans="1:14">
      <c r="A962" s="4" t="s">
        <v>1940</v>
      </c>
      <c r="B962" s="4" t="s">
        <v>1941</v>
      </c>
      <c r="C962" s="4" t="s">
        <v>16</v>
      </c>
      <c r="D962" s="4" t="s">
        <v>13</v>
      </c>
      <c r="E962" s="5">
        <v>119.5455</v>
      </c>
      <c r="F962" s="5">
        <v>120.6352</v>
      </c>
      <c r="G962" s="5">
        <v>120.56140000000001</v>
      </c>
      <c r="H962" s="4">
        <v>1</v>
      </c>
      <c r="I962" s="6">
        <v>496106</v>
      </c>
      <c r="J962" s="7">
        <v>426.48</v>
      </c>
      <c r="K962" s="9">
        <f>(PricingDataTable[[#This Row],[Current Price ($)]]-PricingDataTable[[#This Row],[Prior Price ($)]])/PricingDataTable[[#This Row],[Prior Price ($)]]</f>
        <v>9.115357750814488E-3</v>
      </c>
      <c r="L962" s="9">
        <f>(PricingDataTable[[#This Row],[Vendor Price ($)]]-PricingDataTable[[#This Row],[Current Price ($)]])/PricingDataTable[[#This Row],[Current Price ($)]]</f>
        <v>-6.1176174118326521E-4</v>
      </c>
      <c r="M962" t="str">
        <f t="shared" ref="M962:M1025" si="30">IF(OR(F962="",F962=0),"MISSING",IF(H962&gt;=3,"STALE",IF(ABS(K962)&gt;=5%,"LARGE MOVE",IF(ABS(L962)&gt;=2%,"VENDOR DIFFERENCE","PASS"))))</f>
        <v>PASS</v>
      </c>
      <c r="N962" s="10" t="str">
        <f t="shared" ref="N962:N1025" si="31">IF(M962="PASS","NONE",IF(M962="MISSING","HIGH",IF(OR(ABS(K962)&gt;=10%,ABS(L962)&gt;=5%),"HIGH",IF(OR(ABS(K962)&gt;=7%,ABS(L962)&gt;=3%,H962&gt;=5),"MEDIUM","LOW"))))</f>
        <v>NONE</v>
      </c>
    </row>
    <row r="963" spans="1:14">
      <c r="A963" s="4" t="s">
        <v>1942</v>
      </c>
      <c r="B963" s="4" t="s">
        <v>1943</v>
      </c>
      <c r="C963" s="4" t="s">
        <v>19</v>
      </c>
      <c r="D963" s="4" t="s">
        <v>64</v>
      </c>
      <c r="E963" s="5">
        <v>173.03319999999999</v>
      </c>
      <c r="F963" s="5">
        <v>174.03960000000001</v>
      </c>
      <c r="G963" s="5">
        <v>174.3707</v>
      </c>
      <c r="H963" s="4">
        <v>0</v>
      </c>
      <c r="I963" s="6">
        <v>1579694</v>
      </c>
      <c r="J963" s="7">
        <v>861.96</v>
      </c>
      <c r="K963" s="9">
        <f>(PricingDataTable[[#This Row],[Current Price ($)]]-PricingDataTable[[#This Row],[Prior Price ($)]])/PricingDataTable[[#This Row],[Prior Price ($)]]</f>
        <v>5.816224863205521E-3</v>
      </c>
      <c r="L963" s="9">
        <f>(PricingDataTable[[#This Row],[Vendor Price ($)]]-PricingDataTable[[#This Row],[Current Price ($)]])/PricingDataTable[[#This Row],[Current Price ($)]]</f>
        <v>1.9024405939797159E-3</v>
      </c>
      <c r="M963" t="str">
        <f t="shared" si="30"/>
        <v>PASS</v>
      </c>
      <c r="N963" s="10" t="str">
        <f t="shared" si="31"/>
        <v>NONE</v>
      </c>
    </row>
    <row r="964" spans="1:14">
      <c r="A964" s="4" t="s">
        <v>1944</v>
      </c>
      <c r="B964" s="4" t="s">
        <v>1945</v>
      </c>
      <c r="C964" s="4" t="s">
        <v>19</v>
      </c>
      <c r="D964" s="4" t="s">
        <v>32</v>
      </c>
      <c r="E964" s="5">
        <v>259.53919999999999</v>
      </c>
      <c r="F964" s="5">
        <v>261.43049999999999</v>
      </c>
      <c r="G964" s="5">
        <v>262.75189999999998</v>
      </c>
      <c r="H964" s="4">
        <v>0</v>
      </c>
      <c r="I964" s="6">
        <v>2190325</v>
      </c>
      <c r="J964" s="7">
        <v>183.98</v>
      </c>
      <c r="K964" s="9">
        <f>(PricingDataTable[[#This Row],[Current Price ($)]]-PricingDataTable[[#This Row],[Prior Price ($)]])/PricingDataTable[[#This Row],[Prior Price ($)]]</f>
        <v>7.2871458338470687E-3</v>
      </c>
      <c r="L964" s="9">
        <f>(PricingDataTable[[#This Row],[Vendor Price ($)]]-PricingDataTable[[#This Row],[Current Price ($)]])/PricingDataTable[[#This Row],[Current Price ($)]]</f>
        <v>5.0544982318435792E-3</v>
      </c>
      <c r="M964" t="str">
        <f t="shared" si="30"/>
        <v>PASS</v>
      </c>
      <c r="N964" s="10" t="str">
        <f t="shared" si="31"/>
        <v>NONE</v>
      </c>
    </row>
    <row r="965" spans="1:14">
      <c r="A965" s="4" t="s">
        <v>1946</v>
      </c>
      <c r="B965" s="4" t="s">
        <v>1947</v>
      </c>
      <c r="C965" s="4" t="s">
        <v>19</v>
      </c>
      <c r="D965" s="4" t="s">
        <v>13</v>
      </c>
      <c r="E965" s="5">
        <v>152.1267</v>
      </c>
      <c r="F965" s="5">
        <v>149.98560000000001</v>
      </c>
      <c r="G965" s="5">
        <v>150.5574</v>
      </c>
      <c r="H965" s="4">
        <v>0</v>
      </c>
      <c r="I965" s="6">
        <v>2635752</v>
      </c>
      <c r="J965" s="7">
        <v>97.15</v>
      </c>
      <c r="K965" s="9">
        <f>(PricingDataTable[[#This Row],[Current Price ($)]]-PricingDataTable[[#This Row],[Prior Price ($)]])/PricingDataTable[[#This Row],[Prior Price ($)]]</f>
        <v>-1.4074452413678825E-2</v>
      </c>
      <c r="L965" s="9">
        <f>(PricingDataTable[[#This Row],[Vendor Price ($)]]-PricingDataTable[[#This Row],[Current Price ($)]])/PricingDataTable[[#This Row],[Current Price ($)]]</f>
        <v>3.8123659871347388E-3</v>
      </c>
      <c r="M965" t="str">
        <f t="shared" si="30"/>
        <v>PASS</v>
      </c>
      <c r="N965" s="10" t="str">
        <f t="shared" si="31"/>
        <v>NONE</v>
      </c>
    </row>
    <row r="966" spans="1:14">
      <c r="A966" s="4" t="s">
        <v>1948</v>
      </c>
      <c r="B966" s="4" t="s">
        <v>1949</v>
      </c>
      <c r="C966" s="4" t="s">
        <v>19</v>
      </c>
      <c r="D966" s="4" t="s">
        <v>13</v>
      </c>
      <c r="E966" s="5">
        <v>163.0401</v>
      </c>
      <c r="F966" s="5">
        <v>163.57409999999999</v>
      </c>
      <c r="G966" s="5">
        <v>163.79390000000001</v>
      </c>
      <c r="H966" s="4">
        <v>2</v>
      </c>
      <c r="I966" s="6">
        <v>2645665</v>
      </c>
      <c r="J966" s="7">
        <v>748.66</v>
      </c>
      <c r="K966" s="9">
        <f>(PricingDataTable[[#This Row],[Current Price ($)]]-PricingDataTable[[#This Row],[Prior Price ($)]])/PricingDataTable[[#This Row],[Prior Price ($)]]</f>
        <v>3.2752678635500827E-3</v>
      </c>
      <c r="L966" s="9">
        <f>(PricingDataTable[[#This Row],[Vendor Price ($)]]-PricingDataTable[[#This Row],[Current Price ($)]])/PricingDataTable[[#This Row],[Current Price ($)]]</f>
        <v>1.3437335128239781E-3</v>
      </c>
      <c r="M966" t="str">
        <f t="shared" si="30"/>
        <v>PASS</v>
      </c>
      <c r="N966" s="10" t="str">
        <f t="shared" si="31"/>
        <v>NONE</v>
      </c>
    </row>
    <row r="967" spans="1:14">
      <c r="A967" s="4" t="s">
        <v>1950</v>
      </c>
      <c r="B967" s="4" t="s">
        <v>1951</v>
      </c>
      <c r="C967" s="4" t="s">
        <v>19</v>
      </c>
      <c r="D967" s="4" t="s">
        <v>13</v>
      </c>
      <c r="E967" s="5">
        <v>118.7684</v>
      </c>
      <c r="F967" s="5">
        <v>119.62690000000001</v>
      </c>
      <c r="G967" s="5">
        <v>120.0718</v>
      </c>
      <c r="H967" s="4">
        <v>0</v>
      </c>
      <c r="I967" s="6">
        <v>4293520</v>
      </c>
      <c r="J967" s="7">
        <v>50.46</v>
      </c>
      <c r="K967" s="9">
        <f>(PricingDataTable[[#This Row],[Current Price ($)]]-PricingDataTable[[#This Row],[Prior Price ($)]])/PricingDataTable[[#This Row],[Prior Price ($)]]</f>
        <v>7.2283536698314237E-3</v>
      </c>
      <c r="L967" s="9">
        <f>(PricingDataTable[[#This Row],[Vendor Price ($)]]-PricingDataTable[[#This Row],[Current Price ($)]])/PricingDataTable[[#This Row],[Current Price ($)]]</f>
        <v>3.7190631872930742E-3</v>
      </c>
      <c r="M967" t="str">
        <f t="shared" si="30"/>
        <v>PASS</v>
      </c>
      <c r="N967" s="10" t="str">
        <f t="shared" si="31"/>
        <v>NONE</v>
      </c>
    </row>
    <row r="968" spans="1:14">
      <c r="A968" s="4" t="s">
        <v>1952</v>
      </c>
      <c r="B968" s="4" t="s">
        <v>1953</v>
      </c>
      <c r="C968" s="4" t="s">
        <v>16</v>
      </c>
      <c r="D968" s="4" t="s">
        <v>36</v>
      </c>
      <c r="E968" s="5">
        <v>81.995599999999996</v>
      </c>
      <c r="F968" s="5">
        <v>82.466099999999997</v>
      </c>
      <c r="G968" s="5">
        <v>82.554599999999994</v>
      </c>
      <c r="H968" s="4">
        <v>0</v>
      </c>
      <c r="I968" s="6">
        <v>2883100</v>
      </c>
      <c r="J968" s="7">
        <v>675.82</v>
      </c>
      <c r="K968" s="9">
        <f>(PricingDataTable[[#This Row],[Current Price ($)]]-PricingDataTable[[#This Row],[Prior Price ($)]])/PricingDataTable[[#This Row],[Prior Price ($)]]</f>
        <v>5.7381127767831596E-3</v>
      </c>
      <c r="L968" s="9">
        <f>(PricingDataTable[[#This Row],[Vendor Price ($)]]-PricingDataTable[[#This Row],[Current Price ($)]])/PricingDataTable[[#This Row],[Current Price ($)]]</f>
        <v>1.0731682473161244E-3</v>
      </c>
      <c r="M968" t="str">
        <f t="shared" si="30"/>
        <v>PASS</v>
      </c>
      <c r="N968" s="10" t="str">
        <f t="shared" si="31"/>
        <v>NONE</v>
      </c>
    </row>
    <row r="969" spans="1:14">
      <c r="A969" s="4" t="s">
        <v>1954</v>
      </c>
      <c r="B969" s="4" t="s">
        <v>1955</v>
      </c>
      <c r="C969" s="4" t="s">
        <v>16</v>
      </c>
      <c r="D969" s="4" t="s">
        <v>13</v>
      </c>
      <c r="E969" s="5">
        <v>107.0909</v>
      </c>
      <c r="F969" s="5">
        <v>106.4988</v>
      </c>
      <c r="G969" s="5">
        <v>106.61150000000001</v>
      </c>
      <c r="H969" s="4">
        <v>0</v>
      </c>
      <c r="I969" s="6">
        <v>2188368</v>
      </c>
      <c r="J969" s="7">
        <v>204.81</v>
      </c>
      <c r="K969" s="9">
        <f>(PricingDataTable[[#This Row],[Current Price ($)]]-PricingDataTable[[#This Row],[Prior Price ($)]])/PricingDataTable[[#This Row],[Prior Price ($)]]</f>
        <v>-5.5289478377714826E-3</v>
      </c>
      <c r="L969" s="9">
        <f>(PricingDataTable[[#This Row],[Vendor Price ($)]]-PricingDataTable[[#This Row],[Current Price ($)]])/PricingDataTable[[#This Row],[Current Price ($)]]</f>
        <v>1.0582278861358419E-3</v>
      </c>
      <c r="M969" t="str">
        <f t="shared" si="30"/>
        <v>PASS</v>
      </c>
      <c r="N969" s="10" t="str">
        <f t="shared" si="31"/>
        <v>NONE</v>
      </c>
    </row>
    <row r="970" spans="1:14">
      <c r="A970" s="4" t="s">
        <v>1956</v>
      </c>
      <c r="B970" s="4" t="s">
        <v>1957</v>
      </c>
      <c r="C970" s="4" t="s">
        <v>19</v>
      </c>
      <c r="D970" s="4" t="s">
        <v>13</v>
      </c>
      <c r="E970" s="5">
        <v>246.47239999999999</v>
      </c>
      <c r="F970" s="5">
        <v>245.61189999999999</v>
      </c>
      <c r="G970" s="5">
        <v>245.64080000000001</v>
      </c>
      <c r="H970" s="4">
        <v>4</v>
      </c>
      <c r="I970" s="6">
        <v>3251797</v>
      </c>
      <c r="J970" s="7">
        <v>680.42</v>
      </c>
      <c r="K970" s="9">
        <f>(PricingDataTable[[#This Row],[Current Price ($)]]-PricingDataTable[[#This Row],[Prior Price ($)]])/PricingDataTable[[#This Row],[Prior Price ($)]]</f>
        <v>-3.4912631191159815E-3</v>
      </c>
      <c r="L970" s="9">
        <f>(PricingDataTable[[#This Row],[Vendor Price ($)]]-PricingDataTable[[#This Row],[Current Price ($)]])/PricingDataTable[[#This Row],[Current Price ($)]]</f>
        <v>1.1766530856209111E-4</v>
      </c>
      <c r="M970" t="str">
        <f t="shared" si="30"/>
        <v>STALE</v>
      </c>
      <c r="N970" s="10" t="str">
        <f t="shared" si="31"/>
        <v>LOW</v>
      </c>
    </row>
    <row r="971" spans="1:14">
      <c r="A971" s="4" t="s">
        <v>1958</v>
      </c>
      <c r="B971" s="4" t="s">
        <v>1959</v>
      </c>
      <c r="C971" s="4" t="s">
        <v>19</v>
      </c>
      <c r="D971" s="4" t="s">
        <v>32</v>
      </c>
      <c r="E971" s="5">
        <v>176.3417</v>
      </c>
      <c r="F971" s="5">
        <v>174.75960000000001</v>
      </c>
      <c r="G971" s="5">
        <v>174.0504</v>
      </c>
      <c r="H971" s="4">
        <v>0</v>
      </c>
      <c r="I971" s="6">
        <v>60998</v>
      </c>
      <c r="J971" s="7">
        <v>314.57</v>
      </c>
      <c r="K971" s="9">
        <f>(PricingDataTable[[#This Row],[Current Price ($)]]-PricingDataTable[[#This Row],[Prior Price ($)]])/PricingDataTable[[#This Row],[Prior Price ($)]]</f>
        <v>-8.9717860267877481E-3</v>
      </c>
      <c r="L971" s="9">
        <f>(PricingDataTable[[#This Row],[Vendor Price ($)]]-PricingDataTable[[#This Row],[Current Price ($)]])/PricingDataTable[[#This Row],[Current Price ($)]]</f>
        <v>-4.0581461619276409E-3</v>
      </c>
      <c r="M971" t="str">
        <f t="shared" si="30"/>
        <v>PASS</v>
      </c>
      <c r="N971" s="10" t="str">
        <f t="shared" si="31"/>
        <v>NONE</v>
      </c>
    </row>
    <row r="972" spans="1:14">
      <c r="A972" s="4" t="s">
        <v>1960</v>
      </c>
      <c r="B972" s="4" t="s">
        <v>1961</v>
      </c>
      <c r="C972" s="4" t="s">
        <v>35</v>
      </c>
      <c r="D972" s="4" t="s">
        <v>13</v>
      </c>
      <c r="E972" s="5">
        <v>149.5685</v>
      </c>
      <c r="F972" s="5">
        <v>162.9777</v>
      </c>
      <c r="G972" s="5">
        <v>163.14689999999999</v>
      </c>
      <c r="H972" s="4">
        <v>0</v>
      </c>
      <c r="I972" s="6">
        <v>2150817</v>
      </c>
      <c r="J972" s="7">
        <v>301.17</v>
      </c>
      <c r="K972" s="9">
        <f>(PricingDataTable[[#This Row],[Current Price ($)]]-PricingDataTable[[#This Row],[Prior Price ($)]])/PricingDataTable[[#This Row],[Prior Price ($)]]</f>
        <v>8.9652567218364815E-2</v>
      </c>
      <c r="L972" s="9">
        <f>(PricingDataTable[[#This Row],[Vendor Price ($)]]-PricingDataTable[[#This Row],[Current Price ($)]])/PricingDataTable[[#This Row],[Current Price ($)]]</f>
        <v>1.038178842872303E-3</v>
      </c>
      <c r="M972" t="str">
        <f t="shared" si="30"/>
        <v>LARGE MOVE</v>
      </c>
      <c r="N972" s="10" t="str">
        <f t="shared" si="31"/>
        <v>MEDIUM</v>
      </c>
    </row>
    <row r="973" spans="1:14">
      <c r="A973" s="4" t="s">
        <v>1962</v>
      </c>
      <c r="B973" s="4" t="s">
        <v>1963</v>
      </c>
      <c r="C973" s="4" t="s">
        <v>16</v>
      </c>
      <c r="D973" s="4" t="s">
        <v>13</v>
      </c>
      <c r="E973" s="5">
        <v>97.582499999999996</v>
      </c>
      <c r="F973" s="5">
        <v>94.691699999999997</v>
      </c>
      <c r="G973" s="5">
        <v>94.941500000000005</v>
      </c>
      <c r="H973" s="4">
        <v>0</v>
      </c>
      <c r="I973" s="6">
        <v>896312</v>
      </c>
      <c r="J973" s="7">
        <v>668.58</v>
      </c>
      <c r="K973" s="9">
        <f>(PricingDataTable[[#This Row],[Current Price ($)]]-PricingDataTable[[#This Row],[Prior Price ($)]])/PricingDataTable[[#This Row],[Prior Price ($)]]</f>
        <v>-2.9624164168780252E-2</v>
      </c>
      <c r="L973" s="9">
        <f>(PricingDataTable[[#This Row],[Vendor Price ($)]]-PricingDataTable[[#This Row],[Current Price ($)]])/PricingDataTable[[#This Row],[Current Price ($)]]</f>
        <v>2.6380348013607061E-3</v>
      </c>
      <c r="M973" t="str">
        <f t="shared" si="30"/>
        <v>PASS</v>
      </c>
      <c r="N973" s="10" t="str">
        <f t="shared" si="31"/>
        <v>NONE</v>
      </c>
    </row>
    <row r="974" spans="1:14">
      <c r="A974" s="4" t="s">
        <v>1964</v>
      </c>
      <c r="B974" s="4" t="s">
        <v>1965</v>
      </c>
      <c r="C974" s="4" t="s">
        <v>39</v>
      </c>
      <c r="D974" s="4" t="s">
        <v>32</v>
      </c>
      <c r="E974" s="5">
        <v>110.1245</v>
      </c>
      <c r="F974" s="5">
        <v>109.78530000000001</v>
      </c>
      <c r="G974" s="5">
        <v>109.5727</v>
      </c>
      <c r="H974" s="4">
        <v>0</v>
      </c>
      <c r="I974" s="6">
        <v>2117719</v>
      </c>
      <c r="J974" s="7">
        <v>195.28</v>
      </c>
      <c r="K974" s="9">
        <f>(PricingDataTable[[#This Row],[Current Price ($)]]-PricingDataTable[[#This Row],[Prior Price ($)]])/PricingDataTable[[#This Row],[Prior Price ($)]]</f>
        <v>-3.0801501936443851E-3</v>
      </c>
      <c r="L974" s="9">
        <f>(PricingDataTable[[#This Row],[Vendor Price ($)]]-PricingDataTable[[#This Row],[Current Price ($)]])/PricingDataTable[[#This Row],[Current Price ($)]]</f>
        <v>-1.9365069822645563E-3</v>
      </c>
      <c r="M974" t="str">
        <f t="shared" si="30"/>
        <v>PASS</v>
      </c>
      <c r="N974" s="10" t="str">
        <f t="shared" si="31"/>
        <v>NONE</v>
      </c>
    </row>
    <row r="975" spans="1:14">
      <c r="A975" s="4" t="s">
        <v>1966</v>
      </c>
      <c r="B975" s="4" t="s">
        <v>1967</v>
      </c>
      <c r="C975" s="4" t="s">
        <v>19</v>
      </c>
      <c r="D975" s="4" t="s">
        <v>64</v>
      </c>
      <c r="E975" s="5">
        <v>302.24239999999998</v>
      </c>
      <c r="F975" s="5">
        <v>304.6216</v>
      </c>
      <c r="G975" s="5">
        <v>306.7525</v>
      </c>
      <c r="H975" s="4">
        <v>5</v>
      </c>
      <c r="I975" s="6">
        <v>4125529</v>
      </c>
      <c r="J975" s="7">
        <v>432.26</v>
      </c>
      <c r="K975" s="9">
        <f>(PricingDataTable[[#This Row],[Current Price ($)]]-PricingDataTable[[#This Row],[Prior Price ($)]])/PricingDataTable[[#This Row],[Prior Price ($)]]</f>
        <v>7.8718273809367124E-3</v>
      </c>
      <c r="L975" s="9">
        <f>(PricingDataTable[[#This Row],[Vendor Price ($)]]-PricingDataTable[[#This Row],[Current Price ($)]])/PricingDataTable[[#This Row],[Current Price ($)]]</f>
        <v>6.9952360567996389E-3</v>
      </c>
      <c r="M975" t="str">
        <f t="shared" si="30"/>
        <v>STALE</v>
      </c>
      <c r="N975" s="10" t="str">
        <f t="shared" si="31"/>
        <v>MEDIUM</v>
      </c>
    </row>
    <row r="976" spans="1:14">
      <c r="A976" s="4" t="s">
        <v>1968</v>
      </c>
      <c r="B976" s="4" t="s">
        <v>1969</v>
      </c>
      <c r="C976" s="4" t="s">
        <v>39</v>
      </c>
      <c r="D976" s="4" t="s">
        <v>13</v>
      </c>
      <c r="E976" s="5">
        <v>328.7362</v>
      </c>
      <c r="F976" s="5">
        <v>279.35079999999999</v>
      </c>
      <c r="G976" s="5">
        <v>279.53800000000001</v>
      </c>
      <c r="H976" s="4">
        <v>3</v>
      </c>
      <c r="I976" s="6">
        <v>3200590</v>
      </c>
      <c r="J976" s="7">
        <v>655.93</v>
      </c>
      <c r="K976" s="9">
        <f>(PricingDataTable[[#This Row],[Current Price ($)]]-PricingDataTable[[#This Row],[Prior Price ($)]])/PricingDataTable[[#This Row],[Prior Price ($)]]</f>
        <v>-0.15022805520049209</v>
      </c>
      <c r="L976" s="9">
        <f>(PricingDataTable[[#This Row],[Vendor Price ($)]]-PricingDataTable[[#This Row],[Current Price ($)]])/PricingDataTable[[#This Row],[Current Price ($)]]</f>
        <v>6.7012516162480462E-4</v>
      </c>
      <c r="M976" t="str">
        <f t="shared" si="30"/>
        <v>STALE</v>
      </c>
      <c r="N976" s="10" t="str">
        <f t="shared" si="31"/>
        <v>HIGH</v>
      </c>
    </row>
    <row r="977" spans="1:14">
      <c r="A977" s="4" t="s">
        <v>1970</v>
      </c>
      <c r="B977" s="4" t="s">
        <v>1971</v>
      </c>
      <c r="C977" s="4" t="s">
        <v>19</v>
      </c>
      <c r="D977" s="4" t="s">
        <v>13</v>
      </c>
      <c r="E977" s="5">
        <v>73.248599999999996</v>
      </c>
      <c r="F977" s="5">
        <v>71.656499999999994</v>
      </c>
      <c r="G977" s="5">
        <v>71.860600000000005</v>
      </c>
      <c r="H977" s="4">
        <v>0</v>
      </c>
      <c r="I977" s="6">
        <v>2534780</v>
      </c>
      <c r="J977" s="7">
        <v>127.83</v>
      </c>
      <c r="K977" s="9">
        <f>(PricingDataTable[[#This Row],[Current Price ($)]]-PricingDataTable[[#This Row],[Prior Price ($)]])/PricingDataTable[[#This Row],[Prior Price ($)]]</f>
        <v>-2.1735569007462287E-2</v>
      </c>
      <c r="L977" s="9">
        <f>(PricingDataTable[[#This Row],[Vendor Price ($)]]-PricingDataTable[[#This Row],[Current Price ($)]])/PricingDataTable[[#This Row],[Current Price ($)]]</f>
        <v>2.8483110394731961E-3</v>
      </c>
      <c r="M977" t="str">
        <f t="shared" si="30"/>
        <v>PASS</v>
      </c>
      <c r="N977" s="10" t="str">
        <f t="shared" si="31"/>
        <v>NONE</v>
      </c>
    </row>
    <row r="978" spans="1:14">
      <c r="A978" s="4" t="s">
        <v>1972</v>
      </c>
      <c r="B978" s="4" t="s">
        <v>1973</v>
      </c>
      <c r="C978" s="4" t="s">
        <v>19</v>
      </c>
      <c r="D978" s="4" t="s">
        <v>13</v>
      </c>
      <c r="E978" s="5">
        <v>333.72930000000002</v>
      </c>
      <c r="F978" s="5">
        <v>335.91980000000001</v>
      </c>
      <c r="G978" s="5">
        <v>333.91789999999997</v>
      </c>
      <c r="H978" s="4">
        <v>0</v>
      </c>
      <c r="I978" s="6">
        <v>4864522</v>
      </c>
      <c r="J978" s="7">
        <v>625.49</v>
      </c>
      <c r="K978" s="9">
        <f>(PricingDataTable[[#This Row],[Current Price ($)]]-PricingDataTable[[#This Row],[Prior Price ($)]])/PricingDataTable[[#This Row],[Prior Price ($)]]</f>
        <v>6.5637029772333015E-3</v>
      </c>
      <c r="L978" s="9">
        <f>(PricingDataTable[[#This Row],[Vendor Price ($)]]-PricingDataTable[[#This Row],[Current Price ($)]])/PricingDataTable[[#This Row],[Current Price ($)]]</f>
        <v>-5.9594581801966856E-3</v>
      </c>
      <c r="M978" t="str">
        <f t="shared" si="30"/>
        <v>PASS</v>
      </c>
      <c r="N978" s="10" t="str">
        <f t="shared" si="31"/>
        <v>NONE</v>
      </c>
    </row>
    <row r="979" spans="1:14">
      <c r="A979" s="4" t="s">
        <v>1974</v>
      </c>
      <c r="B979" s="4" t="s">
        <v>1975</v>
      </c>
      <c r="C979" s="4" t="s">
        <v>19</v>
      </c>
      <c r="D979" s="4" t="s">
        <v>13</v>
      </c>
      <c r="E979" s="5">
        <v>29.6431</v>
      </c>
      <c r="F979" s="5">
        <v>29.554500000000001</v>
      </c>
      <c r="G979" s="5">
        <v>29.4968</v>
      </c>
      <c r="H979" s="4">
        <v>0</v>
      </c>
      <c r="I979" s="6">
        <v>1469198</v>
      </c>
      <c r="J979" s="7">
        <v>875.62</v>
      </c>
      <c r="K979" s="9">
        <f>(PricingDataTable[[#This Row],[Current Price ($)]]-PricingDataTable[[#This Row],[Prior Price ($)]])/PricingDataTable[[#This Row],[Prior Price ($)]]</f>
        <v>-2.9888911753493922E-3</v>
      </c>
      <c r="L979" s="9">
        <f>(PricingDataTable[[#This Row],[Vendor Price ($)]]-PricingDataTable[[#This Row],[Current Price ($)]])/PricingDataTable[[#This Row],[Current Price ($)]]</f>
        <v>-1.9523253650036551E-3</v>
      </c>
      <c r="M979" t="str">
        <f t="shared" si="30"/>
        <v>PASS</v>
      </c>
      <c r="N979" s="10" t="str">
        <f t="shared" si="31"/>
        <v>NONE</v>
      </c>
    </row>
    <row r="980" spans="1:14">
      <c r="A980" s="4" t="s">
        <v>1976</v>
      </c>
      <c r="B980" s="4" t="s">
        <v>1977</v>
      </c>
      <c r="C980" s="4" t="s">
        <v>12</v>
      </c>
      <c r="D980" s="4" t="s">
        <v>237</v>
      </c>
      <c r="E980" s="5">
        <v>118.8188</v>
      </c>
      <c r="F980" s="5">
        <v>118.2525</v>
      </c>
      <c r="G980" s="5">
        <v>117.7052</v>
      </c>
      <c r="H980" s="4">
        <v>1</v>
      </c>
      <c r="I980" s="6">
        <v>3759005</v>
      </c>
      <c r="J980" s="7">
        <v>729.36</v>
      </c>
      <c r="K980" s="9">
        <f>(PricingDataTable[[#This Row],[Current Price ($)]]-PricingDataTable[[#This Row],[Prior Price ($)]])/PricingDataTable[[#This Row],[Prior Price ($)]]</f>
        <v>-4.7660807885620644E-3</v>
      </c>
      <c r="L980" s="9">
        <f>(PricingDataTable[[#This Row],[Vendor Price ($)]]-PricingDataTable[[#This Row],[Current Price ($)]])/PricingDataTable[[#This Row],[Current Price ($)]]</f>
        <v>-4.6282319612692569E-3</v>
      </c>
      <c r="M980" t="str">
        <f t="shared" si="30"/>
        <v>PASS</v>
      </c>
      <c r="N980" s="10" t="str">
        <f t="shared" si="31"/>
        <v>NONE</v>
      </c>
    </row>
    <row r="981" spans="1:14">
      <c r="A981" s="4" t="s">
        <v>1978</v>
      </c>
      <c r="B981" s="4" t="s">
        <v>1979</v>
      </c>
      <c r="C981" s="4" t="s">
        <v>39</v>
      </c>
      <c r="D981" s="4" t="s">
        <v>64</v>
      </c>
      <c r="E981" s="5">
        <v>156.8878</v>
      </c>
      <c r="F981" s="5">
        <v>158.9701</v>
      </c>
      <c r="G981" s="5">
        <v>158.8065</v>
      </c>
      <c r="H981" s="4">
        <v>0</v>
      </c>
      <c r="I981" s="6">
        <v>3828365</v>
      </c>
      <c r="J981" s="7">
        <v>738.68</v>
      </c>
      <c r="K981" s="9">
        <f>(PricingDataTable[[#This Row],[Current Price ($)]]-PricingDataTable[[#This Row],[Prior Price ($)]])/PricingDataTable[[#This Row],[Prior Price ($)]]</f>
        <v>1.3272542543142319E-2</v>
      </c>
      <c r="L981" s="9">
        <f>(PricingDataTable[[#This Row],[Vendor Price ($)]]-PricingDataTable[[#This Row],[Current Price ($)]])/PricingDataTable[[#This Row],[Current Price ($)]]</f>
        <v>-1.0291243447667355E-3</v>
      </c>
      <c r="M981" t="str">
        <f t="shared" si="30"/>
        <v>PASS</v>
      </c>
      <c r="N981" s="10" t="str">
        <f t="shared" si="31"/>
        <v>NONE</v>
      </c>
    </row>
    <row r="982" spans="1:14">
      <c r="A982" s="4" t="s">
        <v>1980</v>
      </c>
      <c r="B982" s="4" t="s">
        <v>1981</v>
      </c>
      <c r="C982" s="4" t="s">
        <v>16</v>
      </c>
      <c r="D982" s="4" t="s">
        <v>36</v>
      </c>
      <c r="E982" s="5">
        <v>111.3099</v>
      </c>
      <c r="F982" s="5">
        <v>110.17359999999999</v>
      </c>
      <c r="G982" s="5">
        <v>110.09990000000001</v>
      </c>
      <c r="H982" s="4">
        <v>0</v>
      </c>
      <c r="I982" s="6">
        <v>2454244</v>
      </c>
      <c r="J982" s="7">
        <v>133.04</v>
      </c>
      <c r="K982" s="9">
        <f>(PricingDataTable[[#This Row],[Current Price ($)]]-PricingDataTable[[#This Row],[Prior Price ($)]])/PricingDataTable[[#This Row],[Prior Price ($)]]</f>
        <v>-1.0208436086996805E-2</v>
      </c>
      <c r="L982" s="9">
        <f>(PricingDataTable[[#This Row],[Vendor Price ($)]]-PricingDataTable[[#This Row],[Current Price ($)]])/PricingDataTable[[#This Row],[Current Price ($)]]</f>
        <v>-6.6894428429304395E-4</v>
      </c>
      <c r="M982" t="str">
        <f t="shared" si="30"/>
        <v>PASS</v>
      </c>
      <c r="N982" s="10" t="str">
        <f t="shared" si="31"/>
        <v>NONE</v>
      </c>
    </row>
    <row r="983" spans="1:14">
      <c r="A983" s="4" t="s">
        <v>1982</v>
      </c>
      <c r="B983" s="4" t="s">
        <v>1983</v>
      </c>
      <c r="C983" s="4" t="s">
        <v>12</v>
      </c>
      <c r="D983" s="4" t="s">
        <v>13</v>
      </c>
      <c r="E983" s="5">
        <v>123.0693</v>
      </c>
      <c r="F983" s="5">
        <v>124.0354</v>
      </c>
      <c r="G983" s="5">
        <v>124.1824</v>
      </c>
      <c r="H983" s="4">
        <v>0</v>
      </c>
      <c r="I983" s="6">
        <v>1379048</v>
      </c>
      <c r="J983" s="7">
        <v>800.79</v>
      </c>
      <c r="K983" s="9">
        <f>(PricingDataTable[[#This Row],[Current Price ($)]]-PricingDataTable[[#This Row],[Prior Price ($)]])/PricingDataTable[[#This Row],[Prior Price ($)]]</f>
        <v>7.850048712392102E-3</v>
      </c>
      <c r="L983" s="9">
        <f>(PricingDataTable[[#This Row],[Vendor Price ($)]]-PricingDataTable[[#This Row],[Current Price ($)]])/PricingDataTable[[#This Row],[Current Price ($)]]</f>
        <v>1.1851455310339272E-3</v>
      </c>
      <c r="M983" t="str">
        <f t="shared" si="30"/>
        <v>PASS</v>
      </c>
      <c r="N983" s="10" t="str">
        <f t="shared" si="31"/>
        <v>NONE</v>
      </c>
    </row>
    <row r="984" spans="1:14">
      <c r="A984" s="4" t="s">
        <v>1984</v>
      </c>
      <c r="B984" s="4" t="s">
        <v>1985</v>
      </c>
      <c r="C984" s="4" t="s">
        <v>35</v>
      </c>
      <c r="D984" s="4" t="s">
        <v>237</v>
      </c>
      <c r="E984" s="5">
        <v>27.818999999999999</v>
      </c>
      <c r="F984" s="5">
        <v>27.561699999999998</v>
      </c>
      <c r="G984" s="5">
        <v>27.6599</v>
      </c>
      <c r="H984" s="4">
        <v>0</v>
      </c>
      <c r="I984" s="6">
        <v>3325826</v>
      </c>
      <c r="J984" s="7">
        <v>73.75</v>
      </c>
      <c r="K984" s="9">
        <f>(PricingDataTable[[#This Row],[Current Price ($)]]-PricingDataTable[[#This Row],[Prior Price ($)]])/PricingDataTable[[#This Row],[Prior Price ($)]]</f>
        <v>-9.2490743736295608E-3</v>
      </c>
      <c r="L984" s="9">
        <f>(PricingDataTable[[#This Row],[Vendor Price ($)]]-PricingDataTable[[#This Row],[Current Price ($)]])/PricingDataTable[[#This Row],[Current Price ($)]]</f>
        <v>3.5629152047951351E-3</v>
      </c>
      <c r="M984" t="str">
        <f t="shared" si="30"/>
        <v>PASS</v>
      </c>
      <c r="N984" s="10" t="str">
        <f t="shared" si="31"/>
        <v>NONE</v>
      </c>
    </row>
    <row r="985" spans="1:14">
      <c r="A985" s="4" t="s">
        <v>1986</v>
      </c>
      <c r="B985" s="4" t="s">
        <v>1987</v>
      </c>
      <c r="C985" s="4" t="s">
        <v>35</v>
      </c>
      <c r="D985" s="4" t="s">
        <v>13</v>
      </c>
      <c r="E985" s="5">
        <v>94.4833</v>
      </c>
      <c r="F985" s="5">
        <v>93.709800000000001</v>
      </c>
      <c r="G985" s="5">
        <v>93.6113</v>
      </c>
      <c r="H985" s="4">
        <v>1</v>
      </c>
      <c r="I985" s="6">
        <v>4104539</v>
      </c>
      <c r="J985" s="7">
        <v>105.41</v>
      </c>
      <c r="K985" s="9">
        <f>(PricingDataTable[[#This Row],[Current Price ($)]]-PricingDataTable[[#This Row],[Prior Price ($)]])/PricingDataTable[[#This Row],[Prior Price ($)]]</f>
        <v>-8.1866319233134168E-3</v>
      </c>
      <c r="L985" s="9">
        <f>(PricingDataTable[[#This Row],[Vendor Price ($)]]-PricingDataTable[[#This Row],[Current Price ($)]])/PricingDataTable[[#This Row],[Current Price ($)]]</f>
        <v>-1.0511173858017129E-3</v>
      </c>
      <c r="M985" t="str">
        <f t="shared" si="30"/>
        <v>PASS</v>
      </c>
      <c r="N985" s="10" t="str">
        <f t="shared" si="31"/>
        <v>NONE</v>
      </c>
    </row>
    <row r="986" spans="1:14">
      <c r="A986" s="4" t="s">
        <v>1988</v>
      </c>
      <c r="B986" s="4" t="s">
        <v>1989</v>
      </c>
      <c r="C986" s="4" t="s">
        <v>16</v>
      </c>
      <c r="D986" s="4" t="s">
        <v>13</v>
      </c>
      <c r="E986" s="5">
        <v>107.8446</v>
      </c>
      <c r="F986" s="5">
        <v>106.5177</v>
      </c>
      <c r="G986" s="5">
        <v>106.7792</v>
      </c>
      <c r="H986" s="4">
        <v>5</v>
      </c>
      <c r="I986" s="6">
        <v>1307116</v>
      </c>
      <c r="J986" s="7">
        <v>750.95</v>
      </c>
      <c r="K986" s="9">
        <f>(PricingDataTable[[#This Row],[Current Price ($)]]-PricingDataTable[[#This Row],[Prior Price ($)]])/PricingDataTable[[#This Row],[Prior Price ($)]]</f>
        <v>-1.2303814933710125E-2</v>
      </c>
      <c r="L986" s="9">
        <f>(PricingDataTable[[#This Row],[Vendor Price ($)]]-PricingDataTable[[#This Row],[Current Price ($)]])/PricingDataTable[[#This Row],[Current Price ($)]]</f>
        <v>2.4549910484360634E-3</v>
      </c>
      <c r="M986" t="str">
        <f t="shared" si="30"/>
        <v>STALE</v>
      </c>
      <c r="N986" s="10" t="str">
        <f t="shared" si="31"/>
        <v>MEDIUM</v>
      </c>
    </row>
    <row r="987" spans="1:14">
      <c r="A987" s="4" t="s">
        <v>1990</v>
      </c>
      <c r="B987" s="4" t="s">
        <v>1991</v>
      </c>
      <c r="C987" s="4" t="s">
        <v>35</v>
      </c>
      <c r="D987" s="4" t="s">
        <v>237</v>
      </c>
      <c r="E987" s="5">
        <v>144.38849999999999</v>
      </c>
      <c r="F987" s="5">
        <v>140.5352</v>
      </c>
      <c r="G987" s="5">
        <v>140.5635</v>
      </c>
      <c r="H987" s="4">
        <v>1</v>
      </c>
      <c r="I987" s="6">
        <v>811232</v>
      </c>
      <c r="J987" s="7">
        <v>856.41</v>
      </c>
      <c r="K987" s="9">
        <f>(PricingDataTable[[#This Row],[Current Price ($)]]-PricingDataTable[[#This Row],[Prior Price ($)]])/PricingDataTable[[#This Row],[Prior Price ($)]]</f>
        <v>-2.6687028399076038E-2</v>
      </c>
      <c r="L987" s="9">
        <f>(PricingDataTable[[#This Row],[Vendor Price ($)]]-PricingDataTable[[#This Row],[Current Price ($)]])/PricingDataTable[[#This Row],[Current Price ($)]]</f>
        <v>2.0137303679079366E-4</v>
      </c>
      <c r="M987" t="str">
        <f t="shared" si="30"/>
        <v>PASS</v>
      </c>
      <c r="N987" s="10" t="str">
        <f t="shared" si="31"/>
        <v>NONE</v>
      </c>
    </row>
    <row r="988" spans="1:14">
      <c r="A988" s="4" t="s">
        <v>1992</v>
      </c>
      <c r="B988" s="4" t="s">
        <v>1993</v>
      </c>
      <c r="C988" s="4" t="s">
        <v>19</v>
      </c>
      <c r="D988" s="4" t="s">
        <v>13</v>
      </c>
      <c r="E988" s="5">
        <v>78.823899999999995</v>
      </c>
      <c r="F988" s="5">
        <v>79.493700000000004</v>
      </c>
      <c r="G988" s="5">
        <v>79.1755</v>
      </c>
      <c r="H988" s="4">
        <v>0</v>
      </c>
      <c r="I988" s="6">
        <v>89654</v>
      </c>
      <c r="J988" s="7">
        <v>628.1</v>
      </c>
      <c r="K988" s="9">
        <f>(PricingDataTable[[#This Row],[Current Price ($)]]-PricingDataTable[[#This Row],[Prior Price ($)]])/PricingDataTable[[#This Row],[Prior Price ($)]]</f>
        <v>8.497422735997703E-3</v>
      </c>
      <c r="L988" s="9">
        <f>(PricingDataTable[[#This Row],[Vendor Price ($)]]-PricingDataTable[[#This Row],[Current Price ($)]])/PricingDataTable[[#This Row],[Current Price ($)]]</f>
        <v>-4.0028329288988246E-3</v>
      </c>
      <c r="M988" t="str">
        <f t="shared" si="30"/>
        <v>PASS</v>
      </c>
      <c r="N988" s="10" t="str">
        <f t="shared" si="31"/>
        <v>NONE</v>
      </c>
    </row>
    <row r="989" spans="1:14">
      <c r="A989" s="4" t="s">
        <v>1994</v>
      </c>
      <c r="B989" s="4" t="s">
        <v>1995</v>
      </c>
      <c r="C989" s="4" t="s">
        <v>16</v>
      </c>
      <c r="D989" s="4" t="s">
        <v>13</v>
      </c>
      <c r="E989" s="5">
        <v>96.426199999999994</v>
      </c>
      <c r="F989" s="5">
        <v>95.310100000000006</v>
      </c>
      <c r="G989" s="5">
        <v>95.135800000000003</v>
      </c>
      <c r="H989" s="4">
        <v>0</v>
      </c>
      <c r="I989" s="6">
        <v>261385</v>
      </c>
      <c r="J989" s="7">
        <v>230.35</v>
      </c>
      <c r="K989" s="9">
        <f>(PricingDataTable[[#This Row],[Current Price ($)]]-PricingDataTable[[#This Row],[Prior Price ($)]])/PricingDataTable[[#This Row],[Prior Price ($)]]</f>
        <v>-1.157465502114559E-2</v>
      </c>
      <c r="L989" s="9">
        <f>(PricingDataTable[[#This Row],[Vendor Price ($)]]-PricingDataTable[[#This Row],[Current Price ($)]])/PricingDataTable[[#This Row],[Current Price ($)]]</f>
        <v>-1.828767360437166E-3</v>
      </c>
      <c r="M989" t="str">
        <f t="shared" si="30"/>
        <v>PASS</v>
      </c>
      <c r="N989" s="10" t="str">
        <f t="shared" si="31"/>
        <v>NONE</v>
      </c>
    </row>
    <row r="990" spans="1:14">
      <c r="A990" s="4" t="s">
        <v>1996</v>
      </c>
      <c r="B990" s="4" t="s">
        <v>1997</v>
      </c>
      <c r="C990" s="4" t="s">
        <v>39</v>
      </c>
      <c r="D990" s="4" t="s">
        <v>32</v>
      </c>
      <c r="E990" s="5">
        <v>152.56399999999999</v>
      </c>
      <c r="F990" s="5">
        <v>149.3408</v>
      </c>
      <c r="G990" s="5">
        <v>148.86000000000001</v>
      </c>
      <c r="H990" s="4">
        <v>5</v>
      </c>
      <c r="I990" s="6">
        <v>729371</v>
      </c>
      <c r="J990" s="7">
        <v>427.49</v>
      </c>
      <c r="K990" s="9">
        <f>(PricingDataTable[[#This Row],[Current Price ($)]]-PricingDataTable[[#This Row],[Prior Price ($)]])/PricingDataTable[[#This Row],[Prior Price ($)]]</f>
        <v>-2.1126871345795807E-2</v>
      </c>
      <c r="L990" s="9">
        <f>(PricingDataTable[[#This Row],[Vendor Price ($)]]-PricingDataTable[[#This Row],[Current Price ($)]])/PricingDataTable[[#This Row],[Current Price ($)]]</f>
        <v>-3.2194818830486235E-3</v>
      </c>
      <c r="M990" t="str">
        <f t="shared" si="30"/>
        <v>STALE</v>
      </c>
      <c r="N990" s="10" t="str">
        <f t="shared" si="31"/>
        <v>MEDIUM</v>
      </c>
    </row>
    <row r="991" spans="1:14">
      <c r="A991" s="4" t="s">
        <v>1998</v>
      </c>
      <c r="B991" s="4" t="s">
        <v>1999</v>
      </c>
      <c r="C991" s="4" t="s">
        <v>19</v>
      </c>
      <c r="D991" s="4" t="s">
        <v>32</v>
      </c>
      <c r="E991" s="5">
        <v>252.7381</v>
      </c>
      <c r="F991" s="5">
        <v>255.68799999999999</v>
      </c>
      <c r="G991" s="5">
        <v>255.29179999999999</v>
      </c>
      <c r="H991" s="4">
        <v>5</v>
      </c>
      <c r="I991" s="6">
        <v>3785931</v>
      </c>
      <c r="J991" s="7">
        <v>195.06</v>
      </c>
      <c r="K991" s="9">
        <f>(PricingDataTable[[#This Row],[Current Price ($)]]-PricingDataTable[[#This Row],[Prior Price ($)]])/PricingDataTable[[#This Row],[Prior Price ($)]]</f>
        <v>1.1671766148435812E-2</v>
      </c>
      <c r="L991" s="9">
        <f>(PricingDataTable[[#This Row],[Vendor Price ($)]]-PricingDataTable[[#This Row],[Current Price ($)]])/PricingDataTable[[#This Row],[Current Price ($)]]</f>
        <v>-1.5495447576733881E-3</v>
      </c>
      <c r="M991" t="str">
        <f t="shared" si="30"/>
        <v>STALE</v>
      </c>
      <c r="N991" s="10" t="str">
        <f t="shared" si="31"/>
        <v>MEDIUM</v>
      </c>
    </row>
    <row r="992" spans="1:14">
      <c r="A992" s="4" t="s">
        <v>2000</v>
      </c>
      <c r="B992" s="4" t="s">
        <v>2001</v>
      </c>
      <c r="C992" s="4" t="s">
        <v>19</v>
      </c>
      <c r="D992" s="4" t="s">
        <v>13</v>
      </c>
      <c r="E992" s="5">
        <v>303.04910000000001</v>
      </c>
      <c r="F992" s="5">
        <v>304.68860000000001</v>
      </c>
      <c r="G992" s="5">
        <v>302.5883</v>
      </c>
      <c r="H992" s="4">
        <v>0</v>
      </c>
      <c r="I992" s="6">
        <v>4494466</v>
      </c>
      <c r="J992" s="7">
        <v>588.4</v>
      </c>
      <c r="K992" s="9">
        <f>(PricingDataTable[[#This Row],[Current Price ($)]]-PricingDataTable[[#This Row],[Prior Price ($)]])/PricingDataTable[[#This Row],[Prior Price ($)]]</f>
        <v>5.4100144168057196E-3</v>
      </c>
      <c r="L992" s="9">
        <f>(PricingDataTable[[#This Row],[Vendor Price ($)]]-PricingDataTable[[#This Row],[Current Price ($)]])/PricingDataTable[[#This Row],[Current Price ($)]]</f>
        <v>-6.8932674212294261E-3</v>
      </c>
      <c r="M992" t="str">
        <f t="shared" si="30"/>
        <v>PASS</v>
      </c>
      <c r="N992" s="10" t="str">
        <f t="shared" si="31"/>
        <v>NONE</v>
      </c>
    </row>
    <row r="993" spans="1:14">
      <c r="A993" s="4" t="s">
        <v>2002</v>
      </c>
      <c r="B993" s="4" t="s">
        <v>2003</v>
      </c>
      <c r="C993" s="4" t="s">
        <v>12</v>
      </c>
      <c r="D993" s="4" t="s">
        <v>13</v>
      </c>
      <c r="E993" s="5">
        <v>99.555000000000007</v>
      </c>
      <c r="F993" s="5">
        <v>100.3687</v>
      </c>
      <c r="G993" s="5">
        <v>100.22410000000001</v>
      </c>
      <c r="H993" s="4">
        <v>0</v>
      </c>
      <c r="I993" s="6">
        <v>645418</v>
      </c>
      <c r="J993" s="7">
        <v>179.37</v>
      </c>
      <c r="K993" s="9">
        <f>(PricingDataTable[[#This Row],[Current Price ($)]]-PricingDataTable[[#This Row],[Prior Price ($)]])/PricingDataTable[[#This Row],[Prior Price ($)]]</f>
        <v>8.1733715031891627E-3</v>
      </c>
      <c r="L993" s="9">
        <f>(PricingDataTable[[#This Row],[Vendor Price ($)]]-PricingDataTable[[#This Row],[Current Price ($)]])/PricingDataTable[[#This Row],[Current Price ($)]]</f>
        <v>-1.4406881826704635E-3</v>
      </c>
      <c r="M993" t="str">
        <f t="shared" si="30"/>
        <v>PASS</v>
      </c>
      <c r="N993" s="10" t="str">
        <f t="shared" si="31"/>
        <v>NONE</v>
      </c>
    </row>
    <row r="994" spans="1:14">
      <c r="A994" s="4" t="s">
        <v>2004</v>
      </c>
      <c r="B994" s="4" t="s">
        <v>2005</v>
      </c>
      <c r="C994" s="4" t="s">
        <v>19</v>
      </c>
      <c r="D994" s="4" t="s">
        <v>32</v>
      </c>
      <c r="E994" s="5">
        <v>283.92649999999998</v>
      </c>
      <c r="F994" s="5">
        <v>288.78390000000002</v>
      </c>
      <c r="G994" s="5">
        <v>287.94920000000002</v>
      </c>
      <c r="H994" s="4">
        <v>0</v>
      </c>
      <c r="I994" s="6">
        <v>1919747</v>
      </c>
      <c r="J994" s="7">
        <v>642.5</v>
      </c>
      <c r="K994" s="9">
        <f>(PricingDataTable[[#This Row],[Current Price ($)]]-PricingDataTable[[#This Row],[Prior Price ($)]])/PricingDataTable[[#This Row],[Prior Price ($)]]</f>
        <v>1.71079487120788E-2</v>
      </c>
      <c r="L994" s="9">
        <f>(PricingDataTable[[#This Row],[Vendor Price ($)]]-PricingDataTable[[#This Row],[Current Price ($)]])/PricingDataTable[[#This Row],[Current Price ($)]]</f>
        <v>-2.8903965906686554E-3</v>
      </c>
      <c r="M994" t="str">
        <f t="shared" si="30"/>
        <v>PASS</v>
      </c>
      <c r="N994" s="10" t="str">
        <f t="shared" si="31"/>
        <v>NONE</v>
      </c>
    </row>
    <row r="995" spans="1:14">
      <c r="A995" s="4" t="s">
        <v>2006</v>
      </c>
      <c r="B995" s="4" t="s">
        <v>2007</v>
      </c>
      <c r="C995" s="4" t="s">
        <v>19</v>
      </c>
      <c r="D995" s="4" t="s">
        <v>13</v>
      </c>
      <c r="E995" s="5">
        <v>261.20190000000002</v>
      </c>
      <c r="F995" s="5">
        <v>265.0095</v>
      </c>
      <c r="G995" s="5">
        <v>264.67320000000001</v>
      </c>
      <c r="H995" s="4">
        <v>1</v>
      </c>
      <c r="I995" s="6">
        <v>3090426</v>
      </c>
      <c r="J995" s="7">
        <v>571.41999999999996</v>
      </c>
      <c r="K995" s="9">
        <f>(PricingDataTable[[#This Row],[Current Price ($)]]-PricingDataTable[[#This Row],[Prior Price ($)]])/PricingDataTable[[#This Row],[Prior Price ($)]]</f>
        <v>1.4577229338683904E-2</v>
      </c>
      <c r="L995" s="9">
        <f>(PricingDataTable[[#This Row],[Vendor Price ($)]]-PricingDataTable[[#This Row],[Current Price ($)]])/PricingDataTable[[#This Row],[Current Price ($)]]</f>
        <v>-1.2690111109224171E-3</v>
      </c>
      <c r="M995" t="str">
        <f t="shared" si="30"/>
        <v>PASS</v>
      </c>
      <c r="N995" s="10" t="str">
        <f t="shared" si="31"/>
        <v>NONE</v>
      </c>
    </row>
    <row r="996" spans="1:14">
      <c r="A996" s="4" t="s">
        <v>2008</v>
      </c>
      <c r="B996" s="4" t="s">
        <v>2009</v>
      </c>
      <c r="C996" s="4" t="s">
        <v>16</v>
      </c>
      <c r="D996" s="4" t="s">
        <v>13</v>
      </c>
      <c r="E996" s="5">
        <v>102.86409999999999</v>
      </c>
      <c r="F996" s="5">
        <v>102.4639</v>
      </c>
      <c r="G996" s="5">
        <v>102.51690000000001</v>
      </c>
      <c r="H996" s="4">
        <v>0</v>
      </c>
      <c r="I996" s="6">
        <v>1154662</v>
      </c>
      <c r="J996" s="7">
        <v>109.09</v>
      </c>
      <c r="K996" s="9">
        <f>(PricingDataTable[[#This Row],[Current Price ($)]]-PricingDataTable[[#This Row],[Prior Price ($)]])/PricingDataTable[[#This Row],[Prior Price ($)]]</f>
        <v>-3.8905701794892302E-3</v>
      </c>
      <c r="L996" s="9">
        <f>(PricingDataTable[[#This Row],[Vendor Price ($)]]-PricingDataTable[[#This Row],[Current Price ($)]])/PricingDataTable[[#This Row],[Current Price ($)]]</f>
        <v>5.1725534554132222E-4</v>
      </c>
      <c r="M996" t="str">
        <f t="shared" si="30"/>
        <v>PASS</v>
      </c>
      <c r="N996" s="10" t="str">
        <f t="shared" si="31"/>
        <v>NONE</v>
      </c>
    </row>
    <row r="997" spans="1:14">
      <c r="A997" s="4" t="s">
        <v>2010</v>
      </c>
      <c r="B997" s="4" t="s">
        <v>2011</v>
      </c>
      <c r="C997" s="4" t="s">
        <v>12</v>
      </c>
      <c r="D997" s="4" t="s">
        <v>13</v>
      </c>
      <c r="E997" s="5">
        <v>97.305099999999996</v>
      </c>
      <c r="F997" s="5">
        <v>98.433700000000002</v>
      </c>
      <c r="G997" s="5">
        <v>98.427400000000006</v>
      </c>
      <c r="H997" s="4">
        <v>1</v>
      </c>
      <c r="I997" s="6">
        <v>4695823</v>
      </c>
      <c r="J997" s="7">
        <v>35.97</v>
      </c>
      <c r="K997" s="9">
        <f>(PricingDataTable[[#This Row],[Current Price ($)]]-PricingDataTable[[#This Row],[Prior Price ($)]])/PricingDataTable[[#This Row],[Prior Price ($)]]</f>
        <v>1.1598569859133857E-2</v>
      </c>
      <c r="L997" s="9">
        <f>(PricingDataTable[[#This Row],[Vendor Price ($)]]-PricingDataTable[[#This Row],[Current Price ($)]])/PricingDataTable[[#This Row],[Current Price ($)]]</f>
        <v>-6.4002470698510525E-5</v>
      </c>
      <c r="M997" t="str">
        <f t="shared" si="30"/>
        <v>PASS</v>
      </c>
      <c r="N997" s="10" t="str">
        <f t="shared" si="31"/>
        <v>NONE</v>
      </c>
    </row>
    <row r="998" spans="1:14">
      <c r="A998" s="4" t="s">
        <v>2012</v>
      </c>
      <c r="B998" s="4" t="s">
        <v>2013</v>
      </c>
      <c r="C998" s="4" t="s">
        <v>19</v>
      </c>
      <c r="D998" s="4" t="s">
        <v>32</v>
      </c>
      <c r="E998" s="5">
        <v>141.62270000000001</v>
      </c>
      <c r="F998" s="5">
        <v>161.39490000000001</v>
      </c>
      <c r="G998" s="5">
        <v>152.87790000000001</v>
      </c>
      <c r="H998" s="4">
        <v>0</v>
      </c>
      <c r="I998" s="6">
        <v>3983571</v>
      </c>
      <c r="J998" s="7">
        <v>430.55</v>
      </c>
      <c r="K998" s="9">
        <f>(PricingDataTable[[#This Row],[Current Price ($)]]-PricingDataTable[[#This Row],[Prior Price ($)]])/PricingDataTable[[#This Row],[Prior Price ($)]]</f>
        <v>0.13961179952083949</v>
      </c>
      <c r="L998" s="9">
        <f>(PricingDataTable[[#This Row],[Vendor Price ($)]]-PricingDataTable[[#This Row],[Current Price ($)]])/PricingDataTable[[#This Row],[Current Price ($)]]</f>
        <v>-5.2771184219575683E-2</v>
      </c>
      <c r="M998" t="str">
        <f t="shared" si="30"/>
        <v>LARGE MOVE</v>
      </c>
      <c r="N998" s="10" t="str">
        <f t="shared" si="31"/>
        <v>HIGH</v>
      </c>
    </row>
    <row r="999" spans="1:14">
      <c r="A999" s="4" t="s">
        <v>2014</v>
      </c>
      <c r="B999" s="4" t="s">
        <v>2015</v>
      </c>
      <c r="C999" s="4" t="s">
        <v>19</v>
      </c>
      <c r="D999" s="4" t="s">
        <v>13</v>
      </c>
      <c r="E999" s="5">
        <v>222.4442</v>
      </c>
      <c r="F999" s="5">
        <v>223.09030000000001</v>
      </c>
      <c r="G999" s="5">
        <v>222.8912</v>
      </c>
      <c r="H999" s="4">
        <v>0</v>
      </c>
      <c r="I999" s="6">
        <v>609929</v>
      </c>
      <c r="J999" s="7">
        <v>509.63</v>
      </c>
      <c r="K999" s="9">
        <f>(PricingDataTable[[#This Row],[Current Price ($)]]-PricingDataTable[[#This Row],[Prior Price ($)]])/PricingDataTable[[#This Row],[Prior Price ($)]]</f>
        <v>2.9045486463572362E-3</v>
      </c>
      <c r="L999" s="9">
        <f>(PricingDataTable[[#This Row],[Vendor Price ($)]]-PricingDataTable[[#This Row],[Current Price ($)]])/PricingDataTable[[#This Row],[Current Price ($)]]</f>
        <v>-8.9246372433053156E-4</v>
      </c>
      <c r="M999" t="str">
        <f t="shared" si="30"/>
        <v>PASS</v>
      </c>
      <c r="N999" s="10" t="str">
        <f t="shared" si="31"/>
        <v>NONE</v>
      </c>
    </row>
    <row r="1000" spans="1:14">
      <c r="A1000" s="4" t="s">
        <v>2016</v>
      </c>
      <c r="B1000" s="4" t="s">
        <v>2017</v>
      </c>
      <c r="C1000" s="4" t="s">
        <v>39</v>
      </c>
      <c r="D1000" s="4" t="s">
        <v>13</v>
      </c>
      <c r="E1000" s="5">
        <v>85.066999999999993</v>
      </c>
      <c r="F1000" s="5">
        <v>85.039000000000001</v>
      </c>
      <c r="G1000" s="5">
        <v>85.128200000000007</v>
      </c>
      <c r="H1000" s="4">
        <v>1</v>
      </c>
      <c r="I1000" s="6">
        <v>3135673</v>
      </c>
      <c r="J1000" s="7">
        <v>351.82</v>
      </c>
      <c r="K1000" s="9">
        <f>(PricingDataTable[[#This Row],[Current Price ($)]]-PricingDataTable[[#This Row],[Prior Price ($)]])/PricingDataTable[[#This Row],[Prior Price ($)]]</f>
        <v>-3.2915231523377559E-4</v>
      </c>
      <c r="L1000" s="9">
        <f>(PricingDataTable[[#This Row],[Vendor Price ($)]]-PricingDataTable[[#This Row],[Current Price ($)]])/PricingDataTable[[#This Row],[Current Price ($)]]</f>
        <v>1.0489304907160865E-3</v>
      </c>
      <c r="M1000" t="str">
        <f t="shared" si="30"/>
        <v>PASS</v>
      </c>
      <c r="N1000" s="10" t="str">
        <f t="shared" si="31"/>
        <v>NONE</v>
      </c>
    </row>
    <row r="1001" spans="1:14">
      <c r="A1001" s="4" t="s">
        <v>2018</v>
      </c>
      <c r="B1001" s="4" t="s">
        <v>2019</v>
      </c>
      <c r="C1001" s="4" t="s">
        <v>39</v>
      </c>
      <c r="D1001" s="4" t="s">
        <v>13</v>
      </c>
      <c r="E1001" s="5">
        <v>218.2944</v>
      </c>
      <c r="F1001" s="5">
        <v>219.67519999999999</v>
      </c>
      <c r="G1001" s="5">
        <v>218.33850000000001</v>
      </c>
      <c r="H1001" s="4">
        <v>0</v>
      </c>
      <c r="I1001" s="6">
        <v>630610</v>
      </c>
      <c r="J1001" s="7">
        <v>389.58</v>
      </c>
      <c r="K1001" s="9">
        <f>(PricingDataTable[[#This Row],[Current Price ($)]]-PricingDataTable[[#This Row],[Prior Price ($)]])/PricingDataTable[[#This Row],[Prior Price ($)]]</f>
        <v>6.3254027588430742E-3</v>
      </c>
      <c r="L1001" s="9">
        <f>(PricingDataTable[[#This Row],[Vendor Price ($)]]-PricingDataTable[[#This Row],[Current Price ($)]])/PricingDataTable[[#This Row],[Current Price ($)]]</f>
        <v>-6.0848926050823182E-3</v>
      </c>
      <c r="M1001" t="str">
        <f t="shared" si="30"/>
        <v>PASS</v>
      </c>
      <c r="N1001" s="10" t="str">
        <f t="shared" si="31"/>
        <v>NONE</v>
      </c>
    </row>
    <row r="1002" spans="1:14">
      <c r="A1002" s="4" t="s">
        <v>2020</v>
      </c>
      <c r="B1002" s="4" t="s">
        <v>2021</v>
      </c>
      <c r="C1002" s="4" t="s">
        <v>19</v>
      </c>
      <c r="D1002" s="4" t="s">
        <v>13</v>
      </c>
      <c r="E1002" s="5">
        <v>312.94450000000001</v>
      </c>
      <c r="F1002" s="5">
        <v>316.22579999999999</v>
      </c>
      <c r="G1002" s="5">
        <v>317.3023</v>
      </c>
      <c r="H1002" s="4">
        <v>0</v>
      </c>
      <c r="I1002" s="6">
        <v>2546916</v>
      </c>
      <c r="J1002" s="7">
        <v>752.72</v>
      </c>
      <c r="K1002" s="9">
        <f>(PricingDataTable[[#This Row],[Current Price ($)]]-PricingDataTable[[#This Row],[Prior Price ($)]])/PricingDataTable[[#This Row],[Prior Price ($)]]</f>
        <v>1.0485245786393394E-2</v>
      </c>
      <c r="L1002" s="9">
        <f>(PricingDataTable[[#This Row],[Vendor Price ($)]]-PricingDataTable[[#This Row],[Current Price ($)]])/PricingDataTable[[#This Row],[Current Price ($)]]</f>
        <v>3.4042130654741327E-3</v>
      </c>
      <c r="M1002" t="str">
        <f t="shared" si="30"/>
        <v>PASS</v>
      </c>
      <c r="N1002" s="10" t="str">
        <f t="shared" si="31"/>
        <v>NONE</v>
      </c>
    </row>
    <row r="1003" spans="1:14">
      <c r="A1003" s="4" t="s">
        <v>2022</v>
      </c>
      <c r="B1003" s="4" t="s">
        <v>2023</v>
      </c>
      <c r="C1003" s="4" t="s">
        <v>35</v>
      </c>
      <c r="D1003" s="4" t="s">
        <v>64</v>
      </c>
      <c r="E1003" s="5">
        <v>85.644300000000001</v>
      </c>
      <c r="F1003" s="5">
        <v>83.919600000000003</v>
      </c>
      <c r="G1003" s="5">
        <v>83.952100000000002</v>
      </c>
      <c r="H1003" s="4">
        <v>0</v>
      </c>
      <c r="I1003" s="6">
        <v>4815961</v>
      </c>
      <c r="J1003" s="7">
        <v>123.71</v>
      </c>
      <c r="K1003" s="9">
        <f>(PricingDataTable[[#This Row],[Current Price ($)]]-PricingDataTable[[#This Row],[Prior Price ($)]])/PricingDataTable[[#This Row],[Prior Price ($)]]</f>
        <v>-2.0137942630157505E-2</v>
      </c>
      <c r="L1003" s="9">
        <f>(PricingDataTable[[#This Row],[Vendor Price ($)]]-PricingDataTable[[#This Row],[Current Price ($)]])/PricingDataTable[[#This Row],[Current Price ($)]]</f>
        <v>3.8727543982572442E-4</v>
      </c>
      <c r="M1003" t="str">
        <f t="shared" si="30"/>
        <v>PASS</v>
      </c>
      <c r="N1003" s="10" t="str">
        <f t="shared" si="31"/>
        <v>NONE</v>
      </c>
    </row>
    <row r="1004" spans="1:14">
      <c r="A1004" s="4" t="s">
        <v>2024</v>
      </c>
      <c r="B1004" s="4" t="s">
        <v>2025</v>
      </c>
      <c r="C1004" s="4" t="s">
        <v>12</v>
      </c>
      <c r="D1004" s="4" t="s">
        <v>237</v>
      </c>
      <c r="E1004" s="5">
        <v>101.637</v>
      </c>
      <c r="F1004" s="5">
        <v>101.3096</v>
      </c>
      <c r="G1004" s="5">
        <v>101.2364</v>
      </c>
      <c r="H1004" s="4">
        <v>2</v>
      </c>
      <c r="I1004" s="6">
        <v>2720287</v>
      </c>
      <c r="J1004" s="7">
        <v>816.51</v>
      </c>
      <c r="K1004" s="9">
        <f>(PricingDataTable[[#This Row],[Current Price ($)]]-PricingDataTable[[#This Row],[Prior Price ($)]])/PricingDataTable[[#This Row],[Prior Price ($)]]</f>
        <v>-3.2212678453712451E-3</v>
      </c>
      <c r="L1004" s="9">
        <f>(PricingDataTable[[#This Row],[Vendor Price ($)]]-PricingDataTable[[#This Row],[Current Price ($)]])/PricingDataTable[[#This Row],[Current Price ($)]]</f>
        <v>-7.2253764697521189E-4</v>
      </c>
      <c r="M1004" t="str">
        <f t="shared" si="30"/>
        <v>PASS</v>
      </c>
      <c r="N1004" s="10" t="str">
        <f t="shared" si="31"/>
        <v>NONE</v>
      </c>
    </row>
    <row r="1005" spans="1:14">
      <c r="A1005" s="4" t="s">
        <v>2026</v>
      </c>
      <c r="B1005" s="4" t="s">
        <v>2027</v>
      </c>
      <c r="C1005" s="4" t="s">
        <v>19</v>
      </c>
      <c r="D1005" s="4" t="s">
        <v>13</v>
      </c>
      <c r="E1005" s="5">
        <v>290.40140000000002</v>
      </c>
      <c r="F1005" s="5">
        <v>286.8349</v>
      </c>
      <c r="G1005" s="5">
        <v>286.73669999999998</v>
      </c>
      <c r="H1005" s="4">
        <v>0</v>
      </c>
      <c r="I1005" s="6">
        <v>1169345</v>
      </c>
      <c r="J1005" s="7">
        <v>722.06</v>
      </c>
      <c r="K1005" s="9">
        <f>(PricingDataTable[[#This Row],[Current Price ($)]]-PricingDataTable[[#This Row],[Prior Price ($)]])/PricingDataTable[[#This Row],[Prior Price ($)]]</f>
        <v>-1.2281276880896645E-2</v>
      </c>
      <c r="L1005" s="9">
        <f>(PricingDataTable[[#This Row],[Vendor Price ($)]]-PricingDataTable[[#This Row],[Current Price ($)]])/PricingDataTable[[#This Row],[Current Price ($)]]</f>
        <v>-3.4235722361546599E-4</v>
      </c>
      <c r="M1005" t="str">
        <f t="shared" si="30"/>
        <v>PASS</v>
      </c>
      <c r="N1005" s="10" t="str">
        <f t="shared" si="31"/>
        <v>NONE</v>
      </c>
    </row>
    <row r="1006" spans="1:14">
      <c r="A1006" s="4" t="s">
        <v>2028</v>
      </c>
      <c r="B1006" s="4" t="s">
        <v>2029</v>
      </c>
      <c r="C1006" s="4" t="s">
        <v>19</v>
      </c>
      <c r="D1006" s="4" t="s">
        <v>13</v>
      </c>
      <c r="E1006" s="5">
        <v>251.71639999999999</v>
      </c>
      <c r="F1006" s="5">
        <v>249.7852</v>
      </c>
      <c r="G1006" s="5">
        <v>249.6198</v>
      </c>
      <c r="H1006" s="4">
        <v>0</v>
      </c>
      <c r="I1006" s="6">
        <v>2073213</v>
      </c>
      <c r="J1006" s="7">
        <v>185.32</v>
      </c>
      <c r="K1006" s="9">
        <f>(PricingDataTable[[#This Row],[Current Price ($)]]-PricingDataTable[[#This Row],[Prior Price ($)]])/PricingDataTable[[#This Row],[Prior Price ($)]]</f>
        <v>-7.6721262500178368E-3</v>
      </c>
      <c r="L1006" s="9">
        <f>(PricingDataTable[[#This Row],[Vendor Price ($)]]-PricingDataTable[[#This Row],[Current Price ($)]])/PricingDataTable[[#This Row],[Current Price ($)]]</f>
        <v>-6.621689355494454E-4</v>
      </c>
      <c r="M1006" t="str">
        <f t="shared" si="30"/>
        <v>PASS</v>
      </c>
      <c r="N1006" s="10" t="str">
        <f t="shared" si="31"/>
        <v>NONE</v>
      </c>
    </row>
    <row r="1007" spans="1:14">
      <c r="A1007" s="4" t="s">
        <v>2030</v>
      </c>
      <c r="B1007" s="4" t="s">
        <v>2031</v>
      </c>
      <c r="C1007" s="4" t="s">
        <v>19</v>
      </c>
      <c r="D1007" s="4" t="s">
        <v>13</v>
      </c>
      <c r="E1007" s="5">
        <v>177.9588</v>
      </c>
      <c r="F1007" s="5">
        <v>178.02629999999999</v>
      </c>
      <c r="G1007" s="5">
        <v>178.64070000000001</v>
      </c>
      <c r="H1007" s="4">
        <v>0</v>
      </c>
      <c r="I1007" s="6">
        <v>2119422</v>
      </c>
      <c r="J1007" s="7">
        <v>112.16</v>
      </c>
      <c r="K1007" s="9">
        <f>(PricingDataTable[[#This Row],[Current Price ($)]]-PricingDataTable[[#This Row],[Prior Price ($)]])/PricingDataTable[[#This Row],[Prior Price ($)]]</f>
        <v>3.7930127647520354E-4</v>
      </c>
      <c r="L1007" s="9">
        <f>(PricingDataTable[[#This Row],[Vendor Price ($)]]-PricingDataTable[[#This Row],[Current Price ($)]])/PricingDataTable[[#This Row],[Current Price ($)]]</f>
        <v>3.4511754723881675E-3</v>
      </c>
      <c r="M1007" t="str">
        <f t="shared" si="30"/>
        <v>PASS</v>
      </c>
      <c r="N1007" s="10" t="str">
        <f t="shared" si="31"/>
        <v>NONE</v>
      </c>
    </row>
    <row r="1008" spans="1:14">
      <c r="A1008" s="4" t="s">
        <v>2032</v>
      </c>
      <c r="B1008" s="4" t="s">
        <v>2033</v>
      </c>
      <c r="C1008" s="4" t="s">
        <v>35</v>
      </c>
      <c r="D1008" s="4" t="s">
        <v>13</v>
      </c>
      <c r="E1008" s="5">
        <v>35.629199999999997</v>
      </c>
      <c r="F1008" s="5">
        <v>36.526699999999998</v>
      </c>
      <c r="G1008" s="5">
        <v>36.425600000000003</v>
      </c>
      <c r="H1008" s="4">
        <v>0</v>
      </c>
      <c r="I1008" s="6">
        <v>1671926</v>
      </c>
      <c r="J1008" s="7">
        <v>239.28</v>
      </c>
      <c r="K1008" s="9">
        <f>(PricingDataTable[[#This Row],[Current Price ($)]]-PricingDataTable[[#This Row],[Prior Price ($)]])/PricingDataTable[[#This Row],[Prior Price ($)]]</f>
        <v>2.5190012686223687E-2</v>
      </c>
      <c r="L1008" s="9">
        <f>(PricingDataTable[[#This Row],[Vendor Price ($)]]-PricingDataTable[[#This Row],[Current Price ($)]])/PricingDataTable[[#This Row],[Current Price ($)]]</f>
        <v>-2.7678383210088869E-3</v>
      </c>
      <c r="M1008" t="str">
        <f t="shared" si="30"/>
        <v>PASS</v>
      </c>
      <c r="N1008" s="10" t="str">
        <f t="shared" si="31"/>
        <v>NONE</v>
      </c>
    </row>
    <row r="1009" spans="1:14">
      <c r="A1009" s="4" t="s">
        <v>2034</v>
      </c>
      <c r="B1009" s="4" t="s">
        <v>2035</v>
      </c>
      <c r="C1009" s="4" t="s">
        <v>12</v>
      </c>
      <c r="D1009" s="4" t="s">
        <v>13</v>
      </c>
      <c r="E1009" s="5">
        <v>94.344200000000001</v>
      </c>
      <c r="F1009" s="5">
        <v>94.867599999999996</v>
      </c>
      <c r="G1009" s="5">
        <v>94.990300000000005</v>
      </c>
      <c r="H1009" s="4">
        <v>0</v>
      </c>
      <c r="I1009" s="6">
        <v>4602073</v>
      </c>
      <c r="J1009" s="7">
        <v>481.79</v>
      </c>
      <c r="K1009" s="9">
        <f>(PricingDataTable[[#This Row],[Current Price ($)]]-PricingDataTable[[#This Row],[Prior Price ($)]])/PricingDataTable[[#This Row],[Prior Price ($)]]</f>
        <v>5.5477708221596577E-3</v>
      </c>
      <c r="L1009" s="9">
        <f>(PricingDataTable[[#This Row],[Vendor Price ($)]]-PricingDataTable[[#This Row],[Current Price ($)]])/PricingDataTable[[#This Row],[Current Price ($)]]</f>
        <v>1.2933815127610367E-3</v>
      </c>
      <c r="M1009" t="str">
        <f t="shared" si="30"/>
        <v>PASS</v>
      </c>
      <c r="N1009" s="10" t="str">
        <f t="shared" si="31"/>
        <v>NONE</v>
      </c>
    </row>
    <row r="1010" spans="1:14">
      <c r="A1010" s="4" t="s">
        <v>2036</v>
      </c>
      <c r="B1010" s="4" t="s">
        <v>2037</v>
      </c>
      <c r="C1010" s="4" t="s">
        <v>35</v>
      </c>
      <c r="D1010" s="4" t="s">
        <v>13</v>
      </c>
      <c r="E1010" s="5">
        <v>38.4709</v>
      </c>
      <c r="F1010" s="5">
        <v>47.246099999999998</v>
      </c>
      <c r="G1010" s="5">
        <v>47.130400000000002</v>
      </c>
      <c r="H1010" s="4">
        <v>0</v>
      </c>
      <c r="I1010" s="6">
        <v>4787683</v>
      </c>
      <c r="J1010" s="7">
        <v>676.6</v>
      </c>
      <c r="K1010" s="9">
        <f>(PricingDataTable[[#This Row],[Current Price ($)]]-PricingDataTable[[#This Row],[Prior Price ($)]])/PricingDataTable[[#This Row],[Prior Price ($)]]</f>
        <v>0.22809968053775706</v>
      </c>
      <c r="L1010" s="9">
        <f>(PricingDataTable[[#This Row],[Vendor Price ($)]]-PricingDataTable[[#This Row],[Current Price ($)]])/PricingDataTable[[#This Row],[Current Price ($)]]</f>
        <v>-2.4488793784036528E-3</v>
      </c>
      <c r="M1010" t="str">
        <f t="shared" si="30"/>
        <v>LARGE MOVE</v>
      </c>
      <c r="N1010" s="10" t="str">
        <f t="shared" si="31"/>
        <v>HIGH</v>
      </c>
    </row>
    <row r="1011" spans="1:14">
      <c r="A1011" s="4" t="s">
        <v>2038</v>
      </c>
      <c r="B1011" s="4" t="s">
        <v>2039</v>
      </c>
      <c r="C1011" s="4" t="s">
        <v>39</v>
      </c>
      <c r="D1011" s="4" t="s">
        <v>13</v>
      </c>
      <c r="E1011" s="5">
        <v>197.3689</v>
      </c>
      <c r="F1011" s="5">
        <v>196.68960000000001</v>
      </c>
      <c r="G1011" s="5">
        <v>197.0694</v>
      </c>
      <c r="H1011" s="4">
        <v>0</v>
      </c>
      <c r="I1011" s="6">
        <v>765854</v>
      </c>
      <c r="J1011" s="7">
        <v>514.20000000000005</v>
      </c>
      <c r="K1011" s="9">
        <f>(PricingDataTable[[#This Row],[Current Price ($)]]-PricingDataTable[[#This Row],[Prior Price ($)]])/PricingDataTable[[#This Row],[Prior Price ($)]]</f>
        <v>-3.4417783146178734E-3</v>
      </c>
      <c r="L1011" s="9">
        <f>(PricingDataTable[[#This Row],[Vendor Price ($)]]-PricingDataTable[[#This Row],[Current Price ($)]])/PricingDataTable[[#This Row],[Current Price ($)]]</f>
        <v>1.9309612709568214E-3</v>
      </c>
      <c r="M1011" t="str">
        <f t="shared" si="30"/>
        <v>PASS</v>
      </c>
      <c r="N1011" s="10" t="str">
        <f t="shared" si="31"/>
        <v>NONE</v>
      </c>
    </row>
    <row r="1012" spans="1:14">
      <c r="A1012" s="4" t="s">
        <v>2040</v>
      </c>
      <c r="B1012" s="4" t="s">
        <v>2041</v>
      </c>
      <c r="C1012" s="4" t="s">
        <v>39</v>
      </c>
      <c r="D1012" s="4" t="s">
        <v>13</v>
      </c>
      <c r="E1012" s="5">
        <v>92.197999999999993</v>
      </c>
      <c r="F1012" s="5">
        <v>91.512699999999995</v>
      </c>
      <c r="G1012" s="5"/>
      <c r="H1012" s="4">
        <v>3</v>
      </c>
      <c r="I1012" s="6">
        <v>2588837</v>
      </c>
      <c r="J1012" s="7">
        <v>391.79</v>
      </c>
      <c r="K1012" s="9">
        <f>(PricingDataTable[[#This Row],[Current Price ($)]]-PricingDataTable[[#This Row],[Prior Price ($)]])/PricingDataTable[[#This Row],[Prior Price ($)]]</f>
        <v>-7.4329161153170141E-3</v>
      </c>
      <c r="L1012" s="9">
        <f>(PricingDataTable[[#This Row],[Vendor Price ($)]]-PricingDataTable[[#This Row],[Current Price ($)]])/PricingDataTable[[#This Row],[Current Price ($)]]</f>
        <v>-1</v>
      </c>
      <c r="M1012" t="str">
        <f t="shared" si="30"/>
        <v>STALE</v>
      </c>
      <c r="N1012" s="10" t="str">
        <f t="shared" si="31"/>
        <v>HIGH</v>
      </c>
    </row>
    <row r="1013" spans="1:14">
      <c r="A1013" s="4" t="s">
        <v>2042</v>
      </c>
      <c r="B1013" s="4" t="s">
        <v>2043</v>
      </c>
      <c r="C1013" s="4" t="s">
        <v>16</v>
      </c>
      <c r="D1013" s="4" t="s">
        <v>13</v>
      </c>
      <c r="E1013" s="5">
        <v>117.36409999999999</v>
      </c>
      <c r="F1013" s="5">
        <v>116.083</v>
      </c>
      <c r="G1013" s="5">
        <v>116.2882</v>
      </c>
      <c r="H1013" s="4">
        <v>2</v>
      </c>
      <c r="I1013" s="6">
        <v>2280380</v>
      </c>
      <c r="J1013" s="7">
        <v>184.77</v>
      </c>
      <c r="K1013" s="9">
        <f>(PricingDataTable[[#This Row],[Current Price ($)]]-PricingDataTable[[#This Row],[Prior Price ($)]])/PricingDataTable[[#This Row],[Prior Price ($)]]</f>
        <v>-1.0915603664152795E-2</v>
      </c>
      <c r="L1013" s="9">
        <f>(PricingDataTable[[#This Row],[Vendor Price ($)]]-PricingDataTable[[#This Row],[Current Price ($)]])/PricingDataTable[[#This Row],[Current Price ($)]]</f>
        <v>1.7677006969151808E-3</v>
      </c>
      <c r="M1013" t="str">
        <f t="shared" si="30"/>
        <v>PASS</v>
      </c>
      <c r="N1013" s="10" t="str">
        <f t="shared" si="31"/>
        <v>NONE</v>
      </c>
    </row>
    <row r="1014" spans="1:14">
      <c r="A1014" s="4" t="s">
        <v>2044</v>
      </c>
      <c r="B1014" s="4" t="s">
        <v>2045</v>
      </c>
      <c r="C1014" s="4" t="s">
        <v>16</v>
      </c>
      <c r="D1014" s="4" t="s">
        <v>64</v>
      </c>
      <c r="E1014" s="5">
        <v>92.114400000000003</v>
      </c>
      <c r="F1014" s="5">
        <v>93.418999999999997</v>
      </c>
      <c r="G1014" s="5">
        <v>93.462299999999999</v>
      </c>
      <c r="H1014" s="4">
        <v>0</v>
      </c>
      <c r="I1014" s="6">
        <v>3169077</v>
      </c>
      <c r="J1014" s="7">
        <v>151.71</v>
      </c>
      <c r="K1014" s="9">
        <f>(PricingDataTable[[#This Row],[Current Price ($)]]-PricingDataTable[[#This Row],[Prior Price ($)]])/PricingDataTable[[#This Row],[Prior Price ($)]]</f>
        <v>1.4162823619325464E-2</v>
      </c>
      <c r="L1014" s="9">
        <f>(PricingDataTable[[#This Row],[Vendor Price ($)]]-PricingDataTable[[#This Row],[Current Price ($)]])/PricingDataTable[[#This Row],[Current Price ($)]]</f>
        <v>4.6350314175919372E-4</v>
      </c>
      <c r="M1014" t="str">
        <f t="shared" si="30"/>
        <v>PASS</v>
      </c>
      <c r="N1014" s="10" t="str">
        <f t="shared" si="31"/>
        <v>NONE</v>
      </c>
    </row>
    <row r="1015" spans="1:14">
      <c r="A1015" s="4" t="s">
        <v>2046</v>
      </c>
      <c r="B1015" s="4" t="s">
        <v>2047</v>
      </c>
      <c r="C1015" s="4" t="s">
        <v>19</v>
      </c>
      <c r="D1015" s="4" t="s">
        <v>13</v>
      </c>
      <c r="E1015" s="5">
        <v>101.7565</v>
      </c>
      <c r="F1015" s="5">
        <v>101.1857</v>
      </c>
      <c r="G1015" s="5">
        <v>100.5522</v>
      </c>
      <c r="H1015" s="4">
        <v>4</v>
      </c>
      <c r="I1015" s="6">
        <v>543700</v>
      </c>
      <c r="J1015" s="7">
        <v>407.13</v>
      </c>
      <c r="K1015" s="9">
        <f>(PricingDataTable[[#This Row],[Current Price ($)]]-PricingDataTable[[#This Row],[Prior Price ($)]])/PricingDataTable[[#This Row],[Prior Price ($)]]</f>
        <v>-5.6094696653285593E-3</v>
      </c>
      <c r="L1015" s="9">
        <f>(PricingDataTable[[#This Row],[Vendor Price ($)]]-PricingDataTable[[#This Row],[Current Price ($)]])/PricingDataTable[[#This Row],[Current Price ($)]]</f>
        <v>-6.260766096395024E-3</v>
      </c>
      <c r="M1015" t="str">
        <f t="shared" si="30"/>
        <v>STALE</v>
      </c>
      <c r="N1015" s="10" t="str">
        <f t="shared" si="31"/>
        <v>LOW</v>
      </c>
    </row>
    <row r="1016" spans="1:14">
      <c r="A1016" s="4" t="s">
        <v>2048</v>
      </c>
      <c r="B1016" s="4" t="s">
        <v>2049</v>
      </c>
      <c r="C1016" s="4" t="s">
        <v>12</v>
      </c>
      <c r="D1016" s="4" t="s">
        <v>13</v>
      </c>
      <c r="E1016" s="5">
        <v>76.024699999999996</v>
      </c>
      <c r="F1016" s="5">
        <v>75.112499999999997</v>
      </c>
      <c r="G1016" s="5">
        <v>75.207899999999995</v>
      </c>
      <c r="H1016" s="4">
        <v>0</v>
      </c>
      <c r="I1016" s="6">
        <v>2180856</v>
      </c>
      <c r="J1016" s="7">
        <v>430.78</v>
      </c>
      <c r="K1016" s="9">
        <f>(PricingDataTable[[#This Row],[Current Price ($)]]-PricingDataTable[[#This Row],[Prior Price ($)]])/PricingDataTable[[#This Row],[Prior Price ($)]]</f>
        <v>-1.199873199105026E-2</v>
      </c>
      <c r="L1016" s="9">
        <f>(PricingDataTable[[#This Row],[Vendor Price ($)]]-PricingDataTable[[#This Row],[Current Price ($)]])/PricingDataTable[[#This Row],[Current Price ($)]]</f>
        <v>1.2700948577134023E-3</v>
      </c>
      <c r="M1016" t="str">
        <f t="shared" si="30"/>
        <v>PASS</v>
      </c>
      <c r="N1016" s="10" t="str">
        <f t="shared" si="31"/>
        <v>NONE</v>
      </c>
    </row>
    <row r="1017" spans="1:14">
      <c r="A1017" s="4" t="s">
        <v>2050</v>
      </c>
      <c r="B1017" s="4" t="s">
        <v>2051</v>
      </c>
      <c r="C1017" s="4" t="s">
        <v>39</v>
      </c>
      <c r="D1017" s="4" t="s">
        <v>13</v>
      </c>
      <c r="E1017" s="5">
        <v>212.89400000000001</v>
      </c>
      <c r="F1017" s="5">
        <v>214.71690000000001</v>
      </c>
      <c r="G1017" s="5">
        <v>213.559</v>
      </c>
      <c r="H1017" s="4">
        <v>1</v>
      </c>
      <c r="I1017" s="6">
        <v>775912</v>
      </c>
      <c r="J1017" s="7">
        <v>553.98</v>
      </c>
      <c r="K1017" s="9">
        <f>(PricingDataTable[[#This Row],[Current Price ($)]]-PricingDataTable[[#This Row],[Prior Price ($)]])/PricingDataTable[[#This Row],[Prior Price ($)]]</f>
        <v>8.562477101280469E-3</v>
      </c>
      <c r="L1017" s="9">
        <f>(PricingDataTable[[#This Row],[Vendor Price ($)]]-PricingDataTable[[#This Row],[Current Price ($)]])/PricingDataTable[[#This Row],[Current Price ($)]]</f>
        <v>-5.3926821782543065E-3</v>
      </c>
      <c r="M1017" t="str">
        <f t="shared" si="30"/>
        <v>PASS</v>
      </c>
      <c r="N1017" s="10" t="str">
        <f t="shared" si="31"/>
        <v>NONE</v>
      </c>
    </row>
    <row r="1018" spans="1:14">
      <c r="A1018" s="4" t="s">
        <v>2052</v>
      </c>
      <c r="B1018" s="4" t="s">
        <v>2053</v>
      </c>
      <c r="C1018" s="4" t="s">
        <v>19</v>
      </c>
      <c r="D1018" s="4" t="s">
        <v>13</v>
      </c>
      <c r="E1018" s="5">
        <v>95.259699999999995</v>
      </c>
      <c r="F1018" s="5">
        <v>95.634200000000007</v>
      </c>
      <c r="G1018" s="5">
        <v>95.761899999999997</v>
      </c>
      <c r="H1018" s="4">
        <v>0</v>
      </c>
      <c r="I1018" s="6">
        <v>561182</v>
      </c>
      <c r="J1018" s="7">
        <v>208.79</v>
      </c>
      <c r="K1018" s="9">
        <f>(PricingDataTable[[#This Row],[Current Price ($)]]-PricingDataTable[[#This Row],[Prior Price ($)]])/PricingDataTable[[#This Row],[Prior Price ($)]]</f>
        <v>3.9313581713989422E-3</v>
      </c>
      <c r="L1018" s="9">
        <f>(PricingDataTable[[#This Row],[Vendor Price ($)]]-PricingDataTable[[#This Row],[Current Price ($)]])/PricingDataTable[[#This Row],[Current Price ($)]]</f>
        <v>1.3352963688721205E-3</v>
      </c>
      <c r="M1018" t="str">
        <f t="shared" si="30"/>
        <v>PASS</v>
      </c>
      <c r="N1018" s="10" t="str">
        <f t="shared" si="31"/>
        <v>NONE</v>
      </c>
    </row>
    <row r="1019" spans="1:14">
      <c r="A1019" s="4" t="s">
        <v>2054</v>
      </c>
      <c r="B1019" s="4" t="s">
        <v>2055</v>
      </c>
      <c r="C1019" s="4" t="s">
        <v>19</v>
      </c>
      <c r="D1019" s="4" t="s">
        <v>13</v>
      </c>
      <c r="E1019" s="5">
        <v>276.21789999999999</v>
      </c>
      <c r="F1019" s="5">
        <v>283.78609999999998</v>
      </c>
      <c r="G1019" s="5">
        <v>283.20600000000002</v>
      </c>
      <c r="H1019" s="4">
        <v>3</v>
      </c>
      <c r="I1019" s="6">
        <v>1640008</v>
      </c>
      <c r="J1019" s="7">
        <v>542.45000000000005</v>
      </c>
      <c r="K1019" s="9">
        <f>(PricingDataTable[[#This Row],[Current Price ($)]]-PricingDataTable[[#This Row],[Prior Price ($)]])/PricingDataTable[[#This Row],[Prior Price ($)]]</f>
        <v>2.7399382878517252E-2</v>
      </c>
      <c r="L1019" s="9">
        <f>(PricingDataTable[[#This Row],[Vendor Price ($)]]-PricingDataTable[[#This Row],[Current Price ($)]])/PricingDataTable[[#This Row],[Current Price ($)]]</f>
        <v>-2.0441452206431498E-3</v>
      </c>
      <c r="M1019" t="str">
        <f t="shared" si="30"/>
        <v>STALE</v>
      </c>
      <c r="N1019" s="10" t="str">
        <f t="shared" si="31"/>
        <v>LOW</v>
      </c>
    </row>
    <row r="1020" spans="1:14">
      <c r="A1020" s="4" t="s">
        <v>2056</v>
      </c>
      <c r="B1020" s="4" t="s">
        <v>2057</v>
      </c>
      <c r="C1020" s="4" t="s">
        <v>39</v>
      </c>
      <c r="D1020" s="4" t="s">
        <v>13</v>
      </c>
      <c r="E1020" s="5">
        <v>275.83510000000001</v>
      </c>
      <c r="F1020" s="5">
        <v>270.21359999999999</v>
      </c>
      <c r="G1020" s="5">
        <v>269.9153</v>
      </c>
      <c r="H1020" s="4">
        <v>0</v>
      </c>
      <c r="I1020" s="6">
        <v>74370</v>
      </c>
      <c r="J1020" s="7">
        <v>293.06</v>
      </c>
      <c r="K1020" s="9">
        <f>(PricingDataTable[[#This Row],[Current Price ($)]]-PricingDataTable[[#This Row],[Prior Price ($)]])/PricingDataTable[[#This Row],[Prior Price ($)]]</f>
        <v>-2.0379929892896248E-2</v>
      </c>
      <c r="L1020" s="9">
        <f>(PricingDataTable[[#This Row],[Vendor Price ($)]]-PricingDataTable[[#This Row],[Current Price ($)]])/PricingDataTable[[#This Row],[Current Price ($)]]</f>
        <v>-1.1039414744483007E-3</v>
      </c>
      <c r="M1020" t="str">
        <f t="shared" si="30"/>
        <v>PASS</v>
      </c>
      <c r="N1020" s="10" t="str">
        <f t="shared" si="31"/>
        <v>NONE</v>
      </c>
    </row>
    <row r="1021" spans="1:14">
      <c r="A1021" s="4" t="s">
        <v>2058</v>
      </c>
      <c r="B1021" s="4" t="s">
        <v>2059</v>
      </c>
      <c r="C1021" s="4" t="s">
        <v>16</v>
      </c>
      <c r="D1021" s="4" t="s">
        <v>13</v>
      </c>
      <c r="E1021" s="5">
        <v>100.2255</v>
      </c>
      <c r="F1021" s="5">
        <v>100.8322</v>
      </c>
      <c r="G1021" s="5">
        <v>100.8892</v>
      </c>
      <c r="H1021" s="4">
        <v>0</v>
      </c>
      <c r="I1021" s="6">
        <v>4814924</v>
      </c>
      <c r="J1021" s="7">
        <v>704.89</v>
      </c>
      <c r="K1021" s="9">
        <f>(PricingDataTable[[#This Row],[Current Price ($)]]-PricingDataTable[[#This Row],[Prior Price ($)]])/PricingDataTable[[#This Row],[Prior Price ($)]]</f>
        <v>6.0533496964345762E-3</v>
      </c>
      <c r="L1021" s="9">
        <f>(PricingDataTable[[#This Row],[Vendor Price ($)]]-PricingDataTable[[#This Row],[Current Price ($)]])/PricingDataTable[[#This Row],[Current Price ($)]]</f>
        <v>5.6529560993414957E-4</v>
      </c>
      <c r="M1021" t="str">
        <f t="shared" si="30"/>
        <v>PASS</v>
      </c>
      <c r="N1021" s="10" t="str">
        <f t="shared" si="31"/>
        <v>NONE</v>
      </c>
    </row>
    <row r="1022" spans="1:14">
      <c r="A1022" s="4" t="s">
        <v>2060</v>
      </c>
      <c r="B1022" s="4" t="s">
        <v>2061</v>
      </c>
      <c r="C1022" s="4" t="s">
        <v>16</v>
      </c>
      <c r="D1022" s="4" t="s">
        <v>13</v>
      </c>
      <c r="E1022" s="5">
        <v>110.67149999999999</v>
      </c>
      <c r="F1022" s="5">
        <v>111.62260000000001</v>
      </c>
      <c r="G1022" s="5">
        <v>112.0117</v>
      </c>
      <c r="H1022" s="4">
        <v>0</v>
      </c>
      <c r="I1022" s="6">
        <v>4111053</v>
      </c>
      <c r="J1022" s="7">
        <v>609.84</v>
      </c>
      <c r="K1022" s="9">
        <f>(PricingDataTable[[#This Row],[Current Price ($)]]-PricingDataTable[[#This Row],[Prior Price ($)]])/PricingDataTable[[#This Row],[Prior Price ($)]]</f>
        <v>8.593901772362451E-3</v>
      </c>
      <c r="L1022" s="9">
        <f>(PricingDataTable[[#This Row],[Vendor Price ($)]]-PricingDataTable[[#This Row],[Current Price ($)]])/PricingDataTable[[#This Row],[Current Price ($)]]</f>
        <v>3.4858532232719818E-3</v>
      </c>
      <c r="M1022" t="str">
        <f t="shared" si="30"/>
        <v>PASS</v>
      </c>
      <c r="N1022" s="10" t="str">
        <f t="shared" si="31"/>
        <v>NONE</v>
      </c>
    </row>
    <row r="1023" spans="1:14">
      <c r="A1023" s="4" t="s">
        <v>2062</v>
      </c>
      <c r="B1023" s="4" t="s">
        <v>2063</v>
      </c>
      <c r="C1023" s="4" t="s">
        <v>16</v>
      </c>
      <c r="D1023" s="4" t="s">
        <v>13</v>
      </c>
      <c r="E1023" s="5">
        <v>101.2525</v>
      </c>
      <c r="F1023" s="5">
        <v>104.0813</v>
      </c>
      <c r="G1023" s="5">
        <v>103.90479999999999</v>
      </c>
      <c r="H1023" s="4">
        <v>1</v>
      </c>
      <c r="I1023" s="6">
        <v>4392188</v>
      </c>
      <c r="J1023" s="7">
        <v>843.2</v>
      </c>
      <c r="K1023" s="9">
        <f>(PricingDataTable[[#This Row],[Current Price ($)]]-PricingDataTable[[#This Row],[Prior Price ($)]])/PricingDataTable[[#This Row],[Prior Price ($)]]</f>
        <v>2.793807560307154E-2</v>
      </c>
      <c r="L1023" s="9">
        <f>(PricingDataTable[[#This Row],[Vendor Price ($)]]-PricingDataTable[[#This Row],[Current Price ($)]])/PricingDataTable[[#This Row],[Current Price ($)]]</f>
        <v>-1.6957897336025234E-3</v>
      </c>
      <c r="M1023" t="str">
        <f t="shared" si="30"/>
        <v>PASS</v>
      </c>
      <c r="N1023" s="10" t="str">
        <f t="shared" si="31"/>
        <v>NONE</v>
      </c>
    </row>
    <row r="1024" spans="1:14">
      <c r="A1024" s="4" t="s">
        <v>2064</v>
      </c>
      <c r="B1024" s="4" t="s">
        <v>2065</v>
      </c>
      <c r="C1024" s="4" t="s">
        <v>39</v>
      </c>
      <c r="D1024" s="4" t="s">
        <v>13</v>
      </c>
      <c r="E1024" s="5">
        <v>20.454499999999999</v>
      </c>
      <c r="F1024" s="5">
        <v>21.1662</v>
      </c>
      <c r="G1024" s="5">
        <v>21.2578</v>
      </c>
      <c r="H1024" s="4">
        <v>2</v>
      </c>
      <c r="I1024" s="6">
        <v>201285</v>
      </c>
      <c r="J1024" s="7">
        <v>283.23</v>
      </c>
      <c r="K1024" s="9">
        <f>(PricingDataTable[[#This Row],[Current Price ($)]]-PricingDataTable[[#This Row],[Prior Price ($)]])/PricingDataTable[[#This Row],[Prior Price ($)]]</f>
        <v>3.4794299542887895E-2</v>
      </c>
      <c r="L1024" s="9">
        <f>(PricingDataTable[[#This Row],[Vendor Price ($)]]-PricingDataTable[[#This Row],[Current Price ($)]])/PricingDataTable[[#This Row],[Current Price ($)]]</f>
        <v>4.3276544679725073E-3</v>
      </c>
      <c r="M1024" t="str">
        <f t="shared" si="30"/>
        <v>PASS</v>
      </c>
      <c r="N1024" s="10" t="str">
        <f t="shared" si="31"/>
        <v>NONE</v>
      </c>
    </row>
    <row r="1025" spans="1:14">
      <c r="A1025" s="4" t="s">
        <v>2066</v>
      </c>
      <c r="B1025" s="4" t="s">
        <v>2067</v>
      </c>
      <c r="C1025" s="4" t="s">
        <v>19</v>
      </c>
      <c r="D1025" s="4" t="s">
        <v>32</v>
      </c>
      <c r="E1025" s="5">
        <v>264.61880000000002</v>
      </c>
      <c r="F1025" s="5">
        <v>260.58420000000001</v>
      </c>
      <c r="G1025" s="5">
        <v>260.90730000000002</v>
      </c>
      <c r="H1025" s="4">
        <v>1</v>
      </c>
      <c r="I1025" s="6">
        <v>1905813</v>
      </c>
      <c r="J1025" s="7">
        <v>813.32</v>
      </c>
      <c r="K1025" s="9">
        <f>(PricingDataTable[[#This Row],[Current Price ($)]]-PricingDataTable[[#This Row],[Prior Price ($)]])/PricingDataTable[[#This Row],[Prior Price ($)]]</f>
        <v>-1.5246838093136282E-2</v>
      </c>
      <c r="L1025" s="9">
        <f>(PricingDataTable[[#This Row],[Vendor Price ($)]]-PricingDataTable[[#This Row],[Current Price ($)]])/PricingDataTable[[#This Row],[Current Price ($)]]</f>
        <v>1.239906333538299E-3</v>
      </c>
      <c r="M1025" t="str">
        <f t="shared" si="30"/>
        <v>PASS</v>
      </c>
      <c r="N1025" s="10" t="str">
        <f t="shared" si="31"/>
        <v>NONE</v>
      </c>
    </row>
    <row r="1026" spans="1:14">
      <c r="A1026" s="4" t="s">
        <v>2068</v>
      </c>
      <c r="B1026" s="4" t="s">
        <v>2069</v>
      </c>
      <c r="C1026" s="4" t="s">
        <v>16</v>
      </c>
      <c r="D1026" s="4" t="s">
        <v>13</v>
      </c>
      <c r="E1026" s="5">
        <v>93.578400000000002</v>
      </c>
      <c r="F1026" s="5">
        <v>93.745099999999994</v>
      </c>
      <c r="G1026" s="5">
        <v>93.887799999999999</v>
      </c>
      <c r="H1026" s="4">
        <v>0</v>
      </c>
      <c r="I1026" s="6">
        <v>3138638</v>
      </c>
      <c r="J1026" s="7">
        <v>48</v>
      </c>
      <c r="K1026" s="9">
        <f>(PricingDataTable[[#This Row],[Current Price ($)]]-PricingDataTable[[#This Row],[Prior Price ($)]])/PricingDataTable[[#This Row],[Prior Price ($)]]</f>
        <v>1.7813939969051793E-3</v>
      </c>
      <c r="L1026" s="9">
        <f>(PricingDataTable[[#This Row],[Vendor Price ($)]]-PricingDataTable[[#This Row],[Current Price ($)]])/PricingDataTable[[#This Row],[Current Price ($)]]</f>
        <v>1.5222128943273296E-3</v>
      </c>
      <c r="M1026" t="str">
        <f t="shared" ref="M1026:M1089" si="32">IF(OR(F1026="",F1026=0),"MISSING",IF(H1026&gt;=3,"STALE",IF(ABS(K1026)&gt;=5%,"LARGE MOVE",IF(ABS(L1026)&gt;=2%,"VENDOR DIFFERENCE","PASS"))))</f>
        <v>PASS</v>
      </c>
      <c r="N1026" s="10" t="str">
        <f t="shared" ref="N1026:N1089" si="33">IF(M1026="PASS","NONE",IF(M1026="MISSING","HIGH",IF(OR(ABS(K1026)&gt;=10%,ABS(L1026)&gt;=5%),"HIGH",IF(OR(ABS(K1026)&gt;=7%,ABS(L1026)&gt;=3%,H1026&gt;=5),"MEDIUM","LOW"))))</f>
        <v>NONE</v>
      </c>
    </row>
    <row r="1027" spans="1:14">
      <c r="A1027" s="4" t="s">
        <v>2070</v>
      </c>
      <c r="B1027" s="4" t="s">
        <v>2071</v>
      </c>
      <c r="C1027" s="4" t="s">
        <v>35</v>
      </c>
      <c r="D1027" s="4" t="s">
        <v>64</v>
      </c>
      <c r="E1027" s="5">
        <v>15.906000000000001</v>
      </c>
      <c r="F1027" s="5">
        <v>15.8094</v>
      </c>
      <c r="G1027" s="5">
        <v>15.8941</v>
      </c>
      <c r="H1027" s="4">
        <v>5</v>
      </c>
      <c r="I1027" s="6">
        <v>2781424</v>
      </c>
      <c r="J1027" s="7">
        <v>174.29</v>
      </c>
      <c r="K1027" s="9">
        <f>(PricingDataTable[[#This Row],[Current Price ($)]]-PricingDataTable[[#This Row],[Prior Price ($)]])/PricingDataTable[[#This Row],[Prior Price ($)]]</f>
        <v>-6.0731799321011226E-3</v>
      </c>
      <c r="L1027" s="9">
        <f>(PricingDataTable[[#This Row],[Vendor Price ($)]]-PricingDataTable[[#This Row],[Current Price ($)]])/PricingDataTable[[#This Row],[Current Price ($)]]</f>
        <v>5.3575720773716756E-3</v>
      </c>
      <c r="M1027" t="str">
        <f t="shared" si="32"/>
        <v>STALE</v>
      </c>
      <c r="N1027" s="10" t="str">
        <f t="shared" si="33"/>
        <v>MEDIUM</v>
      </c>
    </row>
    <row r="1028" spans="1:14">
      <c r="A1028" s="4" t="s">
        <v>2072</v>
      </c>
      <c r="B1028" s="4" t="s">
        <v>2073</v>
      </c>
      <c r="C1028" s="4" t="s">
        <v>19</v>
      </c>
      <c r="D1028" s="4" t="s">
        <v>13</v>
      </c>
      <c r="E1028" s="5">
        <v>262.56349999999998</v>
      </c>
      <c r="F1028" s="5">
        <v>261.53809999999999</v>
      </c>
      <c r="G1028" s="5">
        <v>261.43400000000003</v>
      </c>
      <c r="H1028" s="4">
        <v>0</v>
      </c>
      <c r="I1028" s="6">
        <v>3862200</v>
      </c>
      <c r="J1028" s="7">
        <v>312.36</v>
      </c>
      <c r="K1028" s="9">
        <f>(PricingDataTable[[#This Row],[Current Price ($)]]-PricingDataTable[[#This Row],[Prior Price ($)]])/PricingDataTable[[#This Row],[Prior Price ($)]]</f>
        <v>-3.90534099370244E-3</v>
      </c>
      <c r="L1028" s="9">
        <f>(PricingDataTable[[#This Row],[Vendor Price ($)]]-PricingDataTable[[#This Row],[Current Price ($)]])/PricingDataTable[[#This Row],[Current Price ($)]]</f>
        <v>-3.9802996198244118E-4</v>
      </c>
      <c r="M1028" t="str">
        <f t="shared" si="32"/>
        <v>PASS</v>
      </c>
      <c r="N1028" s="10" t="str">
        <f t="shared" si="33"/>
        <v>NONE</v>
      </c>
    </row>
    <row r="1029" spans="1:14">
      <c r="A1029" s="4" t="s">
        <v>2074</v>
      </c>
      <c r="B1029" s="4" t="s">
        <v>2075</v>
      </c>
      <c r="C1029" s="4" t="s">
        <v>16</v>
      </c>
      <c r="D1029" s="4" t="s">
        <v>32</v>
      </c>
      <c r="E1029" s="5">
        <v>104.2811</v>
      </c>
      <c r="F1029" s="5">
        <v>105.8505</v>
      </c>
      <c r="G1029" s="5">
        <v>105.4928</v>
      </c>
      <c r="H1029" s="4">
        <v>0</v>
      </c>
      <c r="I1029" s="6">
        <v>4245197</v>
      </c>
      <c r="J1029" s="7">
        <v>60.75</v>
      </c>
      <c r="K1029" s="9">
        <f>(PricingDataTable[[#This Row],[Current Price ($)]]-PricingDataTable[[#This Row],[Prior Price ($)]])/PricingDataTable[[#This Row],[Prior Price ($)]]</f>
        <v>1.5049706993884814E-2</v>
      </c>
      <c r="L1029" s="9">
        <f>(PricingDataTable[[#This Row],[Vendor Price ($)]]-PricingDataTable[[#This Row],[Current Price ($)]])/PricingDataTable[[#This Row],[Current Price ($)]]</f>
        <v>-3.3792943821710254E-3</v>
      </c>
      <c r="M1029" t="str">
        <f t="shared" si="32"/>
        <v>PASS</v>
      </c>
      <c r="N1029" s="10" t="str">
        <f t="shared" si="33"/>
        <v>NONE</v>
      </c>
    </row>
    <row r="1030" spans="1:14">
      <c r="A1030" s="4" t="s">
        <v>2076</v>
      </c>
      <c r="B1030" s="4" t="s">
        <v>2077</v>
      </c>
      <c r="C1030" s="4" t="s">
        <v>19</v>
      </c>
      <c r="D1030" s="4" t="s">
        <v>13</v>
      </c>
      <c r="E1030" s="5">
        <v>258.1558</v>
      </c>
      <c r="F1030" s="5">
        <v>257.01530000000002</v>
      </c>
      <c r="G1030" s="5">
        <v>256.6925</v>
      </c>
      <c r="H1030" s="4">
        <v>0</v>
      </c>
      <c r="I1030" s="6">
        <v>370211</v>
      </c>
      <c r="J1030" s="7">
        <v>272.76</v>
      </c>
      <c r="K1030" s="9">
        <f>(PricingDataTable[[#This Row],[Current Price ($)]]-PricingDataTable[[#This Row],[Prior Price ($)]])/PricingDataTable[[#This Row],[Prior Price ($)]]</f>
        <v>-4.4178747872407843E-3</v>
      </c>
      <c r="L1030" s="9">
        <f>(PricingDataTable[[#This Row],[Vendor Price ($)]]-PricingDataTable[[#This Row],[Current Price ($)]])/PricingDataTable[[#This Row],[Current Price ($)]]</f>
        <v>-1.2559563574621015E-3</v>
      </c>
      <c r="M1030" t="str">
        <f t="shared" si="32"/>
        <v>PASS</v>
      </c>
      <c r="N1030" s="10" t="str">
        <f t="shared" si="33"/>
        <v>NONE</v>
      </c>
    </row>
    <row r="1031" spans="1:14">
      <c r="A1031" s="4" t="s">
        <v>2078</v>
      </c>
      <c r="B1031" s="4" t="s">
        <v>2079</v>
      </c>
      <c r="C1031" s="4" t="s">
        <v>16</v>
      </c>
      <c r="D1031" s="4" t="s">
        <v>13</v>
      </c>
      <c r="E1031" s="5">
        <v>114.9736</v>
      </c>
      <c r="F1031" s="5">
        <v>116.0545</v>
      </c>
      <c r="G1031" s="5">
        <v>115.8083</v>
      </c>
      <c r="H1031" s="4">
        <v>0</v>
      </c>
      <c r="I1031" s="6">
        <v>315245</v>
      </c>
      <c r="J1031" s="7">
        <v>239.1</v>
      </c>
      <c r="K1031" s="9">
        <f>(PricingDataTable[[#This Row],[Current Price ($)]]-PricingDataTable[[#This Row],[Prior Price ($)]])/PricingDataTable[[#This Row],[Prior Price ($)]]</f>
        <v>9.4012886436538445E-3</v>
      </c>
      <c r="L1031" s="9">
        <f>(PricingDataTable[[#This Row],[Vendor Price ($)]]-PricingDataTable[[#This Row],[Current Price ($)]])/PricingDataTable[[#This Row],[Current Price ($)]]</f>
        <v>-2.1214170928314001E-3</v>
      </c>
      <c r="M1031" t="str">
        <f t="shared" si="32"/>
        <v>PASS</v>
      </c>
      <c r="N1031" s="10" t="str">
        <f t="shared" si="33"/>
        <v>NONE</v>
      </c>
    </row>
    <row r="1032" spans="1:14">
      <c r="A1032" s="4" t="s">
        <v>2080</v>
      </c>
      <c r="B1032" s="4" t="s">
        <v>2081</v>
      </c>
      <c r="C1032" s="4" t="s">
        <v>19</v>
      </c>
      <c r="D1032" s="4" t="s">
        <v>36</v>
      </c>
      <c r="E1032" s="5">
        <v>64.636499999999998</v>
      </c>
      <c r="F1032" s="5">
        <v>64.457999999999998</v>
      </c>
      <c r="G1032" s="5">
        <v>64.373800000000003</v>
      </c>
      <c r="H1032" s="4">
        <v>0</v>
      </c>
      <c r="I1032" s="6">
        <v>3934638</v>
      </c>
      <c r="J1032" s="7">
        <v>860.11</v>
      </c>
      <c r="K1032" s="9">
        <f>(PricingDataTable[[#This Row],[Current Price ($)]]-PricingDataTable[[#This Row],[Prior Price ($)]])/PricingDataTable[[#This Row],[Prior Price ($)]]</f>
        <v>-2.7615975493722536E-3</v>
      </c>
      <c r="L1032" s="9">
        <f>(PricingDataTable[[#This Row],[Vendor Price ($)]]-PricingDataTable[[#This Row],[Current Price ($)]])/PricingDataTable[[#This Row],[Current Price ($)]]</f>
        <v>-1.3062769555368706E-3</v>
      </c>
      <c r="M1032" t="str">
        <f t="shared" si="32"/>
        <v>PASS</v>
      </c>
      <c r="N1032" s="10" t="str">
        <f t="shared" si="33"/>
        <v>NONE</v>
      </c>
    </row>
    <row r="1033" spans="1:14">
      <c r="A1033" s="4" t="s">
        <v>2082</v>
      </c>
      <c r="B1033" s="4" t="s">
        <v>2083</v>
      </c>
      <c r="C1033" s="4" t="s">
        <v>16</v>
      </c>
      <c r="D1033" s="4" t="s">
        <v>64</v>
      </c>
      <c r="E1033" s="5">
        <v>115.71899999999999</v>
      </c>
      <c r="F1033" s="5">
        <v>114.723</v>
      </c>
      <c r="G1033" s="5">
        <v>115.16800000000001</v>
      </c>
      <c r="H1033" s="4">
        <v>1</v>
      </c>
      <c r="I1033" s="6">
        <v>4982577</v>
      </c>
      <c r="J1033" s="7">
        <v>700.51</v>
      </c>
      <c r="K1033" s="9">
        <f>(PricingDataTable[[#This Row],[Current Price ($)]]-PricingDataTable[[#This Row],[Prior Price ($)]])/PricingDataTable[[#This Row],[Prior Price ($)]]</f>
        <v>-8.6070567495397914E-3</v>
      </c>
      <c r="L1033" s="9">
        <f>(PricingDataTable[[#This Row],[Vendor Price ($)]]-PricingDataTable[[#This Row],[Current Price ($)]])/PricingDataTable[[#This Row],[Current Price ($)]]</f>
        <v>3.8789083270138278E-3</v>
      </c>
      <c r="M1033" t="str">
        <f t="shared" si="32"/>
        <v>PASS</v>
      </c>
      <c r="N1033" s="10" t="str">
        <f t="shared" si="33"/>
        <v>NONE</v>
      </c>
    </row>
    <row r="1034" spans="1:14">
      <c r="A1034" s="4" t="s">
        <v>2084</v>
      </c>
      <c r="B1034" s="4" t="s">
        <v>2085</v>
      </c>
      <c r="C1034" s="4" t="s">
        <v>39</v>
      </c>
      <c r="D1034" s="4" t="s">
        <v>13</v>
      </c>
      <c r="E1034" s="5">
        <v>101.0885</v>
      </c>
      <c r="F1034" s="5">
        <v>102.042</v>
      </c>
      <c r="G1034" s="5">
        <v>101.9466</v>
      </c>
      <c r="H1034" s="4">
        <v>0</v>
      </c>
      <c r="I1034" s="6">
        <v>2162260</v>
      </c>
      <c r="J1034" s="7">
        <v>96.03</v>
      </c>
      <c r="K1034" s="9">
        <f>(PricingDataTable[[#This Row],[Current Price ($)]]-PricingDataTable[[#This Row],[Prior Price ($)]])/PricingDataTable[[#This Row],[Prior Price ($)]]</f>
        <v>9.4323290977708189E-3</v>
      </c>
      <c r="L1034" s="9">
        <f>(PricingDataTable[[#This Row],[Vendor Price ($)]]-PricingDataTable[[#This Row],[Current Price ($)]])/PricingDataTable[[#This Row],[Current Price ($)]]</f>
        <v>-9.3490915505378106E-4</v>
      </c>
      <c r="M1034" t="str">
        <f t="shared" si="32"/>
        <v>PASS</v>
      </c>
      <c r="N1034" s="10" t="str">
        <f t="shared" si="33"/>
        <v>NONE</v>
      </c>
    </row>
    <row r="1035" spans="1:14">
      <c r="A1035" s="4" t="s">
        <v>2086</v>
      </c>
      <c r="B1035" s="4" t="s">
        <v>2087</v>
      </c>
      <c r="C1035" s="4" t="s">
        <v>19</v>
      </c>
      <c r="D1035" s="4" t="s">
        <v>32</v>
      </c>
      <c r="E1035" s="5">
        <v>309.21519999999998</v>
      </c>
      <c r="F1035" s="5">
        <v>309.279</v>
      </c>
      <c r="G1035" s="5">
        <v>311.29289999999997</v>
      </c>
      <c r="H1035" s="4">
        <v>0</v>
      </c>
      <c r="I1035" s="6">
        <v>4753757</v>
      </c>
      <c r="J1035" s="7">
        <v>298.23</v>
      </c>
      <c r="K1035" s="9">
        <f>(PricingDataTable[[#This Row],[Current Price ($)]]-PricingDataTable[[#This Row],[Prior Price ($)]])/PricingDataTable[[#This Row],[Prior Price ($)]]</f>
        <v>2.0632879625585916E-4</v>
      </c>
      <c r="L1035" s="9">
        <f>(PricingDataTable[[#This Row],[Vendor Price ($)]]-PricingDataTable[[#This Row],[Current Price ($)]])/PricingDataTable[[#This Row],[Current Price ($)]]</f>
        <v>6.5115963256476457E-3</v>
      </c>
      <c r="M1035" t="str">
        <f t="shared" si="32"/>
        <v>PASS</v>
      </c>
      <c r="N1035" s="10" t="str">
        <f t="shared" si="33"/>
        <v>NONE</v>
      </c>
    </row>
    <row r="1036" spans="1:14">
      <c r="A1036" s="4" t="s">
        <v>2088</v>
      </c>
      <c r="B1036" s="4" t="s">
        <v>2089</v>
      </c>
      <c r="C1036" s="4" t="s">
        <v>19</v>
      </c>
      <c r="D1036" s="4" t="s">
        <v>13</v>
      </c>
      <c r="E1036" s="5">
        <v>325.51620000000003</v>
      </c>
      <c r="F1036" s="5">
        <v>328.61700000000002</v>
      </c>
      <c r="G1036" s="5">
        <v>328.96339999999998</v>
      </c>
      <c r="H1036" s="4">
        <v>1</v>
      </c>
      <c r="I1036" s="6">
        <v>257653</v>
      </c>
      <c r="J1036" s="7">
        <v>300.54000000000002</v>
      </c>
      <c r="K1036" s="9">
        <f>(PricingDataTable[[#This Row],[Current Price ($)]]-PricingDataTable[[#This Row],[Prior Price ($)]])/PricingDataTable[[#This Row],[Prior Price ($)]]</f>
        <v>9.5257931863298728E-3</v>
      </c>
      <c r="L1036" s="9">
        <f>(PricingDataTable[[#This Row],[Vendor Price ($)]]-PricingDataTable[[#This Row],[Current Price ($)]])/PricingDataTable[[#This Row],[Current Price ($)]]</f>
        <v>1.05411466844369E-3</v>
      </c>
      <c r="M1036" t="str">
        <f t="shared" si="32"/>
        <v>PASS</v>
      </c>
      <c r="N1036" s="10" t="str">
        <f t="shared" si="33"/>
        <v>NONE</v>
      </c>
    </row>
    <row r="1037" spans="1:14">
      <c r="A1037" s="4" t="s">
        <v>2090</v>
      </c>
      <c r="B1037" s="4" t="s">
        <v>2091</v>
      </c>
      <c r="C1037" s="4" t="s">
        <v>19</v>
      </c>
      <c r="D1037" s="4" t="s">
        <v>13</v>
      </c>
      <c r="E1037" s="5">
        <v>349.24709999999999</v>
      </c>
      <c r="F1037" s="5">
        <v>353.0324</v>
      </c>
      <c r="G1037" s="5">
        <v>352.56630000000001</v>
      </c>
      <c r="H1037" s="4">
        <v>0</v>
      </c>
      <c r="I1037" s="6">
        <v>2820505</v>
      </c>
      <c r="J1037" s="7">
        <v>143.44</v>
      </c>
      <c r="K1037" s="9">
        <f>(PricingDataTable[[#This Row],[Current Price ($)]]-PricingDataTable[[#This Row],[Prior Price ($)]])/PricingDataTable[[#This Row],[Prior Price ($)]]</f>
        <v>1.0838457928498208E-2</v>
      </c>
      <c r="L1037" s="9">
        <f>(PricingDataTable[[#This Row],[Vendor Price ($)]]-PricingDataTable[[#This Row],[Current Price ($)]])/PricingDataTable[[#This Row],[Current Price ($)]]</f>
        <v>-1.3202754194798639E-3</v>
      </c>
      <c r="M1037" t="str">
        <f t="shared" si="32"/>
        <v>PASS</v>
      </c>
      <c r="N1037" s="10" t="str">
        <f t="shared" si="33"/>
        <v>NONE</v>
      </c>
    </row>
    <row r="1038" spans="1:14">
      <c r="A1038" s="4" t="s">
        <v>2092</v>
      </c>
      <c r="B1038" s="4" t="s">
        <v>2093</v>
      </c>
      <c r="C1038" s="4" t="s">
        <v>16</v>
      </c>
      <c r="D1038" s="4" t="s">
        <v>13</v>
      </c>
      <c r="E1038" s="5">
        <v>79.104699999999994</v>
      </c>
      <c r="F1038" s="5">
        <v>79.140199999999993</v>
      </c>
      <c r="G1038" s="5">
        <v>79.110500000000002</v>
      </c>
      <c r="H1038" s="4">
        <v>0</v>
      </c>
      <c r="I1038" s="6">
        <v>1275126</v>
      </c>
      <c r="J1038" s="7">
        <v>892.66</v>
      </c>
      <c r="K1038" s="9">
        <f>(PricingDataTable[[#This Row],[Current Price ($)]]-PricingDataTable[[#This Row],[Prior Price ($)]])/PricingDataTable[[#This Row],[Prior Price ($)]]</f>
        <v>4.4877232326270096E-4</v>
      </c>
      <c r="L1038" s="9">
        <f>(PricingDataTable[[#This Row],[Vendor Price ($)]]-PricingDataTable[[#This Row],[Current Price ($)]])/PricingDataTable[[#This Row],[Current Price ($)]]</f>
        <v>-3.7528335788879961E-4</v>
      </c>
      <c r="M1038" t="str">
        <f t="shared" si="32"/>
        <v>PASS</v>
      </c>
      <c r="N1038" s="10" t="str">
        <f t="shared" si="33"/>
        <v>NONE</v>
      </c>
    </row>
    <row r="1039" spans="1:14">
      <c r="A1039" s="4" t="s">
        <v>2094</v>
      </c>
      <c r="B1039" s="4" t="s">
        <v>2095</v>
      </c>
      <c r="C1039" s="4" t="s">
        <v>19</v>
      </c>
      <c r="D1039" s="4" t="s">
        <v>13</v>
      </c>
      <c r="E1039" s="5">
        <v>344.42579999999998</v>
      </c>
      <c r="F1039" s="5">
        <v>340.21530000000001</v>
      </c>
      <c r="G1039" s="5">
        <v>341.36860000000001</v>
      </c>
      <c r="H1039" s="4">
        <v>0</v>
      </c>
      <c r="I1039" s="6">
        <v>2770429</v>
      </c>
      <c r="J1039" s="7">
        <v>90.15</v>
      </c>
      <c r="K1039" s="9">
        <f>(PricingDataTable[[#This Row],[Current Price ($)]]-PricingDataTable[[#This Row],[Prior Price ($)]])/PricingDataTable[[#This Row],[Prior Price ($)]]</f>
        <v>-1.2224693968918612E-2</v>
      </c>
      <c r="L1039" s="9">
        <f>(PricingDataTable[[#This Row],[Vendor Price ($)]]-PricingDataTable[[#This Row],[Current Price ($)]])/PricingDataTable[[#This Row],[Current Price ($)]]</f>
        <v>3.3899122114731512E-3</v>
      </c>
      <c r="M1039" t="str">
        <f t="shared" si="32"/>
        <v>PASS</v>
      </c>
      <c r="N1039" s="10" t="str">
        <f t="shared" si="33"/>
        <v>NONE</v>
      </c>
    </row>
    <row r="1040" spans="1:14">
      <c r="A1040" s="4" t="s">
        <v>2096</v>
      </c>
      <c r="B1040" s="4" t="s">
        <v>2097</v>
      </c>
      <c r="C1040" s="4" t="s">
        <v>35</v>
      </c>
      <c r="D1040" s="4" t="s">
        <v>13</v>
      </c>
      <c r="E1040" s="5">
        <v>148.21449999999999</v>
      </c>
      <c r="F1040" s="5">
        <v>148.59979999999999</v>
      </c>
      <c r="G1040" s="5">
        <v>148.85419999999999</v>
      </c>
      <c r="H1040" s="4">
        <v>0</v>
      </c>
      <c r="I1040" s="6">
        <v>4414141</v>
      </c>
      <c r="J1040" s="7">
        <v>64.7</v>
      </c>
      <c r="K1040" s="9">
        <f>(PricingDataTable[[#This Row],[Current Price ($)]]-PricingDataTable[[#This Row],[Prior Price ($)]])/PricingDataTable[[#This Row],[Prior Price ($)]]</f>
        <v>2.5996106993580312E-3</v>
      </c>
      <c r="L1040" s="9">
        <f>(PricingDataTable[[#This Row],[Vendor Price ($)]]-PricingDataTable[[#This Row],[Current Price ($)]])/PricingDataTable[[#This Row],[Current Price ($)]]</f>
        <v>1.7119807698260964E-3</v>
      </c>
      <c r="M1040" t="str">
        <f t="shared" si="32"/>
        <v>PASS</v>
      </c>
      <c r="N1040" s="10" t="str">
        <f t="shared" si="33"/>
        <v>NONE</v>
      </c>
    </row>
    <row r="1041" spans="1:14">
      <c r="A1041" s="4" t="s">
        <v>2098</v>
      </c>
      <c r="B1041" s="4" t="s">
        <v>2099</v>
      </c>
      <c r="C1041" s="4" t="s">
        <v>19</v>
      </c>
      <c r="D1041" s="4" t="s">
        <v>13</v>
      </c>
      <c r="E1041" s="5">
        <v>299.51920000000001</v>
      </c>
      <c r="F1041" s="5">
        <v>302.93650000000002</v>
      </c>
      <c r="G1041" s="5">
        <v>304.25</v>
      </c>
      <c r="H1041" s="4">
        <v>0</v>
      </c>
      <c r="I1041" s="6">
        <v>2841865</v>
      </c>
      <c r="J1041" s="7">
        <v>598.57000000000005</v>
      </c>
      <c r="K1041" s="9">
        <f>(PricingDataTable[[#This Row],[Current Price ($)]]-PricingDataTable[[#This Row],[Prior Price ($)]])/PricingDataTable[[#This Row],[Prior Price ($)]]</f>
        <v>1.1409285281210725E-2</v>
      </c>
      <c r="L1041" s="9">
        <f>(PricingDataTable[[#This Row],[Vendor Price ($)]]-PricingDataTable[[#This Row],[Current Price ($)]])/PricingDataTable[[#This Row],[Current Price ($)]]</f>
        <v>4.3358921754228239E-3</v>
      </c>
      <c r="M1041" t="str">
        <f t="shared" si="32"/>
        <v>PASS</v>
      </c>
      <c r="N1041" s="10" t="str">
        <f t="shared" si="33"/>
        <v>NONE</v>
      </c>
    </row>
    <row r="1042" spans="1:14">
      <c r="A1042" s="4" t="s">
        <v>2100</v>
      </c>
      <c r="B1042" s="4" t="s">
        <v>2101</v>
      </c>
      <c r="C1042" s="4" t="s">
        <v>39</v>
      </c>
      <c r="D1042" s="4" t="s">
        <v>13</v>
      </c>
      <c r="E1042" s="5">
        <v>182.03559999999999</v>
      </c>
      <c r="F1042" s="5">
        <v>181.11019999999999</v>
      </c>
      <c r="G1042" s="5">
        <v>181.9282</v>
      </c>
      <c r="H1042" s="4">
        <v>0</v>
      </c>
      <c r="I1042" s="6">
        <v>2740800</v>
      </c>
      <c r="J1042" s="7">
        <v>189.65</v>
      </c>
      <c r="K1042" s="9">
        <f>(PricingDataTable[[#This Row],[Current Price ($)]]-PricingDataTable[[#This Row],[Prior Price ($)]])/PricingDataTable[[#This Row],[Prior Price ($)]]</f>
        <v>-5.0836210060010035E-3</v>
      </c>
      <c r="L1042" s="9">
        <f>(PricingDataTable[[#This Row],[Vendor Price ($)]]-PricingDataTable[[#This Row],[Current Price ($)]])/PricingDataTable[[#This Row],[Current Price ($)]]</f>
        <v>4.5165871386592922E-3</v>
      </c>
      <c r="M1042" t="str">
        <f t="shared" si="32"/>
        <v>PASS</v>
      </c>
      <c r="N1042" s="10" t="str">
        <f t="shared" si="33"/>
        <v>NONE</v>
      </c>
    </row>
    <row r="1043" spans="1:14">
      <c r="A1043" s="4" t="s">
        <v>2102</v>
      </c>
      <c r="B1043" s="4" t="s">
        <v>2103</v>
      </c>
      <c r="C1043" s="4" t="s">
        <v>12</v>
      </c>
      <c r="D1043" s="4" t="s">
        <v>13</v>
      </c>
      <c r="E1043" s="5">
        <v>77.937399999999997</v>
      </c>
      <c r="F1043" s="5">
        <v>78.311599999999999</v>
      </c>
      <c r="G1043" s="5">
        <v>78.217799999999997</v>
      </c>
      <c r="H1043" s="4">
        <v>1</v>
      </c>
      <c r="I1043" s="6">
        <v>2684938</v>
      </c>
      <c r="J1043" s="7">
        <v>521.42999999999995</v>
      </c>
      <c r="K1043" s="9">
        <f>(PricingDataTable[[#This Row],[Current Price ($)]]-PricingDataTable[[#This Row],[Prior Price ($)]])/PricingDataTable[[#This Row],[Prior Price ($)]]</f>
        <v>4.8012892398258331E-3</v>
      </c>
      <c r="L1043" s="9">
        <f>(PricingDataTable[[#This Row],[Vendor Price ($)]]-PricingDataTable[[#This Row],[Current Price ($)]])/PricingDataTable[[#This Row],[Current Price ($)]]</f>
        <v>-1.1977791285071645E-3</v>
      </c>
      <c r="M1043" t="str">
        <f t="shared" si="32"/>
        <v>PASS</v>
      </c>
      <c r="N1043" s="10" t="str">
        <f t="shared" si="33"/>
        <v>NONE</v>
      </c>
    </row>
    <row r="1044" spans="1:14">
      <c r="A1044" s="4" t="s">
        <v>2104</v>
      </c>
      <c r="B1044" s="4" t="s">
        <v>2105</v>
      </c>
      <c r="C1044" s="4" t="s">
        <v>16</v>
      </c>
      <c r="D1044" s="4" t="s">
        <v>13</v>
      </c>
      <c r="E1044" s="5">
        <v>107.21559999999999</v>
      </c>
      <c r="F1044" s="5">
        <v>108.7413</v>
      </c>
      <c r="G1044" s="5">
        <v>108.59529999999999</v>
      </c>
      <c r="H1044" s="4">
        <v>0</v>
      </c>
      <c r="I1044" s="6">
        <v>1314076</v>
      </c>
      <c r="J1044" s="7">
        <v>351.84</v>
      </c>
      <c r="K1044" s="9">
        <f>(PricingDataTable[[#This Row],[Current Price ($)]]-PricingDataTable[[#This Row],[Prior Price ($)]])/PricingDataTable[[#This Row],[Prior Price ($)]]</f>
        <v>1.423020530594429E-2</v>
      </c>
      <c r="L1044" s="9">
        <f>(PricingDataTable[[#This Row],[Vendor Price ($)]]-PricingDataTable[[#This Row],[Current Price ($)]])/PricingDataTable[[#This Row],[Current Price ($)]]</f>
        <v>-1.3426361465239131E-3</v>
      </c>
      <c r="M1044" t="str">
        <f t="shared" si="32"/>
        <v>PASS</v>
      </c>
      <c r="N1044" s="10" t="str">
        <f t="shared" si="33"/>
        <v>NONE</v>
      </c>
    </row>
    <row r="1045" spans="1:14">
      <c r="A1045" s="4" t="s">
        <v>2106</v>
      </c>
      <c r="B1045" s="4" t="s">
        <v>2107</v>
      </c>
      <c r="C1045" s="4" t="s">
        <v>19</v>
      </c>
      <c r="D1045" s="4" t="s">
        <v>64</v>
      </c>
      <c r="E1045" s="5">
        <v>282.84059999999999</v>
      </c>
      <c r="F1045" s="5">
        <v>278.06630000000001</v>
      </c>
      <c r="G1045" s="5">
        <v>279.04250000000002</v>
      </c>
      <c r="H1045" s="4">
        <v>1</v>
      </c>
      <c r="I1045" s="6">
        <v>2743304</v>
      </c>
      <c r="J1045" s="7">
        <v>670.8</v>
      </c>
      <c r="K1045" s="9">
        <f>(PricingDataTable[[#This Row],[Current Price ($)]]-PricingDataTable[[#This Row],[Prior Price ($)]])/PricingDataTable[[#This Row],[Prior Price ($)]]</f>
        <v>-1.6879825597880864E-2</v>
      </c>
      <c r="L1045" s="9">
        <f>(PricingDataTable[[#This Row],[Vendor Price ($)]]-PricingDataTable[[#This Row],[Current Price ($)]])/PricingDataTable[[#This Row],[Current Price ($)]]</f>
        <v>3.5106735336141262E-3</v>
      </c>
      <c r="M1045" t="str">
        <f t="shared" si="32"/>
        <v>PASS</v>
      </c>
      <c r="N1045" s="10" t="str">
        <f t="shared" si="33"/>
        <v>NONE</v>
      </c>
    </row>
    <row r="1046" spans="1:14">
      <c r="A1046" s="4" t="s">
        <v>2108</v>
      </c>
      <c r="B1046" s="4" t="s">
        <v>2109</v>
      </c>
      <c r="C1046" s="4" t="s">
        <v>12</v>
      </c>
      <c r="D1046" s="4" t="s">
        <v>237</v>
      </c>
      <c r="E1046" s="5">
        <v>112.5757</v>
      </c>
      <c r="F1046" s="5">
        <v>113.158</v>
      </c>
      <c r="G1046" s="5">
        <v>112.9984</v>
      </c>
      <c r="H1046" s="4">
        <v>0</v>
      </c>
      <c r="I1046" s="6">
        <v>2807461</v>
      </c>
      <c r="J1046" s="7">
        <v>133.52000000000001</v>
      </c>
      <c r="K1046" s="9">
        <f>(PricingDataTable[[#This Row],[Current Price ($)]]-PricingDataTable[[#This Row],[Prior Price ($)]])/PricingDataTable[[#This Row],[Prior Price ($)]]</f>
        <v>5.1725194691216985E-3</v>
      </c>
      <c r="L1046" s="9">
        <f>(PricingDataTable[[#This Row],[Vendor Price ($)]]-PricingDataTable[[#This Row],[Current Price ($)]])/PricingDataTable[[#This Row],[Current Price ($)]]</f>
        <v>-1.4104172926350546E-3</v>
      </c>
      <c r="M1046" t="str">
        <f t="shared" si="32"/>
        <v>PASS</v>
      </c>
      <c r="N1046" s="10" t="str">
        <f t="shared" si="33"/>
        <v>NONE</v>
      </c>
    </row>
    <row r="1047" spans="1:14">
      <c r="A1047" s="4" t="s">
        <v>2110</v>
      </c>
      <c r="B1047" s="4" t="s">
        <v>2111</v>
      </c>
      <c r="C1047" s="4" t="s">
        <v>16</v>
      </c>
      <c r="D1047" s="4" t="s">
        <v>13</v>
      </c>
      <c r="E1047" s="5">
        <v>88.893100000000004</v>
      </c>
      <c r="F1047" s="5">
        <v>89.091999999999999</v>
      </c>
      <c r="G1047" s="5"/>
      <c r="H1047" s="4">
        <v>1</v>
      </c>
      <c r="I1047" s="6">
        <v>4051006</v>
      </c>
      <c r="J1047" s="7">
        <v>694.46</v>
      </c>
      <c r="K1047" s="9">
        <f>(PricingDataTable[[#This Row],[Current Price ($)]]-PricingDataTable[[#This Row],[Prior Price ($)]])/PricingDataTable[[#This Row],[Prior Price ($)]]</f>
        <v>2.2375189975374324E-3</v>
      </c>
      <c r="L1047" s="9">
        <f>(PricingDataTable[[#This Row],[Vendor Price ($)]]-PricingDataTable[[#This Row],[Current Price ($)]])/PricingDataTable[[#This Row],[Current Price ($)]]</f>
        <v>-1</v>
      </c>
      <c r="M1047" t="str">
        <f t="shared" si="32"/>
        <v>VENDOR DIFFERENCE</v>
      </c>
      <c r="N1047" s="10" t="str">
        <f t="shared" si="33"/>
        <v>HIGH</v>
      </c>
    </row>
    <row r="1048" spans="1:14">
      <c r="A1048" s="4" t="s">
        <v>2112</v>
      </c>
      <c r="B1048" s="4" t="s">
        <v>2113</v>
      </c>
      <c r="C1048" s="4" t="s">
        <v>19</v>
      </c>
      <c r="D1048" s="4" t="s">
        <v>13</v>
      </c>
      <c r="E1048" s="5">
        <v>233.2636</v>
      </c>
      <c r="F1048" s="5">
        <v>232.98339999999999</v>
      </c>
      <c r="G1048" s="5">
        <v>232.1575</v>
      </c>
      <c r="H1048" s="4">
        <v>5</v>
      </c>
      <c r="I1048" s="6">
        <v>3649521</v>
      </c>
      <c r="J1048" s="7">
        <v>692.79</v>
      </c>
      <c r="K1048" s="9">
        <f>(PricingDataTable[[#This Row],[Current Price ($)]]-PricingDataTable[[#This Row],[Prior Price ($)]])/PricingDataTable[[#This Row],[Prior Price ($)]]</f>
        <v>-1.2012161348792E-3</v>
      </c>
      <c r="L1048" s="9">
        <f>(PricingDataTable[[#This Row],[Vendor Price ($)]]-PricingDataTable[[#This Row],[Current Price ($)]])/PricingDataTable[[#This Row],[Current Price ($)]]</f>
        <v>-3.5448877473673668E-3</v>
      </c>
      <c r="M1048" t="str">
        <f t="shared" si="32"/>
        <v>STALE</v>
      </c>
      <c r="N1048" s="10" t="str">
        <f t="shared" si="33"/>
        <v>MEDIUM</v>
      </c>
    </row>
    <row r="1049" spans="1:14">
      <c r="A1049" s="4" t="s">
        <v>2114</v>
      </c>
      <c r="B1049" s="4" t="s">
        <v>2115</v>
      </c>
      <c r="C1049" s="4" t="s">
        <v>16</v>
      </c>
      <c r="D1049" s="4" t="s">
        <v>13</v>
      </c>
      <c r="E1049" s="5">
        <v>102.3562</v>
      </c>
      <c r="F1049" s="5">
        <v>100.35469999999999</v>
      </c>
      <c r="G1049" s="5">
        <v>100.23269999999999</v>
      </c>
      <c r="H1049" s="4">
        <v>0</v>
      </c>
      <c r="I1049" s="6">
        <v>3981541</v>
      </c>
      <c r="J1049" s="7">
        <v>746.63</v>
      </c>
      <c r="K1049" s="9">
        <f>(PricingDataTable[[#This Row],[Current Price ($)]]-PricingDataTable[[#This Row],[Prior Price ($)]])/PricingDataTable[[#This Row],[Prior Price ($)]]</f>
        <v>-1.9554262467735291E-2</v>
      </c>
      <c r="L1049" s="9">
        <f>(PricingDataTable[[#This Row],[Vendor Price ($)]]-PricingDataTable[[#This Row],[Current Price ($)]])/PricingDataTable[[#This Row],[Current Price ($)]]</f>
        <v>-1.2156879548242373E-3</v>
      </c>
      <c r="M1049" t="str">
        <f t="shared" si="32"/>
        <v>PASS</v>
      </c>
      <c r="N1049" s="10" t="str">
        <f t="shared" si="33"/>
        <v>NONE</v>
      </c>
    </row>
    <row r="1050" spans="1:14">
      <c r="A1050" s="4" t="s">
        <v>2116</v>
      </c>
      <c r="B1050" s="4" t="s">
        <v>2117</v>
      </c>
      <c r="C1050" s="4" t="s">
        <v>35</v>
      </c>
      <c r="D1050" s="4" t="s">
        <v>13</v>
      </c>
      <c r="E1050" s="5">
        <v>43.1083</v>
      </c>
      <c r="F1050" s="5">
        <v>42.832900000000002</v>
      </c>
      <c r="G1050" s="5">
        <v>42.990499999999997</v>
      </c>
      <c r="H1050" s="4">
        <v>0</v>
      </c>
      <c r="I1050" s="6">
        <v>4862732</v>
      </c>
      <c r="J1050" s="7">
        <v>228.88</v>
      </c>
      <c r="K1050" s="9">
        <f>(PricingDataTable[[#This Row],[Current Price ($)]]-PricingDataTable[[#This Row],[Prior Price ($)]])/PricingDataTable[[#This Row],[Prior Price ($)]]</f>
        <v>-6.3885609035846383E-3</v>
      </c>
      <c r="L1050" s="9">
        <f>(PricingDataTable[[#This Row],[Vendor Price ($)]]-PricingDataTable[[#This Row],[Current Price ($)]])/PricingDataTable[[#This Row],[Current Price ($)]]</f>
        <v>3.6794146555567116E-3</v>
      </c>
      <c r="M1050" t="str">
        <f t="shared" si="32"/>
        <v>PASS</v>
      </c>
      <c r="N1050" s="10" t="str">
        <f t="shared" si="33"/>
        <v>NONE</v>
      </c>
    </row>
    <row r="1051" spans="1:14">
      <c r="A1051" s="4" t="s">
        <v>2118</v>
      </c>
      <c r="B1051" s="4" t="s">
        <v>2119</v>
      </c>
      <c r="C1051" s="4" t="s">
        <v>16</v>
      </c>
      <c r="D1051" s="4" t="s">
        <v>13</v>
      </c>
      <c r="E1051" s="5">
        <v>122.60039999999999</v>
      </c>
      <c r="F1051" s="5">
        <v>121.1953</v>
      </c>
      <c r="G1051" s="5">
        <v>121.3099</v>
      </c>
      <c r="H1051" s="4">
        <v>1</v>
      </c>
      <c r="I1051" s="6">
        <v>4585759</v>
      </c>
      <c r="J1051" s="7">
        <v>845.94</v>
      </c>
      <c r="K1051" s="9">
        <f>(PricingDataTable[[#This Row],[Current Price ($)]]-PricingDataTable[[#This Row],[Prior Price ($)]])/PricingDataTable[[#This Row],[Prior Price ($)]]</f>
        <v>-1.1460810894581015E-2</v>
      </c>
      <c r="L1051" s="9">
        <f>(PricingDataTable[[#This Row],[Vendor Price ($)]]-PricingDataTable[[#This Row],[Current Price ($)]])/PricingDataTable[[#This Row],[Current Price ($)]]</f>
        <v>9.4558122303419205E-4</v>
      </c>
      <c r="M1051" t="str">
        <f t="shared" si="32"/>
        <v>PASS</v>
      </c>
      <c r="N1051" s="10" t="str">
        <f t="shared" si="33"/>
        <v>NONE</v>
      </c>
    </row>
    <row r="1052" spans="1:14">
      <c r="A1052" s="4" t="s">
        <v>2120</v>
      </c>
      <c r="B1052" s="4" t="s">
        <v>2121</v>
      </c>
      <c r="C1052" s="4" t="s">
        <v>39</v>
      </c>
      <c r="D1052" s="4" t="s">
        <v>32</v>
      </c>
      <c r="E1052" s="5">
        <v>270.23849999999999</v>
      </c>
      <c r="F1052" s="5">
        <v>271.55099999999999</v>
      </c>
      <c r="G1052" s="5">
        <v>270.19619999999998</v>
      </c>
      <c r="H1052" s="4">
        <v>0</v>
      </c>
      <c r="I1052" s="6">
        <v>973001</v>
      </c>
      <c r="J1052" s="7">
        <v>769.74</v>
      </c>
      <c r="K1052" s="9">
        <f>(PricingDataTable[[#This Row],[Current Price ($)]]-PricingDataTable[[#This Row],[Prior Price ($)]])/PricingDataTable[[#This Row],[Prior Price ($)]]</f>
        <v>4.8568209192990635E-3</v>
      </c>
      <c r="L1052" s="9">
        <f>(PricingDataTable[[#This Row],[Vendor Price ($)]]-PricingDataTable[[#This Row],[Current Price ($)]])/PricingDataTable[[#This Row],[Current Price ($)]]</f>
        <v>-4.9891180662196477E-3</v>
      </c>
      <c r="M1052" t="str">
        <f t="shared" si="32"/>
        <v>PASS</v>
      </c>
      <c r="N1052" s="10" t="str">
        <f t="shared" si="33"/>
        <v>NONE</v>
      </c>
    </row>
    <row r="1053" spans="1:14">
      <c r="A1053" s="4" t="s">
        <v>2122</v>
      </c>
      <c r="B1053" s="4" t="s">
        <v>2123</v>
      </c>
      <c r="C1053" s="4" t="s">
        <v>12</v>
      </c>
      <c r="D1053" s="4" t="s">
        <v>13</v>
      </c>
      <c r="E1053" s="5">
        <v>107.8051</v>
      </c>
      <c r="F1053" s="5">
        <v>109.1703</v>
      </c>
      <c r="G1053" s="5">
        <v>109.2012</v>
      </c>
      <c r="H1053" s="4">
        <v>0</v>
      </c>
      <c r="I1053" s="6">
        <v>2166881</v>
      </c>
      <c r="J1053" s="7">
        <v>152.29</v>
      </c>
      <c r="K1053" s="9">
        <f>(PricingDataTable[[#This Row],[Current Price ($)]]-PricingDataTable[[#This Row],[Prior Price ($)]])/PricingDataTable[[#This Row],[Prior Price ($)]]</f>
        <v>1.2663593837397317E-2</v>
      </c>
      <c r="L1053" s="9">
        <f>(PricingDataTable[[#This Row],[Vendor Price ($)]]-PricingDataTable[[#This Row],[Current Price ($)]])/PricingDataTable[[#This Row],[Current Price ($)]]</f>
        <v>2.8304401471831249E-4</v>
      </c>
      <c r="M1053" t="str">
        <f t="shared" si="32"/>
        <v>PASS</v>
      </c>
      <c r="N1053" s="10" t="str">
        <f t="shared" si="33"/>
        <v>NONE</v>
      </c>
    </row>
    <row r="1054" spans="1:14">
      <c r="A1054" s="4" t="s">
        <v>2124</v>
      </c>
      <c r="B1054" s="4" t="s">
        <v>2125</v>
      </c>
      <c r="C1054" s="4" t="s">
        <v>16</v>
      </c>
      <c r="D1054" s="4" t="s">
        <v>36</v>
      </c>
      <c r="E1054" s="5">
        <v>85.204700000000003</v>
      </c>
      <c r="F1054" s="5">
        <v>85.443299999999994</v>
      </c>
      <c r="G1054" s="5">
        <v>85.542900000000003</v>
      </c>
      <c r="H1054" s="4">
        <v>0</v>
      </c>
      <c r="I1054" s="6">
        <v>1306004</v>
      </c>
      <c r="J1054" s="7">
        <v>785.92</v>
      </c>
      <c r="K1054" s="9">
        <f>(PricingDataTable[[#This Row],[Current Price ($)]]-PricingDataTable[[#This Row],[Prior Price ($)]])/PricingDataTable[[#This Row],[Prior Price ($)]]</f>
        <v>2.8003150060969761E-3</v>
      </c>
      <c r="L1054" s="9">
        <f>(PricingDataTable[[#This Row],[Vendor Price ($)]]-PricingDataTable[[#This Row],[Current Price ($)]])/PricingDataTable[[#This Row],[Current Price ($)]]</f>
        <v>1.165685314120703E-3</v>
      </c>
      <c r="M1054" t="str">
        <f t="shared" si="32"/>
        <v>PASS</v>
      </c>
      <c r="N1054" s="10" t="str">
        <f t="shared" si="33"/>
        <v>NONE</v>
      </c>
    </row>
    <row r="1055" spans="1:14">
      <c r="A1055" s="4" t="s">
        <v>2126</v>
      </c>
      <c r="B1055" s="4" t="s">
        <v>2127</v>
      </c>
      <c r="C1055" s="4" t="s">
        <v>19</v>
      </c>
      <c r="D1055" s="4" t="s">
        <v>32</v>
      </c>
      <c r="E1055" s="5">
        <v>267.38920000000002</v>
      </c>
      <c r="F1055" s="5">
        <v>267.13600000000002</v>
      </c>
      <c r="G1055" s="5">
        <v>267.63529999999997</v>
      </c>
      <c r="H1055" s="4">
        <v>0</v>
      </c>
      <c r="I1055" s="6">
        <v>4285729</v>
      </c>
      <c r="J1055" s="7">
        <v>110.06</v>
      </c>
      <c r="K1055" s="9">
        <f>(PricingDataTable[[#This Row],[Current Price ($)]]-PricingDataTable[[#This Row],[Prior Price ($)]])/PricingDataTable[[#This Row],[Prior Price ($)]]</f>
        <v>-9.4693428156407411E-4</v>
      </c>
      <c r="L1055" s="9">
        <f>(PricingDataTable[[#This Row],[Vendor Price ($)]]-PricingDataTable[[#This Row],[Current Price ($)]])/PricingDataTable[[#This Row],[Current Price ($)]]</f>
        <v>1.8690854096787715E-3</v>
      </c>
      <c r="M1055" t="str">
        <f t="shared" si="32"/>
        <v>PASS</v>
      </c>
      <c r="N1055" s="10" t="str">
        <f t="shared" si="33"/>
        <v>NONE</v>
      </c>
    </row>
    <row r="1056" spans="1:14">
      <c r="A1056" s="4" t="s">
        <v>2128</v>
      </c>
      <c r="B1056" s="4" t="s">
        <v>2129</v>
      </c>
      <c r="C1056" s="4" t="s">
        <v>19</v>
      </c>
      <c r="D1056" s="4" t="s">
        <v>13</v>
      </c>
      <c r="E1056" s="5">
        <v>277.83800000000002</v>
      </c>
      <c r="F1056" s="5">
        <v>275.8424</v>
      </c>
      <c r="G1056" s="5">
        <v>276.4957</v>
      </c>
      <c r="H1056" s="4">
        <v>1</v>
      </c>
      <c r="I1056" s="6">
        <v>725978</v>
      </c>
      <c r="J1056" s="7">
        <v>892.91</v>
      </c>
      <c r="K1056" s="9">
        <f>(PricingDataTable[[#This Row],[Current Price ($)]]-PricingDataTable[[#This Row],[Prior Price ($)]])/PricingDataTable[[#This Row],[Prior Price ($)]]</f>
        <v>-7.1826028117105084E-3</v>
      </c>
      <c r="L1056" s="9">
        <f>(PricingDataTable[[#This Row],[Vendor Price ($)]]-PricingDataTable[[#This Row],[Current Price ($)]])/PricingDataTable[[#This Row],[Current Price ($)]]</f>
        <v>2.3683813655913724E-3</v>
      </c>
      <c r="M1056" t="str">
        <f t="shared" si="32"/>
        <v>PASS</v>
      </c>
      <c r="N1056" s="10" t="str">
        <f t="shared" si="33"/>
        <v>NONE</v>
      </c>
    </row>
    <row r="1057" spans="1:14">
      <c r="A1057" s="4" t="s">
        <v>2130</v>
      </c>
      <c r="B1057" s="4" t="s">
        <v>2131</v>
      </c>
      <c r="C1057" s="4" t="s">
        <v>19</v>
      </c>
      <c r="D1057" s="4" t="s">
        <v>13</v>
      </c>
      <c r="E1057" s="5">
        <v>243.8192</v>
      </c>
      <c r="F1057" s="5">
        <v>246.90940000000001</v>
      </c>
      <c r="G1057" s="5">
        <v>249.04740000000001</v>
      </c>
      <c r="H1057" s="4">
        <v>0</v>
      </c>
      <c r="I1057" s="6">
        <v>869802</v>
      </c>
      <c r="J1057" s="7">
        <v>726.59</v>
      </c>
      <c r="K1057" s="9">
        <f>(PricingDataTable[[#This Row],[Current Price ($)]]-PricingDataTable[[#This Row],[Prior Price ($)]])/PricingDataTable[[#This Row],[Prior Price ($)]]</f>
        <v>1.2674145432353194E-2</v>
      </c>
      <c r="L1057" s="9">
        <f>(PricingDataTable[[#This Row],[Vendor Price ($)]]-PricingDataTable[[#This Row],[Current Price ($)]])/PricingDataTable[[#This Row],[Current Price ($)]]</f>
        <v>8.659046597658919E-3</v>
      </c>
      <c r="M1057" t="str">
        <f t="shared" si="32"/>
        <v>PASS</v>
      </c>
      <c r="N1057" s="10" t="str">
        <f t="shared" si="33"/>
        <v>NONE</v>
      </c>
    </row>
    <row r="1058" spans="1:14">
      <c r="A1058" s="4" t="s">
        <v>2132</v>
      </c>
      <c r="B1058" s="4" t="s">
        <v>2133</v>
      </c>
      <c r="C1058" s="4" t="s">
        <v>19</v>
      </c>
      <c r="D1058" s="4" t="s">
        <v>13</v>
      </c>
      <c r="E1058" s="5">
        <v>173.33070000000001</v>
      </c>
      <c r="F1058" s="5">
        <v>170.57679999999999</v>
      </c>
      <c r="G1058" s="5">
        <v>170.16820000000001</v>
      </c>
      <c r="H1058" s="4">
        <v>1</v>
      </c>
      <c r="I1058" s="6">
        <v>4677294</v>
      </c>
      <c r="J1058" s="7">
        <v>693.8</v>
      </c>
      <c r="K1058" s="9">
        <f>(PricingDataTable[[#This Row],[Current Price ($)]]-PricingDataTable[[#This Row],[Prior Price ($)]])/PricingDataTable[[#This Row],[Prior Price ($)]]</f>
        <v>-1.5888125992683442E-2</v>
      </c>
      <c r="L1058" s="9">
        <f>(PricingDataTable[[#This Row],[Vendor Price ($)]]-PricingDataTable[[#This Row],[Current Price ($)]])/PricingDataTable[[#This Row],[Current Price ($)]]</f>
        <v>-2.3954019538411937E-3</v>
      </c>
      <c r="M1058" t="str">
        <f t="shared" si="32"/>
        <v>PASS</v>
      </c>
      <c r="N1058" s="10" t="str">
        <f t="shared" si="33"/>
        <v>NONE</v>
      </c>
    </row>
    <row r="1059" spans="1:14">
      <c r="A1059" s="4" t="s">
        <v>2134</v>
      </c>
      <c r="B1059" s="4" t="s">
        <v>2135</v>
      </c>
      <c r="C1059" s="4" t="s">
        <v>12</v>
      </c>
      <c r="D1059" s="4" t="s">
        <v>13</v>
      </c>
      <c r="E1059" s="5">
        <v>77.098200000000006</v>
      </c>
      <c r="F1059" s="5">
        <v>77.021799999999999</v>
      </c>
      <c r="G1059" s="5">
        <v>77.027600000000007</v>
      </c>
      <c r="H1059" s="4">
        <v>3</v>
      </c>
      <c r="I1059" s="6">
        <v>63392</v>
      </c>
      <c r="J1059" s="7">
        <v>872.63</v>
      </c>
      <c r="K1059" s="9">
        <f>(PricingDataTable[[#This Row],[Current Price ($)]]-PricingDataTable[[#This Row],[Prior Price ($)]])/PricingDataTable[[#This Row],[Prior Price ($)]]</f>
        <v>-9.9094401685132318E-4</v>
      </c>
      <c r="L1059" s="9">
        <f>(PricingDataTable[[#This Row],[Vendor Price ($)]]-PricingDataTable[[#This Row],[Current Price ($)]])/PricingDataTable[[#This Row],[Current Price ($)]]</f>
        <v>7.5303355673430101E-5</v>
      </c>
      <c r="M1059" t="str">
        <f t="shared" si="32"/>
        <v>STALE</v>
      </c>
      <c r="N1059" s="10" t="str">
        <f t="shared" si="33"/>
        <v>LOW</v>
      </c>
    </row>
    <row r="1060" spans="1:14">
      <c r="A1060" s="4" t="s">
        <v>2136</v>
      </c>
      <c r="B1060" s="4" t="s">
        <v>2137</v>
      </c>
      <c r="C1060" s="4" t="s">
        <v>19</v>
      </c>
      <c r="D1060" s="4" t="s">
        <v>13</v>
      </c>
      <c r="E1060" s="5">
        <v>186.01580000000001</v>
      </c>
      <c r="F1060" s="5">
        <v>186.3185</v>
      </c>
      <c r="G1060" s="5">
        <v>185.57300000000001</v>
      </c>
      <c r="H1060" s="4">
        <v>0</v>
      </c>
      <c r="I1060" s="6">
        <v>273462</v>
      </c>
      <c r="J1060" s="7">
        <v>707.57</v>
      </c>
      <c r="K1060" s="9">
        <f>(PricingDataTable[[#This Row],[Current Price ($)]]-PricingDataTable[[#This Row],[Prior Price ($)]])/PricingDataTable[[#This Row],[Prior Price ($)]]</f>
        <v>1.627281123431382E-3</v>
      </c>
      <c r="L1060" s="9">
        <f>(PricingDataTable[[#This Row],[Vendor Price ($)]]-PricingDataTable[[#This Row],[Current Price ($)]])/PricingDataTable[[#This Row],[Current Price ($)]]</f>
        <v>-4.0012129767038312E-3</v>
      </c>
      <c r="M1060" t="str">
        <f t="shared" si="32"/>
        <v>PASS</v>
      </c>
      <c r="N1060" s="10" t="str">
        <f t="shared" si="33"/>
        <v>NONE</v>
      </c>
    </row>
    <row r="1061" spans="1:14">
      <c r="A1061" s="4" t="s">
        <v>2138</v>
      </c>
      <c r="B1061" s="4" t="s">
        <v>2139</v>
      </c>
      <c r="C1061" s="4" t="s">
        <v>19</v>
      </c>
      <c r="D1061" s="4" t="s">
        <v>13</v>
      </c>
      <c r="E1061" s="5">
        <v>153.56909999999999</v>
      </c>
      <c r="F1061" s="5">
        <v>154.4179</v>
      </c>
      <c r="G1061" s="5">
        <v>154.47120000000001</v>
      </c>
      <c r="H1061" s="4">
        <v>5</v>
      </c>
      <c r="I1061" s="6">
        <v>1284765</v>
      </c>
      <c r="J1061" s="7">
        <v>252.75</v>
      </c>
      <c r="K1061" s="9">
        <f>(PricingDataTable[[#This Row],[Current Price ($)]]-PricingDataTable[[#This Row],[Prior Price ($)]])/PricingDataTable[[#This Row],[Prior Price ($)]]</f>
        <v>5.5271535745147387E-3</v>
      </c>
      <c r="L1061" s="9">
        <f>(PricingDataTable[[#This Row],[Vendor Price ($)]]-PricingDataTable[[#This Row],[Current Price ($)]])/PricingDataTable[[#This Row],[Current Price ($)]]</f>
        <v>3.4516723773608647E-4</v>
      </c>
      <c r="M1061" t="str">
        <f t="shared" si="32"/>
        <v>STALE</v>
      </c>
      <c r="N1061" s="10" t="str">
        <f t="shared" si="33"/>
        <v>MEDIUM</v>
      </c>
    </row>
    <row r="1062" spans="1:14">
      <c r="A1062" s="4" t="s">
        <v>2140</v>
      </c>
      <c r="B1062" s="4" t="s">
        <v>2141</v>
      </c>
      <c r="C1062" s="4" t="s">
        <v>35</v>
      </c>
      <c r="D1062" s="4" t="s">
        <v>13</v>
      </c>
      <c r="E1062" s="5">
        <v>90.695099999999996</v>
      </c>
      <c r="F1062" s="5">
        <v>100.2038</v>
      </c>
      <c r="G1062" s="5">
        <v>99.897300000000001</v>
      </c>
      <c r="H1062" s="4">
        <v>2</v>
      </c>
      <c r="I1062" s="6">
        <v>840889</v>
      </c>
      <c r="J1062" s="7">
        <v>326.41000000000003</v>
      </c>
      <c r="K1062" s="9">
        <f>(PricingDataTable[[#This Row],[Current Price ($)]]-PricingDataTable[[#This Row],[Prior Price ($)]])/PricingDataTable[[#This Row],[Prior Price ($)]]</f>
        <v>0.10484248873423156</v>
      </c>
      <c r="L1062" s="9">
        <f>(PricingDataTable[[#This Row],[Vendor Price ($)]]-PricingDataTable[[#This Row],[Current Price ($)]])/PricingDataTable[[#This Row],[Current Price ($)]]</f>
        <v>-3.0587662344142615E-3</v>
      </c>
      <c r="M1062" t="str">
        <f t="shared" si="32"/>
        <v>LARGE MOVE</v>
      </c>
      <c r="N1062" s="10" t="str">
        <f t="shared" si="33"/>
        <v>HIGH</v>
      </c>
    </row>
    <row r="1063" spans="1:14">
      <c r="A1063" s="4" t="s">
        <v>2142</v>
      </c>
      <c r="B1063" s="4" t="s">
        <v>2143</v>
      </c>
      <c r="C1063" s="4" t="s">
        <v>39</v>
      </c>
      <c r="D1063" s="4" t="s">
        <v>13</v>
      </c>
      <c r="E1063" s="5">
        <v>50.314599999999999</v>
      </c>
      <c r="F1063" s="5">
        <v>49.607100000000003</v>
      </c>
      <c r="G1063" s="5">
        <v>49.516300000000001</v>
      </c>
      <c r="H1063" s="4">
        <v>0</v>
      </c>
      <c r="I1063" s="6">
        <v>669262</v>
      </c>
      <c r="J1063" s="7">
        <v>730.46</v>
      </c>
      <c r="K1063" s="9">
        <f>(PricingDataTable[[#This Row],[Current Price ($)]]-PricingDataTable[[#This Row],[Prior Price ($)]])/PricingDataTable[[#This Row],[Prior Price ($)]]</f>
        <v>-1.4061524885420854E-2</v>
      </c>
      <c r="L1063" s="9">
        <f>(PricingDataTable[[#This Row],[Vendor Price ($)]]-PricingDataTable[[#This Row],[Current Price ($)]])/PricingDataTable[[#This Row],[Current Price ($)]]</f>
        <v>-1.8303831507990094E-3</v>
      </c>
      <c r="M1063" t="str">
        <f t="shared" si="32"/>
        <v>PASS</v>
      </c>
      <c r="N1063" s="10" t="str">
        <f t="shared" si="33"/>
        <v>NONE</v>
      </c>
    </row>
    <row r="1064" spans="1:14">
      <c r="A1064" s="4" t="s">
        <v>2144</v>
      </c>
      <c r="B1064" s="4" t="s">
        <v>2145</v>
      </c>
      <c r="C1064" s="4" t="s">
        <v>39</v>
      </c>
      <c r="D1064" s="4" t="s">
        <v>13</v>
      </c>
      <c r="E1064" s="5">
        <v>317.96120000000002</v>
      </c>
      <c r="F1064" s="5">
        <v>317.00110000000001</v>
      </c>
      <c r="G1064" s="5">
        <v>316.63479999999998</v>
      </c>
      <c r="H1064" s="4">
        <v>0</v>
      </c>
      <c r="I1064" s="6">
        <v>2796642</v>
      </c>
      <c r="J1064" s="7">
        <v>242.29</v>
      </c>
      <c r="K1064" s="9">
        <f>(PricingDataTable[[#This Row],[Current Price ($)]]-PricingDataTable[[#This Row],[Prior Price ($)]])/PricingDataTable[[#This Row],[Prior Price ($)]]</f>
        <v>-3.0195508131181138E-3</v>
      </c>
      <c r="L1064" s="9">
        <f>(PricingDataTable[[#This Row],[Vendor Price ($)]]-PricingDataTable[[#This Row],[Current Price ($)]])/PricingDataTable[[#This Row],[Current Price ($)]]</f>
        <v>-1.155516495053247E-3</v>
      </c>
      <c r="M1064" t="str">
        <f t="shared" si="32"/>
        <v>PASS</v>
      </c>
      <c r="N1064" s="10" t="str">
        <f t="shared" si="33"/>
        <v>NONE</v>
      </c>
    </row>
    <row r="1065" spans="1:14">
      <c r="A1065" s="4" t="s">
        <v>2146</v>
      </c>
      <c r="B1065" s="4" t="s">
        <v>2147</v>
      </c>
      <c r="C1065" s="4" t="s">
        <v>19</v>
      </c>
      <c r="D1065" s="4" t="s">
        <v>36</v>
      </c>
      <c r="E1065" s="5">
        <v>209.20009999999999</v>
      </c>
      <c r="F1065" s="5">
        <v>211.43819999999999</v>
      </c>
      <c r="G1065" s="5">
        <v>211.88730000000001</v>
      </c>
      <c r="H1065" s="4">
        <v>0</v>
      </c>
      <c r="I1065" s="6">
        <v>4708606</v>
      </c>
      <c r="J1065" s="7">
        <v>805.54</v>
      </c>
      <c r="K1065" s="9">
        <f>(PricingDataTable[[#This Row],[Current Price ($)]]-PricingDataTable[[#This Row],[Prior Price ($)]])/PricingDataTable[[#This Row],[Prior Price ($)]]</f>
        <v>1.0698369647050851E-2</v>
      </c>
      <c r="L1065" s="9">
        <f>(PricingDataTable[[#This Row],[Vendor Price ($)]]-PricingDataTable[[#This Row],[Current Price ($)]])/PricingDataTable[[#This Row],[Current Price ($)]]</f>
        <v>2.124024892379975E-3</v>
      </c>
      <c r="M1065" t="str">
        <f t="shared" si="32"/>
        <v>PASS</v>
      </c>
      <c r="N1065" s="10" t="str">
        <f t="shared" si="33"/>
        <v>NONE</v>
      </c>
    </row>
    <row r="1066" spans="1:14">
      <c r="A1066" s="4" t="s">
        <v>2148</v>
      </c>
      <c r="B1066" s="4" t="s">
        <v>2149</v>
      </c>
      <c r="C1066" s="4" t="s">
        <v>19</v>
      </c>
      <c r="D1066" s="4" t="s">
        <v>13</v>
      </c>
      <c r="E1066" s="5">
        <v>322.01179999999999</v>
      </c>
      <c r="F1066" s="5">
        <v>321.46010000000001</v>
      </c>
      <c r="G1066" s="5">
        <v>321.0299</v>
      </c>
      <c r="H1066" s="4">
        <v>1</v>
      </c>
      <c r="I1066" s="6">
        <v>4276543</v>
      </c>
      <c r="J1066" s="7">
        <v>214.88</v>
      </c>
      <c r="K1066" s="9">
        <f>(PricingDataTable[[#This Row],[Current Price ($)]]-PricingDataTable[[#This Row],[Prior Price ($)]])/PricingDataTable[[#This Row],[Prior Price ($)]]</f>
        <v>-1.7132912520596529E-3</v>
      </c>
      <c r="L1066" s="9">
        <f>(PricingDataTable[[#This Row],[Vendor Price ($)]]-PricingDataTable[[#This Row],[Current Price ($)]])/PricingDataTable[[#This Row],[Current Price ($)]]</f>
        <v>-1.3382687307072121E-3</v>
      </c>
      <c r="M1066" t="str">
        <f t="shared" si="32"/>
        <v>PASS</v>
      </c>
      <c r="N1066" s="10" t="str">
        <f t="shared" si="33"/>
        <v>NONE</v>
      </c>
    </row>
    <row r="1067" spans="1:14">
      <c r="A1067" s="4" t="s">
        <v>2150</v>
      </c>
      <c r="B1067" s="4" t="s">
        <v>2151</v>
      </c>
      <c r="C1067" s="4" t="s">
        <v>12</v>
      </c>
      <c r="D1067" s="4" t="s">
        <v>64</v>
      </c>
      <c r="E1067" s="5">
        <v>103.83450000000001</v>
      </c>
      <c r="F1067" s="5">
        <v>103.5324</v>
      </c>
      <c r="G1067" s="5">
        <v>102.94070000000001</v>
      </c>
      <c r="H1067" s="4">
        <v>0</v>
      </c>
      <c r="I1067" s="6">
        <v>4428349</v>
      </c>
      <c r="J1067" s="7">
        <v>263.58</v>
      </c>
      <c r="K1067" s="9">
        <f>(PricingDataTable[[#This Row],[Current Price ($)]]-PricingDataTable[[#This Row],[Prior Price ($)]])/PricingDataTable[[#This Row],[Prior Price ($)]]</f>
        <v>-2.9094376146657423E-3</v>
      </c>
      <c r="L1067" s="9">
        <f>(PricingDataTable[[#This Row],[Vendor Price ($)]]-PricingDataTable[[#This Row],[Current Price ($)]])/PricingDataTable[[#This Row],[Current Price ($)]]</f>
        <v>-5.7151191317885881E-3</v>
      </c>
      <c r="M1067" t="str">
        <f t="shared" si="32"/>
        <v>PASS</v>
      </c>
      <c r="N1067" s="10" t="str">
        <f t="shared" si="33"/>
        <v>NONE</v>
      </c>
    </row>
    <row r="1068" spans="1:14">
      <c r="A1068" s="4" t="s">
        <v>2152</v>
      </c>
      <c r="B1068" s="4" t="s">
        <v>2153</v>
      </c>
      <c r="C1068" s="4" t="s">
        <v>35</v>
      </c>
      <c r="D1068" s="4" t="s">
        <v>13</v>
      </c>
      <c r="E1068" s="5">
        <v>104.943</v>
      </c>
      <c r="F1068" s="5">
        <v>104.7315</v>
      </c>
      <c r="G1068" s="5"/>
      <c r="H1068" s="4">
        <v>0</v>
      </c>
      <c r="I1068" s="6">
        <v>962424</v>
      </c>
      <c r="J1068" s="7">
        <v>365.11</v>
      </c>
      <c r="K1068" s="9">
        <f>(PricingDataTable[[#This Row],[Current Price ($)]]-PricingDataTable[[#This Row],[Prior Price ($)]])/PricingDataTable[[#This Row],[Prior Price ($)]]</f>
        <v>-2.0153797775935593E-3</v>
      </c>
      <c r="L1068" s="9">
        <f>(PricingDataTable[[#This Row],[Vendor Price ($)]]-PricingDataTable[[#This Row],[Current Price ($)]])/PricingDataTable[[#This Row],[Current Price ($)]]</f>
        <v>-1</v>
      </c>
      <c r="M1068" t="str">
        <f t="shared" si="32"/>
        <v>VENDOR DIFFERENCE</v>
      </c>
      <c r="N1068" s="10" t="str">
        <f t="shared" si="33"/>
        <v>HIGH</v>
      </c>
    </row>
    <row r="1069" spans="1:14">
      <c r="A1069" s="4" t="s">
        <v>2154</v>
      </c>
      <c r="B1069" s="4" t="s">
        <v>2155</v>
      </c>
      <c r="C1069" s="4" t="s">
        <v>12</v>
      </c>
      <c r="D1069" s="4" t="s">
        <v>13</v>
      </c>
      <c r="E1069" s="5">
        <v>115.7223</v>
      </c>
      <c r="F1069" s="5">
        <v>112.5436</v>
      </c>
      <c r="G1069" s="5">
        <v>112.1174</v>
      </c>
      <c r="H1069" s="4">
        <v>0</v>
      </c>
      <c r="I1069" s="6">
        <v>606651</v>
      </c>
      <c r="J1069" s="7">
        <v>615.72</v>
      </c>
      <c r="K1069" s="9">
        <f>(PricingDataTable[[#This Row],[Current Price ($)]]-PricingDataTable[[#This Row],[Prior Price ($)]])/PricingDataTable[[#This Row],[Prior Price ($)]]</f>
        <v>-2.7468344476388788E-2</v>
      </c>
      <c r="L1069" s="9">
        <f>(PricingDataTable[[#This Row],[Vendor Price ($)]]-PricingDataTable[[#This Row],[Current Price ($)]])/PricingDataTable[[#This Row],[Current Price ($)]]</f>
        <v>-3.7869767805543309E-3</v>
      </c>
      <c r="M1069" t="str">
        <f t="shared" si="32"/>
        <v>PASS</v>
      </c>
      <c r="N1069" s="10" t="str">
        <f t="shared" si="33"/>
        <v>NONE</v>
      </c>
    </row>
    <row r="1070" spans="1:14">
      <c r="A1070" s="4" t="s">
        <v>2156</v>
      </c>
      <c r="B1070" s="4" t="s">
        <v>2157</v>
      </c>
      <c r="C1070" s="4" t="s">
        <v>19</v>
      </c>
      <c r="D1070" s="4" t="s">
        <v>13</v>
      </c>
      <c r="E1070" s="5">
        <v>8.9635999999999996</v>
      </c>
      <c r="F1070" s="5">
        <v>8.9764999999999997</v>
      </c>
      <c r="G1070" s="5">
        <v>8.9892000000000003</v>
      </c>
      <c r="H1070" s="4">
        <v>0</v>
      </c>
      <c r="I1070" s="6">
        <v>1034846</v>
      </c>
      <c r="J1070" s="7">
        <v>781.95</v>
      </c>
      <c r="K1070" s="9">
        <f>(PricingDataTable[[#This Row],[Current Price ($)]]-PricingDataTable[[#This Row],[Prior Price ($)]])/PricingDataTable[[#This Row],[Prior Price ($)]]</f>
        <v>1.439153911374909E-3</v>
      </c>
      <c r="L1070" s="9">
        <f>(PricingDataTable[[#This Row],[Vendor Price ($)]]-PricingDataTable[[#This Row],[Current Price ($)]])/PricingDataTable[[#This Row],[Current Price ($)]]</f>
        <v>1.4148053250153847E-3</v>
      </c>
      <c r="M1070" t="str">
        <f t="shared" si="32"/>
        <v>PASS</v>
      </c>
      <c r="N1070" s="10" t="str">
        <f t="shared" si="33"/>
        <v>NONE</v>
      </c>
    </row>
    <row r="1071" spans="1:14">
      <c r="A1071" s="4" t="s">
        <v>2158</v>
      </c>
      <c r="B1071" s="4" t="s">
        <v>2159</v>
      </c>
      <c r="C1071" s="4" t="s">
        <v>16</v>
      </c>
      <c r="D1071" s="4" t="s">
        <v>13</v>
      </c>
      <c r="E1071" s="5">
        <v>88.753200000000007</v>
      </c>
      <c r="F1071" s="5">
        <v>87.661199999999994</v>
      </c>
      <c r="G1071" s="5">
        <v>87.217299999999994</v>
      </c>
      <c r="H1071" s="4">
        <v>0</v>
      </c>
      <c r="I1071" s="6">
        <v>2037489</v>
      </c>
      <c r="J1071" s="7">
        <v>441.02</v>
      </c>
      <c r="K1071" s="9">
        <f>(PricingDataTable[[#This Row],[Current Price ($)]]-PricingDataTable[[#This Row],[Prior Price ($)]])/PricingDataTable[[#This Row],[Prior Price ($)]]</f>
        <v>-1.2303781722799998E-2</v>
      </c>
      <c r="L1071" s="9">
        <f>(PricingDataTable[[#This Row],[Vendor Price ($)]]-PricingDataTable[[#This Row],[Current Price ($)]])/PricingDataTable[[#This Row],[Current Price ($)]]</f>
        <v>-5.0638138651991913E-3</v>
      </c>
      <c r="M1071" t="str">
        <f t="shared" si="32"/>
        <v>PASS</v>
      </c>
      <c r="N1071" s="10" t="str">
        <f t="shared" si="33"/>
        <v>NONE</v>
      </c>
    </row>
    <row r="1072" spans="1:14">
      <c r="A1072" s="4" t="s">
        <v>2160</v>
      </c>
      <c r="B1072" s="4" t="s">
        <v>2161</v>
      </c>
      <c r="C1072" s="4" t="s">
        <v>19</v>
      </c>
      <c r="D1072" s="4" t="s">
        <v>13</v>
      </c>
      <c r="E1072" s="5">
        <v>166.54519999999999</v>
      </c>
      <c r="F1072" s="5">
        <v>170.4272</v>
      </c>
      <c r="G1072" s="5">
        <v>170.8305</v>
      </c>
      <c r="H1072" s="4">
        <v>0</v>
      </c>
      <c r="I1072" s="6">
        <v>1181259</v>
      </c>
      <c r="J1072" s="7">
        <v>255.24</v>
      </c>
      <c r="K1072" s="9">
        <f>(PricingDataTable[[#This Row],[Current Price ($)]]-PricingDataTable[[#This Row],[Prior Price ($)]])/PricingDataTable[[#This Row],[Prior Price ($)]]</f>
        <v>2.3308987590155737E-2</v>
      </c>
      <c r="L1072" s="9">
        <f>(PricingDataTable[[#This Row],[Vendor Price ($)]]-PricingDataTable[[#This Row],[Current Price ($)]])/PricingDataTable[[#This Row],[Current Price ($)]]</f>
        <v>2.366406301341579E-3</v>
      </c>
      <c r="M1072" t="str">
        <f t="shared" si="32"/>
        <v>PASS</v>
      </c>
      <c r="N1072" s="10" t="str">
        <f t="shared" si="33"/>
        <v>NONE</v>
      </c>
    </row>
    <row r="1073" spans="1:14">
      <c r="A1073" s="4" t="s">
        <v>2162</v>
      </c>
      <c r="B1073" s="4" t="s">
        <v>2163</v>
      </c>
      <c r="C1073" s="4" t="s">
        <v>39</v>
      </c>
      <c r="D1073" s="4" t="s">
        <v>13</v>
      </c>
      <c r="E1073" s="5">
        <v>268.82060000000001</v>
      </c>
      <c r="F1073" s="5">
        <v>272.07709999999997</v>
      </c>
      <c r="G1073" s="5">
        <v>272.43540000000002</v>
      </c>
      <c r="H1073" s="4">
        <v>0</v>
      </c>
      <c r="I1073" s="6">
        <v>3277547</v>
      </c>
      <c r="J1073" s="7">
        <v>242.82</v>
      </c>
      <c r="K1073" s="9">
        <f>(PricingDataTable[[#This Row],[Current Price ($)]]-PricingDataTable[[#This Row],[Prior Price ($)]])/PricingDataTable[[#This Row],[Prior Price ($)]]</f>
        <v>1.2114026975611095E-2</v>
      </c>
      <c r="L1073" s="9">
        <f>(PricingDataTable[[#This Row],[Vendor Price ($)]]-PricingDataTable[[#This Row],[Current Price ($)]])/PricingDataTable[[#This Row],[Current Price ($)]]</f>
        <v>1.3169061269766641E-3</v>
      </c>
      <c r="M1073" t="str">
        <f t="shared" si="32"/>
        <v>PASS</v>
      </c>
      <c r="N1073" s="10" t="str">
        <f t="shared" si="33"/>
        <v>NONE</v>
      </c>
    </row>
    <row r="1074" spans="1:14">
      <c r="A1074" s="4" t="s">
        <v>2164</v>
      </c>
      <c r="B1074" s="4" t="s">
        <v>2165</v>
      </c>
      <c r="C1074" s="4" t="s">
        <v>16</v>
      </c>
      <c r="D1074" s="4" t="s">
        <v>13</v>
      </c>
      <c r="E1074" s="5">
        <v>114.0504</v>
      </c>
      <c r="F1074" s="5">
        <v>113.2253</v>
      </c>
      <c r="G1074" s="5">
        <v>112.9606</v>
      </c>
      <c r="H1074" s="4">
        <v>0</v>
      </c>
      <c r="I1074" s="6">
        <v>3111781</v>
      </c>
      <c r="J1074" s="7">
        <v>469.92</v>
      </c>
      <c r="K1074" s="9">
        <f>(PricingDataTable[[#This Row],[Current Price ($)]]-PricingDataTable[[#This Row],[Prior Price ($)]])/PricingDataTable[[#This Row],[Prior Price ($)]]</f>
        <v>-7.2345208784887378E-3</v>
      </c>
      <c r="L1074" s="9">
        <f>(PricingDataTable[[#This Row],[Vendor Price ($)]]-PricingDataTable[[#This Row],[Current Price ($)]])/PricingDataTable[[#This Row],[Current Price ($)]]</f>
        <v>-2.3378167247073297E-3</v>
      </c>
      <c r="M1074" t="str">
        <f t="shared" si="32"/>
        <v>PASS</v>
      </c>
      <c r="N1074" s="10" t="str">
        <f t="shared" si="33"/>
        <v>NONE</v>
      </c>
    </row>
    <row r="1075" spans="1:14">
      <c r="A1075" s="4" t="s">
        <v>2166</v>
      </c>
      <c r="B1075" s="4" t="s">
        <v>2167</v>
      </c>
      <c r="C1075" s="4" t="s">
        <v>19</v>
      </c>
      <c r="D1075" s="4" t="s">
        <v>13</v>
      </c>
      <c r="E1075" s="5">
        <v>281.41579999999999</v>
      </c>
      <c r="F1075" s="5">
        <v>281.40030000000002</v>
      </c>
      <c r="G1075" s="5">
        <v>281.2294</v>
      </c>
      <c r="H1075" s="4">
        <v>0</v>
      </c>
      <c r="I1075" s="6">
        <v>4664715</v>
      </c>
      <c r="J1075" s="7">
        <v>770.29</v>
      </c>
      <c r="K1075" s="9">
        <f>(PricingDataTable[[#This Row],[Current Price ($)]]-PricingDataTable[[#This Row],[Prior Price ($)]])/PricingDataTable[[#This Row],[Prior Price ($)]]</f>
        <v>-5.5078641639789007E-5</v>
      </c>
      <c r="L1075" s="9">
        <f>(PricingDataTable[[#This Row],[Vendor Price ($)]]-PricingDataTable[[#This Row],[Current Price ($)]])/PricingDataTable[[#This Row],[Current Price ($)]]</f>
        <v>-6.0731989269385063E-4</v>
      </c>
      <c r="M1075" t="str">
        <f t="shared" si="32"/>
        <v>PASS</v>
      </c>
      <c r="N1075" s="10" t="str">
        <f t="shared" si="33"/>
        <v>NONE</v>
      </c>
    </row>
    <row r="1076" spans="1:14">
      <c r="A1076" s="4" t="s">
        <v>2168</v>
      </c>
      <c r="B1076" s="4" t="s">
        <v>2169</v>
      </c>
      <c r="C1076" s="4" t="s">
        <v>35</v>
      </c>
      <c r="D1076" s="4" t="s">
        <v>13</v>
      </c>
      <c r="E1076" s="5">
        <v>175.9864</v>
      </c>
      <c r="F1076" s="5">
        <v>181.3152</v>
      </c>
      <c r="G1076" s="5"/>
      <c r="H1076" s="4">
        <v>0</v>
      </c>
      <c r="I1076" s="6">
        <v>1623517</v>
      </c>
      <c r="J1076" s="7">
        <v>168.8</v>
      </c>
      <c r="K1076" s="9">
        <f>(PricingDataTable[[#This Row],[Current Price ($)]]-PricingDataTable[[#This Row],[Prior Price ($)]])/PricingDataTable[[#This Row],[Prior Price ($)]]</f>
        <v>3.0279612515512568E-2</v>
      </c>
      <c r="L1076" s="9">
        <f>(PricingDataTable[[#This Row],[Vendor Price ($)]]-PricingDataTable[[#This Row],[Current Price ($)]])/PricingDataTable[[#This Row],[Current Price ($)]]</f>
        <v>-1</v>
      </c>
      <c r="M1076" t="str">
        <f t="shared" si="32"/>
        <v>VENDOR DIFFERENCE</v>
      </c>
      <c r="N1076" s="10" t="str">
        <f t="shared" si="33"/>
        <v>HIGH</v>
      </c>
    </row>
    <row r="1077" spans="1:14">
      <c r="A1077" s="4" t="s">
        <v>2170</v>
      </c>
      <c r="B1077" s="4" t="s">
        <v>2171</v>
      </c>
      <c r="C1077" s="4" t="s">
        <v>12</v>
      </c>
      <c r="D1077" s="4" t="s">
        <v>13</v>
      </c>
      <c r="E1077" s="5">
        <v>109.8013</v>
      </c>
      <c r="F1077" s="5">
        <v>109.6806</v>
      </c>
      <c r="G1077" s="5">
        <v>109.898</v>
      </c>
      <c r="H1077" s="4">
        <v>0</v>
      </c>
      <c r="I1077" s="6">
        <v>3959202</v>
      </c>
      <c r="J1077" s="7">
        <v>562.23</v>
      </c>
      <c r="K1077" s="9">
        <f>(PricingDataTable[[#This Row],[Current Price ($)]]-PricingDataTable[[#This Row],[Prior Price ($)]])/PricingDataTable[[#This Row],[Prior Price ($)]]</f>
        <v>-1.0992583876511422E-3</v>
      </c>
      <c r="L1077" s="9">
        <f>(PricingDataTable[[#This Row],[Vendor Price ($)]]-PricingDataTable[[#This Row],[Current Price ($)]])/PricingDataTable[[#This Row],[Current Price ($)]]</f>
        <v>1.9821189891375303E-3</v>
      </c>
      <c r="M1077" t="str">
        <f t="shared" si="32"/>
        <v>PASS</v>
      </c>
      <c r="N1077" s="10" t="str">
        <f t="shared" si="33"/>
        <v>NONE</v>
      </c>
    </row>
    <row r="1078" spans="1:14">
      <c r="A1078" s="4" t="s">
        <v>2172</v>
      </c>
      <c r="B1078" s="4" t="s">
        <v>2173</v>
      </c>
      <c r="C1078" s="4" t="s">
        <v>19</v>
      </c>
      <c r="D1078" s="4" t="s">
        <v>13</v>
      </c>
      <c r="E1078" s="5">
        <v>169.2133</v>
      </c>
      <c r="F1078" s="5">
        <v>169.31469999999999</v>
      </c>
      <c r="G1078" s="5">
        <v>169.7715</v>
      </c>
      <c r="H1078" s="4">
        <v>0</v>
      </c>
      <c r="I1078" s="6">
        <v>1150203</v>
      </c>
      <c r="J1078" s="7">
        <v>208.33</v>
      </c>
      <c r="K1078" s="9">
        <f>(PricingDataTable[[#This Row],[Current Price ($)]]-PricingDataTable[[#This Row],[Prior Price ($)]])/PricingDataTable[[#This Row],[Prior Price ($)]]</f>
        <v>5.9924367647214464E-4</v>
      </c>
      <c r="L1078" s="9">
        <f>(PricingDataTable[[#This Row],[Vendor Price ($)]]-PricingDataTable[[#This Row],[Current Price ($)]])/PricingDataTable[[#This Row],[Current Price ($)]]</f>
        <v>2.6979346743077563E-3</v>
      </c>
      <c r="M1078" t="str">
        <f t="shared" si="32"/>
        <v>PASS</v>
      </c>
      <c r="N1078" s="10" t="str">
        <f t="shared" si="33"/>
        <v>NONE</v>
      </c>
    </row>
    <row r="1079" spans="1:14">
      <c r="A1079" s="4" t="s">
        <v>2174</v>
      </c>
      <c r="B1079" s="4" t="s">
        <v>2175</v>
      </c>
      <c r="C1079" s="4" t="s">
        <v>16</v>
      </c>
      <c r="D1079" s="4" t="s">
        <v>13</v>
      </c>
      <c r="E1079" s="5">
        <v>111.9308</v>
      </c>
      <c r="F1079" s="5">
        <v>115.18089999999999</v>
      </c>
      <c r="G1079" s="5">
        <v>115.8096</v>
      </c>
      <c r="H1079" s="4">
        <v>0</v>
      </c>
      <c r="I1079" s="6">
        <v>308156</v>
      </c>
      <c r="J1079" s="7">
        <v>230.96</v>
      </c>
      <c r="K1079" s="9">
        <f>(PricingDataTable[[#This Row],[Current Price ($)]]-PricingDataTable[[#This Row],[Prior Price ($)]])/PricingDataTable[[#This Row],[Prior Price ($)]]</f>
        <v>2.9036690526646723E-2</v>
      </c>
      <c r="L1079" s="9">
        <f>(PricingDataTable[[#This Row],[Vendor Price ($)]]-PricingDataTable[[#This Row],[Current Price ($)]])/PricingDataTable[[#This Row],[Current Price ($)]]</f>
        <v>5.4583702679872198E-3</v>
      </c>
      <c r="M1079" t="str">
        <f t="shared" si="32"/>
        <v>PASS</v>
      </c>
      <c r="N1079" s="10" t="str">
        <f t="shared" si="33"/>
        <v>NONE</v>
      </c>
    </row>
    <row r="1080" spans="1:14">
      <c r="A1080" s="4" t="s">
        <v>2176</v>
      </c>
      <c r="B1080" s="4" t="s">
        <v>2177</v>
      </c>
      <c r="C1080" s="4" t="s">
        <v>19</v>
      </c>
      <c r="D1080" s="4" t="s">
        <v>13</v>
      </c>
      <c r="E1080" s="5">
        <v>209.31020000000001</v>
      </c>
      <c r="F1080" s="5">
        <v>207.6746</v>
      </c>
      <c r="G1080" s="5">
        <v>207.80680000000001</v>
      </c>
      <c r="H1080" s="4">
        <v>0</v>
      </c>
      <c r="I1080" s="6">
        <v>4504768</v>
      </c>
      <c r="J1080" s="7">
        <v>671.83</v>
      </c>
      <c r="K1080" s="9">
        <f>(PricingDataTable[[#This Row],[Current Price ($)]]-PricingDataTable[[#This Row],[Prior Price ($)]])/PricingDataTable[[#This Row],[Prior Price ($)]]</f>
        <v>-7.814239344284277E-3</v>
      </c>
      <c r="L1080" s="9">
        <f>(PricingDataTable[[#This Row],[Vendor Price ($)]]-PricingDataTable[[#This Row],[Current Price ($)]])/PricingDataTable[[#This Row],[Current Price ($)]]</f>
        <v>6.3657279224330586E-4</v>
      </c>
      <c r="M1080" t="str">
        <f t="shared" si="32"/>
        <v>PASS</v>
      </c>
      <c r="N1080" s="10" t="str">
        <f t="shared" si="33"/>
        <v>NONE</v>
      </c>
    </row>
    <row r="1081" spans="1:14">
      <c r="A1081" s="4" t="s">
        <v>2178</v>
      </c>
      <c r="B1081" s="4" t="s">
        <v>2179</v>
      </c>
      <c r="C1081" s="4" t="s">
        <v>16</v>
      </c>
      <c r="D1081" s="4" t="s">
        <v>13</v>
      </c>
      <c r="E1081" s="5">
        <v>83.351900000000001</v>
      </c>
      <c r="F1081" s="5">
        <v>83.426199999999994</v>
      </c>
      <c r="G1081" s="5">
        <v>83.022400000000005</v>
      </c>
      <c r="H1081" s="4">
        <v>5</v>
      </c>
      <c r="I1081" s="6">
        <v>840645</v>
      </c>
      <c r="J1081" s="7">
        <v>80.02</v>
      </c>
      <c r="K1081" s="9">
        <f>(PricingDataTable[[#This Row],[Current Price ($)]]-PricingDataTable[[#This Row],[Prior Price ($)]])/PricingDataTable[[#This Row],[Prior Price ($)]]</f>
        <v>8.9140139576894843E-4</v>
      </c>
      <c r="L1081" s="9">
        <f>(PricingDataTable[[#This Row],[Vendor Price ($)]]-PricingDataTable[[#This Row],[Current Price ($)]])/PricingDataTable[[#This Row],[Current Price ($)]]</f>
        <v>-4.8402060743506208E-3</v>
      </c>
      <c r="M1081" t="str">
        <f t="shared" si="32"/>
        <v>STALE</v>
      </c>
      <c r="N1081" s="10" t="str">
        <f t="shared" si="33"/>
        <v>MEDIUM</v>
      </c>
    </row>
    <row r="1082" spans="1:14">
      <c r="A1082" s="4" t="s">
        <v>2180</v>
      </c>
      <c r="B1082" s="4" t="s">
        <v>2181</v>
      </c>
      <c r="C1082" s="4" t="s">
        <v>35</v>
      </c>
      <c r="D1082" s="4" t="s">
        <v>13</v>
      </c>
      <c r="E1082" s="5">
        <v>78.024799999999999</v>
      </c>
      <c r="F1082" s="5">
        <v>77.5124</v>
      </c>
      <c r="G1082" s="5">
        <v>77.69</v>
      </c>
      <c r="H1082" s="4">
        <v>0</v>
      </c>
      <c r="I1082" s="6">
        <v>180192</v>
      </c>
      <c r="J1082" s="7">
        <v>600.64</v>
      </c>
      <c r="K1082" s="9">
        <f>(PricingDataTable[[#This Row],[Current Price ($)]]-PricingDataTable[[#This Row],[Prior Price ($)]])/PricingDataTable[[#This Row],[Prior Price ($)]]</f>
        <v>-6.567142754611348E-3</v>
      </c>
      <c r="L1082" s="9">
        <f>(PricingDataTable[[#This Row],[Vendor Price ($)]]-PricingDataTable[[#This Row],[Current Price ($)]])/PricingDataTable[[#This Row],[Current Price ($)]]</f>
        <v>2.2912463038171726E-3</v>
      </c>
      <c r="M1082" t="str">
        <f t="shared" si="32"/>
        <v>PASS</v>
      </c>
      <c r="N1082" s="10" t="str">
        <f t="shared" si="33"/>
        <v>NONE</v>
      </c>
    </row>
    <row r="1083" spans="1:14">
      <c r="A1083" s="4" t="s">
        <v>2182</v>
      </c>
      <c r="B1083" s="4" t="s">
        <v>2183</v>
      </c>
      <c r="C1083" s="4" t="s">
        <v>39</v>
      </c>
      <c r="D1083" s="4" t="s">
        <v>13</v>
      </c>
      <c r="E1083" s="5">
        <v>23.459800000000001</v>
      </c>
      <c r="F1083" s="5">
        <v>23.686299999999999</v>
      </c>
      <c r="G1083" s="5">
        <v>23.8066</v>
      </c>
      <c r="H1083" s="4">
        <v>0</v>
      </c>
      <c r="I1083" s="6">
        <v>265164</v>
      </c>
      <c r="J1083" s="7">
        <v>106.27</v>
      </c>
      <c r="K1083" s="9">
        <f>(PricingDataTable[[#This Row],[Current Price ($)]]-PricingDataTable[[#This Row],[Prior Price ($)]])/PricingDataTable[[#This Row],[Prior Price ($)]]</f>
        <v>9.6548137665281846E-3</v>
      </c>
      <c r="L1083" s="9">
        <f>(PricingDataTable[[#This Row],[Vendor Price ($)]]-PricingDataTable[[#This Row],[Current Price ($)]])/PricingDataTable[[#This Row],[Current Price ($)]]</f>
        <v>5.0788852627890509E-3</v>
      </c>
      <c r="M1083" t="str">
        <f t="shared" si="32"/>
        <v>PASS</v>
      </c>
      <c r="N1083" s="10" t="str">
        <f t="shared" si="33"/>
        <v>NONE</v>
      </c>
    </row>
    <row r="1084" spans="1:14">
      <c r="A1084" s="4" t="s">
        <v>2184</v>
      </c>
      <c r="B1084" s="4" t="s">
        <v>2185</v>
      </c>
      <c r="C1084" s="4" t="s">
        <v>16</v>
      </c>
      <c r="D1084" s="4" t="s">
        <v>32</v>
      </c>
      <c r="E1084" s="5">
        <v>113.05459999999999</v>
      </c>
      <c r="F1084" s="5">
        <v>113.78700000000001</v>
      </c>
      <c r="G1084" s="5">
        <v>113.4742</v>
      </c>
      <c r="H1084" s="4">
        <v>0</v>
      </c>
      <c r="I1084" s="6">
        <v>295687</v>
      </c>
      <c r="J1084" s="7">
        <v>479.82</v>
      </c>
      <c r="K1084" s="9">
        <f>(PricingDataTable[[#This Row],[Current Price ($)]]-PricingDataTable[[#This Row],[Prior Price ($)]])/PricingDataTable[[#This Row],[Prior Price ($)]]</f>
        <v>6.4782857132749368E-3</v>
      </c>
      <c r="L1084" s="9">
        <f>(PricingDataTable[[#This Row],[Vendor Price ($)]]-PricingDataTable[[#This Row],[Current Price ($)]])/PricingDataTable[[#This Row],[Current Price ($)]]</f>
        <v>-2.7489959309939618E-3</v>
      </c>
      <c r="M1084" t="str">
        <f t="shared" si="32"/>
        <v>PASS</v>
      </c>
      <c r="N1084" s="10" t="str">
        <f t="shared" si="33"/>
        <v>NONE</v>
      </c>
    </row>
    <row r="1085" spans="1:14">
      <c r="A1085" s="4" t="s">
        <v>2186</v>
      </c>
      <c r="B1085" s="4" t="s">
        <v>2187</v>
      </c>
      <c r="C1085" s="4" t="s">
        <v>19</v>
      </c>
      <c r="D1085" s="4" t="s">
        <v>32</v>
      </c>
      <c r="E1085" s="5">
        <v>80.430499999999995</v>
      </c>
      <c r="F1085" s="5">
        <v>80.6935</v>
      </c>
      <c r="G1085" s="5">
        <v>80.788899999999998</v>
      </c>
      <c r="H1085" s="4">
        <v>0</v>
      </c>
      <c r="I1085" s="6">
        <v>4454225</v>
      </c>
      <c r="J1085" s="7">
        <v>854.98</v>
      </c>
      <c r="K1085" s="9">
        <f>(PricingDataTable[[#This Row],[Current Price ($)]]-PricingDataTable[[#This Row],[Prior Price ($)]])/PricingDataTable[[#This Row],[Prior Price ($)]]</f>
        <v>3.2699038300147984E-3</v>
      </c>
      <c r="L1085" s="9">
        <f>(PricingDataTable[[#This Row],[Vendor Price ($)]]-PricingDataTable[[#This Row],[Current Price ($)]])/PricingDataTable[[#This Row],[Current Price ($)]]</f>
        <v>1.182251358535668E-3</v>
      </c>
      <c r="M1085" t="str">
        <f t="shared" si="32"/>
        <v>PASS</v>
      </c>
      <c r="N1085" s="10" t="str">
        <f t="shared" si="33"/>
        <v>NONE</v>
      </c>
    </row>
    <row r="1086" spans="1:14">
      <c r="A1086" s="4" t="s">
        <v>2188</v>
      </c>
      <c r="B1086" s="4" t="s">
        <v>2189</v>
      </c>
      <c r="C1086" s="4" t="s">
        <v>35</v>
      </c>
      <c r="D1086" s="4" t="s">
        <v>64</v>
      </c>
      <c r="E1086" s="5">
        <v>30.0167</v>
      </c>
      <c r="F1086" s="5">
        <v>30.460999999999999</v>
      </c>
      <c r="G1086" s="5">
        <v>30.459099999999999</v>
      </c>
      <c r="H1086" s="4">
        <v>0</v>
      </c>
      <c r="I1086" s="6">
        <v>2342892</v>
      </c>
      <c r="J1086" s="7">
        <v>284.29000000000002</v>
      </c>
      <c r="K1086" s="9">
        <f>(PricingDataTable[[#This Row],[Current Price ($)]]-PricingDataTable[[#This Row],[Prior Price ($)]])/PricingDataTable[[#This Row],[Prior Price ($)]]</f>
        <v>1.4801760353403217E-2</v>
      </c>
      <c r="L1086" s="9">
        <f>(PricingDataTable[[#This Row],[Vendor Price ($)]]-PricingDataTable[[#This Row],[Current Price ($)]])/PricingDataTable[[#This Row],[Current Price ($)]]</f>
        <v>-6.2374839959263476E-5</v>
      </c>
      <c r="M1086" t="str">
        <f t="shared" si="32"/>
        <v>PASS</v>
      </c>
      <c r="N1086" s="10" t="str">
        <f t="shared" si="33"/>
        <v>NONE</v>
      </c>
    </row>
    <row r="1087" spans="1:14">
      <c r="A1087" s="4" t="s">
        <v>2190</v>
      </c>
      <c r="B1087" s="4" t="s">
        <v>2191</v>
      </c>
      <c r="C1087" s="4" t="s">
        <v>35</v>
      </c>
      <c r="D1087" s="4" t="s">
        <v>32</v>
      </c>
      <c r="E1087" s="5">
        <v>150.74100000000001</v>
      </c>
      <c r="F1087" s="5">
        <v>151.24250000000001</v>
      </c>
      <c r="G1087" s="5">
        <v>151.6009</v>
      </c>
      <c r="H1087" s="4">
        <v>0</v>
      </c>
      <c r="I1087" s="6">
        <v>1064498</v>
      </c>
      <c r="J1087" s="7">
        <v>810.77</v>
      </c>
      <c r="K1087" s="9">
        <f>(PricingDataTable[[#This Row],[Current Price ($)]]-PricingDataTable[[#This Row],[Prior Price ($)]])/PricingDataTable[[#This Row],[Prior Price ($)]]</f>
        <v>3.3268984549657552E-3</v>
      </c>
      <c r="L1087" s="9">
        <f>(PricingDataTable[[#This Row],[Vendor Price ($)]]-PricingDataTable[[#This Row],[Current Price ($)]])/PricingDataTable[[#This Row],[Current Price ($)]]</f>
        <v>2.3697042828569278E-3</v>
      </c>
      <c r="M1087" t="str">
        <f t="shared" si="32"/>
        <v>PASS</v>
      </c>
      <c r="N1087" s="10" t="str">
        <f t="shared" si="33"/>
        <v>NONE</v>
      </c>
    </row>
    <row r="1088" spans="1:14">
      <c r="A1088" s="4" t="s">
        <v>2192</v>
      </c>
      <c r="B1088" s="4" t="s">
        <v>2193</v>
      </c>
      <c r="C1088" s="4" t="s">
        <v>35</v>
      </c>
      <c r="D1088" s="4" t="s">
        <v>13</v>
      </c>
      <c r="E1088" s="5">
        <v>87.319299999999998</v>
      </c>
      <c r="F1088" s="5">
        <v>88.482500000000002</v>
      </c>
      <c r="G1088" s="5">
        <v>88.293800000000005</v>
      </c>
      <c r="H1088" s="4">
        <v>0</v>
      </c>
      <c r="I1088" s="6">
        <v>1061547</v>
      </c>
      <c r="J1088" s="7">
        <v>216.59</v>
      </c>
      <c r="K1088" s="9">
        <f>(PricingDataTable[[#This Row],[Current Price ($)]]-PricingDataTable[[#This Row],[Prior Price ($)]])/PricingDataTable[[#This Row],[Prior Price ($)]]</f>
        <v>1.3321224517374776E-2</v>
      </c>
      <c r="L1088" s="9">
        <f>(PricingDataTable[[#This Row],[Vendor Price ($)]]-PricingDataTable[[#This Row],[Current Price ($)]])/PricingDataTable[[#This Row],[Current Price ($)]]</f>
        <v>-2.1326250953578076E-3</v>
      </c>
      <c r="M1088" t="str">
        <f t="shared" si="32"/>
        <v>PASS</v>
      </c>
      <c r="N1088" s="10" t="str">
        <f t="shared" si="33"/>
        <v>NONE</v>
      </c>
    </row>
    <row r="1089" spans="1:14">
      <c r="A1089" s="4" t="s">
        <v>2194</v>
      </c>
      <c r="B1089" s="4" t="s">
        <v>2195</v>
      </c>
      <c r="C1089" s="4" t="s">
        <v>39</v>
      </c>
      <c r="D1089" s="4" t="s">
        <v>13</v>
      </c>
      <c r="E1089" s="5">
        <v>33.367100000000001</v>
      </c>
      <c r="F1089" s="5">
        <v>33.204900000000002</v>
      </c>
      <c r="G1089" s="5">
        <v>33.194800000000001</v>
      </c>
      <c r="H1089" s="4">
        <v>0</v>
      </c>
      <c r="I1089" s="6">
        <v>370254</v>
      </c>
      <c r="J1089" s="7">
        <v>385.06</v>
      </c>
      <c r="K1089" s="9">
        <f>(PricingDataTable[[#This Row],[Current Price ($)]]-PricingDataTable[[#This Row],[Prior Price ($)]])/PricingDataTable[[#This Row],[Prior Price ($)]]</f>
        <v>-4.8610757302851781E-3</v>
      </c>
      <c r="L1089" s="9">
        <f>(PricingDataTable[[#This Row],[Vendor Price ($)]]-PricingDataTable[[#This Row],[Current Price ($)]])/PricingDataTable[[#This Row],[Current Price ($)]]</f>
        <v>-3.0417197461824396E-4</v>
      </c>
      <c r="M1089" t="str">
        <f t="shared" si="32"/>
        <v>PASS</v>
      </c>
      <c r="N1089" s="10" t="str">
        <f t="shared" si="33"/>
        <v>NONE</v>
      </c>
    </row>
    <row r="1090" spans="1:14">
      <c r="A1090" s="4" t="s">
        <v>2196</v>
      </c>
      <c r="B1090" s="4" t="s">
        <v>2197</v>
      </c>
      <c r="C1090" s="4" t="s">
        <v>39</v>
      </c>
      <c r="D1090" s="4" t="s">
        <v>13</v>
      </c>
      <c r="E1090" s="5">
        <v>225.59729999999999</v>
      </c>
      <c r="F1090" s="5">
        <v>221.8306</v>
      </c>
      <c r="G1090" s="5">
        <v>221.72569999999999</v>
      </c>
      <c r="H1090" s="4">
        <v>0</v>
      </c>
      <c r="I1090" s="6">
        <v>1382055</v>
      </c>
      <c r="J1090" s="7">
        <v>613.27</v>
      </c>
      <c r="K1090" s="9">
        <f>(PricingDataTable[[#This Row],[Current Price ($)]]-PricingDataTable[[#This Row],[Prior Price ($)]])/PricingDataTable[[#This Row],[Prior Price ($)]]</f>
        <v>-1.6696565074138681E-2</v>
      </c>
      <c r="L1090" s="9">
        <f>(PricingDataTable[[#This Row],[Vendor Price ($)]]-PricingDataTable[[#This Row],[Current Price ($)]])/PricingDataTable[[#This Row],[Current Price ($)]]</f>
        <v>-4.7288336234953547E-4</v>
      </c>
      <c r="M1090" t="str">
        <f t="shared" ref="M1090:M1153" si="34">IF(OR(F1090="",F1090=0),"MISSING",IF(H1090&gt;=3,"STALE",IF(ABS(K1090)&gt;=5%,"LARGE MOVE",IF(ABS(L1090)&gt;=2%,"VENDOR DIFFERENCE","PASS"))))</f>
        <v>PASS</v>
      </c>
      <c r="N1090" s="10" t="str">
        <f t="shared" ref="N1090:N1153" si="35">IF(M1090="PASS","NONE",IF(M1090="MISSING","HIGH",IF(OR(ABS(K1090)&gt;=10%,ABS(L1090)&gt;=5%),"HIGH",IF(OR(ABS(K1090)&gt;=7%,ABS(L1090)&gt;=3%,H1090&gt;=5),"MEDIUM","LOW"))))</f>
        <v>NONE</v>
      </c>
    </row>
    <row r="1091" spans="1:14">
      <c r="A1091" s="4" t="s">
        <v>2198</v>
      </c>
      <c r="B1091" s="4" t="s">
        <v>2199</v>
      </c>
      <c r="C1091" s="4" t="s">
        <v>19</v>
      </c>
      <c r="D1091" s="4" t="s">
        <v>13</v>
      </c>
      <c r="E1091" s="5">
        <v>17.344100000000001</v>
      </c>
      <c r="F1091" s="5">
        <v>17.320599999999999</v>
      </c>
      <c r="G1091" s="5">
        <v>17.310700000000001</v>
      </c>
      <c r="H1091" s="4">
        <v>0</v>
      </c>
      <c r="I1091" s="6">
        <v>4915386</v>
      </c>
      <c r="J1091" s="7">
        <v>73.14</v>
      </c>
      <c r="K1091" s="9">
        <f>(PricingDataTable[[#This Row],[Current Price ($)]]-PricingDataTable[[#This Row],[Prior Price ($)]])/PricingDataTable[[#This Row],[Prior Price ($)]]</f>
        <v>-1.3549276122717278E-3</v>
      </c>
      <c r="L1091" s="9">
        <f>(PricingDataTable[[#This Row],[Vendor Price ($)]]-PricingDataTable[[#This Row],[Current Price ($)]])/PricingDataTable[[#This Row],[Current Price ($)]]</f>
        <v>-5.7157373301145711E-4</v>
      </c>
      <c r="M1091" t="str">
        <f t="shared" si="34"/>
        <v>PASS</v>
      </c>
      <c r="N1091" s="10" t="str">
        <f t="shared" si="35"/>
        <v>NONE</v>
      </c>
    </row>
    <row r="1092" spans="1:14">
      <c r="A1092" s="4" t="s">
        <v>2200</v>
      </c>
      <c r="B1092" s="4" t="s">
        <v>2201</v>
      </c>
      <c r="C1092" s="4" t="s">
        <v>16</v>
      </c>
      <c r="D1092" s="4" t="s">
        <v>32</v>
      </c>
      <c r="E1092" s="5">
        <v>96.948999999999998</v>
      </c>
      <c r="F1092" s="5">
        <v>98.272000000000006</v>
      </c>
      <c r="G1092" s="5">
        <v>98.009500000000003</v>
      </c>
      <c r="H1092" s="4">
        <v>4</v>
      </c>
      <c r="I1092" s="6">
        <v>2965004</v>
      </c>
      <c r="J1092" s="7">
        <v>281.7</v>
      </c>
      <c r="K1092" s="9">
        <f>(PricingDataTable[[#This Row],[Current Price ($)]]-PricingDataTable[[#This Row],[Prior Price ($)]])/PricingDataTable[[#This Row],[Prior Price ($)]]</f>
        <v>1.3646350142858693E-2</v>
      </c>
      <c r="L1092" s="9">
        <f>(PricingDataTable[[#This Row],[Vendor Price ($)]]-PricingDataTable[[#This Row],[Current Price ($)]])/PricingDataTable[[#This Row],[Current Price ($)]]</f>
        <v>-2.6711576033865477E-3</v>
      </c>
      <c r="M1092" t="str">
        <f t="shared" si="34"/>
        <v>STALE</v>
      </c>
      <c r="N1092" s="10" t="str">
        <f t="shared" si="35"/>
        <v>LOW</v>
      </c>
    </row>
    <row r="1093" spans="1:14">
      <c r="A1093" s="4" t="s">
        <v>2202</v>
      </c>
      <c r="B1093" s="4" t="s">
        <v>2203</v>
      </c>
      <c r="C1093" s="4" t="s">
        <v>39</v>
      </c>
      <c r="D1093" s="4" t="s">
        <v>13</v>
      </c>
      <c r="E1093" s="5">
        <v>107.1327</v>
      </c>
      <c r="F1093" s="5">
        <v>106.9346</v>
      </c>
      <c r="G1093" s="5">
        <v>107.117</v>
      </c>
      <c r="H1093" s="4">
        <v>0</v>
      </c>
      <c r="I1093" s="6">
        <v>4381716</v>
      </c>
      <c r="J1093" s="7">
        <v>819.25</v>
      </c>
      <c r="K1093" s="9">
        <f>(PricingDataTable[[#This Row],[Current Price ($)]]-PricingDataTable[[#This Row],[Prior Price ($)]])/PricingDataTable[[#This Row],[Prior Price ($)]]</f>
        <v>-1.8491086288313148E-3</v>
      </c>
      <c r="L1093" s="9">
        <f>(PricingDataTable[[#This Row],[Vendor Price ($)]]-PricingDataTable[[#This Row],[Current Price ($)]])/PricingDataTable[[#This Row],[Current Price ($)]]</f>
        <v>1.7057154559889992E-3</v>
      </c>
      <c r="M1093" t="str">
        <f t="shared" si="34"/>
        <v>PASS</v>
      </c>
      <c r="N1093" s="10" t="str">
        <f t="shared" si="35"/>
        <v>NONE</v>
      </c>
    </row>
    <row r="1094" spans="1:14">
      <c r="A1094" s="4" t="s">
        <v>2204</v>
      </c>
      <c r="B1094" s="4" t="s">
        <v>2205</v>
      </c>
      <c r="C1094" s="4" t="s">
        <v>19</v>
      </c>
      <c r="D1094" s="4" t="s">
        <v>32</v>
      </c>
      <c r="E1094" s="5">
        <v>179.48410000000001</v>
      </c>
      <c r="F1094" s="5">
        <v>179.9299</v>
      </c>
      <c r="G1094" s="5">
        <v>179.47470000000001</v>
      </c>
      <c r="H1094" s="4">
        <v>0</v>
      </c>
      <c r="I1094" s="6">
        <v>2192819</v>
      </c>
      <c r="J1094" s="7">
        <v>797.24</v>
      </c>
      <c r="K1094" s="9">
        <f>(PricingDataTable[[#This Row],[Current Price ($)]]-PricingDataTable[[#This Row],[Prior Price ($)]])/PricingDataTable[[#This Row],[Prior Price ($)]]</f>
        <v>2.4837854718049749E-3</v>
      </c>
      <c r="L1094" s="9">
        <f>(PricingDataTable[[#This Row],[Vendor Price ($)]]-PricingDataTable[[#This Row],[Current Price ($)]])/PricingDataTable[[#This Row],[Current Price ($)]]</f>
        <v>-2.52987413431559E-3</v>
      </c>
      <c r="M1094" t="str">
        <f t="shared" si="34"/>
        <v>PASS</v>
      </c>
      <c r="N1094" s="10" t="str">
        <f t="shared" si="35"/>
        <v>NONE</v>
      </c>
    </row>
    <row r="1095" spans="1:14">
      <c r="A1095" s="4" t="s">
        <v>2206</v>
      </c>
      <c r="B1095" s="4" t="s">
        <v>2207</v>
      </c>
      <c r="C1095" s="4" t="s">
        <v>12</v>
      </c>
      <c r="D1095" s="4" t="s">
        <v>13</v>
      </c>
      <c r="E1095" s="5">
        <v>111.19499999999999</v>
      </c>
      <c r="F1095" s="5">
        <v>111.07559999999999</v>
      </c>
      <c r="G1095" s="5">
        <v>111.2632</v>
      </c>
      <c r="H1095" s="4">
        <v>0</v>
      </c>
      <c r="I1095" s="6">
        <v>2699115</v>
      </c>
      <c r="J1095" s="7">
        <v>332.74</v>
      </c>
      <c r="K1095" s="9">
        <f>(PricingDataTable[[#This Row],[Current Price ($)]]-PricingDataTable[[#This Row],[Prior Price ($)]])/PricingDataTable[[#This Row],[Prior Price ($)]]</f>
        <v>-1.0737892890867291E-3</v>
      </c>
      <c r="L1095" s="9">
        <f>(PricingDataTable[[#This Row],[Vendor Price ($)]]-PricingDataTable[[#This Row],[Current Price ($)]])/PricingDataTable[[#This Row],[Current Price ($)]]</f>
        <v>1.6889397851553656E-3</v>
      </c>
      <c r="M1095" t="str">
        <f t="shared" si="34"/>
        <v>PASS</v>
      </c>
      <c r="N1095" s="10" t="str">
        <f t="shared" si="35"/>
        <v>NONE</v>
      </c>
    </row>
    <row r="1096" spans="1:14">
      <c r="A1096" s="4" t="s">
        <v>2208</v>
      </c>
      <c r="B1096" s="4" t="s">
        <v>2209</v>
      </c>
      <c r="C1096" s="4" t="s">
        <v>19</v>
      </c>
      <c r="D1096" s="4" t="s">
        <v>13</v>
      </c>
      <c r="E1096" s="5">
        <v>205.27420000000001</v>
      </c>
      <c r="F1096" s="5">
        <v>204.8749</v>
      </c>
      <c r="G1096" s="5">
        <v>204.1018</v>
      </c>
      <c r="H1096" s="4">
        <v>0</v>
      </c>
      <c r="I1096" s="6">
        <v>4684044</v>
      </c>
      <c r="J1096" s="7">
        <v>414.13</v>
      </c>
      <c r="K1096" s="9">
        <f>(PricingDataTable[[#This Row],[Current Price ($)]]-PricingDataTable[[#This Row],[Prior Price ($)]])/PricingDataTable[[#This Row],[Prior Price ($)]]</f>
        <v>-1.9452030503590361E-3</v>
      </c>
      <c r="L1096" s="9">
        <f>(PricingDataTable[[#This Row],[Vendor Price ($)]]-PricingDataTable[[#This Row],[Current Price ($)]])/PricingDataTable[[#This Row],[Current Price ($)]]</f>
        <v>-3.7735222811579139E-3</v>
      </c>
      <c r="M1096" t="str">
        <f t="shared" si="34"/>
        <v>PASS</v>
      </c>
      <c r="N1096" s="10" t="str">
        <f t="shared" si="35"/>
        <v>NONE</v>
      </c>
    </row>
    <row r="1097" spans="1:14">
      <c r="A1097" s="4" t="s">
        <v>2210</v>
      </c>
      <c r="B1097" s="4" t="s">
        <v>2211</v>
      </c>
      <c r="C1097" s="4" t="s">
        <v>39</v>
      </c>
      <c r="D1097" s="4" t="s">
        <v>32</v>
      </c>
      <c r="E1097" s="5">
        <v>333.96210000000002</v>
      </c>
      <c r="F1097" s="5">
        <v>336.9907</v>
      </c>
      <c r="G1097" s="5">
        <v>336.0204</v>
      </c>
      <c r="H1097" s="4">
        <v>1</v>
      </c>
      <c r="I1097" s="6">
        <v>2121766</v>
      </c>
      <c r="J1097" s="7">
        <v>751.44</v>
      </c>
      <c r="K1097" s="9">
        <f>(PricingDataTable[[#This Row],[Current Price ($)]]-PricingDataTable[[#This Row],[Prior Price ($)]])/PricingDataTable[[#This Row],[Prior Price ($)]]</f>
        <v>9.0686937230301974E-3</v>
      </c>
      <c r="L1097" s="9">
        <f>(PricingDataTable[[#This Row],[Vendor Price ($)]]-PricingDataTable[[#This Row],[Current Price ($)]])/PricingDataTable[[#This Row],[Current Price ($)]]</f>
        <v>-2.8793079452934718E-3</v>
      </c>
      <c r="M1097" t="str">
        <f t="shared" si="34"/>
        <v>PASS</v>
      </c>
      <c r="N1097" s="10" t="str">
        <f t="shared" si="35"/>
        <v>NONE</v>
      </c>
    </row>
    <row r="1098" spans="1:14">
      <c r="A1098" s="4" t="s">
        <v>2212</v>
      </c>
      <c r="B1098" s="4" t="s">
        <v>2213</v>
      </c>
      <c r="C1098" s="4" t="s">
        <v>35</v>
      </c>
      <c r="D1098" s="4" t="s">
        <v>32</v>
      </c>
      <c r="E1098" s="5">
        <v>48.566200000000002</v>
      </c>
      <c r="F1098" s="5">
        <v>48.4099</v>
      </c>
      <c r="G1098" s="5">
        <v>48.040300000000002</v>
      </c>
      <c r="H1098" s="4">
        <v>0</v>
      </c>
      <c r="I1098" s="6">
        <v>1627183</v>
      </c>
      <c r="J1098" s="7">
        <v>340.4</v>
      </c>
      <c r="K1098" s="9">
        <f>(PricingDataTable[[#This Row],[Current Price ($)]]-PricingDataTable[[#This Row],[Prior Price ($)]])/PricingDataTable[[#This Row],[Prior Price ($)]]</f>
        <v>-3.218287615666897E-3</v>
      </c>
      <c r="L1098" s="9">
        <f>(PricingDataTable[[#This Row],[Vendor Price ($)]]-PricingDataTable[[#This Row],[Current Price ($)]])/PricingDataTable[[#This Row],[Current Price ($)]]</f>
        <v>-7.6348019723238092E-3</v>
      </c>
      <c r="M1098" t="str">
        <f t="shared" si="34"/>
        <v>PASS</v>
      </c>
      <c r="N1098" s="10" t="str">
        <f t="shared" si="35"/>
        <v>NONE</v>
      </c>
    </row>
    <row r="1099" spans="1:14">
      <c r="A1099" s="4" t="s">
        <v>2214</v>
      </c>
      <c r="B1099" s="4" t="s">
        <v>2215</v>
      </c>
      <c r="C1099" s="4" t="s">
        <v>12</v>
      </c>
      <c r="D1099" s="4" t="s">
        <v>13</v>
      </c>
      <c r="E1099" s="5">
        <v>87.111400000000003</v>
      </c>
      <c r="F1099" s="5">
        <v>86.842799999999997</v>
      </c>
      <c r="G1099" s="5">
        <v>86.715400000000002</v>
      </c>
      <c r="H1099" s="4">
        <v>1</v>
      </c>
      <c r="I1099" s="6">
        <v>2580468</v>
      </c>
      <c r="J1099" s="7">
        <v>367</v>
      </c>
      <c r="K1099" s="9">
        <f>(PricingDataTable[[#This Row],[Current Price ($)]]-PricingDataTable[[#This Row],[Prior Price ($)]])/PricingDataTable[[#This Row],[Prior Price ($)]]</f>
        <v>-3.0834081417587867E-3</v>
      </c>
      <c r="L1099" s="9">
        <f>(PricingDataTable[[#This Row],[Vendor Price ($)]]-PricingDataTable[[#This Row],[Current Price ($)]])/PricingDataTable[[#This Row],[Current Price ($)]]</f>
        <v>-1.4670185668817035E-3</v>
      </c>
      <c r="M1099" t="str">
        <f t="shared" si="34"/>
        <v>PASS</v>
      </c>
      <c r="N1099" s="10" t="str">
        <f t="shared" si="35"/>
        <v>NONE</v>
      </c>
    </row>
    <row r="1100" spans="1:14">
      <c r="A1100" s="4" t="s">
        <v>2216</v>
      </c>
      <c r="B1100" s="4" t="s">
        <v>2217</v>
      </c>
      <c r="C1100" s="4" t="s">
        <v>19</v>
      </c>
      <c r="D1100" s="4" t="s">
        <v>13</v>
      </c>
      <c r="E1100" s="5">
        <v>253.21100000000001</v>
      </c>
      <c r="F1100" s="5">
        <v>249.9068</v>
      </c>
      <c r="G1100" s="5">
        <v>250.79429999999999</v>
      </c>
      <c r="H1100" s="4">
        <v>0</v>
      </c>
      <c r="I1100" s="6">
        <v>343077</v>
      </c>
      <c r="J1100" s="7">
        <v>739.87</v>
      </c>
      <c r="K1100" s="9">
        <f>(PricingDataTable[[#This Row],[Current Price ($)]]-PricingDataTable[[#This Row],[Prior Price ($)]])/PricingDataTable[[#This Row],[Prior Price ($)]]</f>
        <v>-1.3049196124970908E-2</v>
      </c>
      <c r="L1100" s="9">
        <f>(PricingDataTable[[#This Row],[Vendor Price ($)]]-PricingDataTable[[#This Row],[Current Price ($)]])/PricingDataTable[[#This Row],[Current Price ($)]]</f>
        <v>3.5513239335623866E-3</v>
      </c>
      <c r="M1100" t="str">
        <f t="shared" si="34"/>
        <v>PASS</v>
      </c>
      <c r="N1100" s="10" t="str">
        <f t="shared" si="35"/>
        <v>NONE</v>
      </c>
    </row>
    <row r="1101" spans="1:14">
      <c r="A1101" s="4" t="s">
        <v>2218</v>
      </c>
      <c r="B1101" s="4" t="s">
        <v>2219</v>
      </c>
      <c r="C1101" s="4" t="s">
        <v>19</v>
      </c>
      <c r="D1101" s="4" t="s">
        <v>36</v>
      </c>
      <c r="E1101" s="5">
        <v>135.79339999999999</v>
      </c>
      <c r="F1101" s="5">
        <v>134.9571</v>
      </c>
      <c r="G1101" s="5">
        <v>135.75370000000001</v>
      </c>
      <c r="H1101" s="4">
        <v>1</v>
      </c>
      <c r="I1101" s="6">
        <v>1569294</v>
      </c>
      <c r="J1101" s="7">
        <v>264.58999999999997</v>
      </c>
      <c r="K1101" s="9">
        <f>(PricingDataTable[[#This Row],[Current Price ($)]]-PricingDataTable[[#This Row],[Prior Price ($)]])/PricingDataTable[[#This Row],[Prior Price ($)]]</f>
        <v>-6.1586203747751684E-3</v>
      </c>
      <c r="L1101" s="9">
        <f>(PricingDataTable[[#This Row],[Vendor Price ($)]]-PricingDataTable[[#This Row],[Current Price ($)]])/PricingDataTable[[#This Row],[Current Price ($)]]</f>
        <v>5.9026164610829083E-3</v>
      </c>
      <c r="M1101" t="str">
        <f t="shared" si="34"/>
        <v>PASS</v>
      </c>
      <c r="N1101" s="10" t="str">
        <f t="shared" si="35"/>
        <v>NONE</v>
      </c>
    </row>
    <row r="1102" spans="1:14">
      <c r="A1102" s="4" t="s">
        <v>2220</v>
      </c>
      <c r="B1102" s="4" t="s">
        <v>2221</v>
      </c>
      <c r="C1102" s="4" t="s">
        <v>12</v>
      </c>
      <c r="D1102" s="4" t="s">
        <v>13</v>
      </c>
      <c r="E1102" s="5">
        <v>90.386499999999998</v>
      </c>
      <c r="F1102" s="5">
        <v>90.951899999999995</v>
      </c>
      <c r="G1102" s="5">
        <v>90.426699999999997</v>
      </c>
      <c r="H1102" s="4">
        <v>0</v>
      </c>
      <c r="I1102" s="6">
        <v>1895704</v>
      </c>
      <c r="J1102" s="7">
        <v>657.76</v>
      </c>
      <c r="K1102" s="9">
        <f>(PricingDataTable[[#This Row],[Current Price ($)]]-PricingDataTable[[#This Row],[Prior Price ($)]])/PricingDataTable[[#This Row],[Prior Price ($)]]</f>
        <v>6.2553589308137481E-3</v>
      </c>
      <c r="L1102" s="9">
        <f>(PricingDataTable[[#This Row],[Vendor Price ($)]]-PricingDataTable[[#This Row],[Current Price ($)]])/PricingDataTable[[#This Row],[Current Price ($)]]</f>
        <v>-5.7744807969926761E-3</v>
      </c>
      <c r="M1102" t="str">
        <f t="shared" si="34"/>
        <v>PASS</v>
      </c>
      <c r="N1102" s="10" t="str">
        <f t="shared" si="35"/>
        <v>NONE</v>
      </c>
    </row>
    <row r="1103" spans="1:14">
      <c r="A1103" s="4" t="s">
        <v>2222</v>
      </c>
      <c r="B1103" s="4" t="s">
        <v>2223</v>
      </c>
      <c r="C1103" s="4" t="s">
        <v>16</v>
      </c>
      <c r="D1103" s="4" t="s">
        <v>13</v>
      </c>
      <c r="E1103" s="5">
        <v>83.922700000000006</v>
      </c>
      <c r="F1103" s="5">
        <v>84.820999999999998</v>
      </c>
      <c r="G1103" s="5">
        <v>84.795699999999997</v>
      </c>
      <c r="H1103" s="4">
        <v>1</v>
      </c>
      <c r="I1103" s="6">
        <v>315916</v>
      </c>
      <c r="J1103" s="7">
        <v>260.87</v>
      </c>
      <c r="K1103" s="9">
        <f>(PricingDataTable[[#This Row],[Current Price ($)]]-PricingDataTable[[#This Row],[Prior Price ($)]])/PricingDataTable[[#This Row],[Prior Price ($)]]</f>
        <v>1.0703897753527852E-2</v>
      </c>
      <c r="L1103" s="9">
        <f>(PricingDataTable[[#This Row],[Vendor Price ($)]]-PricingDataTable[[#This Row],[Current Price ($)]])/PricingDataTable[[#This Row],[Current Price ($)]]</f>
        <v>-2.9827519128519393E-4</v>
      </c>
      <c r="M1103" t="str">
        <f t="shared" si="34"/>
        <v>PASS</v>
      </c>
      <c r="N1103" s="10" t="str">
        <f t="shared" si="35"/>
        <v>NONE</v>
      </c>
    </row>
    <row r="1104" spans="1:14">
      <c r="A1104" s="4" t="s">
        <v>2224</v>
      </c>
      <c r="B1104" s="4" t="s">
        <v>2225</v>
      </c>
      <c r="C1104" s="4" t="s">
        <v>35</v>
      </c>
      <c r="D1104" s="4" t="s">
        <v>13</v>
      </c>
      <c r="E1104" s="5">
        <v>38.425899999999999</v>
      </c>
      <c r="F1104" s="5">
        <v>38.683500000000002</v>
      </c>
      <c r="G1104" s="5">
        <v>38.983499999999999</v>
      </c>
      <c r="H1104" s="4">
        <v>0</v>
      </c>
      <c r="I1104" s="6">
        <v>1025923</v>
      </c>
      <c r="J1104" s="7">
        <v>355.37</v>
      </c>
      <c r="K1104" s="9">
        <f>(PricingDataTable[[#This Row],[Current Price ($)]]-PricingDataTable[[#This Row],[Prior Price ($)]])/PricingDataTable[[#This Row],[Prior Price ($)]]</f>
        <v>6.703811751969469E-3</v>
      </c>
      <c r="L1104" s="9">
        <f>(PricingDataTable[[#This Row],[Vendor Price ($)]]-PricingDataTable[[#This Row],[Current Price ($)]])/PricingDataTable[[#This Row],[Current Price ($)]]</f>
        <v>7.755244484082287E-3</v>
      </c>
      <c r="M1104" t="str">
        <f t="shared" si="34"/>
        <v>PASS</v>
      </c>
      <c r="N1104" s="10" t="str">
        <f t="shared" si="35"/>
        <v>NONE</v>
      </c>
    </row>
    <row r="1105" spans="1:14">
      <c r="A1105" s="4" t="s">
        <v>2226</v>
      </c>
      <c r="B1105" s="4" t="s">
        <v>2227</v>
      </c>
      <c r="C1105" s="4" t="s">
        <v>39</v>
      </c>
      <c r="D1105" s="4" t="s">
        <v>13</v>
      </c>
      <c r="E1105" s="5">
        <v>251.26650000000001</v>
      </c>
      <c r="F1105" s="5">
        <v>248.02250000000001</v>
      </c>
      <c r="G1105" s="5">
        <v>248.25649999999999</v>
      </c>
      <c r="H1105" s="4">
        <v>0</v>
      </c>
      <c r="I1105" s="6">
        <v>767875</v>
      </c>
      <c r="J1105" s="7">
        <v>567.86</v>
      </c>
      <c r="K1105" s="9">
        <f>(PricingDataTable[[#This Row],[Current Price ($)]]-PricingDataTable[[#This Row],[Prior Price ($)]])/PricingDataTable[[#This Row],[Prior Price ($)]]</f>
        <v>-1.2910594926104354E-2</v>
      </c>
      <c r="L1105" s="9">
        <f>(PricingDataTable[[#This Row],[Vendor Price ($)]]-PricingDataTable[[#This Row],[Current Price ($)]])/PricingDataTable[[#This Row],[Current Price ($)]]</f>
        <v>9.4346279067415435E-4</v>
      </c>
      <c r="M1105" t="str">
        <f t="shared" si="34"/>
        <v>PASS</v>
      </c>
      <c r="N1105" s="10" t="str">
        <f t="shared" si="35"/>
        <v>NONE</v>
      </c>
    </row>
    <row r="1106" spans="1:14">
      <c r="A1106" s="4" t="s">
        <v>2228</v>
      </c>
      <c r="B1106" s="4" t="s">
        <v>2229</v>
      </c>
      <c r="C1106" s="4" t="s">
        <v>19</v>
      </c>
      <c r="D1106" s="4" t="s">
        <v>13</v>
      </c>
      <c r="E1106" s="5">
        <v>118.4729</v>
      </c>
      <c r="F1106" s="5">
        <v>118.9199</v>
      </c>
      <c r="G1106" s="5">
        <v>119.6495</v>
      </c>
      <c r="H1106" s="4">
        <v>4</v>
      </c>
      <c r="I1106" s="6">
        <v>4236294</v>
      </c>
      <c r="J1106" s="7">
        <v>447.1</v>
      </c>
      <c r="K1106" s="9">
        <f>(PricingDataTable[[#This Row],[Current Price ($)]]-PricingDataTable[[#This Row],[Prior Price ($)]])/PricingDataTable[[#This Row],[Prior Price ($)]]</f>
        <v>3.7730147569613199E-3</v>
      </c>
      <c r="L1106" s="9">
        <f>(PricingDataTable[[#This Row],[Vendor Price ($)]]-PricingDataTable[[#This Row],[Current Price ($)]])/PricingDataTable[[#This Row],[Current Price ($)]]</f>
        <v>6.1352221116903471E-3</v>
      </c>
      <c r="M1106" t="str">
        <f t="shared" si="34"/>
        <v>STALE</v>
      </c>
      <c r="N1106" s="10" t="str">
        <f t="shared" si="35"/>
        <v>LOW</v>
      </c>
    </row>
    <row r="1107" spans="1:14">
      <c r="A1107" s="4" t="s">
        <v>2230</v>
      </c>
      <c r="B1107" s="4" t="s">
        <v>2231</v>
      </c>
      <c r="C1107" s="4" t="s">
        <v>19</v>
      </c>
      <c r="D1107" s="4" t="s">
        <v>237</v>
      </c>
      <c r="E1107" s="5">
        <v>301.56540000000001</v>
      </c>
      <c r="F1107" s="5">
        <v>302.60910000000001</v>
      </c>
      <c r="G1107" s="5">
        <v>287.61880000000002</v>
      </c>
      <c r="H1107" s="4">
        <v>0</v>
      </c>
      <c r="I1107" s="6">
        <v>2807731</v>
      </c>
      <c r="J1107" s="7">
        <v>700.81</v>
      </c>
      <c r="K1107" s="9">
        <f>(PricingDataTable[[#This Row],[Current Price ($)]]-PricingDataTable[[#This Row],[Prior Price ($)]])/PricingDataTable[[#This Row],[Prior Price ($)]]</f>
        <v>3.4609408108489939E-3</v>
      </c>
      <c r="L1107" s="9">
        <f>(PricingDataTable[[#This Row],[Vendor Price ($)]]-PricingDataTable[[#This Row],[Current Price ($)]])/PricingDataTable[[#This Row],[Current Price ($)]]</f>
        <v>-4.9536844728066638E-2</v>
      </c>
      <c r="M1107" t="str">
        <f t="shared" si="34"/>
        <v>VENDOR DIFFERENCE</v>
      </c>
      <c r="N1107" s="10" t="str">
        <f t="shared" si="35"/>
        <v>MEDIUM</v>
      </c>
    </row>
    <row r="1108" spans="1:14">
      <c r="A1108" s="4" t="s">
        <v>2232</v>
      </c>
      <c r="B1108" s="4" t="s">
        <v>2233</v>
      </c>
      <c r="C1108" s="4" t="s">
        <v>19</v>
      </c>
      <c r="D1108" s="4" t="s">
        <v>13</v>
      </c>
      <c r="E1108" s="5">
        <v>324.11970000000002</v>
      </c>
      <c r="F1108" s="5">
        <v>324.25319999999999</v>
      </c>
      <c r="G1108" s="5">
        <v>325.19940000000003</v>
      </c>
      <c r="H1108" s="4">
        <v>0</v>
      </c>
      <c r="I1108" s="6">
        <v>1005124</v>
      </c>
      <c r="J1108" s="7">
        <v>864.34</v>
      </c>
      <c r="K1108" s="9">
        <f>(PricingDataTable[[#This Row],[Current Price ($)]]-PricingDataTable[[#This Row],[Prior Price ($)]])/PricingDataTable[[#This Row],[Prior Price ($)]]</f>
        <v>4.1188486846053949E-4</v>
      </c>
      <c r="L1108" s="9">
        <f>(PricingDataTable[[#This Row],[Vendor Price ($)]]-PricingDataTable[[#This Row],[Current Price ($)]])/PricingDataTable[[#This Row],[Current Price ($)]]</f>
        <v>2.918089937123313E-3</v>
      </c>
      <c r="M1108" t="str">
        <f t="shared" si="34"/>
        <v>PASS</v>
      </c>
      <c r="N1108" s="10" t="str">
        <f t="shared" si="35"/>
        <v>NONE</v>
      </c>
    </row>
    <row r="1109" spans="1:14">
      <c r="A1109" s="4" t="s">
        <v>2234</v>
      </c>
      <c r="B1109" s="4" t="s">
        <v>2235</v>
      </c>
      <c r="C1109" s="4" t="s">
        <v>35</v>
      </c>
      <c r="D1109" s="4" t="s">
        <v>13</v>
      </c>
      <c r="E1109" s="5">
        <v>71.733500000000006</v>
      </c>
      <c r="F1109" s="5">
        <v>71.121700000000004</v>
      </c>
      <c r="G1109" s="5">
        <v>70.996700000000004</v>
      </c>
      <c r="H1109" s="4">
        <v>0</v>
      </c>
      <c r="I1109" s="6">
        <v>4824686</v>
      </c>
      <c r="J1109" s="7">
        <v>258.3</v>
      </c>
      <c r="K1109" s="9">
        <f>(PricingDataTable[[#This Row],[Current Price ($)]]-PricingDataTable[[#This Row],[Prior Price ($)]])/PricingDataTable[[#This Row],[Prior Price ($)]]</f>
        <v>-8.5287905929586922E-3</v>
      </c>
      <c r="L1109" s="9">
        <f>(PricingDataTable[[#This Row],[Vendor Price ($)]]-PricingDataTable[[#This Row],[Current Price ($)]])/PricingDataTable[[#This Row],[Current Price ($)]]</f>
        <v>-1.7575507897027208E-3</v>
      </c>
      <c r="M1109" t="str">
        <f t="shared" si="34"/>
        <v>PASS</v>
      </c>
      <c r="N1109" s="10" t="str">
        <f t="shared" si="35"/>
        <v>NONE</v>
      </c>
    </row>
    <row r="1110" spans="1:14">
      <c r="A1110" s="4" t="s">
        <v>2236</v>
      </c>
      <c r="B1110" s="4" t="s">
        <v>2237</v>
      </c>
      <c r="C1110" s="4" t="s">
        <v>19</v>
      </c>
      <c r="D1110" s="4" t="s">
        <v>13</v>
      </c>
      <c r="E1110" s="5">
        <v>171.2526</v>
      </c>
      <c r="F1110" s="5">
        <v>172.68799999999999</v>
      </c>
      <c r="G1110" s="5">
        <v>172.10220000000001</v>
      </c>
      <c r="H1110" s="4">
        <v>0</v>
      </c>
      <c r="I1110" s="6">
        <v>4244399</v>
      </c>
      <c r="J1110" s="7">
        <v>133.26</v>
      </c>
      <c r="K1110" s="9">
        <f>(PricingDataTable[[#This Row],[Current Price ($)]]-PricingDataTable[[#This Row],[Prior Price ($)]])/PricingDataTable[[#This Row],[Prior Price ($)]]</f>
        <v>8.381770554140416E-3</v>
      </c>
      <c r="L1110" s="9">
        <f>(PricingDataTable[[#This Row],[Vendor Price ($)]]-PricingDataTable[[#This Row],[Current Price ($)]])/PricingDataTable[[#This Row],[Current Price ($)]]</f>
        <v>-3.392244973593867E-3</v>
      </c>
      <c r="M1110" t="str">
        <f t="shared" si="34"/>
        <v>PASS</v>
      </c>
      <c r="N1110" s="10" t="str">
        <f t="shared" si="35"/>
        <v>NONE</v>
      </c>
    </row>
    <row r="1111" spans="1:14">
      <c r="A1111" s="4" t="s">
        <v>2238</v>
      </c>
      <c r="B1111" s="4" t="s">
        <v>2239</v>
      </c>
      <c r="C1111" s="4" t="s">
        <v>19</v>
      </c>
      <c r="D1111" s="4" t="s">
        <v>13</v>
      </c>
      <c r="E1111" s="5">
        <v>34.246699999999997</v>
      </c>
      <c r="F1111" s="5">
        <v>34.243000000000002</v>
      </c>
      <c r="G1111" s="5">
        <v>34.271000000000001</v>
      </c>
      <c r="H1111" s="4">
        <v>0</v>
      </c>
      <c r="I1111" s="6">
        <v>360480</v>
      </c>
      <c r="J1111" s="7">
        <v>746.66</v>
      </c>
      <c r="K1111" s="9">
        <f>(PricingDataTable[[#This Row],[Current Price ($)]]-PricingDataTable[[#This Row],[Prior Price ($)]])/PricingDataTable[[#This Row],[Prior Price ($)]]</f>
        <v>-1.0803960673568344E-4</v>
      </c>
      <c r="L1111" s="9">
        <f>(PricingDataTable[[#This Row],[Vendor Price ($)]]-PricingDataTable[[#This Row],[Current Price ($)]])/PricingDataTable[[#This Row],[Current Price ($)]]</f>
        <v>8.1768536635220895E-4</v>
      </c>
      <c r="M1111" t="str">
        <f t="shared" si="34"/>
        <v>PASS</v>
      </c>
      <c r="N1111" s="10" t="str">
        <f t="shared" si="35"/>
        <v>NONE</v>
      </c>
    </row>
    <row r="1112" spans="1:14">
      <c r="A1112" s="4" t="s">
        <v>2240</v>
      </c>
      <c r="B1112" s="4" t="s">
        <v>2241</v>
      </c>
      <c r="C1112" s="4" t="s">
        <v>39</v>
      </c>
      <c r="D1112" s="4" t="s">
        <v>13</v>
      </c>
      <c r="E1112" s="5">
        <v>176.39240000000001</v>
      </c>
      <c r="F1112" s="5">
        <v>174.59989999999999</v>
      </c>
      <c r="G1112" s="5">
        <v>174.9417</v>
      </c>
      <c r="H1112" s="4">
        <v>1</v>
      </c>
      <c r="I1112" s="6">
        <v>151733</v>
      </c>
      <c r="J1112" s="7">
        <v>844.97</v>
      </c>
      <c r="K1112" s="9">
        <f>(PricingDataTable[[#This Row],[Current Price ($)]]-PricingDataTable[[#This Row],[Prior Price ($)]])/PricingDataTable[[#This Row],[Prior Price ($)]]</f>
        <v>-1.0162002444549867E-2</v>
      </c>
      <c r="L1112" s="9">
        <f>(PricingDataTable[[#This Row],[Vendor Price ($)]]-PricingDataTable[[#This Row],[Current Price ($)]])/PricingDataTable[[#This Row],[Current Price ($)]]</f>
        <v>1.9576185324276037E-3</v>
      </c>
      <c r="M1112" t="str">
        <f t="shared" si="34"/>
        <v>PASS</v>
      </c>
      <c r="N1112" s="10" t="str">
        <f t="shared" si="35"/>
        <v>NONE</v>
      </c>
    </row>
    <row r="1113" spans="1:14">
      <c r="A1113" s="4" t="s">
        <v>2242</v>
      </c>
      <c r="B1113" s="4" t="s">
        <v>2243</v>
      </c>
      <c r="C1113" s="4" t="s">
        <v>16</v>
      </c>
      <c r="D1113" s="4" t="s">
        <v>13</v>
      </c>
      <c r="E1113" s="5">
        <v>94.529499999999999</v>
      </c>
      <c r="F1113" s="5">
        <v>94.894599999999997</v>
      </c>
      <c r="G1113" s="5">
        <v>94.813299999999998</v>
      </c>
      <c r="H1113" s="4">
        <v>0</v>
      </c>
      <c r="I1113" s="6">
        <v>1786544</v>
      </c>
      <c r="J1113" s="7">
        <v>90.13</v>
      </c>
      <c r="K1113" s="9">
        <f>(PricingDataTable[[#This Row],[Current Price ($)]]-PricingDataTable[[#This Row],[Prior Price ($)]])/PricingDataTable[[#This Row],[Prior Price ($)]]</f>
        <v>3.8622863762105821E-3</v>
      </c>
      <c r="L1113" s="9">
        <f>(PricingDataTable[[#This Row],[Vendor Price ($)]]-PricingDataTable[[#This Row],[Current Price ($)]])/PricingDataTable[[#This Row],[Current Price ($)]]</f>
        <v>-8.5674000417303847E-4</v>
      </c>
      <c r="M1113" t="str">
        <f t="shared" si="34"/>
        <v>PASS</v>
      </c>
      <c r="N1113" s="10" t="str">
        <f t="shared" si="35"/>
        <v>NONE</v>
      </c>
    </row>
    <row r="1114" spans="1:14">
      <c r="A1114" s="4" t="s">
        <v>2244</v>
      </c>
      <c r="B1114" s="4" t="s">
        <v>2245</v>
      </c>
      <c r="C1114" s="4" t="s">
        <v>19</v>
      </c>
      <c r="D1114" s="4" t="s">
        <v>13</v>
      </c>
      <c r="E1114" s="5">
        <v>25.8018</v>
      </c>
      <c r="F1114" s="5">
        <v>25.447800000000001</v>
      </c>
      <c r="G1114" s="5">
        <v>25.489100000000001</v>
      </c>
      <c r="H1114" s="4">
        <v>0</v>
      </c>
      <c r="I1114" s="6">
        <v>1197180</v>
      </c>
      <c r="J1114" s="7">
        <v>559.14</v>
      </c>
      <c r="K1114" s="9">
        <f>(PricingDataTable[[#This Row],[Current Price ($)]]-PricingDataTable[[#This Row],[Prior Price ($)]])/PricingDataTable[[#This Row],[Prior Price ($)]]</f>
        <v>-1.3719973025137749E-2</v>
      </c>
      <c r="L1114" s="9">
        <f>(PricingDataTable[[#This Row],[Vendor Price ($)]]-PricingDataTable[[#This Row],[Current Price ($)]])/PricingDataTable[[#This Row],[Current Price ($)]]</f>
        <v>1.6229300764702516E-3</v>
      </c>
      <c r="M1114" t="str">
        <f t="shared" si="34"/>
        <v>PASS</v>
      </c>
      <c r="N1114" s="10" t="str">
        <f t="shared" si="35"/>
        <v>NONE</v>
      </c>
    </row>
    <row r="1115" spans="1:14">
      <c r="A1115" s="4" t="s">
        <v>2246</v>
      </c>
      <c r="B1115" s="4" t="s">
        <v>2247</v>
      </c>
      <c r="C1115" s="4" t="s">
        <v>19</v>
      </c>
      <c r="D1115" s="4" t="s">
        <v>237</v>
      </c>
      <c r="E1115" s="5">
        <v>47.613399999999999</v>
      </c>
      <c r="F1115" s="5">
        <v>47.371499999999997</v>
      </c>
      <c r="G1115" s="5">
        <v>47.541899999999998</v>
      </c>
      <c r="H1115" s="4">
        <v>1</v>
      </c>
      <c r="I1115" s="6">
        <v>4617152</v>
      </c>
      <c r="J1115" s="7">
        <v>663.04</v>
      </c>
      <c r="K1115" s="9">
        <f>(PricingDataTable[[#This Row],[Current Price ($)]]-PricingDataTable[[#This Row],[Prior Price ($)]])/PricingDataTable[[#This Row],[Prior Price ($)]]</f>
        <v>-5.0805025476021691E-3</v>
      </c>
      <c r="L1115" s="9">
        <f>(PricingDataTable[[#This Row],[Vendor Price ($)]]-PricingDataTable[[#This Row],[Current Price ($)]])/PricingDataTable[[#This Row],[Current Price ($)]]</f>
        <v>3.5970995218644287E-3</v>
      </c>
      <c r="M1115" t="str">
        <f t="shared" si="34"/>
        <v>PASS</v>
      </c>
      <c r="N1115" s="10" t="str">
        <f t="shared" si="35"/>
        <v>NONE</v>
      </c>
    </row>
    <row r="1116" spans="1:14">
      <c r="A1116" s="4" t="s">
        <v>2248</v>
      </c>
      <c r="B1116" s="4" t="s">
        <v>2249</v>
      </c>
      <c r="C1116" s="4" t="s">
        <v>16</v>
      </c>
      <c r="D1116" s="4" t="s">
        <v>13</v>
      </c>
      <c r="E1116" s="5">
        <v>107.2568</v>
      </c>
      <c r="F1116" s="5">
        <v>106.75830000000001</v>
      </c>
      <c r="G1116" s="5">
        <v>106.6497</v>
      </c>
      <c r="H1116" s="4">
        <v>1</v>
      </c>
      <c r="I1116" s="6">
        <v>4257375</v>
      </c>
      <c r="J1116" s="7">
        <v>331.54</v>
      </c>
      <c r="K1116" s="9">
        <f>(PricingDataTable[[#This Row],[Current Price ($)]]-PricingDataTable[[#This Row],[Prior Price ($)]])/PricingDataTable[[#This Row],[Prior Price ($)]]</f>
        <v>-4.6477239671516664E-3</v>
      </c>
      <c r="L1116" s="9">
        <f>(PricingDataTable[[#This Row],[Vendor Price ($)]]-PricingDataTable[[#This Row],[Current Price ($)]])/PricingDataTable[[#This Row],[Current Price ($)]]</f>
        <v>-1.0172511177117826E-3</v>
      </c>
      <c r="M1116" t="str">
        <f t="shared" si="34"/>
        <v>PASS</v>
      </c>
      <c r="N1116" s="10" t="str">
        <f t="shared" si="35"/>
        <v>NONE</v>
      </c>
    </row>
    <row r="1117" spans="1:14">
      <c r="A1117" s="4" t="s">
        <v>2250</v>
      </c>
      <c r="B1117" s="4" t="s">
        <v>2251</v>
      </c>
      <c r="C1117" s="4" t="s">
        <v>12</v>
      </c>
      <c r="D1117" s="4" t="s">
        <v>32</v>
      </c>
      <c r="E1117" s="5">
        <v>89.288200000000003</v>
      </c>
      <c r="F1117" s="5">
        <v>89.367599999999996</v>
      </c>
      <c r="G1117" s="5">
        <v>89.411100000000005</v>
      </c>
      <c r="H1117" s="4">
        <v>0</v>
      </c>
      <c r="I1117" s="6">
        <v>4805888</v>
      </c>
      <c r="J1117" s="7">
        <v>561.47</v>
      </c>
      <c r="K1117" s="9">
        <f>(PricingDataTable[[#This Row],[Current Price ($)]]-PricingDataTable[[#This Row],[Prior Price ($)]])/PricingDataTable[[#This Row],[Prior Price ($)]]</f>
        <v>8.8925524313394812E-4</v>
      </c>
      <c r="L1117" s="9">
        <f>(PricingDataTable[[#This Row],[Vendor Price ($)]]-PricingDataTable[[#This Row],[Current Price ($)]])/PricingDataTable[[#This Row],[Current Price ($)]]</f>
        <v>4.8675358854896806E-4</v>
      </c>
      <c r="M1117" t="str">
        <f t="shared" si="34"/>
        <v>PASS</v>
      </c>
      <c r="N1117" s="10" t="str">
        <f t="shared" si="35"/>
        <v>NONE</v>
      </c>
    </row>
    <row r="1118" spans="1:14">
      <c r="A1118" s="4" t="s">
        <v>2252</v>
      </c>
      <c r="B1118" s="4" t="s">
        <v>2253</v>
      </c>
      <c r="C1118" s="4" t="s">
        <v>39</v>
      </c>
      <c r="D1118" s="4" t="s">
        <v>13</v>
      </c>
      <c r="E1118" s="5">
        <v>136.54689999999999</v>
      </c>
      <c r="F1118" s="5">
        <v>136.80869999999999</v>
      </c>
      <c r="G1118" s="5">
        <v>136.4709</v>
      </c>
      <c r="H1118" s="4">
        <v>0</v>
      </c>
      <c r="I1118" s="6">
        <v>3827901</v>
      </c>
      <c r="J1118" s="7">
        <v>80.87</v>
      </c>
      <c r="K1118" s="9">
        <f>(PricingDataTable[[#This Row],[Current Price ($)]]-PricingDataTable[[#This Row],[Prior Price ($)]])/PricingDataTable[[#This Row],[Prior Price ($)]]</f>
        <v>1.9172899567840341E-3</v>
      </c>
      <c r="L1118" s="9">
        <f>(PricingDataTable[[#This Row],[Vendor Price ($)]]-PricingDataTable[[#This Row],[Current Price ($)]])/PricingDataTable[[#This Row],[Current Price ($)]]</f>
        <v>-2.4691412168962009E-3</v>
      </c>
      <c r="M1118" t="str">
        <f t="shared" si="34"/>
        <v>PASS</v>
      </c>
      <c r="N1118" s="10" t="str">
        <f t="shared" si="35"/>
        <v>NONE</v>
      </c>
    </row>
    <row r="1119" spans="1:14">
      <c r="A1119" s="4" t="s">
        <v>2254</v>
      </c>
      <c r="B1119" s="4" t="s">
        <v>2255</v>
      </c>
      <c r="C1119" s="4" t="s">
        <v>19</v>
      </c>
      <c r="D1119" s="4" t="s">
        <v>32</v>
      </c>
      <c r="E1119" s="5">
        <v>206.11359999999999</v>
      </c>
      <c r="F1119" s="5">
        <v>204.01920000000001</v>
      </c>
      <c r="G1119" s="5">
        <v>203.4179</v>
      </c>
      <c r="H1119" s="4">
        <v>0</v>
      </c>
      <c r="I1119" s="6">
        <v>4778157</v>
      </c>
      <c r="J1119" s="7">
        <v>556.98</v>
      </c>
      <c r="K1119" s="9">
        <f>(PricingDataTable[[#This Row],[Current Price ($)]]-PricingDataTable[[#This Row],[Prior Price ($)]])/PricingDataTable[[#This Row],[Prior Price ($)]]</f>
        <v>-1.0161386730424285E-2</v>
      </c>
      <c r="L1119" s="9">
        <f>(PricingDataTable[[#This Row],[Vendor Price ($)]]-PricingDataTable[[#This Row],[Current Price ($)]])/PricingDataTable[[#This Row],[Current Price ($)]]</f>
        <v>-2.9472716293368908E-3</v>
      </c>
      <c r="M1119" t="str">
        <f t="shared" si="34"/>
        <v>PASS</v>
      </c>
      <c r="N1119" s="10" t="str">
        <f t="shared" si="35"/>
        <v>NONE</v>
      </c>
    </row>
    <row r="1120" spans="1:14">
      <c r="A1120" s="4" t="s">
        <v>2256</v>
      </c>
      <c r="B1120" s="4" t="s">
        <v>2257</v>
      </c>
      <c r="C1120" s="4" t="s">
        <v>35</v>
      </c>
      <c r="D1120" s="4" t="s">
        <v>13</v>
      </c>
      <c r="E1120" s="5">
        <v>151.37520000000001</v>
      </c>
      <c r="F1120" s="5">
        <v>151.82810000000001</v>
      </c>
      <c r="G1120" s="5">
        <v>151.52510000000001</v>
      </c>
      <c r="H1120" s="4">
        <v>0</v>
      </c>
      <c r="I1120" s="6">
        <v>460465</v>
      </c>
      <c r="J1120" s="7">
        <v>367.16</v>
      </c>
      <c r="K1120" s="9">
        <f>(PricingDataTable[[#This Row],[Current Price ($)]]-PricingDataTable[[#This Row],[Prior Price ($)]])/PricingDataTable[[#This Row],[Prior Price ($)]]</f>
        <v>2.9919035614816669E-3</v>
      </c>
      <c r="L1120" s="9">
        <f>(PricingDataTable[[#This Row],[Vendor Price ($)]]-PricingDataTable[[#This Row],[Current Price ($)]])/PricingDataTable[[#This Row],[Current Price ($)]]</f>
        <v>-1.9956780069038424E-3</v>
      </c>
      <c r="M1120" t="str">
        <f t="shared" si="34"/>
        <v>PASS</v>
      </c>
      <c r="N1120" s="10" t="str">
        <f t="shared" si="35"/>
        <v>NONE</v>
      </c>
    </row>
    <row r="1121" spans="1:14">
      <c r="A1121" s="4" t="s">
        <v>2258</v>
      </c>
      <c r="B1121" s="4" t="s">
        <v>2259</v>
      </c>
      <c r="C1121" s="4" t="s">
        <v>35</v>
      </c>
      <c r="D1121" s="4" t="s">
        <v>13</v>
      </c>
      <c r="E1121" s="5">
        <v>72.8429</v>
      </c>
      <c r="F1121" s="5">
        <v>73.939899999999994</v>
      </c>
      <c r="G1121" s="5">
        <v>74.193899999999999</v>
      </c>
      <c r="H1121" s="4">
        <v>0</v>
      </c>
      <c r="I1121" s="6">
        <v>1914528</v>
      </c>
      <c r="J1121" s="7">
        <v>468.09</v>
      </c>
      <c r="K1121" s="9">
        <f>(PricingDataTable[[#This Row],[Current Price ($)]]-PricingDataTable[[#This Row],[Prior Price ($)]])/PricingDataTable[[#This Row],[Prior Price ($)]]</f>
        <v>1.5059806789680177E-2</v>
      </c>
      <c r="L1121" s="9">
        <f>(PricingDataTable[[#This Row],[Vendor Price ($)]]-PricingDataTable[[#This Row],[Current Price ($)]])/PricingDataTable[[#This Row],[Current Price ($)]]</f>
        <v>3.435222390076331E-3</v>
      </c>
      <c r="M1121" t="str">
        <f t="shared" si="34"/>
        <v>PASS</v>
      </c>
      <c r="N1121" s="10" t="str">
        <f t="shared" si="35"/>
        <v>NONE</v>
      </c>
    </row>
    <row r="1122" spans="1:14">
      <c r="A1122" s="4" t="s">
        <v>2260</v>
      </c>
      <c r="B1122" s="4" t="s">
        <v>2261</v>
      </c>
      <c r="C1122" s="4" t="s">
        <v>12</v>
      </c>
      <c r="D1122" s="4" t="s">
        <v>13</v>
      </c>
      <c r="E1122" s="5">
        <v>93.090100000000007</v>
      </c>
      <c r="F1122" s="5">
        <v>93.193799999999996</v>
      </c>
      <c r="G1122" s="5">
        <v>93.877799999999993</v>
      </c>
      <c r="H1122" s="4">
        <v>1</v>
      </c>
      <c r="I1122" s="6">
        <v>26771</v>
      </c>
      <c r="J1122" s="7">
        <v>807.55</v>
      </c>
      <c r="K1122" s="9">
        <f>(PricingDataTable[[#This Row],[Current Price ($)]]-PricingDataTable[[#This Row],[Prior Price ($)]])/PricingDataTable[[#This Row],[Prior Price ($)]]</f>
        <v>1.11397452575504E-3</v>
      </c>
      <c r="L1122" s="9">
        <f>(PricingDataTable[[#This Row],[Vendor Price ($)]]-PricingDataTable[[#This Row],[Current Price ($)]])/PricingDataTable[[#This Row],[Current Price ($)]]</f>
        <v>7.3395440469215499E-3</v>
      </c>
      <c r="M1122" t="str">
        <f t="shared" si="34"/>
        <v>PASS</v>
      </c>
      <c r="N1122" s="10" t="str">
        <f t="shared" si="35"/>
        <v>NONE</v>
      </c>
    </row>
    <row r="1123" spans="1:14">
      <c r="A1123" s="4" t="s">
        <v>2262</v>
      </c>
      <c r="B1123" s="4" t="s">
        <v>2263</v>
      </c>
      <c r="C1123" s="4" t="s">
        <v>35</v>
      </c>
      <c r="D1123" s="4" t="s">
        <v>36</v>
      </c>
      <c r="E1123" s="5">
        <v>102.7957</v>
      </c>
      <c r="F1123" s="5">
        <v>102.5172</v>
      </c>
      <c r="G1123" s="5">
        <v>102.54770000000001</v>
      </c>
      <c r="H1123" s="4">
        <v>0</v>
      </c>
      <c r="I1123" s="6">
        <v>1230872</v>
      </c>
      <c r="J1123" s="7">
        <v>390.84</v>
      </c>
      <c r="K1123" s="9">
        <f>(PricingDataTable[[#This Row],[Current Price ($)]]-PricingDataTable[[#This Row],[Prior Price ($)]])/PricingDataTable[[#This Row],[Prior Price ($)]]</f>
        <v>-2.7092572938361621E-3</v>
      </c>
      <c r="L1123" s="9">
        <f>(PricingDataTable[[#This Row],[Vendor Price ($)]]-PricingDataTable[[#This Row],[Current Price ($)]])/PricingDataTable[[#This Row],[Current Price ($)]]</f>
        <v>2.9751105180402432E-4</v>
      </c>
      <c r="M1123" t="str">
        <f t="shared" si="34"/>
        <v>PASS</v>
      </c>
      <c r="N1123" s="10" t="str">
        <f t="shared" si="35"/>
        <v>NONE</v>
      </c>
    </row>
    <row r="1124" spans="1:14">
      <c r="A1124" s="4" t="s">
        <v>2264</v>
      </c>
      <c r="B1124" s="4" t="s">
        <v>2265</v>
      </c>
      <c r="C1124" s="4" t="s">
        <v>39</v>
      </c>
      <c r="D1124" s="4" t="s">
        <v>13</v>
      </c>
      <c r="E1124" s="5">
        <v>137.37729999999999</v>
      </c>
      <c r="F1124" s="5">
        <v>136.84280000000001</v>
      </c>
      <c r="G1124" s="5">
        <v>150.8657</v>
      </c>
      <c r="H1124" s="4">
        <v>0</v>
      </c>
      <c r="I1124" s="6">
        <v>1597239</v>
      </c>
      <c r="J1124" s="7">
        <v>726.55</v>
      </c>
      <c r="K1124" s="9">
        <f>(PricingDataTable[[#This Row],[Current Price ($)]]-PricingDataTable[[#This Row],[Prior Price ($)]])/PricingDataTable[[#This Row],[Prior Price ($)]]</f>
        <v>-3.8907446863490551E-3</v>
      </c>
      <c r="L1124" s="9">
        <f>(PricingDataTable[[#This Row],[Vendor Price ($)]]-PricingDataTable[[#This Row],[Current Price ($)]])/PricingDataTable[[#This Row],[Current Price ($)]]</f>
        <v>0.10247451820629212</v>
      </c>
      <c r="M1124" t="str">
        <f t="shared" si="34"/>
        <v>VENDOR DIFFERENCE</v>
      </c>
      <c r="N1124" s="10" t="str">
        <f t="shared" si="35"/>
        <v>HIGH</v>
      </c>
    </row>
    <row r="1125" spans="1:14">
      <c r="A1125" s="4" t="s">
        <v>2266</v>
      </c>
      <c r="B1125" s="4" t="s">
        <v>2267</v>
      </c>
      <c r="C1125" s="4" t="s">
        <v>19</v>
      </c>
      <c r="D1125" s="4" t="s">
        <v>36</v>
      </c>
      <c r="E1125" s="5">
        <v>49.1036</v>
      </c>
      <c r="F1125" s="5">
        <v>49.668500000000002</v>
      </c>
      <c r="G1125" s="5">
        <v>49.453400000000002</v>
      </c>
      <c r="H1125" s="4">
        <v>0</v>
      </c>
      <c r="I1125" s="6">
        <v>2281874</v>
      </c>
      <c r="J1125" s="7">
        <v>563.51</v>
      </c>
      <c r="K1125" s="9">
        <f>(PricingDataTable[[#This Row],[Current Price ($)]]-PricingDataTable[[#This Row],[Prior Price ($)]])/PricingDataTable[[#This Row],[Prior Price ($)]]</f>
        <v>1.1504248161030994E-2</v>
      </c>
      <c r="L1125" s="9">
        <f>(PricingDataTable[[#This Row],[Vendor Price ($)]]-PricingDataTable[[#This Row],[Current Price ($)]])/PricingDataTable[[#This Row],[Current Price ($)]]</f>
        <v>-4.3307126247017647E-3</v>
      </c>
      <c r="M1125" t="str">
        <f t="shared" si="34"/>
        <v>PASS</v>
      </c>
      <c r="N1125" s="10" t="str">
        <f t="shared" si="35"/>
        <v>NONE</v>
      </c>
    </row>
    <row r="1126" spans="1:14">
      <c r="A1126" s="4" t="s">
        <v>2268</v>
      </c>
      <c r="B1126" s="4" t="s">
        <v>2269</v>
      </c>
      <c r="C1126" s="4" t="s">
        <v>39</v>
      </c>
      <c r="D1126" s="4" t="s">
        <v>13</v>
      </c>
      <c r="E1126" s="5">
        <v>265.2978</v>
      </c>
      <c r="F1126" s="5">
        <v>270.02350000000001</v>
      </c>
      <c r="G1126" s="5">
        <v>270.03089999999997</v>
      </c>
      <c r="H1126" s="4">
        <v>2</v>
      </c>
      <c r="I1126" s="6">
        <v>980654</v>
      </c>
      <c r="J1126" s="7">
        <v>750.37</v>
      </c>
      <c r="K1126" s="9">
        <f>(PricingDataTable[[#This Row],[Current Price ($)]]-PricingDataTable[[#This Row],[Prior Price ($)]])/PricingDataTable[[#This Row],[Prior Price ($)]]</f>
        <v>1.7812812620383651E-2</v>
      </c>
      <c r="L1126" s="9">
        <f>(PricingDataTable[[#This Row],[Vendor Price ($)]]-PricingDataTable[[#This Row],[Current Price ($)]])/PricingDataTable[[#This Row],[Current Price ($)]]</f>
        <v>2.7405022155336247E-5</v>
      </c>
      <c r="M1126" t="str">
        <f t="shared" si="34"/>
        <v>PASS</v>
      </c>
      <c r="N1126" s="10" t="str">
        <f t="shared" si="35"/>
        <v>NONE</v>
      </c>
    </row>
    <row r="1127" spans="1:14">
      <c r="A1127" s="4" t="s">
        <v>2270</v>
      </c>
      <c r="B1127" s="4" t="s">
        <v>2271</v>
      </c>
      <c r="C1127" s="4" t="s">
        <v>19</v>
      </c>
      <c r="D1127" s="4" t="s">
        <v>13</v>
      </c>
      <c r="E1127" s="5">
        <v>74.119799999999998</v>
      </c>
      <c r="F1127" s="5">
        <v>72.855900000000005</v>
      </c>
      <c r="G1127" s="5">
        <v>72.592699999999994</v>
      </c>
      <c r="H1127" s="4">
        <v>3</v>
      </c>
      <c r="I1127" s="6">
        <v>2343494</v>
      </c>
      <c r="J1127" s="7">
        <v>72.28</v>
      </c>
      <c r="K1127" s="9">
        <f>(PricingDataTable[[#This Row],[Current Price ($)]]-PricingDataTable[[#This Row],[Prior Price ($)]])/PricingDataTable[[#This Row],[Prior Price ($)]]</f>
        <v>-1.7052123724025058E-2</v>
      </c>
      <c r="L1127" s="9">
        <f>(PricingDataTable[[#This Row],[Vendor Price ($)]]-PricingDataTable[[#This Row],[Current Price ($)]])/PricingDataTable[[#This Row],[Current Price ($)]]</f>
        <v>-3.6126106464955047E-3</v>
      </c>
      <c r="M1127" t="str">
        <f t="shared" si="34"/>
        <v>STALE</v>
      </c>
      <c r="N1127" s="10" t="str">
        <f t="shared" si="35"/>
        <v>LOW</v>
      </c>
    </row>
    <row r="1128" spans="1:14">
      <c r="A1128" s="4" t="s">
        <v>2272</v>
      </c>
      <c r="B1128" s="4" t="s">
        <v>2273</v>
      </c>
      <c r="C1128" s="4" t="s">
        <v>19</v>
      </c>
      <c r="D1128" s="4" t="s">
        <v>32</v>
      </c>
      <c r="E1128" s="5">
        <v>26.578600000000002</v>
      </c>
      <c r="F1128" s="5">
        <v>26.411999999999999</v>
      </c>
      <c r="G1128" s="5">
        <v>26.4391</v>
      </c>
      <c r="H1128" s="4">
        <v>0</v>
      </c>
      <c r="I1128" s="6">
        <v>1206007</v>
      </c>
      <c r="J1128" s="7">
        <v>45.46</v>
      </c>
      <c r="K1128" s="9">
        <f>(PricingDataTable[[#This Row],[Current Price ($)]]-PricingDataTable[[#This Row],[Prior Price ($)]])/PricingDataTable[[#This Row],[Prior Price ($)]]</f>
        <v>-6.2682007329205643E-3</v>
      </c>
      <c r="L1128" s="9">
        <f>(PricingDataTable[[#This Row],[Vendor Price ($)]]-PricingDataTable[[#This Row],[Current Price ($)]])/PricingDataTable[[#This Row],[Current Price ($)]]</f>
        <v>1.0260487657125848E-3</v>
      </c>
      <c r="M1128" t="str">
        <f t="shared" si="34"/>
        <v>PASS</v>
      </c>
      <c r="N1128" s="10" t="str">
        <f t="shared" si="35"/>
        <v>NONE</v>
      </c>
    </row>
    <row r="1129" spans="1:14">
      <c r="A1129" s="4" t="s">
        <v>2274</v>
      </c>
      <c r="B1129" s="4" t="s">
        <v>2275</v>
      </c>
      <c r="C1129" s="4" t="s">
        <v>12</v>
      </c>
      <c r="D1129" s="4" t="s">
        <v>13</v>
      </c>
      <c r="E1129" s="5">
        <v>119.7859</v>
      </c>
      <c r="F1129" s="5">
        <v>117.9766</v>
      </c>
      <c r="G1129" s="5">
        <v>118.15089999999999</v>
      </c>
      <c r="H1129" s="4">
        <v>3</v>
      </c>
      <c r="I1129" s="6">
        <v>3454137</v>
      </c>
      <c r="J1129" s="7">
        <v>604.32000000000005</v>
      </c>
      <c r="K1129" s="9">
        <f>(PricingDataTable[[#This Row],[Current Price ($)]]-PricingDataTable[[#This Row],[Prior Price ($)]])/PricingDataTable[[#This Row],[Prior Price ($)]]</f>
        <v>-1.5104448854163914E-2</v>
      </c>
      <c r="L1129" s="9">
        <f>(PricingDataTable[[#This Row],[Vendor Price ($)]]-PricingDataTable[[#This Row],[Current Price ($)]])/PricingDataTable[[#This Row],[Current Price ($)]]</f>
        <v>1.4774116223046614E-3</v>
      </c>
      <c r="M1129" t="str">
        <f t="shared" si="34"/>
        <v>STALE</v>
      </c>
      <c r="N1129" s="10" t="str">
        <f t="shared" si="35"/>
        <v>LOW</v>
      </c>
    </row>
    <row r="1130" spans="1:14">
      <c r="A1130" s="4" t="s">
        <v>2276</v>
      </c>
      <c r="B1130" s="4" t="s">
        <v>2277</v>
      </c>
      <c r="C1130" s="4" t="s">
        <v>19</v>
      </c>
      <c r="D1130" s="4" t="s">
        <v>13</v>
      </c>
      <c r="E1130" s="5">
        <v>39.4878</v>
      </c>
      <c r="F1130" s="5">
        <v>40.017499999999998</v>
      </c>
      <c r="G1130" s="5">
        <v>39.878900000000002</v>
      </c>
      <c r="H1130" s="4">
        <v>3</v>
      </c>
      <c r="I1130" s="6">
        <v>561309</v>
      </c>
      <c r="J1130" s="7">
        <v>692.25</v>
      </c>
      <c r="K1130" s="9">
        <f>(PricingDataTable[[#This Row],[Current Price ($)]]-PricingDataTable[[#This Row],[Prior Price ($)]])/PricingDataTable[[#This Row],[Prior Price ($)]]</f>
        <v>1.3414269723813387E-2</v>
      </c>
      <c r="L1130" s="9">
        <f>(PricingDataTable[[#This Row],[Vendor Price ($)]]-PricingDataTable[[#This Row],[Current Price ($)]])/PricingDataTable[[#This Row],[Current Price ($)]]</f>
        <v>-3.4634847254325415E-3</v>
      </c>
      <c r="M1130" t="str">
        <f t="shared" si="34"/>
        <v>STALE</v>
      </c>
      <c r="N1130" s="10" t="str">
        <f t="shared" si="35"/>
        <v>LOW</v>
      </c>
    </row>
    <row r="1131" spans="1:14">
      <c r="A1131" s="4" t="s">
        <v>2278</v>
      </c>
      <c r="B1131" s="4" t="s">
        <v>2279</v>
      </c>
      <c r="C1131" s="4" t="s">
        <v>16</v>
      </c>
      <c r="D1131" s="4" t="s">
        <v>13</v>
      </c>
      <c r="E1131" s="5">
        <v>101.6768</v>
      </c>
      <c r="F1131" s="5">
        <v>102.4105</v>
      </c>
      <c r="G1131" s="5">
        <v>102.4935</v>
      </c>
      <c r="H1131" s="4">
        <v>3</v>
      </c>
      <c r="I1131" s="6">
        <v>1437536</v>
      </c>
      <c r="J1131" s="7">
        <v>182.52</v>
      </c>
      <c r="K1131" s="9">
        <f>(PricingDataTable[[#This Row],[Current Price ($)]]-PricingDataTable[[#This Row],[Prior Price ($)]])/PricingDataTable[[#This Row],[Prior Price ($)]]</f>
        <v>7.2160020771700022E-3</v>
      </c>
      <c r="L1131" s="9">
        <f>(PricingDataTable[[#This Row],[Vendor Price ($)]]-PricingDataTable[[#This Row],[Current Price ($)]])/PricingDataTable[[#This Row],[Current Price ($)]]</f>
        <v>8.1046377080473588E-4</v>
      </c>
      <c r="M1131" t="str">
        <f t="shared" si="34"/>
        <v>STALE</v>
      </c>
      <c r="N1131" s="10" t="str">
        <f t="shared" si="35"/>
        <v>LOW</v>
      </c>
    </row>
    <row r="1132" spans="1:14">
      <c r="A1132" s="4" t="s">
        <v>2280</v>
      </c>
      <c r="B1132" s="4" t="s">
        <v>2281</v>
      </c>
      <c r="C1132" s="4" t="s">
        <v>16</v>
      </c>
      <c r="D1132" s="4" t="s">
        <v>36</v>
      </c>
      <c r="E1132" s="5">
        <v>98.212800000000001</v>
      </c>
      <c r="F1132" s="5">
        <v>99.310100000000006</v>
      </c>
      <c r="G1132" s="5">
        <v>100.2632</v>
      </c>
      <c r="H1132" s="4">
        <v>0</v>
      </c>
      <c r="I1132" s="6">
        <v>1837023</v>
      </c>
      <c r="J1132" s="7">
        <v>675.35</v>
      </c>
      <c r="K1132" s="9">
        <f>(PricingDataTable[[#This Row],[Current Price ($)]]-PricingDataTable[[#This Row],[Prior Price ($)]])/PricingDataTable[[#This Row],[Prior Price ($)]]</f>
        <v>1.1172678103057892E-2</v>
      </c>
      <c r="L1132" s="9">
        <f>(PricingDataTable[[#This Row],[Vendor Price ($)]]-PricingDataTable[[#This Row],[Current Price ($)]])/PricingDataTable[[#This Row],[Current Price ($)]]</f>
        <v>9.5972111597913204E-3</v>
      </c>
      <c r="M1132" t="str">
        <f t="shared" si="34"/>
        <v>PASS</v>
      </c>
      <c r="N1132" s="10" t="str">
        <f t="shared" si="35"/>
        <v>NONE</v>
      </c>
    </row>
    <row r="1133" spans="1:14">
      <c r="A1133" s="4" t="s">
        <v>2282</v>
      </c>
      <c r="B1133" s="4" t="s">
        <v>2283</v>
      </c>
      <c r="C1133" s="4" t="s">
        <v>35</v>
      </c>
      <c r="D1133" s="4" t="s">
        <v>13</v>
      </c>
      <c r="E1133" s="5">
        <v>85.255499999999998</v>
      </c>
      <c r="F1133" s="5">
        <v>82.571299999999994</v>
      </c>
      <c r="G1133" s="5">
        <v>82.377499999999998</v>
      </c>
      <c r="H1133" s="4">
        <v>0</v>
      </c>
      <c r="I1133" s="6">
        <v>2577126</v>
      </c>
      <c r="J1133" s="7">
        <v>238.29</v>
      </c>
      <c r="K1133" s="9">
        <f>(PricingDataTable[[#This Row],[Current Price ($)]]-PricingDataTable[[#This Row],[Prior Price ($)]])/PricingDataTable[[#This Row],[Prior Price ($)]]</f>
        <v>-3.1484185771006028E-2</v>
      </c>
      <c r="L1133" s="9">
        <f>(PricingDataTable[[#This Row],[Vendor Price ($)]]-PricingDataTable[[#This Row],[Current Price ($)]])/PricingDataTable[[#This Row],[Current Price ($)]]</f>
        <v>-2.3470624781249173E-3</v>
      </c>
      <c r="M1133" t="str">
        <f t="shared" si="34"/>
        <v>PASS</v>
      </c>
      <c r="N1133" s="10" t="str">
        <f t="shared" si="35"/>
        <v>NONE</v>
      </c>
    </row>
    <row r="1134" spans="1:14">
      <c r="A1134" s="4" t="s">
        <v>2284</v>
      </c>
      <c r="B1134" s="4" t="s">
        <v>2285</v>
      </c>
      <c r="C1134" s="4" t="s">
        <v>39</v>
      </c>
      <c r="D1134" s="4" t="s">
        <v>13</v>
      </c>
      <c r="E1134" s="5">
        <v>56.171100000000003</v>
      </c>
      <c r="F1134" s="5">
        <v>55.532899999999998</v>
      </c>
      <c r="G1134" s="5">
        <v>55.654299999999999</v>
      </c>
      <c r="H1134" s="4">
        <v>0</v>
      </c>
      <c r="I1134" s="6">
        <v>1719744</v>
      </c>
      <c r="J1134" s="7">
        <v>613.91</v>
      </c>
      <c r="K1134" s="9">
        <f>(PricingDataTable[[#This Row],[Current Price ($)]]-PricingDataTable[[#This Row],[Prior Price ($)]])/PricingDataTable[[#This Row],[Prior Price ($)]]</f>
        <v>-1.1361714475949461E-2</v>
      </c>
      <c r="L1134" s="9">
        <f>(PricingDataTable[[#This Row],[Vendor Price ($)]]-PricingDataTable[[#This Row],[Current Price ($)]])/PricingDataTable[[#This Row],[Current Price ($)]]</f>
        <v>2.1860914881088739E-3</v>
      </c>
      <c r="M1134" t="str">
        <f t="shared" si="34"/>
        <v>PASS</v>
      </c>
      <c r="N1134" s="10" t="str">
        <f t="shared" si="35"/>
        <v>NONE</v>
      </c>
    </row>
    <row r="1135" spans="1:14">
      <c r="A1135" s="4" t="s">
        <v>2286</v>
      </c>
      <c r="B1135" s="4" t="s">
        <v>2287</v>
      </c>
      <c r="C1135" s="4" t="s">
        <v>16</v>
      </c>
      <c r="D1135" s="4" t="s">
        <v>13</v>
      </c>
      <c r="E1135" s="5">
        <v>82.088700000000003</v>
      </c>
      <c r="F1135" s="5">
        <v>80.392200000000003</v>
      </c>
      <c r="G1135" s="5">
        <v>80.489999999999995</v>
      </c>
      <c r="H1135" s="4">
        <v>0</v>
      </c>
      <c r="I1135" s="6">
        <v>775004</v>
      </c>
      <c r="J1135" s="7">
        <v>790.39</v>
      </c>
      <c r="K1135" s="9">
        <f>(PricingDataTable[[#This Row],[Current Price ($)]]-PricingDataTable[[#This Row],[Prior Price ($)]])/PricingDataTable[[#This Row],[Prior Price ($)]]</f>
        <v>-2.0666669103055601E-2</v>
      </c>
      <c r="L1135" s="9">
        <f>(PricingDataTable[[#This Row],[Vendor Price ($)]]-PricingDataTable[[#This Row],[Current Price ($)]])/PricingDataTable[[#This Row],[Current Price ($)]]</f>
        <v>1.2165359325903798E-3</v>
      </c>
      <c r="M1135" t="str">
        <f t="shared" si="34"/>
        <v>PASS</v>
      </c>
      <c r="N1135" s="10" t="str">
        <f t="shared" si="35"/>
        <v>NONE</v>
      </c>
    </row>
    <row r="1136" spans="1:14">
      <c r="A1136" s="4" t="s">
        <v>2288</v>
      </c>
      <c r="B1136" s="4" t="s">
        <v>2289</v>
      </c>
      <c r="C1136" s="4" t="s">
        <v>39</v>
      </c>
      <c r="D1136" s="4" t="s">
        <v>13</v>
      </c>
      <c r="E1136" s="5">
        <v>74.137799999999999</v>
      </c>
      <c r="F1136" s="5">
        <v>71.756100000000004</v>
      </c>
      <c r="G1136" s="5">
        <v>71.685400000000001</v>
      </c>
      <c r="H1136" s="4">
        <v>1</v>
      </c>
      <c r="I1136" s="6">
        <v>3674631</v>
      </c>
      <c r="J1136" s="7">
        <v>210.63</v>
      </c>
      <c r="K1136" s="9">
        <f>(PricingDataTable[[#This Row],[Current Price ($)]]-PricingDataTable[[#This Row],[Prior Price ($)]])/PricingDataTable[[#This Row],[Prior Price ($)]]</f>
        <v>-3.2125312593575678E-2</v>
      </c>
      <c r="L1136" s="9">
        <f>(PricingDataTable[[#This Row],[Vendor Price ($)]]-PricingDataTable[[#This Row],[Current Price ($)]])/PricingDataTable[[#This Row],[Current Price ($)]]</f>
        <v>-9.8528208751593534E-4</v>
      </c>
      <c r="M1136" t="str">
        <f t="shared" si="34"/>
        <v>PASS</v>
      </c>
      <c r="N1136" s="10" t="str">
        <f t="shared" si="35"/>
        <v>NONE</v>
      </c>
    </row>
    <row r="1137" spans="1:14">
      <c r="A1137" s="4" t="s">
        <v>2290</v>
      </c>
      <c r="B1137" s="4" t="s">
        <v>2291</v>
      </c>
      <c r="C1137" s="4" t="s">
        <v>39</v>
      </c>
      <c r="D1137" s="4" t="s">
        <v>13</v>
      </c>
      <c r="E1137" s="5">
        <v>307.81189999999998</v>
      </c>
      <c r="F1137" s="5">
        <v>309.1454</v>
      </c>
      <c r="G1137" s="5">
        <v>308.67259999999999</v>
      </c>
      <c r="H1137" s="4">
        <v>0</v>
      </c>
      <c r="I1137" s="6">
        <v>193255</v>
      </c>
      <c r="J1137" s="7">
        <v>443.64</v>
      </c>
      <c r="K1137" s="9">
        <f>(PricingDataTable[[#This Row],[Current Price ($)]]-PricingDataTable[[#This Row],[Prior Price ($)]])/PricingDataTable[[#This Row],[Prior Price ($)]]</f>
        <v>4.3321911855909896E-3</v>
      </c>
      <c r="L1137" s="9">
        <f>(PricingDataTable[[#This Row],[Vendor Price ($)]]-PricingDataTable[[#This Row],[Current Price ($)]])/PricingDataTable[[#This Row],[Current Price ($)]]</f>
        <v>-1.5293774385774673E-3</v>
      </c>
      <c r="M1137" t="str">
        <f t="shared" si="34"/>
        <v>PASS</v>
      </c>
      <c r="N1137" s="10" t="str">
        <f t="shared" si="35"/>
        <v>NONE</v>
      </c>
    </row>
    <row r="1138" spans="1:14">
      <c r="A1138" s="4" t="s">
        <v>2292</v>
      </c>
      <c r="B1138" s="4" t="s">
        <v>2293</v>
      </c>
      <c r="C1138" s="4" t="s">
        <v>16</v>
      </c>
      <c r="D1138" s="4" t="s">
        <v>13</v>
      </c>
      <c r="E1138" s="5">
        <v>95.139099999999999</v>
      </c>
      <c r="F1138" s="5">
        <v>95.654499999999999</v>
      </c>
      <c r="G1138" s="5">
        <v>95.590699999999998</v>
      </c>
      <c r="H1138" s="4">
        <v>2</v>
      </c>
      <c r="I1138" s="6">
        <v>4348625</v>
      </c>
      <c r="J1138" s="7">
        <v>701.94</v>
      </c>
      <c r="K1138" s="9">
        <f>(PricingDataTable[[#This Row],[Current Price ($)]]-PricingDataTable[[#This Row],[Prior Price ($)]])/PricingDataTable[[#This Row],[Prior Price ($)]]</f>
        <v>5.4173310447544667E-3</v>
      </c>
      <c r="L1138" s="9">
        <f>(PricingDataTable[[#This Row],[Vendor Price ($)]]-PricingDataTable[[#This Row],[Current Price ($)]])/PricingDataTable[[#This Row],[Current Price ($)]]</f>
        <v>-6.6698378016716959E-4</v>
      </c>
      <c r="M1138" t="str">
        <f t="shared" si="34"/>
        <v>PASS</v>
      </c>
      <c r="N1138" s="10" t="str">
        <f t="shared" si="35"/>
        <v>NONE</v>
      </c>
    </row>
    <row r="1139" spans="1:14">
      <c r="A1139" s="4" t="s">
        <v>2294</v>
      </c>
      <c r="B1139" s="4" t="s">
        <v>2295</v>
      </c>
      <c r="C1139" s="4" t="s">
        <v>16</v>
      </c>
      <c r="D1139" s="4" t="s">
        <v>13</v>
      </c>
      <c r="E1139" s="5">
        <v>102.03100000000001</v>
      </c>
      <c r="F1139" s="5">
        <v>104.0558</v>
      </c>
      <c r="G1139" s="5">
        <v>104.3583</v>
      </c>
      <c r="H1139" s="4">
        <v>0</v>
      </c>
      <c r="I1139" s="6">
        <v>3071570</v>
      </c>
      <c r="J1139" s="7">
        <v>13.55</v>
      </c>
      <c r="K1139" s="9">
        <f>(PricingDataTable[[#This Row],[Current Price ($)]]-PricingDataTable[[#This Row],[Prior Price ($)]])/PricingDataTable[[#This Row],[Prior Price ($)]]</f>
        <v>1.9844949084101879E-2</v>
      </c>
      <c r="L1139" s="9">
        <f>(PricingDataTable[[#This Row],[Vendor Price ($)]]-PricingDataTable[[#This Row],[Current Price ($)]])/PricingDataTable[[#This Row],[Current Price ($)]]</f>
        <v>2.907094078369441E-3</v>
      </c>
      <c r="M1139" t="str">
        <f t="shared" si="34"/>
        <v>PASS</v>
      </c>
      <c r="N1139" s="10" t="str">
        <f t="shared" si="35"/>
        <v>NONE</v>
      </c>
    </row>
    <row r="1140" spans="1:14">
      <c r="A1140" s="4" t="s">
        <v>2296</v>
      </c>
      <c r="B1140" s="4" t="s">
        <v>2297</v>
      </c>
      <c r="C1140" s="4" t="s">
        <v>35</v>
      </c>
      <c r="D1140" s="4" t="s">
        <v>36</v>
      </c>
      <c r="E1140" s="5">
        <v>124.2411</v>
      </c>
      <c r="F1140" s="5">
        <v>123.53740000000001</v>
      </c>
      <c r="G1140" s="5">
        <v>123.6564</v>
      </c>
      <c r="H1140" s="4">
        <v>3</v>
      </c>
      <c r="I1140" s="6">
        <v>2747367</v>
      </c>
      <c r="J1140" s="7">
        <v>511.17</v>
      </c>
      <c r="K1140" s="9">
        <f>(PricingDataTable[[#This Row],[Current Price ($)]]-PricingDataTable[[#This Row],[Prior Price ($)]])/PricingDataTable[[#This Row],[Prior Price ($)]]</f>
        <v>-5.6639871990830553E-3</v>
      </c>
      <c r="L1140" s="9">
        <f>(PricingDataTable[[#This Row],[Vendor Price ($)]]-PricingDataTable[[#This Row],[Current Price ($)]])/PricingDataTable[[#This Row],[Current Price ($)]]</f>
        <v>9.6327104180596128E-4</v>
      </c>
      <c r="M1140" t="str">
        <f t="shared" si="34"/>
        <v>STALE</v>
      </c>
      <c r="N1140" s="10" t="str">
        <f t="shared" si="35"/>
        <v>LOW</v>
      </c>
    </row>
    <row r="1141" spans="1:14">
      <c r="A1141" s="4" t="s">
        <v>2298</v>
      </c>
      <c r="B1141" s="4" t="s">
        <v>2299</v>
      </c>
      <c r="C1141" s="4" t="s">
        <v>35</v>
      </c>
      <c r="D1141" s="4" t="s">
        <v>13</v>
      </c>
      <c r="E1141" s="5">
        <v>97.098200000000006</v>
      </c>
      <c r="F1141" s="5">
        <v>96.743899999999996</v>
      </c>
      <c r="G1141" s="5">
        <v>96.550600000000003</v>
      </c>
      <c r="H1141" s="4">
        <v>1</v>
      </c>
      <c r="I1141" s="6">
        <v>1065296</v>
      </c>
      <c r="J1141" s="7">
        <v>802.98</v>
      </c>
      <c r="K1141" s="9">
        <f>(PricingDataTable[[#This Row],[Current Price ($)]]-PricingDataTable[[#This Row],[Prior Price ($)]])/PricingDataTable[[#This Row],[Prior Price ($)]]</f>
        <v>-3.6488832954679811E-3</v>
      </c>
      <c r="L1141" s="9">
        <f>(PricingDataTable[[#This Row],[Vendor Price ($)]]-PricingDataTable[[#This Row],[Current Price ($)]])/PricingDataTable[[#This Row],[Current Price ($)]]</f>
        <v>-1.9980587923372284E-3</v>
      </c>
      <c r="M1141" t="str">
        <f t="shared" si="34"/>
        <v>PASS</v>
      </c>
      <c r="N1141" s="10" t="str">
        <f t="shared" si="35"/>
        <v>NONE</v>
      </c>
    </row>
    <row r="1142" spans="1:14">
      <c r="A1142" s="4" t="s">
        <v>2300</v>
      </c>
      <c r="B1142" s="4" t="s">
        <v>2301</v>
      </c>
      <c r="C1142" s="4" t="s">
        <v>39</v>
      </c>
      <c r="D1142" s="4" t="s">
        <v>237</v>
      </c>
      <c r="E1142" s="5">
        <v>244.5933</v>
      </c>
      <c r="F1142" s="5">
        <v>245.30680000000001</v>
      </c>
      <c r="G1142" s="5">
        <v>246.70849999999999</v>
      </c>
      <c r="H1142" s="4">
        <v>1</v>
      </c>
      <c r="I1142" s="6">
        <v>1091419</v>
      </c>
      <c r="J1142" s="7">
        <v>268.45999999999998</v>
      </c>
      <c r="K1142" s="9">
        <f>(PricingDataTable[[#This Row],[Current Price ($)]]-PricingDataTable[[#This Row],[Prior Price ($)]])/PricingDataTable[[#This Row],[Prior Price ($)]]</f>
        <v>2.9170872628154999E-3</v>
      </c>
      <c r="L1142" s="9">
        <f>(PricingDataTable[[#This Row],[Vendor Price ($)]]-PricingDataTable[[#This Row],[Current Price ($)]])/PricingDataTable[[#This Row],[Current Price ($)]]</f>
        <v>5.7140690759488804E-3</v>
      </c>
      <c r="M1142" t="str">
        <f t="shared" si="34"/>
        <v>PASS</v>
      </c>
      <c r="N1142" s="10" t="str">
        <f t="shared" si="35"/>
        <v>NONE</v>
      </c>
    </row>
    <row r="1143" spans="1:14">
      <c r="A1143" s="4" t="s">
        <v>2302</v>
      </c>
      <c r="B1143" s="4" t="s">
        <v>2303</v>
      </c>
      <c r="C1143" s="4" t="s">
        <v>39</v>
      </c>
      <c r="D1143" s="4" t="s">
        <v>13</v>
      </c>
      <c r="E1143" s="5">
        <v>197.31100000000001</v>
      </c>
      <c r="F1143" s="5">
        <v>198.21879999999999</v>
      </c>
      <c r="G1143" s="5">
        <v>198.3192</v>
      </c>
      <c r="H1143" s="4">
        <v>0</v>
      </c>
      <c r="I1143" s="6">
        <v>301307</v>
      </c>
      <c r="J1143" s="7">
        <v>625.80999999999995</v>
      </c>
      <c r="K1143" s="9">
        <f>(PricingDataTable[[#This Row],[Current Price ($)]]-PricingDataTable[[#This Row],[Prior Price ($)]])/PricingDataTable[[#This Row],[Prior Price ($)]]</f>
        <v>4.6008585431120434E-3</v>
      </c>
      <c r="L1143" s="9">
        <f>(PricingDataTable[[#This Row],[Vendor Price ($)]]-PricingDataTable[[#This Row],[Current Price ($)]])/PricingDataTable[[#This Row],[Current Price ($)]]</f>
        <v>5.0651098684891438E-4</v>
      </c>
      <c r="M1143" t="str">
        <f t="shared" si="34"/>
        <v>PASS</v>
      </c>
      <c r="N1143" s="10" t="str">
        <f t="shared" si="35"/>
        <v>NONE</v>
      </c>
    </row>
    <row r="1144" spans="1:14">
      <c r="A1144" s="4" t="s">
        <v>2304</v>
      </c>
      <c r="B1144" s="4" t="s">
        <v>2305</v>
      </c>
      <c r="C1144" s="4" t="s">
        <v>16</v>
      </c>
      <c r="D1144" s="4" t="s">
        <v>13</v>
      </c>
      <c r="E1144" s="5">
        <v>119.7598</v>
      </c>
      <c r="F1144" s="5">
        <v>118.5942</v>
      </c>
      <c r="G1144" s="5">
        <v>118.7993</v>
      </c>
      <c r="H1144" s="4">
        <v>0</v>
      </c>
      <c r="I1144" s="6">
        <v>2307028</v>
      </c>
      <c r="J1144" s="7">
        <v>342.53</v>
      </c>
      <c r="K1144" s="9">
        <f>(PricingDataTable[[#This Row],[Current Price ($)]]-PricingDataTable[[#This Row],[Prior Price ($)]])/PricingDataTable[[#This Row],[Prior Price ($)]]</f>
        <v>-9.7328151850620808E-3</v>
      </c>
      <c r="L1144" s="9">
        <f>(PricingDataTable[[#This Row],[Vendor Price ($)]]-PricingDataTable[[#This Row],[Current Price ($)]])/PricingDataTable[[#This Row],[Current Price ($)]]</f>
        <v>1.729426902833373E-3</v>
      </c>
      <c r="M1144" t="str">
        <f t="shared" si="34"/>
        <v>PASS</v>
      </c>
      <c r="N1144" s="10" t="str">
        <f t="shared" si="35"/>
        <v>NONE</v>
      </c>
    </row>
    <row r="1145" spans="1:14">
      <c r="A1145" s="4" t="s">
        <v>2306</v>
      </c>
      <c r="B1145" s="4" t="s">
        <v>2307</v>
      </c>
      <c r="C1145" s="4" t="s">
        <v>19</v>
      </c>
      <c r="D1145" s="4" t="s">
        <v>13</v>
      </c>
      <c r="E1145" s="5">
        <v>340.88819999999998</v>
      </c>
      <c r="F1145" s="5">
        <v>335.8485</v>
      </c>
      <c r="G1145" s="5">
        <v>335.88830000000002</v>
      </c>
      <c r="H1145" s="4">
        <v>0</v>
      </c>
      <c r="I1145" s="6">
        <v>1292135</v>
      </c>
      <c r="J1145" s="7">
        <v>753.37</v>
      </c>
      <c r="K1145" s="9">
        <f>(PricingDataTable[[#This Row],[Current Price ($)]]-PricingDataTable[[#This Row],[Prior Price ($)]])/PricingDataTable[[#This Row],[Prior Price ($)]]</f>
        <v>-1.4784025965111091E-2</v>
      </c>
      <c r="L1145" s="9">
        <f>(PricingDataTable[[#This Row],[Vendor Price ($)]]-PricingDataTable[[#This Row],[Current Price ($)]])/PricingDataTable[[#This Row],[Current Price ($)]]</f>
        <v>1.1850581437765488E-4</v>
      </c>
      <c r="M1145" t="str">
        <f t="shared" si="34"/>
        <v>PASS</v>
      </c>
      <c r="N1145" s="10" t="str">
        <f t="shared" si="35"/>
        <v>NONE</v>
      </c>
    </row>
    <row r="1146" spans="1:14">
      <c r="A1146" s="4" t="s">
        <v>2308</v>
      </c>
      <c r="B1146" s="4" t="s">
        <v>2309</v>
      </c>
      <c r="C1146" s="4" t="s">
        <v>16</v>
      </c>
      <c r="D1146" s="4" t="s">
        <v>13</v>
      </c>
      <c r="E1146" s="5">
        <v>124.70959999999999</v>
      </c>
      <c r="F1146" s="5">
        <v>126.79689999999999</v>
      </c>
      <c r="G1146" s="5">
        <v>126.9267</v>
      </c>
      <c r="H1146" s="4">
        <v>0</v>
      </c>
      <c r="I1146" s="6">
        <v>1993140</v>
      </c>
      <c r="J1146" s="7">
        <v>331.94</v>
      </c>
      <c r="K1146" s="9">
        <f>(PricingDataTable[[#This Row],[Current Price ($)]]-PricingDataTable[[#This Row],[Prior Price ($)]])/PricingDataTable[[#This Row],[Prior Price ($)]]</f>
        <v>1.6737284058324291E-2</v>
      </c>
      <c r="L1146" s="9">
        <f>(PricingDataTable[[#This Row],[Vendor Price ($)]]-PricingDataTable[[#This Row],[Current Price ($)]])/PricingDataTable[[#This Row],[Current Price ($)]]</f>
        <v>1.0236843329766187E-3</v>
      </c>
      <c r="M1146" t="str">
        <f t="shared" si="34"/>
        <v>PASS</v>
      </c>
      <c r="N1146" s="10" t="str">
        <f t="shared" si="35"/>
        <v>NONE</v>
      </c>
    </row>
    <row r="1147" spans="1:14">
      <c r="A1147" s="4" t="s">
        <v>2310</v>
      </c>
      <c r="B1147" s="4" t="s">
        <v>2311</v>
      </c>
      <c r="C1147" s="4" t="s">
        <v>35</v>
      </c>
      <c r="D1147" s="4" t="s">
        <v>13</v>
      </c>
      <c r="E1147" s="5">
        <v>156.46619999999999</v>
      </c>
      <c r="F1147" s="5">
        <v>156.53149999999999</v>
      </c>
      <c r="G1147" s="5">
        <v>156.06469999999999</v>
      </c>
      <c r="H1147" s="4">
        <v>0</v>
      </c>
      <c r="I1147" s="6">
        <v>1409612</v>
      </c>
      <c r="J1147" s="7">
        <v>251.78</v>
      </c>
      <c r="K1147" s="9">
        <f>(PricingDataTable[[#This Row],[Current Price ($)]]-PricingDataTable[[#This Row],[Prior Price ($)]])/PricingDataTable[[#This Row],[Prior Price ($)]]</f>
        <v>4.1734253148608254E-4</v>
      </c>
      <c r="L1147" s="9">
        <f>(PricingDataTable[[#This Row],[Vendor Price ($)]]-PricingDataTable[[#This Row],[Current Price ($)]])/PricingDataTable[[#This Row],[Current Price ($)]]</f>
        <v>-2.9821473633103008E-3</v>
      </c>
      <c r="M1147" t="str">
        <f t="shared" si="34"/>
        <v>PASS</v>
      </c>
      <c r="N1147" s="10" t="str">
        <f t="shared" si="35"/>
        <v>NONE</v>
      </c>
    </row>
    <row r="1148" spans="1:14">
      <c r="A1148" s="4" t="s">
        <v>2312</v>
      </c>
      <c r="B1148" s="4" t="s">
        <v>2313</v>
      </c>
      <c r="C1148" s="4" t="s">
        <v>39</v>
      </c>
      <c r="D1148" s="4" t="s">
        <v>13</v>
      </c>
      <c r="E1148" s="5">
        <v>136.089</v>
      </c>
      <c r="F1148" s="5">
        <v>136.06020000000001</v>
      </c>
      <c r="G1148" s="5">
        <v>137.01240000000001</v>
      </c>
      <c r="H1148" s="4">
        <v>0</v>
      </c>
      <c r="I1148" s="6">
        <v>2468625</v>
      </c>
      <c r="J1148" s="7">
        <v>167.28</v>
      </c>
      <c r="K1148" s="9">
        <f>(PricingDataTable[[#This Row],[Current Price ($)]]-PricingDataTable[[#This Row],[Prior Price ($)]])/PricingDataTable[[#This Row],[Prior Price ($)]]</f>
        <v>-2.1162621519733206E-4</v>
      </c>
      <c r="L1148" s="9">
        <f>(PricingDataTable[[#This Row],[Vendor Price ($)]]-PricingDataTable[[#This Row],[Current Price ($)]])/PricingDataTable[[#This Row],[Current Price ($)]]</f>
        <v>6.9983727791081063E-3</v>
      </c>
      <c r="M1148" t="str">
        <f t="shared" si="34"/>
        <v>PASS</v>
      </c>
      <c r="N1148" s="10" t="str">
        <f t="shared" si="35"/>
        <v>NONE</v>
      </c>
    </row>
    <row r="1149" spans="1:14">
      <c r="A1149" s="4" t="s">
        <v>2314</v>
      </c>
      <c r="B1149" s="4" t="s">
        <v>2315</v>
      </c>
      <c r="C1149" s="4" t="s">
        <v>12</v>
      </c>
      <c r="D1149" s="4" t="s">
        <v>32</v>
      </c>
      <c r="E1149" s="5">
        <v>117.3372</v>
      </c>
      <c r="F1149" s="5">
        <v>117.9892</v>
      </c>
      <c r="G1149" s="5">
        <v>117.343</v>
      </c>
      <c r="H1149" s="4">
        <v>0</v>
      </c>
      <c r="I1149" s="6">
        <v>865887</v>
      </c>
      <c r="J1149" s="7">
        <v>306.3</v>
      </c>
      <c r="K1149" s="9">
        <f>(PricingDataTable[[#This Row],[Current Price ($)]]-PricingDataTable[[#This Row],[Prior Price ($)]])/PricingDataTable[[#This Row],[Prior Price ($)]]</f>
        <v>5.5566350654353523E-3</v>
      </c>
      <c r="L1149" s="9">
        <f>(PricingDataTable[[#This Row],[Vendor Price ($)]]-PricingDataTable[[#This Row],[Current Price ($)]])/PricingDataTable[[#This Row],[Current Price ($)]]</f>
        <v>-5.4767724503598063E-3</v>
      </c>
      <c r="M1149" t="str">
        <f t="shared" si="34"/>
        <v>PASS</v>
      </c>
      <c r="N1149" s="10" t="str">
        <f t="shared" si="35"/>
        <v>NONE</v>
      </c>
    </row>
    <row r="1150" spans="1:14">
      <c r="A1150" s="4" t="s">
        <v>2316</v>
      </c>
      <c r="B1150" s="4" t="s">
        <v>2317</v>
      </c>
      <c r="C1150" s="4" t="s">
        <v>19</v>
      </c>
      <c r="D1150" s="4" t="s">
        <v>13</v>
      </c>
      <c r="E1150" s="5">
        <v>120.1352</v>
      </c>
      <c r="F1150" s="5">
        <v>118.85420000000001</v>
      </c>
      <c r="G1150" s="5">
        <v>118.78740000000001</v>
      </c>
      <c r="H1150" s="4">
        <v>3</v>
      </c>
      <c r="I1150" s="6">
        <v>4828171</v>
      </c>
      <c r="J1150" s="7">
        <v>154.84</v>
      </c>
      <c r="K1150" s="9">
        <f>(PricingDataTable[[#This Row],[Current Price ($)]]-PricingDataTable[[#This Row],[Prior Price ($)]])/PricingDataTable[[#This Row],[Prior Price ($)]]</f>
        <v>-1.0662986368691205E-2</v>
      </c>
      <c r="L1150" s="9">
        <f>(PricingDataTable[[#This Row],[Vendor Price ($)]]-PricingDataTable[[#This Row],[Current Price ($)]])/PricingDataTable[[#This Row],[Current Price ($)]]</f>
        <v>-5.6203314649377672E-4</v>
      </c>
      <c r="M1150" t="str">
        <f t="shared" si="34"/>
        <v>STALE</v>
      </c>
      <c r="N1150" s="10" t="str">
        <f t="shared" si="35"/>
        <v>LOW</v>
      </c>
    </row>
    <row r="1151" spans="1:14">
      <c r="A1151" s="4" t="s">
        <v>2318</v>
      </c>
      <c r="B1151" s="4" t="s">
        <v>2319</v>
      </c>
      <c r="C1151" s="4" t="s">
        <v>39</v>
      </c>
      <c r="D1151" s="4" t="s">
        <v>13</v>
      </c>
      <c r="E1151" s="5">
        <v>189.17140000000001</v>
      </c>
      <c r="F1151" s="5">
        <v>189.60300000000001</v>
      </c>
      <c r="G1151" s="5">
        <v>189.0669</v>
      </c>
      <c r="H1151" s="4">
        <v>0</v>
      </c>
      <c r="I1151" s="6">
        <v>3069588</v>
      </c>
      <c r="J1151" s="7">
        <v>23.29</v>
      </c>
      <c r="K1151" s="9">
        <f>(PricingDataTable[[#This Row],[Current Price ($)]]-PricingDataTable[[#This Row],[Prior Price ($)]])/PricingDataTable[[#This Row],[Prior Price ($)]]</f>
        <v>2.281528814609413E-3</v>
      </c>
      <c r="L1151" s="9">
        <f>(PricingDataTable[[#This Row],[Vendor Price ($)]]-PricingDataTable[[#This Row],[Current Price ($)]])/PricingDataTable[[#This Row],[Current Price ($)]]</f>
        <v>-2.827486906852764E-3</v>
      </c>
      <c r="M1151" t="str">
        <f t="shared" si="34"/>
        <v>PASS</v>
      </c>
      <c r="N1151" s="10" t="str">
        <f t="shared" si="35"/>
        <v>NONE</v>
      </c>
    </row>
    <row r="1152" spans="1:14">
      <c r="A1152" s="4" t="s">
        <v>2320</v>
      </c>
      <c r="B1152" s="4" t="s">
        <v>2321</v>
      </c>
      <c r="C1152" s="4" t="s">
        <v>16</v>
      </c>
      <c r="D1152" s="4" t="s">
        <v>237</v>
      </c>
      <c r="E1152" s="5">
        <v>122.4789</v>
      </c>
      <c r="F1152" s="5">
        <v>122.2355</v>
      </c>
      <c r="G1152" s="5">
        <v>122.212</v>
      </c>
      <c r="H1152" s="4">
        <v>1</v>
      </c>
      <c r="I1152" s="6">
        <v>1629728</v>
      </c>
      <c r="J1152" s="7">
        <v>276.10000000000002</v>
      </c>
      <c r="K1152" s="9">
        <f>(PricingDataTable[[#This Row],[Current Price ($)]]-PricingDataTable[[#This Row],[Prior Price ($)]])/PricingDataTable[[#This Row],[Prior Price ($)]]</f>
        <v>-1.9872810745360553E-3</v>
      </c>
      <c r="L1152" s="9">
        <f>(PricingDataTable[[#This Row],[Vendor Price ($)]]-PricingDataTable[[#This Row],[Current Price ($)]])/PricingDataTable[[#This Row],[Current Price ($)]]</f>
        <v>-1.9225184173172704E-4</v>
      </c>
      <c r="M1152" t="str">
        <f t="shared" si="34"/>
        <v>PASS</v>
      </c>
      <c r="N1152" s="10" t="str">
        <f t="shared" si="35"/>
        <v>NONE</v>
      </c>
    </row>
    <row r="1153" spans="1:14">
      <c r="A1153" s="4" t="s">
        <v>2322</v>
      </c>
      <c r="B1153" s="4" t="s">
        <v>2323</v>
      </c>
      <c r="C1153" s="4" t="s">
        <v>39</v>
      </c>
      <c r="D1153" s="4" t="s">
        <v>36</v>
      </c>
      <c r="E1153" s="5">
        <v>289.92039999999997</v>
      </c>
      <c r="F1153" s="5">
        <v>295.78840000000002</v>
      </c>
      <c r="G1153" s="5">
        <v>296.5453</v>
      </c>
      <c r="H1153" s="4">
        <v>0</v>
      </c>
      <c r="I1153" s="6">
        <v>2799566</v>
      </c>
      <c r="J1153" s="7">
        <v>523.86</v>
      </c>
      <c r="K1153" s="9">
        <f>(PricingDataTable[[#This Row],[Current Price ($)]]-PricingDataTable[[#This Row],[Prior Price ($)]])/PricingDataTable[[#This Row],[Prior Price ($)]]</f>
        <v>2.024003830016809E-2</v>
      </c>
      <c r="L1153" s="9">
        <f>(PricingDataTable[[#This Row],[Vendor Price ($)]]-PricingDataTable[[#This Row],[Current Price ($)]])/PricingDataTable[[#This Row],[Current Price ($)]]</f>
        <v>2.5589238793677278E-3</v>
      </c>
      <c r="M1153" t="str">
        <f t="shared" si="34"/>
        <v>PASS</v>
      </c>
      <c r="N1153" s="10" t="str">
        <f t="shared" si="35"/>
        <v>NONE</v>
      </c>
    </row>
    <row r="1154" spans="1:14">
      <c r="A1154" s="4" t="s">
        <v>2324</v>
      </c>
      <c r="B1154" s="4" t="s">
        <v>2325</v>
      </c>
      <c r="C1154" s="4" t="s">
        <v>19</v>
      </c>
      <c r="D1154" s="4" t="s">
        <v>13</v>
      </c>
      <c r="E1154" s="5">
        <v>142.92949999999999</v>
      </c>
      <c r="F1154" s="5">
        <v>144.1456</v>
      </c>
      <c r="G1154" s="5">
        <v>144.33539999999999</v>
      </c>
      <c r="H1154" s="4">
        <v>0</v>
      </c>
      <c r="I1154" s="6">
        <v>1800084</v>
      </c>
      <c r="J1154" s="7">
        <v>735.82</v>
      </c>
      <c r="K1154" s="9">
        <f>(PricingDataTable[[#This Row],[Current Price ($)]]-PricingDataTable[[#This Row],[Prior Price ($)]])/PricingDataTable[[#This Row],[Prior Price ($)]]</f>
        <v>8.5083905002117238E-3</v>
      </c>
      <c r="L1154" s="9">
        <f>(PricingDataTable[[#This Row],[Vendor Price ($)]]-PricingDataTable[[#This Row],[Current Price ($)]])/PricingDataTable[[#This Row],[Current Price ($)]]</f>
        <v>1.3167242010855072E-3</v>
      </c>
      <c r="M1154" t="str">
        <f t="shared" ref="M1154:M1217" si="36">IF(OR(F1154="",F1154=0),"MISSING",IF(H1154&gt;=3,"STALE",IF(ABS(K1154)&gt;=5%,"LARGE MOVE",IF(ABS(L1154)&gt;=2%,"VENDOR DIFFERENCE","PASS"))))</f>
        <v>PASS</v>
      </c>
      <c r="N1154" s="10" t="str">
        <f t="shared" ref="N1154:N1217" si="37">IF(M1154="PASS","NONE",IF(M1154="MISSING","HIGH",IF(OR(ABS(K1154)&gt;=10%,ABS(L1154)&gt;=5%),"HIGH",IF(OR(ABS(K1154)&gt;=7%,ABS(L1154)&gt;=3%,H1154&gt;=5),"MEDIUM","LOW"))))</f>
        <v>NONE</v>
      </c>
    </row>
    <row r="1155" spans="1:14">
      <c r="A1155" s="4" t="s">
        <v>2326</v>
      </c>
      <c r="B1155" s="4" t="s">
        <v>2327</v>
      </c>
      <c r="C1155" s="4" t="s">
        <v>19</v>
      </c>
      <c r="D1155" s="4" t="s">
        <v>32</v>
      </c>
      <c r="E1155" s="5">
        <v>160.98580000000001</v>
      </c>
      <c r="F1155" s="5">
        <v>160.84309999999999</v>
      </c>
      <c r="G1155" s="5">
        <v>160.92230000000001</v>
      </c>
      <c r="H1155" s="4">
        <v>0</v>
      </c>
      <c r="I1155" s="6">
        <v>2378992</v>
      </c>
      <c r="J1155" s="7">
        <v>855.36</v>
      </c>
      <c r="K1155" s="9">
        <f>(PricingDataTable[[#This Row],[Current Price ($)]]-PricingDataTable[[#This Row],[Prior Price ($)]])/PricingDataTable[[#This Row],[Prior Price ($)]]</f>
        <v>-8.8641358430382761E-4</v>
      </c>
      <c r="L1155" s="9">
        <f>(PricingDataTable[[#This Row],[Vendor Price ($)]]-PricingDataTable[[#This Row],[Current Price ($)]])/PricingDataTable[[#This Row],[Current Price ($)]]</f>
        <v>4.924053316555971E-4</v>
      </c>
      <c r="M1155" t="str">
        <f t="shared" si="36"/>
        <v>PASS</v>
      </c>
      <c r="N1155" s="10" t="str">
        <f t="shared" si="37"/>
        <v>NONE</v>
      </c>
    </row>
    <row r="1156" spans="1:14">
      <c r="A1156" s="4" t="s">
        <v>2328</v>
      </c>
      <c r="B1156" s="4" t="s">
        <v>2329</v>
      </c>
      <c r="C1156" s="4" t="s">
        <v>39</v>
      </c>
      <c r="D1156" s="4" t="s">
        <v>13</v>
      </c>
      <c r="E1156" s="5">
        <v>138.96289999999999</v>
      </c>
      <c r="F1156" s="5">
        <v>133.26929999999999</v>
      </c>
      <c r="G1156" s="5">
        <v>133.01589999999999</v>
      </c>
      <c r="H1156" s="4">
        <v>0</v>
      </c>
      <c r="I1156" s="6">
        <v>4010870</v>
      </c>
      <c r="J1156" s="7">
        <v>6.25</v>
      </c>
      <c r="K1156" s="9">
        <f>(PricingDataTable[[#This Row],[Current Price ($)]]-PricingDataTable[[#This Row],[Prior Price ($)]])/PricingDataTable[[#This Row],[Prior Price ($)]]</f>
        <v>-4.0972086794389032E-2</v>
      </c>
      <c r="L1156" s="9">
        <f>(PricingDataTable[[#This Row],[Vendor Price ($)]]-PricingDataTable[[#This Row],[Current Price ($)]])/PricingDataTable[[#This Row],[Current Price ($)]]</f>
        <v>-1.9014131536670427E-3</v>
      </c>
      <c r="M1156" t="str">
        <f t="shared" si="36"/>
        <v>PASS</v>
      </c>
      <c r="N1156" s="10" t="str">
        <f t="shared" si="37"/>
        <v>NONE</v>
      </c>
    </row>
    <row r="1157" spans="1:14">
      <c r="A1157" s="4" t="s">
        <v>2330</v>
      </c>
      <c r="B1157" s="4" t="s">
        <v>2331</v>
      </c>
      <c r="C1157" s="4" t="s">
        <v>19</v>
      </c>
      <c r="D1157" s="4" t="s">
        <v>13</v>
      </c>
      <c r="E1157" s="5">
        <v>198.76920000000001</v>
      </c>
      <c r="F1157" s="5">
        <v>199.02699999999999</v>
      </c>
      <c r="G1157" s="5">
        <v>198.4248</v>
      </c>
      <c r="H1157" s="4">
        <v>0</v>
      </c>
      <c r="I1157" s="6">
        <v>3491358</v>
      </c>
      <c r="J1157" s="7">
        <v>52.72</v>
      </c>
      <c r="K1157" s="9">
        <f>(PricingDataTable[[#This Row],[Current Price ($)]]-PricingDataTable[[#This Row],[Prior Price ($)]])/PricingDataTable[[#This Row],[Prior Price ($)]]</f>
        <v>1.2969816249196289E-3</v>
      </c>
      <c r="L1157" s="9">
        <f>(PricingDataTable[[#This Row],[Vendor Price ($)]]-PricingDataTable[[#This Row],[Current Price ($)]])/PricingDataTable[[#This Row],[Current Price ($)]]</f>
        <v>-3.0257201284246966E-3</v>
      </c>
      <c r="M1157" t="str">
        <f t="shared" si="36"/>
        <v>PASS</v>
      </c>
      <c r="N1157" s="10" t="str">
        <f t="shared" si="37"/>
        <v>NONE</v>
      </c>
    </row>
    <row r="1158" spans="1:14">
      <c r="A1158" s="4" t="s">
        <v>2332</v>
      </c>
      <c r="B1158" s="4" t="s">
        <v>2333</v>
      </c>
      <c r="C1158" s="4" t="s">
        <v>16</v>
      </c>
      <c r="D1158" s="4" t="s">
        <v>32</v>
      </c>
      <c r="E1158" s="5">
        <v>97.489000000000004</v>
      </c>
      <c r="F1158" s="5">
        <v>96.567899999999995</v>
      </c>
      <c r="G1158" s="5">
        <v>96.654499999999999</v>
      </c>
      <c r="H1158" s="4">
        <v>0</v>
      </c>
      <c r="I1158" s="6">
        <v>2346570</v>
      </c>
      <c r="J1158" s="7">
        <v>487.31</v>
      </c>
      <c r="K1158" s="9">
        <f>(PricingDataTable[[#This Row],[Current Price ($)]]-PricingDataTable[[#This Row],[Prior Price ($)]])/PricingDataTable[[#This Row],[Prior Price ($)]]</f>
        <v>-9.4482454430757298E-3</v>
      </c>
      <c r="L1158" s="9">
        <f>(PricingDataTable[[#This Row],[Vendor Price ($)]]-PricingDataTable[[#This Row],[Current Price ($)]])/PricingDataTable[[#This Row],[Current Price ($)]]</f>
        <v>8.9677832903070512E-4</v>
      </c>
      <c r="M1158" t="str">
        <f t="shared" si="36"/>
        <v>PASS</v>
      </c>
      <c r="N1158" s="10" t="str">
        <f t="shared" si="37"/>
        <v>NONE</v>
      </c>
    </row>
    <row r="1159" spans="1:14">
      <c r="A1159" s="4" t="s">
        <v>2334</v>
      </c>
      <c r="B1159" s="4" t="s">
        <v>2335</v>
      </c>
      <c r="C1159" s="4" t="s">
        <v>16</v>
      </c>
      <c r="D1159" s="4" t="s">
        <v>13</v>
      </c>
      <c r="E1159" s="5">
        <v>118.33969999999999</v>
      </c>
      <c r="F1159" s="5">
        <v>118.97790000000001</v>
      </c>
      <c r="G1159" s="5">
        <v>118.3117</v>
      </c>
      <c r="H1159" s="4">
        <v>0</v>
      </c>
      <c r="I1159" s="6">
        <v>697068</v>
      </c>
      <c r="J1159" s="7">
        <v>731.21</v>
      </c>
      <c r="K1159" s="9">
        <f>(PricingDataTable[[#This Row],[Current Price ($)]]-PricingDataTable[[#This Row],[Prior Price ($)]])/PricingDataTable[[#This Row],[Prior Price ($)]]</f>
        <v>5.3929492807571078E-3</v>
      </c>
      <c r="L1159" s="9">
        <f>(PricingDataTable[[#This Row],[Vendor Price ($)]]-PricingDataTable[[#This Row],[Current Price ($)]])/PricingDataTable[[#This Row],[Current Price ($)]]</f>
        <v>-5.5993592087270278E-3</v>
      </c>
      <c r="M1159" t="str">
        <f t="shared" si="36"/>
        <v>PASS</v>
      </c>
      <c r="N1159" s="10" t="str">
        <f t="shared" si="37"/>
        <v>NONE</v>
      </c>
    </row>
    <row r="1160" spans="1:14">
      <c r="A1160" s="4" t="s">
        <v>2336</v>
      </c>
      <c r="B1160" s="4" t="s">
        <v>2337</v>
      </c>
      <c r="C1160" s="4" t="s">
        <v>19</v>
      </c>
      <c r="D1160" s="4" t="s">
        <v>36</v>
      </c>
      <c r="E1160" s="5">
        <v>10.1401</v>
      </c>
      <c r="F1160" s="5">
        <v>10.2088</v>
      </c>
      <c r="G1160" s="5">
        <v>10.213100000000001</v>
      </c>
      <c r="H1160" s="4">
        <v>0</v>
      </c>
      <c r="I1160" s="6">
        <v>1984245</v>
      </c>
      <c r="J1160" s="7">
        <v>118.19</v>
      </c>
      <c r="K1160" s="9">
        <f>(PricingDataTable[[#This Row],[Current Price ($)]]-PricingDataTable[[#This Row],[Prior Price ($)]])/PricingDataTable[[#This Row],[Prior Price ($)]]</f>
        <v>6.7750811135984619E-3</v>
      </c>
      <c r="L1160" s="9">
        <f>(PricingDataTable[[#This Row],[Vendor Price ($)]]-PricingDataTable[[#This Row],[Current Price ($)]])/PricingDataTable[[#This Row],[Current Price ($)]]</f>
        <v>4.2120523469953733E-4</v>
      </c>
      <c r="M1160" t="str">
        <f t="shared" si="36"/>
        <v>PASS</v>
      </c>
      <c r="N1160" s="10" t="str">
        <f t="shared" si="37"/>
        <v>NONE</v>
      </c>
    </row>
    <row r="1161" spans="1:14">
      <c r="A1161" s="4" t="s">
        <v>2338</v>
      </c>
      <c r="B1161" s="4" t="s">
        <v>2339</v>
      </c>
      <c r="C1161" s="4" t="s">
        <v>39</v>
      </c>
      <c r="D1161" s="4" t="s">
        <v>13</v>
      </c>
      <c r="E1161" s="5">
        <v>9.9047999999999998</v>
      </c>
      <c r="F1161" s="5">
        <v>9.8881999999999994</v>
      </c>
      <c r="G1161" s="5">
        <v>9.8947000000000003</v>
      </c>
      <c r="H1161" s="4">
        <v>0</v>
      </c>
      <c r="I1161" s="6">
        <v>2544949</v>
      </c>
      <c r="J1161" s="7">
        <v>256.07</v>
      </c>
      <c r="K1161" s="9">
        <f>(PricingDataTable[[#This Row],[Current Price ($)]]-PricingDataTable[[#This Row],[Prior Price ($)]])/PricingDataTable[[#This Row],[Prior Price ($)]]</f>
        <v>-1.6759550924804532E-3</v>
      </c>
      <c r="L1161" s="9">
        <f>(PricingDataTable[[#This Row],[Vendor Price ($)]]-PricingDataTable[[#This Row],[Current Price ($)]])/PricingDataTable[[#This Row],[Current Price ($)]]</f>
        <v>6.5734916364968744E-4</v>
      </c>
      <c r="M1161" t="str">
        <f t="shared" si="36"/>
        <v>PASS</v>
      </c>
      <c r="N1161" s="10" t="str">
        <f t="shared" si="37"/>
        <v>NONE</v>
      </c>
    </row>
    <row r="1162" spans="1:14">
      <c r="A1162" s="4" t="s">
        <v>2340</v>
      </c>
      <c r="B1162" s="4" t="s">
        <v>2341</v>
      </c>
      <c r="C1162" s="4" t="s">
        <v>12</v>
      </c>
      <c r="D1162" s="4" t="s">
        <v>13</v>
      </c>
      <c r="E1162" s="5">
        <v>105.99809999999999</v>
      </c>
      <c r="F1162" s="5">
        <v>105.8509</v>
      </c>
      <c r="G1162" s="5">
        <v>105.6776</v>
      </c>
      <c r="H1162" s="4">
        <v>3</v>
      </c>
      <c r="I1162" s="6">
        <v>3700911</v>
      </c>
      <c r="J1162" s="7">
        <v>647.48</v>
      </c>
      <c r="K1162" s="9">
        <f>(PricingDataTable[[#This Row],[Current Price ($)]]-PricingDataTable[[#This Row],[Prior Price ($)]])/PricingDataTable[[#This Row],[Prior Price ($)]]</f>
        <v>-1.3887041371496093E-3</v>
      </c>
      <c r="L1162" s="9">
        <f>(PricingDataTable[[#This Row],[Vendor Price ($)]]-PricingDataTable[[#This Row],[Current Price ($)]])/PricingDataTable[[#This Row],[Current Price ($)]]</f>
        <v>-1.6372085641217749E-3</v>
      </c>
      <c r="M1162" t="str">
        <f t="shared" si="36"/>
        <v>STALE</v>
      </c>
      <c r="N1162" s="10" t="str">
        <f t="shared" si="37"/>
        <v>LOW</v>
      </c>
    </row>
    <row r="1163" spans="1:14">
      <c r="A1163" s="4" t="s">
        <v>2342</v>
      </c>
      <c r="B1163" s="4" t="s">
        <v>2343</v>
      </c>
      <c r="C1163" s="4" t="s">
        <v>19</v>
      </c>
      <c r="D1163" s="4" t="s">
        <v>13</v>
      </c>
      <c r="E1163" s="5">
        <v>133.27260000000001</v>
      </c>
      <c r="F1163" s="5">
        <v>130.6644</v>
      </c>
      <c r="G1163" s="5">
        <v>130.6027</v>
      </c>
      <c r="H1163" s="4">
        <v>0</v>
      </c>
      <c r="I1163" s="6">
        <v>1451171</v>
      </c>
      <c r="J1163" s="7">
        <v>636.87</v>
      </c>
      <c r="K1163" s="9">
        <f>(PricingDataTable[[#This Row],[Current Price ($)]]-PricingDataTable[[#This Row],[Prior Price ($)]])/PricingDataTable[[#This Row],[Prior Price ($)]]</f>
        <v>-1.9570414323724535E-2</v>
      </c>
      <c r="L1163" s="9">
        <f>(PricingDataTable[[#This Row],[Vendor Price ($)]]-PricingDataTable[[#This Row],[Current Price ($)]])/PricingDataTable[[#This Row],[Current Price ($)]]</f>
        <v>-4.7220206881141199E-4</v>
      </c>
      <c r="M1163" t="str">
        <f t="shared" si="36"/>
        <v>PASS</v>
      </c>
      <c r="N1163" s="10" t="str">
        <f t="shared" si="37"/>
        <v>NONE</v>
      </c>
    </row>
    <row r="1164" spans="1:14">
      <c r="A1164" s="4" t="s">
        <v>2344</v>
      </c>
      <c r="B1164" s="4" t="s">
        <v>2345</v>
      </c>
      <c r="C1164" s="4" t="s">
        <v>19</v>
      </c>
      <c r="D1164" s="4" t="s">
        <v>13</v>
      </c>
      <c r="E1164" s="5">
        <v>76.4619</v>
      </c>
      <c r="F1164" s="5">
        <v>89.491299999999995</v>
      </c>
      <c r="G1164" s="5">
        <v>89.8947</v>
      </c>
      <c r="H1164" s="4">
        <v>1</v>
      </c>
      <c r="I1164" s="6">
        <v>3485359</v>
      </c>
      <c r="J1164" s="7">
        <v>236.3</v>
      </c>
      <c r="K1164" s="9">
        <f>(PricingDataTable[[#This Row],[Current Price ($)]]-PricingDataTable[[#This Row],[Prior Price ($)]])/PricingDataTable[[#This Row],[Prior Price ($)]]</f>
        <v>0.17040382203424184</v>
      </c>
      <c r="L1164" s="9">
        <f>(PricingDataTable[[#This Row],[Vendor Price ($)]]-PricingDataTable[[#This Row],[Current Price ($)]])/PricingDataTable[[#This Row],[Current Price ($)]]</f>
        <v>4.5077007485644404E-3</v>
      </c>
      <c r="M1164" t="str">
        <f t="shared" si="36"/>
        <v>LARGE MOVE</v>
      </c>
      <c r="N1164" s="10" t="str">
        <f t="shared" si="37"/>
        <v>HIGH</v>
      </c>
    </row>
    <row r="1165" spans="1:14">
      <c r="A1165" s="4" t="s">
        <v>2346</v>
      </c>
      <c r="B1165" s="4" t="s">
        <v>2347</v>
      </c>
      <c r="C1165" s="4" t="s">
        <v>12</v>
      </c>
      <c r="D1165" s="4" t="s">
        <v>13</v>
      </c>
      <c r="E1165" s="5">
        <v>76.211299999999994</v>
      </c>
      <c r="F1165" s="5">
        <v>76.736800000000002</v>
      </c>
      <c r="G1165" s="5">
        <v>76.960700000000003</v>
      </c>
      <c r="H1165" s="4">
        <v>0</v>
      </c>
      <c r="I1165" s="6">
        <v>4028199</v>
      </c>
      <c r="J1165" s="7">
        <v>417.94</v>
      </c>
      <c r="K1165" s="9">
        <f>(PricingDataTable[[#This Row],[Current Price ($)]]-PricingDataTable[[#This Row],[Prior Price ($)]])/PricingDataTable[[#This Row],[Prior Price ($)]]</f>
        <v>6.8953029275187292E-3</v>
      </c>
      <c r="L1165" s="9">
        <f>(PricingDataTable[[#This Row],[Vendor Price ($)]]-PricingDataTable[[#This Row],[Current Price ($)]])/PricingDataTable[[#This Row],[Current Price ($)]]</f>
        <v>2.9177656613254715E-3</v>
      </c>
      <c r="M1165" t="str">
        <f t="shared" si="36"/>
        <v>PASS</v>
      </c>
      <c r="N1165" s="10" t="str">
        <f t="shared" si="37"/>
        <v>NONE</v>
      </c>
    </row>
    <row r="1166" spans="1:14">
      <c r="A1166" s="4" t="s">
        <v>2348</v>
      </c>
      <c r="B1166" s="4" t="s">
        <v>2349</v>
      </c>
      <c r="C1166" s="4" t="s">
        <v>16</v>
      </c>
      <c r="D1166" s="4" t="s">
        <v>13</v>
      </c>
      <c r="E1166" s="5">
        <v>81.783299999999997</v>
      </c>
      <c r="F1166" s="5">
        <v>69.813000000000002</v>
      </c>
      <c r="G1166" s="5">
        <v>70.038200000000003</v>
      </c>
      <c r="H1166" s="4">
        <v>1</v>
      </c>
      <c r="I1166" s="6">
        <v>4646609</v>
      </c>
      <c r="J1166" s="7">
        <v>217.13</v>
      </c>
      <c r="K1166" s="9">
        <f>(PricingDataTable[[#This Row],[Current Price ($)]]-PricingDataTable[[#This Row],[Prior Price ($)]])/PricingDataTable[[#This Row],[Prior Price ($)]]</f>
        <v>-0.14636606740006816</v>
      </c>
      <c r="L1166" s="9">
        <f>(PricingDataTable[[#This Row],[Vendor Price ($)]]-PricingDataTable[[#This Row],[Current Price ($)]])/PricingDataTable[[#This Row],[Current Price ($)]]</f>
        <v>3.2257602452265472E-3</v>
      </c>
      <c r="M1166" t="str">
        <f t="shared" si="36"/>
        <v>LARGE MOVE</v>
      </c>
      <c r="N1166" s="10" t="str">
        <f t="shared" si="37"/>
        <v>HIGH</v>
      </c>
    </row>
    <row r="1167" spans="1:14">
      <c r="A1167" s="4" t="s">
        <v>2350</v>
      </c>
      <c r="B1167" s="4" t="s">
        <v>2351</v>
      </c>
      <c r="C1167" s="4" t="s">
        <v>19</v>
      </c>
      <c r="D1167" s="4" t="s">
        <v>64</v>
      </c>
      <c r="E1167" s="5">
        <v>253.6549</v>
      </c>
      <c r="F1167" s="5">
        <v>257.90280000000001</v>
      </c>
      <c r="G1167" s="5">
        <v>257.62810000000002</v>
      </c>
      <c r="H1167" s="4">
        <v>0</v>
      </c>
      <c r="I1167" s="6">
        <v>1823592</v>
      </c>
      <c r="J1167" s="7">
        <v>833.23</v>
      </c>
      <c r="K1167" s="9">
        <f>(PricingDataTable[[#This Row],[Current Price ($)]]-PricingDataTable[[#This Row],[Prior Price ($)]])/PricingDataTable[[#This Row],[Prior Price ($)]]</f>
        <v>1.6746768936850877E-2</v>
      </c>
      <c r="L1167" s="9">
        <f>(PricingDataTable[[#This Row],[Vendor Price ($)]]-PricingDataTable[[#This Row],[Current Price ($)]])/PricingDataTable[[#This Row],[Current Price ($)]]</f>
        <v>-1.0651299636917307E-3</v>
      </c>
      <c r="M1167" t="str">
        <f t="shared" si="36"/>
        <v>PASS</v>
      </c>
      <c r="N1167" s="10" t="str">
        <f t="shared" si="37"/>
        <v>NONE</v>
      </c>
    </row>
    <row r="1168" spans="1:14">
      <c r="A1168" s="4" t="s">
        <v>2352</v>
      </c>
      <c r="B1168" s="4" t="s">
        <v>2353</v>
      </c>
      <c r="C1168" s="4" t="s">
        <v>35</v>
      </c>
      <c r="D1168" s="4" t="s">
        <v>237</v>
      </c>
      <c r="E1168" s="5">
        <v>166.84350000000001</v>
      </c>
      <c r="F1168" s="5">
        <v>166.2784</v>
      </c>
      <c r="G1168" s="5">
        <v>166.55119999999999</v>
      </c>
      <c r="H1168" s="4">
        <v>0</v>
      </c>
      <c r="I1168" s="6">
        <v>846655</v>
      </c>
      <c r="J1168" s="7">
        <v>659.58</v>
      </c>
      <c r="K1168" s="9">
        <f>(PricingDataTable[[#This Row],[Current Price ($)]]-PricingDataTable[[#This Row],[Prior Price ($)]])/PricingDataTable[[#This Row],[Prior Price ($)]]</f>
        <v>-3.3870063862242224E-3</v>
      </c>
      <c r="L1168" s="9">
        <f>(PricingDataTable[[#This Row],[Vendor Price ($)]]-PricingDataTable[[#This Row],[Current Price ($)]])/PricingDataTable[[#This Row],[Current Price ($)]]</f>
        <v>1.6406219929948178E-3</v>
      </c>
      <c r="M1168" t="str">
        <f t="shared" si="36"/>
        <v>PASS</v>
      </c>
      <c r="N1168" s="10" t="str">
        <f t="shared" si="37"/>
        <v>NONE</v>
      </c>
    </row>
    <row r="1169" spans="1:14">
      <c r="A1169" s="4" t="s">
        <v>2354</v>
      </c>
      <c r="B1169" s="4" t="s">
        <v>2355</v>
      </c>
      <c r="C1169" s="4" t="s">
        <v>19</v>
      </c>
      <c r="D1169" s="4" t="s">
        <v>13</v>
      </c>
      <c r="E1169" s="5">
        <v>197.17259999999999</v>
      </c>
      <c r="F1169" s="5">
        <v>200.29079999999999</v>
      </c>
      <c r="G1169" s="5">
        <v>201.29689999999999</v>
      </c>
      <c r="H1169" s="4">
        <v>4</v>
      </c>
      <c r="I1169" s="6">
        <v>4532220</v>
      </c>
      <c r="J1169" s="7">
        <v>183.03</v>
      </c>
      <c r="K1169" s="9">
        <f>(PricingDataTable[[#This Row],[Current Price ($)]]-PricingDataTable[[#This Row],[Prior Price ($)]])/PricingDataTable[[#This Row],[Prior Price ($)]]</f>
        <v>1.5814570584350977E-2</v>
      </c>
      <c r="L1169" s="9">
        <f>(PricingDataTable[[#This Row],[Vendor Price ($)]]-PricingDataTable[[#This Row],[Current Price ($)]])/PricingDataTable[[#This Row],[Current Price ($)]]</f>
        <v>5.0231962726196289E-3</v>
      </c>
      <c r="M1169" t="str">
        <f t="shared" si="36"/>
        <v>STALE</v>
      </c>
      <c r="N1169" s="10" t="str">
        <f t="shared" si="37"/>
        <v>LOW</v>
      </c>
    </row>
    <row r="1170" spans="1:14">
      <c r="A1170" s="4" t="s">
        <v>2356</v>
      </c>
      <c r="B1170" s="4" t="s">
        <v>2357</v>
      </c>
      <c r="C1170" s="4" t="s">
        <v>19</v>
      </c>
      <c r="D1170" s="4" t="s">
        <v>13</v>
      </c>
      <c r="E1170" s="5">
        <v>255.8768</v>
      </c>
      <c r="F1170" s="5">
        <v>250.94659999999999</v>
      </c>
      <c r="G1170" s="5">
        <v>251.23249999999999</v>
      </c>
      <c r="H1170" s="4">
        <v>0</v>
      </c>
      <c r="I1170" s="6">
        <v>2791253</v>
      </c>
      <c r="J1170" s="7">
        <v>235.08</v>
      </c>
      <c r="K1170" s="9">
        <f>(PricingDataTable[[#This Row],[Current Price ($)]]-PricingDataTable[[#This Row],[Prior Price ($)]])/PricingDataTable[[#This Row],[Prior Price ($)]]</f>
        <v>-1.9267866410710207E-2</v>
      </c>
      <c r="L1170" s="9">
        <f>(PricingDataTable[[#This Row],[Vendor Price ($)]]-PricingDataTable[[#This Row],[Current Price ($)]])/PricingDataTable[[#This Row],[Current Price ($)]]</f>
        <v>1.1392862067069172E-3</v>
      </c>
      <c r="M1170" t="str">
        <f t="shared" si="36"/>
        <v>PASS</v>
      </c>
      <c r="N1170" s="10" t="str">
        <f t="shared" si="37"/>
        <v>NONE</v>
      </c>
    </row>
    <row r="1171" spans="1:14">
      <c r="A1171" s="4" t="s">
        <v>2358</v>
      </c>
      <c r="B1171" s="4" t="s">
        <v>2359</v>
      </c>
      <c r="C1171" s="4" t="s">
        <v>39</v>
      </c>
      <c r="D1171" s="4" t="s">
        <v>32</v>
      </c>
      <c r="E1171" s="5">
        <v>217.03479999999999</v>
      </c>
      <c r="F1171" s="5">
        <v>216.77809999999999</v>
      </c>
      <c r="G1171" s="5">
        <v>216.37280000000001</v>
      </c>
      <c r="H1171" s="4">
        <v>2</v>
      </c>
      <c r="I1171" s="6">
        <v>1463390</v>
      </c>
      <c r="J1171" s="7">
        <v>396.24</v>
      </c>
      <c r="K1171" s="9">
        <f>(PricingDataTable[[#This Row],[Current Price ($)]]-PricingDataTable[[#This Row],[Prior Price ($)]])/PricingDataTable[[#This Row],[Prior Price ($)]]</f>
        <v>-1.1827596311743327E-3</v>
      </c>
      <c r="L1171" s="9">
        <f>(PricingDataTable[[#This Row],[Vendor Price ($)]]-PricingDataTable[[#This Row],[Current Price ($)]])/PricingDataTable[[#This Row],[Current Price ($)]]</f>
        <v>-1.869653807280268E-3</v>
      </c>
      <c r="M1171" t="str">
        <f t="shared" si="36"/>
        <v>PASS</v>
      </c>
      <c r="N1171" s="10" t="str">
        <f t="shared" si="37"/>
        <v>NONE</v>
      </c>
    </row>
    <row r="1172" spans="1:14">
      <c r="A1172" s="4" t="s">
        <v>2360</v>
      </c>
      <c r="B1172" s="4" t="s">
        <v>2361</v>
      </c>
      <c r="C1172" s="4" t="s">
        <v>19</v>
      </c>
      <c r="D1172" s="4" t="s">
        <v>13</v>
      </c>
      <c r="E1172" s="5">
        <v>211.79640000000001</v>
      </c>
      <c r="F1172" s="5">
        <v>212.13820000000001</v>
      </c>
      <c r="G1172" s="5">
        <v>210.74209999999999</v>
      </c>
      <c r="H1172" s="4">
        <v>1</v>
      </c>
      <c r="I1172" s="6">
        <v>4684462</v>
      </c>
      <c r="J1172" s="7">
        <v>851.23</v>
      </c>
      <c r="K1172" s="9">
        <f>(PricingDataTable[[#This Row],[Current Price ($)]]-PricingDataTable[[#This Row],[Prior Price ($)]])/PricingDataTable[[#This Row],[Prior Price ($)]]</f>
        <v>1.6138140213903839E-3</v>
      </c>
      <c r="L1172" s="9">
        <f>(PricingDataTable[[#This Row],[Vendor Price ($)]]-PricingDataTable[[#This Row],[Current Price ($)]])/PricingDataTable[[#This Row],[Current Price ($)]]</f>
        <v>-6.581087234642409E-3</v>
      </c>
      <c r="M1172" t="str">
        <f t="shared" si="36"/>
        <v>PASS</v>
      </c>
      <c r="N1172" s="10" t="str">
        <f t="shared" si="37"/>
        <v>NONE</v>
      </c>
    </row>
    <row r="1173" spans="1:14">
      <c r="A1173" s="4" t="s">
        <v>2362</v>
      </c>
      <c r="B1173" s="4" t="s">
        <v>2363</v>
      </c>
      <c r="C1173" s="4" t="s">
        <v>19</v>
      </c>
      <c r="D1173" s="4" t="s">
        <v>13</v>
      </c>
      <c r="E1173" s="5">
        <v>238.9255</v>
      </c>
      <c r="F1173" s="5">
        <v>240.4442</v>
      </c>
      <c r="G1173" s="5">
        <v>240.37649999999999</v>
      </c>
      <c r="H1173" s="4">
        <v>1</v>
      </c>
      <c r="I1173" s="6">
        <v>316890</v>
      </c>
      <c r="J1173" s="7">
        <v>795.06</v>
      </c>
      <c r="K1173" s="9">
        <f>(PricingDataTable[[#This Row],[Current Price ($)]]-PricingDataTable[[#This Row],[Prior Price ($)]])/PricingDataTable[[#This Row],[Prior Price ($)]]</f>
        <v>6.3563746858330125E-3</v>
      </c>
      <c r="L1173" s="9">
        <f>(PricingDataTable[[#This Row],[Vendor Price ($)]]-PricingDataTable[[#This Row],[Current Price ($)]])/PricingDataTable[[#This Row],[Current Price ($)]]</f>
        <v>-2.8156220861223557E-4</v>
      </c>
      <c r="M1173" t="str">
        <f t="shared" si="36"/>
        <v>PASS</v>
      </c>
      <c r="N1173" s="10" t="str">
        <f t="shared" si="37"/>
        <v>NONE</v>
      </c>
    </row>
    <row r="1174" spans="1:14">
      <c r="A1174" s="4" t="s">
        <v>2364</v>
      </c>
      <c r="B1174" s="4" t="s">
        <v>2365</v>
      </c>
      <c r="C1174" s="4" t="s">
        <v>16</v>
      </c>
      <c r="D1174" s="4" t="s">
        <v>32</v>
      </c>
      <c r="E1174" s="5">
        <v>109.30070000000001</v>
      </c>
      <c r="F1174" s="5">
        <v>107.7848</v>
      </c>
      <c r="G1174" s="5">
        <v>107.8669</v>
      </c>
      <c r="H1174" s="4">
        <v>1</v>
      </c>
      <c r="I1174" s="6">
        <v>3123180</v>
      </c>
      <c r="J1174" s="7">
        <v>600.67999999999995</v>
      </c>
      <c r="K1174" s="9">
        <f>(PricingDataTable[[#This Row],[Current Price ($)]]-PricingDataTable[[#This Row],[Prior Price ($)]])/PricingDataTable[[#This Row],[Prior Price ($)]]</f>
        <v>-1.3869078606083968E-2</v>
      </c>
      <c r="L1174" s="9">
        <f>(PricingDataTable[[#This Row],[Vendor Price ($)]]-PricingDataTable[[#This Row],[Current Price ($)]])/PricingDataTable[[#This Row],[Current Price ($)]]</f>
        <v>7.6170294883876901E-4</v>
      </c>
      <c r="M1174" t="str">
        <f t="shared" si="36"/>
        <v>PASS</v>
      </c>
      <c r="N1174" s="10" t="str">
        <f t="shared" si="37"/>
        <v>NONE</v>
      </c>
    </row>
    <row r="1175" spans="1:14">
      <c r="A1175" s="4" t="s">
        <v>2366</v>
      </c>
      <c r="B1175" s="4" t="s">
        <v>2367</v>
      </c>
      <c r="C1175" s="4" t="s">
        <v>19</v>
      </c>
      <c r="D1175" s="4" t="s">
        <v>13</v>
      </c>
      <c r="E1175" s="5">
        <v>324.11149999999998</v>
      </c>
      <c r="F1175" s="5">
        <v>326.7611</v>
      </c>
      <c r="G1175" s="5">
        <v>324.64679999999998</v>
      </c>
      <c r="H1175" s="4">
        <v>0</v>
      </c>
      <c r="I1175" s="6">
        <v>1983121</v>
      </c>
      <c r="J1175" s="7">
        <v>830.31</v>
      </c>
      <c r="K1175" s="9">
        <f>(PricingDataTable[[#This Row],[Current Price ($)]]-PricingDataTable[[#This Row],[Prior Price ($)]])/PricingDataTable[[#This Row],[Prior Price ($)]]</f>
        <v>8.1749644798164243E-3</v>
      </c>
      <c r="L1175" s="9">
        <f>(PricingDataTable[[#This Row],[Vendor Price ($)]]-PricingDataTable[[#This Row],[Current Price ($)]])/PricingDataTable[[#This Row],[Current Price ($)]]</f>
        <v>-6.4704764428814027E-3</v>
      </c>
      <c r="M1175" t="str">
        <f t="shared" si="36"/>
        <v>PASS</v>
      </c>
      <c r="N1175" s="10" t="str">
        <f t="shared" si="37"/>
        <v>NONE</v>
      </c>
    </row>
    <row r="1176" spans="1:14">
      <c r="A1176" s="4" t="s">
        <v>2368</v>
      </c>
      <c r="B1176" s="4" t="s">
        <v>2369</v>
      </c>
      <c r="C1176" s="4" t="s">
        <v>39</v>
      </c>
      <c r="D1176" s="4" t="s">
        <v>64</v>
      </c>
      <c r="E1176" s="5">
        <v>204.25749999999999</v>
      </c>
      <c r="F1176" s="5">
        <v>204.95949999999999</v>
      </c>
      <c r="G1176" s="5">
        <v>205.10419999999999</v>
      </c>
      <c r="H1176" s="4">
        <v>0</v>
      </c>
      <c r="I1176" s="6">
        <v>785915</v>
      </c>
      <c r="J1176" s="7">
        <v>20.75</v>
      </c>
      <c r="K1176" s="9">
        <f>(PricingDataTable[[#This Row],[Current Price ($)]]-PricingDataTable[[#This Row],[Prior Price ($)]])/PricingDataTable[[#This Row],[Prior Price ($)]]</f>
        <v>3.4368383045910098E-3</v>
      </c>
      <c r="L1176" s="9">
        <f>(PricingDataTable[[#This Row],[Vendor Price ($)]]-PricingDataTable[[#This Row],[Current Price ($)]])/PricingDataTable[[#This Row],[Current Price ($)]]</f>
        <v>7.0599313522915635E-4</v>
      </c>
      <c r="M1176" t="str">
        <f t="shared" si="36"/>
        <v>PASS</v>
      </c>
      <c r="N1176" s="10" t="str">
        <f t="shared" si="37"/>
        <v>NONE</v>
      </c>
    </row>
    <row r="1177" spans="1:14">
      <c r="A1177" s="4" t="s">
        <v>2370</v>
      </c>
      <c r="B1177" s="4" t="s">
        <v>2371</v>
      </c>
      <c r="C1177" s="4" t="s">
        <v>19</v>
      </c>
      <c r="D1177" s="4" t="s">
        <v>36</v>
      </c>
      <c r="E1177" s="5">
        <v>330.10500000000002</v>
      </c>
      <c r="F1177" s="5">
        <v>330.07850000000002</v>
      </c>
      <c r="G1177" s="5">
        <v>328.61599999999999</v>
      </c>
      <c r="H1177" s="4">
        <v>0</v>
      </c>
      <c r="I1177" s="6">
        <v>476538</v>
      </c>
      <c r="J1177" s="7">
        <v>550.95000000000005</v>
      </c>
      <c r="K1177" s="9">
        <f>(PricingDataTable[[#This Row],[Current Price ($)]]-PricingDataTable[[#This Row],[Prior Price ($)]])/PricingDataTable[[#This Row],[Prior Price ($)]]</f>
        <v>-8.0277487466105137E-5</v>
      </c>
      <c r="L1177" s="9">
        <f>(PricingDataTable[[#This Row],[Vendor Price ($)]]-PricingDataTable[[#This Row],[Current Price ($)]])/PricingDataTable[[#This Row],[Current Price ($)]]</f>
        <v>-4.4307641970017251E-3</v>
      </c>
      <c r="M1177" t="str">
        <f t="shared" si="36"/>
        <v>PASS</v>
      </c>
      <c r="N1177" s="10" t="str">
        <f t="shared" si="37"/>
        <v>NONE</v>
      </c>
    </row>
    <row r="1178" spans="1:14">
      <c r="A1178" s="4" t="s">
        <v>2372</v>
      </c>
      <c r="B1178" s="4" t="s">
        <v>2373</v>
      </c>
      <c r="C1178" s="4" t="s">
        <v>12</v>
      </c>
      <c r="D1178" s="4" t="s">
        <v>237</v>
      </c>
      <c r="E1178" s="5">
        <v>79.132400000000004</v>
      </c>
      <c r="F1178" s="5">
        <v>78.6999</v>
      </c>
      <c r="G1178" s="5">
        <v>78.443600000000004</v>
      </c>
      <c r="H1178" s="4">
        <v>0</v>
      </c>
      <c r="I1178" s="6">
        <v>970384</v>
      </c>
      <c r="J1178" s="7">
        <v>186.68</v>
      </c>
      <c r="K1178" s="9">
        <f>(PricingDataTable[[#This Row],[Current Price ($)]]-PricingDataTable[[#This Row],[Prior Price ($)]])/PricingDataTable[[#This Row],[Prior Price ($)]]</f>
        <v>-5.4655236034797947E-3</v>
      </c>
      <c r="L1178" s="9">
        <f>(PricingDataTable[[#This Row],[Vendor Price ($)]]-PricingDataTable[[#This Row],[Current Price ($)]])/PricingDataTable[[#This Row],[Current Price ($)]]</f>
        <v>-3.2566750402477766E-3</v>
      </c>
      <c r="M1178" t="str">
        <f t="shared" si="36"/>
        <v>PASS</v>
      </c>
      <c r="N1178" s="10" t="str">
        <f t="shared" si="37"/>
        <v>NONE</v>
      </c>
    </row>
    <row r="1179" spans="1:14">
      <c r="A1179" s="4" t="s">
        <v>2374</v>
      </c>
      <c r="B1179" s="4" t="s">
        <v>2375</v>
      </c>
      <c r="C1179" s="4" t="s">
        <v>16</v>
      </c>
      <c r="D1179" s="4" t="s">
        <v>32</v>
      </c>
      <c r="E1179" s="5">
        <v>81.981800000000007</v>
      </c>
      <c r="F1179" s="5">
        <v>83.2483</v>
      </c>
      <c r="G1179" s="5">
        <v>83.532399999999996</v>
      </c>
      <c r="H1179" s="4">
        <v>0</v>
      </c>
      <c r="I1179" s="6">
        <v>352072</v>
      </c>
      <c r="J1179" s="7">
        <v>109.04</v>
      </c>
      <c r="K1179" s="9">
        <f>(PricingDataTable[[#This Row],[Current Price ($)]]-PricingDataTable[[#This Row],[Prior Price ($)]])/PricingDataTable[[#This Row],[Prior Price ($)]]</f>
        <v>1.544855077590384E-2</v>
      </c>
      <c r="L1179" s="9">
        <f>(PricingDataTable[[#This Row],[Vendor Price ($)]]-PricingDataTable[[#This Row],[Current Price ($)]])/PricingDataTable[[#This Row],[Current Price ($)]]</f>
        <v>3.4126823010199024E-3</v>
      </c>
      <c r="M1179" t="str">
        <f t="shared" si="36"/>
        <v>PASS</v>
      </c>
      <c r="N1179" s="10" t="str">
        <f t="shared" si="37"/>
        <v>NONE</v>
      </c>
    </row>
    <row r="1180" spans="1:14">
      <c r="A1180" s="4" t="s">
        <v>2376</v>
      </c>
      <c r="B1180" s="4" t="s">
        <v>2377</v>
      </c>
      <c r="C1180" s="4" t="s">
        <v>16</v>
      </c>
      <c r="D1180" s="4" t="s">
        <v>32</v>
      </c>
      <c r="E1180" s="5">
        <v>108.0859</v>
      </c>
      <c r="F1180" s="5">
        <v>110.0415</v>
      </c>
      <c r="G1180" s="5">
        <v>109.79</v>
      </c>
      <c r="H1180" s="4">
        <v>0</v>
      </c>
      <c r="I1180" s="6">
        <v>4798309</v>
      </c>
      <c r="J1180" s="7">
        <v>173.36</v>
      </c>
      <c r="K1180" s="9">
        <f>(PricingDataTable[[#This Row],[Current Price ($)]]-PricingDataTable[[#This Row],[Prior Price ($)]])/PricingDataTable[[#This Row],[Prior Price ($)]]</f>
        <v>1.8093016757967543E-2</v>
      </c>
      <c r="L1180" s="9">
        <f>(PricingDataTable[[#This Row],[Vendor Price ($)]]-PricingDataTable[[#This Row],[Current Price ($)]])/PricingDataTable[[#This Row],[Current Price ($)]]</f>
        <v>-2.2855013790251217E-3</v>
      </c>
      <c r="M1180" t="str">
        <f t="shared" si="36"/>
        <v>PASS</v>
      </c>
      <c r="N1180" s="10" t="str">
        <f t="shared" si="37"/>
        <v>NONE</v>
      </c>
    </row>
    <row r="1181" spans="1:14">
      <c r="A1181" s="4" t="s">
        <v>2378</v>
      </c>
      <c r="B1181" s="4" t="s">
        <v>2379</v>
      </c>
      <c r="C1181" s="4" t="s">
        <v>19</v>
      </c>
      <c r="D1181" s="4" t="s">
        <v>13</v>
      </c>
      <c r="E1181" s="5">
        <v>69.162499999999994</v>
      </c>
      <c r="F1181" s="5">
        <v>68.444800000000001</v>
      </c>
      <c r="G1181" s="5">
        <v>68.198400000000007</v>
      </c>
      <c r="H1181" s="4">
        <v>0</v>
      </c>
      <c r="I1181" s="6">
        <v>756817</v>
      </c>
      <c r="J1181" s="7">
        <v>256.14999999999998</v>
      </c>
      <c r="K1181" s="9">
        <f>(PricingDataTable[[#This Row],[Current Price ($)]]-PricingDataTable[[#This Row],[Prior Price ($)]])/PricingDataTable[[#This Row],[Prior Price ($)]]</f>
        <v>-1.0377010663292878E-2</v>
      </c>
      <c r="L1181" s="9">
        <f>(PricingDataTable[[#This Row],[Vendor Price ($)]]-PricingDataTable[[#This Row],[Current Price ($)]])/PricingDataTable[[#This Row],[Current Price ($)]]</f>
        <v>-3.5999812987983627E-3</v>
      </c>
      <c r="M1181" t="str">
        <f t="shared" si="36"/>
        <v>PASS</v>
      </c>
      <c r="N1181" s="10" t="str">
        <f t="shared" si="37"/>
        <v>NONE</v>
      </c>
    </row>
    <row r="1182" spans="1:14">
      <c r="A1182" s="4" t="s">
        <v>2380</v>
      </c>
      <c r="B1182" s="4" t="s">
        <v>2381</v>
      </c>
      <c r="C1182" s="4" t="s">
        <v>12</v>
      </c>
      <c r="D1182" s="4" t="s">
        <v>13</v>
      </c>
      <c r="E1182" s="5">
        <v>91.857799999999997</v>
      </c>
      <c r="F1182" s="5">
        <v>93.485399999999998</v>
      </c>
      <c r="G1182" s="5">
        <v>93.508099999999999</v>
      </c>
      <c r="H1182" s="4">
        <v>0</v>
      </c>
      <c r="I1182" s="6">
        <v>4962032</v>
      </c>
      <c r="J1182" s="7">
        <v>174.45</v>
      </c>
      <c r="K1182" s="9">
        <f>(PricingDataTable[[#This Row],[Current Price ($)]]-PricingDataTable[[#This Row],[Prior Price ($)]])/PricingDataTable[[#This Row],[Prior Price ($)]]</f>
        <v>1.7718691281524281E-2</v>
      </c>
      <c r="L1182" s="9">
        <f>(PricingDataTable[[#This Row],[Vendor Price ($)]]-PricingDataTable[[#This Row],[Current Price ($)]])/PricingDataTable[[#This Row],[Current Price ($)]]</f>
        <v>2.4281866473267898E-4</v>
      </c>
      <c r="M1182" t="str">
        <f t="shared" si="36"/>
        <v>PASS</v>
      </c>
      <c r="N1182" s="10" t="str">
        <f t="shared" si="37"/>
        <v>NONE</v>
      </c>
    </row>
    <row r="1183" spans="1:14">
      <c r="A1183" s="4" t="s">
        <v>2382</v>
      </c>
      <c r="B1183" s="4" t="s">
        <v>2383</v>
      </c>
      <c r="C1183" s="4" t="s">
        <v>12</v>
      </c>
      <c r="D1183" s="4" t="s">
        <v>64</v>
      </c>
      <c r="E1183" s="5">
        <v>78.300899999999999</v>
      </c>
      <c r="F1183" s="5">
        <v>78.233000000000004</v>
      </c>
      <c r="G1183" s="5">
        <v>77.890900000000002</v>
      </c>
      <c r="H1183" s="4">
        <v>0</v>
      </c>
      <c r="I1183" s="6">
        <v>4895407</v>
      </c>
      <c r="J1183" s="7">
        <v>447</v>
      </c>
      <c r="K1183" s="9">
        <f>(PricingDataTable[[#This Row],[Current Price ($)]]-PricingDataTable[[#This Row],[Prior Price ($)]])/PricingDataTable[[#This Row],[Prior Price ($)]]</f>
        <v>-8.6716755490670637E-4</v>
      </c>
      <c r="L1183" s="9">
        <f>(PricingDataTable[[#This Row],[Vendor Price ($)]]-PricingDataTable[[#This Row],[Current Price ($)]])/PricingDataTable[[#This Row],[Current Price ($)]]</f>
        <v>-4.372834992905833E-3</v>
      </c>
      <c r="M1183" t="str">
        <f t="shared" si="36"/>
        <v>PASS</v>
      </c>
      <c r="N1183" s="10" t="str">
        <f t="shared" si="37"/>
        <v>NONE</v>
      </c>
    </row>
    <row r="1184" spans="1:14">
      <c r="A1184" s="4" t="s">
        <v>2384</v>
      </c>
      <c r="B1184" s="4" t="s">
        <v>2385</v>
      </c>
      <c r="C1184" s="4" t="s">
        <v>19</v>
      </c>
      <c r="D1184" s="4" t="s">
        <v>13</v>
      </c>
      <c r="E1184" s="5">
        <v>56.522599999999997</v>
      </c>
      <c r="F1184" s="5">
        <v>57.099699999999999</v>
      </c>
      <c r="G1184" s="5">
        <v>57.472900000000003</v>
      </c>
      <c r="H1184" s="4">
        <v>0</v>
      </c>
      <c r="I1184" s="6">
        <v>227846</v>
      </c>
      <c r="J1184" s="7">
        <v>233.57</v>
      </c>
      <c r="K1184" s="9">
        <f>(PricingDataTable[[#This Row],[Current Price ($)]]-PricingDataTable[[#This Row],[Prior Price ($)]])/PricingDataTable[[#This Row],[Prior Price ($)]]</f>
        <v>1.0210075261930653E-2</v>
      </c>
      <c r="L1184" s="9">
        <f>(PricingDataTable[[#This Row],[Vendor Price ($)]]-PricingDataTable[[#This Row],[Current Price ($)]])/PricingDataTable[[#This Row],[Current Price ($)]]</f>
        <v>6.5359362658648683E-3</v>
      </c>
      <c r="M1184" t="str">
        <f t="shared" si="36"/>
        <v>PASS</v>
      </c>
      <c r="N1184" s="10" t="str">
        <f t="shared" si="37"/>
        <v>NONE</v>
      </c>
    </row>
    <row r="1185" spans="1:14">
      <c r="A1185" s="4" t="s">
        <v>2386</v>
      </c>
      <c r="B1185" s="4" t="s">
        <v>2387</v>
      </c>
      <c r="C1185" s="4" t="s">
        <v>19</v>
      </c>
      <c r="D1185" s="4" t="s">
        <v>237</v>
      </c>
      <c r="E1185" s="5">
        <v>326.12329999999997</v>
      </c>
      <c r="F1185" s="5">
        <v>322.8458</v>
      </c>
      <c r="G1185" s="5">
        <v>323.2756</v>
      </c>
      <c r="H1185" s="4">
        <v>0</v>
      </c>
      <c r="I1185" s="6">
        <v>517055</v>
      </c>
      <c r="J1185" s="7">
        <v>398.91</v>
      </c>
      <c r="K1185" s="9">
        <f>(PricingDataTable[[#This Row],[Current Price ($)]]-PricingDataTable[[#This Row],[Prior Price ($)]])/PricingDataTable[[#This Row],[Prior Price ($)]]</f>
        <v>-1.0049879907384646E-2</v>
      </c>
      <c r="L1185" s="9">
        <f>(PricingDataTable[[#This Row],[Vendor Price ($)]]-PricingDataTable[[#This Row],[Current Price ($)]])/PricingDataTable[[#This Row],[Current Price ($)]]</f>
        <v>1.3312857097722819E-3</v>
      </c>
      <c r="M1185" t="str">
        <f t="shared" si="36"/>
        <v>PASS</v>
      </c>
      <c r="N1185" s="10" t="str">
        <f t="shared" si="37"/>
        <v>NONE</v>
      </c>
    </row>
    <row r="1186" spans="1:14">
      <c r="A1186" s="4" t="s">
        <v>2388</v>
      </c>
      <c r="B1186" s="4" t="s">
        <v>2389</v>
      </c>
      <c r="C1186" s="4" t="s">
        <v>16</v>
      </c>
      <c r="D1186" s="4" t="s">
        <v>64</v>
      </c>
      <c r="E1186" s="5">
        <v>76.119</v>
      </c>
      <c r="F1186" s="5">
        <v>76.183899999999994</v>
      </c>
      <c r="G1186" s="5">
        <v>76.301599999999993</v>
      </c>
      <c r="H1186" s="4">
        <v>2</v>
      </c>
      <c r="I1186" s="6">
        <v>1331420</v>
      </c>
      <c r="J1186" s="7">
        <v>745.03</v>
      </c>
      <c r="K1186" s="9">
        <f>(PricingDataTable[[#This Row],[Current Price ($)]]-PricingDataTable[[#This Row],[Prior Price ($)]])/PricingDataTable[[#This Row],[Prior Price ($)]]</f>
        <v>8.526123569673065E-4</v>
      </c>
      <c r="L1186" s="9">
        <f>(PricingDataTable[[#This Row],[Vendor Price ($)]]-PricingDataTable[[#This Row],[Current Price ($)]])/PricingDataTable[[#This Row],[Current Price ($)]]</f>
        <v>1.5449458481385078E-3</v>
      </c>
      <c r="M1186" t="str">
        <f t="shared" si="36"/>
        <v>PASS</v>
      </c>
      <c r="N1186" s="10" t="str">
        <f t="shared" si="37"/>
        <v>NONE</v>
      </c>
    </row>
    <row r="1187" spans="1:14">
      <c r="A1187" s="4" t="s">
        <v>2390</v>
      </c>
      <c r="B1187" s="4" t="s">
        <v>2391</v>
      </c>
      <c r="C1187" s="4" t="s">
        <v>19</v>
      </c>
      <c r="D1187" s="4" t="s">
        <v>13</v>
      </c>
      <c r="E1187" s="5">
        <v>105.6259</v>
      </c>
      <c r="F1187" s="5">
        <v>105.6271</v>
      </c>
      <c r="G1187" s="5">
        <v>105.7907</v>
      </c>
      <c r="H1187" s="4">
        <v>0</v>
      </c>
      <c r="I1187" s="6">
        <v>3788235</v>
      </c>
      <c r="J1187" s="7">
        <v>331.84</v>
      </c>
      <c r="K1187" s="9">
        <f>(PricingDataTable[[#This Row],[Current Price ($)]]-PricingDataTable[[#This Row],[Prior Price ($)]])/PricingDataTable[[#This Row],[Prior Price ($)]]</f>
        <v>1.1360849943027263E-5</v>
      </c>
      <c r="L1187" s="9">
        <f>(PricingDataTable[[#This Row],[Vendor Price ($)]]-PricingDataTable[[#This Row],[Current Price ($)]])/PricingDataTable[[#This Row],[Current Price ($)]]</f>
        <v>1.5488449460413323E-3</v>
      </c>
      <c r="M1187" t="str">
        <f t="shared" si="36"/>
        <v>PASS</v>
      </c>
      <c r="N1187" s="10" t="str">
        <f t="shared" si="37"/>
        <v>NONE</v>
      </c>
    </row>
    <row r="1188" spans="1:14">
      <c r="A1188" s="4" t="s">
        <v>2392</v>
      </c>
      <c r="B1188" s="4" t="s">
        <v>2393</v>
      </c>
      <c r="C1188" s="4" t="s">
        <v>19</v>
      </c>
      <c r="D1188" s="4" t="s">
        <v>13</v>
      </c>
      <c r="E1188" s="5">
        <v>239.5574</v>
      </c>
      <c r="F1188" s="5">
        <v>242.33</v>
      </c>
      <c r="G1188" s="5">
        <v>242.32130000000001</v>
      </c>
      <c r="H1188" s="4">
        <v>0</v>
      </c>
      <c r="I1188" s="6">
        <v>2107375</v>
      </c>
      <c r="J1188" s="7">
        <v>415.68</v>
      </c>
      <c r="K1188" s="9">
        <f>(PricingDataTable[[#This Row],[Current Price ($)]]-PricingDataTable[[#This Row],[Prior Price ($)]])/PricingDataTable[[#This Row],[Prior Price ($)]]</f>
        <v>1.1573844097489834E-2</v>
      </c>
      <c r="L1188" s="9">
        <f>(PricingDataTable[[#This Row],[Vendor Price ($)]]-PricingDataTable[[#This Row],[Current Price ($)]])/PricingDataTable[[#This Row],[Current Price ($)]]</f>
        <v>-3.590145669130769E-5</v>
      </c>
      <c r="M1188" t="str">
        <f t="shared" si="36"/>
        <v>PASS</v>
      </c>
      <c r="N1188" s="10" t="str">
        <f t="shared" si="37"/>
        <v>NONE</v>
      </c>
    </row>
    <row r="1189" spans="1:14">
      <c r="A1189" s="4" t="s">
        <v>2394</v>
      </c>
      <c r="B1189" s="4" t="s">
        <v>2395</v>
      </c>
      <c r="C1189" s="4" t="s">
        <v>19</v>
      </c>
      <c r="D1189" s="4" t="s">
        <v>13</v>
      </c>
      <c r="E1189" s="5">
        <v>48.530299999999997</v>
      </c>
      <c r="F1189" s="5">
        <v>48.592700000000001</v>
      </c>
      <c r="G1189" s="5">
        <v>48.519799999999996</v>
      </c>
      <c r="H1189" s="4">
        <v>1</v>
      </c>
      <c r="I1189" s="6">
        <v>3770217</v>
      </c>
      <c r="J1189" s="7">
        <v>358.89</v>
      </c>
      <c r="K1189" s="9">
        <f>(PricingDataTable[[#This Row],[Current Price ($)]]-PricingDataTable[[#This Row],[Prior Price ($)]])/PricingDataTable[[#This Row],[Prior Price ($)]]</f>
        <v>1.2857946478798564E-3</v>
      </c>
      <c r="L1189" s="9">
        <f>(PricingDataTable[[#This Row],[Vendor Price ($)]]-PricingDataTable[[#This Row],[Current Price ($)]])/PricingDataTable[[#This Row],[Current Price ($)]]</f>
        <v>-1.5002253424898017E-3</v>
      </c>
      <c r="M1189" t="str">
        <f t="shared" si="36"/>
        <v>PASS</v>
      </c>
      <c r="N1189" s="10" t="str">
        <f t="shared" si="37"/>
        <v>NONE</v>
      </c>
    </row>
    <row r="1190" spans="1:14">
      <c r="A1190" s="4" t="s">
        <v>2396</v>
      </c>
      <c r="B1190" s="4" t="s">
        <v>2397</v>
      </c>
      <c r="C1190" s="4" t="s">
        <v>19</v>
      </c>
      <c r="D1190" s="4" t="s">
        <v>13</v>
      </c>
      <c r="E1190" s="5">
        <v>194.1754</v>
      </c>
      <c r="F1190" s="5">
        <v>189.93690000000001</v>
      </c>
      <c r="G1190" s="5">
        <v>189.82679999999999</v>
      </c>
      <c r="H1190" s="4">
        <v>0</v>
      </c>
      <c r="I1190" s="6">
        <v>2875935</v>
      </c>
      <c r="J1190" s="7">
        <v>633.92999999999995</v>
      </c>
      <c r="K1190" s="9">
        <f>(PricingDataTable[[#This Row],[Current Price ($)]]-PricingDataTable[[#This Row],[Prior Price ($)]])/PricingDataTable[[#This Row],[Prior Price ($)]]</f>
        <v>-2.1828202748648839E-2</v>
      </c>
      <c r="L1190" s="9">
        <f>(PricingDataTable[[#This Row],[Vendor Price ($)]]-PricingDataTable[[#This Row],[Current Price ($)]])/PricingDataTable[[#This Row],[Current Price ($)]]</f>
        <v>-5.7966619440465205E-4</v>
      </c>
      <c r="M1190" t="str">
        <f t="shared" si="36"/>
        <v>PASS</v>
      </c>
      <c r="N1190" s="10" t="str">
        <f t="shared" si="37"/>
        <v>NONE</v>
      </c>
    </row>
    <row r="1191" spans="1:14">
      <c r="A1191" s="4" t="s">
        <v>2398</v>
      </c>
      <c r="B1191" s="4" t="s">
        <v>2399</v>
      </c>
      <c r="C1191" s="4" t="s">
        <v>19</v>
      </c>
      <c r="D1191" s="4" t="s">
        <v>13</v>
      </c>
      <c r="E1191" s="5">
        <v>162.9134</v>
      </c>
      <c r="F1191" s="5">
        <v>162.96119999999999</v>
      </c>
      <c r="G1191" s="5">
        <v>163.50540000000001</v>
      </c>
      <c r="H1191" s="4">
        <v>0</v>
      </c>
      <c r="I1191" s="6">
        <v>4452785</v>
      </c>
      <c r="J1191" s="7">
        <v>858.51</v>
      </c>
      <c r="K1191" s="9">
        <f>(PricingDataTable[[#This Row],[Current Price ($)]]-PricingDataTable[[#This Row],[Prior Price ($)]])/PricingDataTable[[#This Row],[Prior Price ($)]]</f>
        <v>2.9340741768323037E-4</v>
      </c>
      <c r="L1191" s="9">
        <f>(PricingDataTable[[#This Row],[Vendor Price ($)]]-PricingDataTable[[#This Row],[Current Price ($)]])/PricingDataTable[[#This Row],[Current Price ($)]]</f>
        <v>3.3394452176347365E-3</v>
      </c>
      <c r="M1191" t="str">
        <f t="shared" si="36"/>
        <v>PASS</v>
      </c>
      <c r="N1191" s="10" t="str">
        <f t="shared" si="37"/>
        <v>NONE</v>
      </c>
    </row>
    <row r="1192" spans="1:14">
      <c r="A1192" s="4" t="s">
        <v>2400</v>
      </c>
      <c r="B1192" s="4" t="s">
        <v>2401</v>
      </c>
      <c r="C1192" s="4" t="s">
        <v>19</v>
      </c>
      <c r="D1192" s="4" t="s">
        <v>13</v>
      </c>
      <c r="E1192" s="5">
        <v>47.058399999999999</v>
      </c>
      <c r="F1192" s="5">
        <v>47.093299999999999</v>
      </c>
      <c r="G1192" s="5">
        <v>47.118299999999998</v>
      </c>
      <c r="H1192" s="4">
        <v>2</v>
      </c>
      <c r="I1192" s="6">
        <v>3603780</v>
      </c>
      <c r="J1192" s="7">
        <v>536.63</v>
      </c>
      <c r="K1192" s="9">
        <f>(PricingDataTable[[#This Row],[Current Price ($)]]-PricingDataTable[[#This Row],[Prior Price ($)]])/PricingDataTable[[#This Row],[Prior Price ($)]]</f>
        <v>7.4163167468508013E-4</v>
      </c>
      <c r="L1192" s="9">
        <f>(PricingDataTable[[#This Row],[Vendor Price ($)]]-PricingDataTable[[#This Row],[Current Price ($)]])/PricingDataTable[[#This Row],[Current Price ($)]]</f>
        <v>5.3086107790277124E-4</v>
      </c>
      <c r="M1192" t="str">
        <f t="shared" si="36"/>
        <v>PASS</v>
      </c>
      <c r="N1192" s="10" t="str">
        <f t="shared" si="37"/>
        <v>NONE</v>
      </c>
    </row>
    <row r="1193" spans="1:14">
      <c r="A1193" s="4" t="s">
        <v>2402</v>
      </c>
      <c r="B1193" s="4" t="s">
        <v>2403</v>
      </c>
      <c r="C1193" s="4" t="s">
        <v>19</v>
      </c>
      <c r="D1193" s="4" t="s">
        <v>13</v>
      </c>
      <c r="E1193" s="5">
        <v>122.1468</v>
      </c>
      <c r="F1193" s="5">
        <v>124.7916</v>
      </c>
      <c r="G1193" s="5">
        <v>124.7906</v>
      </c>
      <c r="H1193" s="4">
        <v>0</v>
      </c>
      <c r="I1193" s="6">
        <v>2133561</v>
      </c>
      <c r="J1193" s="7">
        <v>754.53</v>
      </c>
      <c r="K1193" s="9">
        <f>(PricingDataTable[[#This Row],[Current Price ($)]]-PricingDataTable[[#This Row],[Prior Price ($)]])/PricingDataTable[[#This Row],[Prior Price ($)]]</f>
        <v>2.1652634371101032E-2</v>
      </c>
      <c r="L1193" s="9">
        <f>(PricingDataTable[[#This Row],[Vendor Price ($)]]-PricingDataTable[[#This Row],[Current Price ($)]])/PricingDataTable[[#This Row],[Current Price ($)]]</f>
        <v>-8.0133598736194968E-6</v>
      </c>
      <c r="M1193" t="str">
        <f t="shared" si="36"/>
        <v>PASS</v>
      </c>
      <c r="N1193" s="10" t="str">
        <f t="shared" si="37"/>
        <v>NONE</v>
      </c>
    </row>
    <row r="1194" spans="1:14">
      <c r="A1194" s="4" t="s">
        <v>2404</v>
      </c>
      <c r="B1194" s="4" t="s">
        <v>2405</v>
      </c>
      <c r="C1194" s="4" t="s">
        <v>39</v>
      </c>
      <c r="D1194" s="4" t="s">
        <v>13</v>
      </c>
      <c r="E1194" s="5">
        <v>208.12029999999999</v>
      </c>
      <c r="F1194" s="5">
        <v>203.46960000000001</v>
      </c>
      <c r="G1194" s="5">
        <v>203.29239999999999</v>
      </c>
      <c r="H1194" s="4">
        <v>0</v>
      </c>
      <c r="I1194" s="6">
        <v>3570885</v>
      </c>
      <c r="J1194" s="7">
        <v>90.33</v>
      </c>
      <c r="K1194" s="9">
        <f>(PricingDataTable[[#This Row],[Current Price ($)]]-PricingDataTable[[#This Row],[Prior Price ($)]])/PricingDataTable[[#This Row],[Prior Price ($)]]</f>
        <v>-2.2346210340846002E-2</v>
      </c>
      <c r="L1194" s="9">
        <f>(PricingDataTable[[#This Row],[Vendor Price ($)]]-PricingDataTable[[#This Row],[Current Price ($)]])/PricingDataTable[[#This Row],[Current Price ($)]]</f>
        <v>-8.7089176958143888E-4</v>
      </c>
      <c r="M1194" t="str">
        <f t="shared" si="36"/>
        <v>PASS</v>
      </c>
      <c r="N1194" s="10" t="str">
        <f t="shared" si="37"/>
        <v>NONE</v>
      </c>
    </row>
    <row r="1195" spans="1:14">
      <c r="A1195" s="4" t="s">
        <v>2406</v>
      </c>
      <c r="B1195" s="4" t="s">
        <v>2407</v>
      </c>
      <c r="C1195" s="4" t="s">
        <v>19</v>
      </c>
      <c r="D1195" s="4" t="s">
        <v>13</v>
      </c>
      <c r="E1195" s="5">
        <v>47.835999999999999</v>
      </c>
      <c r="F1195" s="5">
        <v>47.210500000000003</v>
      </c>
      <c r="G1195" s="5">
        <v>47.264000000000003</v>
      </c>
      <c r="H1195" s="4">
        <v>0</v>
      </c>
      <c r="I1195" s="6">
        <v>1980308</v>
      </c>
      <c r="J1195" s="7">
        <v>489.58</v>
      </c>
      <c r="K1195" s="9">
        <f>(PricingDataTable[[#This Row],[Current Price ($)]]-PricingDataTable[[#This Row],[Prior Price ($)]])/PricingDataTable[[#This Row],[Prior Price ($)]]</f>
        <v>-1.3075926080775886E-2</v>
      </c>
      <c r="L1195" s="9">
        <f>(PricingDataTable[[#This Row],[Vendor Price ($)]]-PricingDataTable[[#This Row],[Current Price ($)]])/PricingDataTable[[#This Row],[Current Price ($)]]</f>
        <v>1.1332224822867721E-3</v>
      </c>
      <c r="M1195" t="str">
        <f t="shared" si="36"/>
        <v>PASS</v>
      </c>
      <c r="N1195" s="10" t="str">
        <f t="shared" si="37"/>
        <v>NONE</v>
      </c>
    </row>
    <row r="1196" spans="1:14">
      <c r="A1196" s="4" t="s">
        <v>2408</v>
      </c>
      <c r="B1196" s="4" t="s">
        <v>2409</v>
      </c>
      <c r="C1196" s="4" t="s">
        <v>39</v>
      </c>
      <c r="D1196" s="4" t="s">
        <v>13</v>
      </c>
      <c r="E1196" s="5">
        <v>247.37739999999999</v>
      </c>
      <c r="F1196" s="5">
        <v>246.16810000000001</v>
      </c>
      <c r="G1196" s="5">
        <v>245.06809999999999</v>
      </c>
      <c r="H1196" s="4">
        <v>0</v>
      </c>
      <c r="I1196" s="6">
        <v>1444852</v>
      </c>
      <c r="J1196" s="7">
        <v>38.26</v>
      </c>
      <c r="K1196" s="9">
        <f>(PricingDataTable[[#This Row],[Current Price ($)]]-PricingDataTable[[#This Row],[Prior Price ($)]])/PricingDataTable[[#This Row],[Prior Price ($)]]</f>
        <v>-4.8884821329676226E-3</v>
      </c>
      <c r="L1196" s="9">
        <f>(PricingDataTable[[#This Row],[Vendor Price ($)]]-PricingDataTable[[#This Row],[Current Price ($)]])/PricingDataTable[[#This Row],[Current Price ($)]]</f>
        <v>-4.4684912464288537E-3</v>
      </c>
      <c r="M1196" t="str">
        <f t="shared" si="36"/>
        <v>PASS</v>
      </c>
      <c r="N1196" s="10" t="str">
        <f t="shared" si="37"/>
        <v>NONE</v>
      </c>
    </row>
    <row r="1197" spans="1:14">
      <c r="A1197" s="4" t="s">
        <v>2410</v>
      </c>
      <c r="B1197" s="4" t="s">
        <v>2411</v>
      </c>
      <c r="C1197" s="4" t="s">
        <v>16</v>
      </c>
      <c r="D1197" s="4" t="s">
        <v>32</v>
      </c>
      <c r="E1197" s="5">
        <v>89.881399999999999</v>
      </c>
      <c r="F1197" s="5">
        <v>90.847800000000007</v>
      </c>
      <c r="G1197" s="5">
        <v>90.404499999999999</v>
      </c>
      <c r="H1197" s="4">
        <v>0</v>
      </c>
      <c r="I1197" s="6">
        <v>547254</v>
      </c>
      <c r="J1197" s="7">
        <v>178.96</v>
      </c>
      <c r="K1197" s="9">
        <f>(PricingDataTable[[#This Row],[Current Price ($)]]-PricingDataTable[[#This Row],[Prior Price ($)]])/PricingDataTable[[#This Row],[Prior Price ($)]]</f>
        <v>1.0751946453882642E-2</v>
      </c>
      <c r="L1197" s="9">
        <f>(PricingDataTable[[#This Row],[Vendor Price ($)]]-PricingDataTable[[#This Row],[Current Price ($)]])/PricingDataTable[[#This Row],[Current Price ($)]]</f>
        <v>-4.8795898194563632E-3</v>
      </c>
      <c r="M1197" t="str">
        <f t="shared" si="36"/>
        <v>PASS</v>
      </c>
      <c r="N1197" s="10" t="str">
        <f t="shared" si="37"/>
        <v>NONE</v>
      </c>
    </row>
    <row r="1198" spans="1:14">
      <c r="A1198" s="4" t="s">
        <v>2412</v>
      </c>
      <c r="B1198" s="4" t="s">
        <v>2413</v>
      </c>
      <c r="C1198" s="4" t="s">
        <v>12</v>
      </c>
      <c r="D1198" s="4" t="s">
        <v>32</v>
      </c>
      <c r="E1198" s="5">
        <v>94.111099999999993</v>
      </c>
      <c r="F1198" s="5">
        <v>93.23</v>
      </c>
      <c r="G1198" s="5">
        <v>93.149100000000004</v>
      </c>
      <c r="H1198" s="4">
        <v>0</v>
      </c>
      <c r="I1198" s="6">
        <v>412915</v>
      </c>
      <c r="J1198" s="7">
        <v>436.62</v>
      </c>
      <c r="K1198" s="9">
        <f>(PricingDataTable[[#This Row],[Current Price ($)]]-PricingDataTable[[#This Row],[Prior Price ($)]])/PricingDataTable[[#This Row],[Prior Price ($)]]</f>
        <v>-9.3623387676904143E-3</v>
      </c>
      <c r="L1198" s="9">
        <f>(PricingDataTable[[#This Row],[Vendor Price ($)]]-PricingDataTable[[#This Row],[Current Price ($)]])/PricingDataTable[[#This Row],[Current Price ($)]]</f>
        <v>-8.6774643355142921E-4</v>
      </c>
      <c r="M1198" t="str">
        <f t="shared" si="36"/>
        <v>PASS</v>
      </c>
      <c r="N1198" s="10" t="str">
        <f t="shared" si="37"/>
        <v>NONE</v>
      </c>
    </row>
    <row r="1199" spans="1:14">
      <c r="A1199" s="4" t="s">
        <v>2414</v>
      </c>
      <c r="B1199" s="4" t="s">
        <v>2415</v>
      </c>
      <c r="C1199" s="4" t="s">
        <v>19</v>
      </c>
      <c r="D1199" s="4" t="s">
        <v>64</v>
      </c>
      <c r="E1199" s="5">
        <v>268.67070000000001</v>
      </c>
      <c r="F1199" s="5">
        <v>266.62369999999999</v>
      </c>
      <c r="G1199" s="5">
        <v>266.83629999999999</v>
      </c>
      <c r="H1199" s="4">
        <v>0</v>
      </c>
      <c r="I1199" s="6">
        <v>956784</v>
      </c>
      <c r="J1199" s="7">
        <v>896.1</v>
      </c>
      <c r="K1199" s="9">
        <f>(PricingDataTable[[#This Row],[Current Price ($)]]-PricingDataTable[[#This Row],[Prior Price ($)]])/PricingDataTable[[#This Row],[Prior Price ($)]]</f>
        <v>-7.6189923203387093E-3</v>
      </c>
      <c r="L1199" s="9">
        <f>(PricingDataTable[[#This Row],[Vendor Price ($)]]-PricingDataTable[[#This Row],[Current Price ($)]])/PricingDataTable[[#This Row],[Current Price ($)]]</f>
        <v>7.9737847760723833E-4</v>
      </c>
      <c r="M1199" t="str">
        <f t="shared" si="36"/>
        <v>PASS</v>
      </c>
      <c r="N1199" s="10" t="str">
        <f t="shared" si="37"/>
        <v>NONE</v>
      </c>
    </row>
    <row r="1200" spans="1:14">
      <c r="A1200" s="4" t="s">
        <v>2416</v>
      </c>
      <c r="B1200" s="4" t="s">
        <v>2417</v>
      </c>
      <c r="C1200" s="4" t="s">
        <v>19</v>
      </c>
      <c r="D1200" s="4" t="s">
        <v>64</v>
      </c>
      <c r="E1200" s="5">
        <v>98.326899999999995</v>
      </c>
      <c r="F1200" s="5">
        <v>100.03019999999999</v>
      </c>
      <c r="G1200" s="5">
        <v>99.640600000000006</v>
      </c>
      <c r="H1200" s="4">
        <v>0</v>
      </c>
      <c r="I1200" s="6">
        <v>4535464</v>
      </c>
      <c r="J1200" s="7">
        <v>759.86</v>
      </c>
      <c r="K1200" s="9">
        <f>(PricingDataTable[[#This Row],[Current Price ($)]]-PricingDataTable[[#This Row],[Prior Price ($)]])/PricingDataTable[[#This Row],[Prior Price ($)]]</f>
        <v>1.7322828239271237E-2</v>
      </c>
      <c r="L1200" s="9">
        <f>(PricingDataTable[[#This Row],[Vendor Price ($)]]-PricingDataTable[[#This Row],[Current Price ($)]])/PricingDataTable[[#This Row],[Current Price ($)]]</f>
        <v>-3.8948237632233798E-3</v>
      </c>
      <c r="M1200" t="str">
        <f t="shared" si="36"/>
        <v>PASS</v>
      </c>
      <c r="N1200" s="10" t="str">
        <f t="shared" si="37"/>
        <v>NONE</v>
      </c>
    </row>
    <row r="1201" spans="1:14">
      <c r="A1201" s="4" t="s">
        <v>2418</v>
      </c>
      <c r="B1201" s="4" t="s">
        <v>2419</v>
      </c>
      <c r="C1201" s="4" t="s">
        <v>16</v>
      </c>
      <c r="D1201" s="4" t="s">
        <v>64</v>
      </c>
      <c r="E1201" s="5">
        <v>108.0378</v>
      </c>
      <c r="F1201" s="5">
        <v>107.05</v>
      </c>
      <c r="G1201" s="5">
        <v>106.6683</v>
      </c>
      <c r="H1201" s="4">
        <v>2</v>
      </c>
      <c r="I1201" s="6">
        <v>703028</v>
      </c>
      <c r="J1201" s="7">
        <v>211.84</v>
      </c>
      <c r="K1201" s="9">
        <f>(PricingDataTable[[#This Row],[Current Price ($)]]-PricingDataTable[[#This Row],[Prior Price ($)]])/PricingDataTable[[#This Row],[Prior Price ($)]]</f>
        <v>-9.1430962126219442E-3</v>
      </c>
      <c r="L1201" s="9">
        <f>(PricingDataTable[[#This Row],[Vendor Price ($)]]-PricingDataTable[[#This Row],[Current Price ($)]])/PricingDataTable[[#This Row],[Current Price ($)]]</f>
        <v>-3.5656235404016353E-3</v>
      </c>
      <c r="M1201" t="str">
        <f t="shared" si="36"/>
        <v>PASS</v>
      </c>
      <c r="N1201" s="10" t="str">
        <f t="shared" si="37"/>
        <v>NONE</v>
      </c>
    </row>
    <row r="1202" spans="1:14">
      <c r="A1202" s="4" t="s">
        <v>2420</v>
      </c>
      <c r="B1202" s="4" t="s">
        <v>2421</v>
      </c>
      <c r="C1202" s="4" t="s">
        <v>12</v>
      </c>
      <c r="D1202" s="4" t="s">
        <v>13</v>
      </c>
      <c r="E1202" s="5">
        <v>119.2475</v>
      </c>
      <c r="F1202" s="5">
        <v>119.54049999999999</v>
      </c>
      <c r="G1202" s="5">
        <v>119.1561</v>
      </c>
      <c r="H1202" s="4">
        <v>4</v>
      </c>
      <c r="I1202" s="6">
        <v>4509892</v>
      </c>
      <c r="J1202" s="7">
        <v>453.38</v>
      </c>
      <c r="K1202" s="9">
        <f>(PricingDataTable[[#This Row],[Current Price ($)]]-PricingDataTable[[#This Row],[Prior Price ($)]])/PricingDataTable[[#This Row],[Prior Price ($)]]</f>
        <v>2.4570745717938922E-3</v>
      </c>
      <c r="L1202" s="9">
        <f>(PricingDataTable[[#This Row],[Vendor Price ($)]]-PricingDataTable[[#This Row],[Current Price ($)]])/PricingDataTable[[#This Row],[Current Price ($)]]</f>
        <v>-3.2156465800293578E-3</v>
      </c>
      <c r="M1202" t="str">
        <f t="shared" si="36"/>
        <v>STALE</v>
      </c>
      <c r="N1202" s="10" t="str">
        <f t="shared" si="37"/>
        <v>LOW</v>
      </c>
    </row>
    <row r="1203" spans="1:14">
      <c r="A1203" s="4" t="s">
        <v>2422</v>
      </c>
      <c r="B1203" s="4" t="s">
        <v>2423</v>
      </c>
      <c r="C1203" s="4" t="s">
        <v>35</v>
      </c>
      <c r="D1203" s="4" t="s">
        <v>13</v>
      </c>
      <c r="E1203" s="5">
        <v>147.1268</v>
      </c>
      <c r="F1203" s="5">
        <v>149.91489999999999</v>
      </c>
      <c r="G1203" s="5">
        <v>148.95519999999999</v>
      </c>
      <c r="H1203" s="4">
        <v>0</v>
      </c>
      <c r="I1203" s="6">
        <v>3786706</v>
      </c>
      <c r="J1203" s="7">
        <v>852.13</v>
      </c>
      <c r="K1203" s="9">
        <f>(PricingDataTable[[#This Row],[Current Price ($)]]-PricingDataTable[[#This Row],[Prior Price ($)]])/PricingDataTable[[#This Row],[Prior Price ($)]]</f>
        <v>1.8950320403896406E-2</v>
      </c>
      <c r="L1203" s="9">
        <f>(PricingDataTable[[#This Row],[Vendor Price ($)]]-PricingDataTable[[#This Row],[Current Price ($)]])/PricingDataTable[[#This Row],[Current Price ($)]]</f>
        <v>-6.401631859141407E-3</v>
      </c>
      <c r="M1203" t="str">
        <f t="shared" si="36"/>
        <v>PASS</v>
      </c>
      <c r="N1203" s="10" t="str">
        <f t="shared" si="37"/>
        <v>NONE</v>
      </c>
    </row>
    <row r="1204" spans="1:14">
      <c r="A1204" s="4" t="s">
        <v>2424</v>
      </c>
      <c r="B1204" s="4" t="s">
        <v>2425</v>
      </c>
      <c r="C1204" s="4" t="s">
        <v>16</v>
      </c>
      <c r="D1204" s="4" t="s">
        <v>36</v>
      </c>
      <c r="E1204" s="5">
        <v>103.5544</v>
      </c>
      <c r="F1204" s="5">
        <v>102.1793</v>
      </c>
      <c r="G1204" s="5">
        <v>99.159199999999998</v>
      </c>
      <c r="H1204" s="4">
        <v>0</v>
      </c>
      <c r="I1204" s="6">
        <v>2687016</v>
      </c>
      <c r="J1204" s="7">
        <v>426.05</v>
      </c>
      <c r="K1204" s="9">
        <f>(PricingDataTable[[#This Row],[Current Price ($)]]-PricingDataTable[[#This Row],[Prior Price ($)]])/PricingDataTable[[#This Row],[Prior Price ($)]]</f>
        <v>-1.327901083874759E-2</v>
      </c>
      <c r="L1204" s="9">
        <f>(PricingDataTable[[#This Row],[Vendor Price ($)]]-PricingDataTable[[#This Row],[Current Price ($)]])/PricingDataTable[[#This Row],[Current Price ($)]]</f>
        <v>-2.9556867193257338E-2</v>
      </c>
      <c r="M1204" t="str">
        <f t="shared" si="36"/>
        <v>VENDOR DIFFERENCE</v>
      </c>
      <c r="N1204" s="10" t="str">
        <f t="shared" si="37"/>
        <v>LOW</v>
      </c>
    </row>
    <row r="1205" spans="1:14">
      <c r="A1205" s="4" t="s">
        <v>2426</v>
      </c>
      <c r="B1205" s="4" t="s">
        <v>2427</v>
      </c>
      <c r="C1205" s="4" t="s">
        <v>39</v>
      </c>
      <c r="D1205" s="4" t="s">
        <v>13</v>
      </c>
      <c r="E1205" s="5">
        <v>37.113799999999998</v>
      </c>
      <c r="F1205" s="5">
        <v>36.9529</v>
      </c>
      <c r="G1205" s="5">
        <v>36.925400000000003</v>
      </c>
      <c r="H1205" s="4">
        <v>0</v>
      </c>
      <c r="I1205" s="6">
        <v>4953885</v>
      </c>
      <c r="J1205" s="7">
        <v>243.52</v>
      </c>
      <c r="K1205" s="9">
        <f>(PricingDataTable[[#This Row],[Current Price ($)]]-PricingDataTable[[#This Row],[Prior Price ($)]])/PricingDataTable[[#This Row],[Prior Price ($)]]</f>
        <v>-4.3353146269042254E-3</v>
      </c>
      <c r="L1205" s="9">
        <f>(PricingDataTable[[#This Row],[Vendor Price ($)]]-PricingDataTable[[#This Row],[Current Price ($)]])/PricingDataTable[[#This Row],[Current Price ($)]]</f>
        <v>-7.441905777353416E-4</v>
      </c>
      <c r="M1205" t="str">
        <f t="shared" si="36"/>
        <v>PASS</v>
      </c>
      <c r="N1205" s="10" t="str">
        <f t="shared" si="37"/>
        <v>NONE</v>
      </c>
    </row>
    <row r="1206" spans="1:14">
      <c r="A1206" s="4" t="s">
        <v>2428</v>
      </c>
      <c r="B1206" s="4" t="s">
        <v>2429</v>
      </c>
      <c r="C1206" s="4" t="s">
        <v>12</v>
      </c>
      <c r="D1206" s="4" t="s">
        <v>13</v>
      </c>
      <c r="E1206" s="5">
        <v>100.2343</v>
      </c>
      <c r="F1206" s="5">
        <v>98.278300000000002</v>
      </c>
      <c r="G1206" s="5">
        <v>98.390699999999995</v>
      </c>
      <c r="H1206" s="4">
        <v>3</v>
      </c>
      <c r="I1206" s="6">
        <v>2241886</v>
      </c>
      <c r="J1206" s="7">
        <v>39.01</v>
      </c>
      <c r="K1206" s="9">
        <f>(PricingDataTable[[#This Row],[Current Price ($)]]-PricingDataTable[[#This Row],[Prior Price ($)]])/PricingDataTable[[#This Row],[Prior Price ($)]]</f>
        <v>-1.9514278046536992E-2</v>
      </c>
      <c r="L1206" s="9">
        <f>(PricingDataTable[[#This Row],[Vendor Price ($)]]-PricingDataTable[[#This Row],[Current Price ($)]])/PricingDataTable[[#This Row],[Current Price ($)]]</f>
        <v>1.1436909266846684E-3</v>
      </c>
      <c r="M1206" t="str">
        <f t="shared" si="36"/>
        <v>STALE</v>
      </c>
      <c r="N1206" s="10" t="str">
        <f t="shared" si="37"/>
        <v>LOW</v>
      </c>
    </row>
    <row r="1207" spans="1:14">
      <c r="A1207" s="4" t="s">
        <v>2430</v>
      </c>
      <c r="B1207" s="4" t="s">
        <v>2431</v>
      </c>
      <c r="C1207" s="4" t="s">
        <v>12</v>
      </c>
      <c r="D1207" s="4" t="s">
        <v>13</v>
      </c>
      <c r="E1207" s="5">
        <v>114.5235</v>
      </c>
      <c r="F1207" s="5">
        <v>114.88330000000001</v>
      </c>
      <c r="G1207" s="5">
        <v>114.533</v>
      </c>
      <c r="H1207" s="4">
        <v>2</v>
      </c>
      <c r="I1207" s="6">
        <v>2384350</v>
      </c>
      <c r="J1207" s="7">
        <v>606.84</v>
      </c>
      <c r="K1207" s="9">
        <f>(PricingDataTable[[#This Row],[Current Price ($)]]-PricingDataTable[[#This Row],[Prior Price ($)]])/PricingDataTable[[#This Row],[Prior Price ($)]]</f>
        <v>3.1417132728217964E-3</v>
      </c>
      <c r="L1207" s="9">
        <f>(PricingDataTable[[#This Row],[Vendor Price ($)]]-PricingDataTable[[#This Row],[Current Price ($)]])/PricingDataTable[[#This Row],[Current Price ($)]]</f>
        <v>-3.049181212587071E-3</v>
      </c>
      <c r="M1207" t="str">
        <f t="shared" si="36"/>
        <v>PASS</v>
      </c>
      <c r="N1207" s="10" t="str">
        <f t="shared" si="37"/>
        <v>NONE</v>
      </c>
    </row>
    <row r="1208" spans="1:14">
      <c r="A1208" s="4" t="s">
        <v>2432</v>
      </c>
      <c r="B1208" s="4" t="s">
        <v>2433</v>
      </c>
      <c r="C1208" s="4" t="s">
        <v>16</v>
      </c>
      <c r="D1208" s="4" t="s">
        <v>13</v>
      </c>
      <c r="E1208" s="5">
        <v>93.869299999999996</v>
      </c>
      <c r="F1208" s="5">
        <v>95.907300000000006</v>
      </c>
      <c r="G1208" s="5">
        <v>96.321700000000007</v>
      </c>
      <c r="H1208" s="4">
        <v>0</v>
      </c>
      <c r="I1208" s="6">
        <v>379893</v>
      </c>
      <c r="J1208" s="7">
        <v>796.31</v>
      </c>
      <c r="K1208" s="9">
        <f>(PricingDataTable[[#This Row],[Current Price ($)]]-PricingDataTable[[#This Row],[Prior Price ($)]])/PricingDataTable[[#This Row],[Prior Price ($)]]</f>
        <v>2.1711038646288094E-2</v>
      </c>
      <c r="L1208" s="9">
        <f>(PricingDataTable[[#This Row],[Vendor Price ($)]]-PricingDataTable[[#This Row],[Current Price ($)]])/PricingDataTable[[#This Row],[Current Price ($)]]</f>
        <v>4.320838976803648E-3</v>
      </c>
      <c r="M1208" t="str">
        <f t="shared" si="36"/>
        <v>PASS</v>
      </c>
      <c r="N1208" s="10" t="str">
        <f t="shared" si="37"/>
        <v>NONE</v>
      </c>
    </row>
    <row r="1209" spans="1:14">
      <c r="A1209" s="4" t="s">
        <v>2434</v>
      </c>
      <c r="B1209" s="4" t="s">
        <v>2435</v>
      </c>
      <c r="C1209" s="4" t="s">
        <v>39</v>
      </c>
      <c r="D1209" s="4" t="s">
        <v>13</v>
      </c>
      <c r="E1209" s="5">
        <v>195.0051</v>
      </c>
      <c r="F1209" s="5">
        <v>193.99019999999999</v>
      </c>
      <c r="G1209" s="5">
        <v>192.65100000000001</v>
      </c>
      <c r="H1209" s="4">
        <v>0</v>
      </c>
      <c r="I1209" s="6">
        <v>1284031</v>
      </c>
      <c r="J1209" s="7">
        <v>504.84</v>
      </c>
      <c r="K1209" s="9">
        <f>(PricingDataTable[[#This Row],[Current Price ($)]]-PricingDataTable[[#This Row],[Prior Price ($)]])/PricingDataTable[[#This Row],[Prior Price ($)]]</f>
        <v>-5.2044792674653716E-3</v>
      </c>
      <c r="L1209" s="9">
        <f>(PricingDataTable[[#This Row],[Vendor Price ($)]]-PricingDataTable[[#This Row],[Current Price ($)]])/PricingDataTable[[#This Row],[Current Price ($)]]</f>
        <v>-6.9034415140557456E-3</v>
      </c>
      <c r="M1209" t="str">
        <f t="shared" si="36"/>
        <v>PASS</v>
      </c>
      <c r="N1209" s="10" t="str">
        <f t="shared" si="37"/>
        <v>NONE</v>
      </c>
    </row>
    <row r="1210" spans="1:14">
      <c r="A1210" s="4" t="s">
        <v>2436</v>
      </c>
      <c r="B1210" s="4" t="s">
        <v>2437</v>
      </c>
      <c r="C1210" s="4" t="s">
        <v>19</v>
      </c>
      <c r="D1210" s="4" t="s">
        <v>237</v>
      </c>
      <c r="E1210" s="5">
        <v>129.6054</v>
      </c>
      <c r="F1210" s="5">
        <v>129.78880000000001</v>
      </c>
      <c r="G1210" s="5">
        <v>129.0626</v>
      </c>
      <c r="H1210" s="4">
        <v>0</v>
      </c>
      <c r="I1210" s="6">
        <v>1863292</v>
      </c>
      <c r="J1210" s="7">
        <v>239.47</v>
      </c>
      <c r="K1210" s="9">
        <f>(PricingDataTable[[#This Row],[Current Price ($)]]-PricingDataTable[[#This Row],[Prior Price ($)]])/PricingDataTable[[#This Row],[Prior Price ($)]]</f>
        <v>1.4150644957695126E-3</v>
      </c>
      <c r="L1210" s="9">
        <f>(PricingDataTable[[#This Row],[Vendor Price ($)]]-PricingDataTable[[#This Row],[Current Price ($)]])/PricingDataTable[[#This Row],[Current Price ($)]]</f>
        <v>-5.5952439655810489E-3</v>
      </c>
      <c r="M1210" t="str">
        <f t="shared" si="36"/>
        <v>PASS</v>
      </c>
      <c r="N1210" s="10" t="str">
        <f t="shared" si="37"/>
        <v>NONE</v>
      </c>
    </row>
    <row r="1211" spans="1:14">
      <c r="A1211" s="4" t="s">
        <v>2438</v>
      </c>
      <c r="B1211" s="4" t="s">
        <v>2439</v>
      </c>
      <c r="C1211" s="4" t="s">
        <v>12</v>
      </c>
      <c r="D1211" s="4" t="s">
        <v>13</v>
      </c>
      <c r="E1211" s="5">
        <v>77.054400000000001</v>
      </c>
      <c r="F1211" s="5">
        <v>74.588700000000003</v>
      </c>
      <c r="G1211" s="5">
        <v>74.8429</v>
      </c>
      <c r="H1211" s="4">
        <v>5</v>
      </c>
      <c r="I1211" s="6">
        <v>572682</v>
      </c>
      <c r="J1211" s="7">
        <v>382.54</v>
      </c>
      <c r="K1211" s="9">
        <f>(PricingDataTable[[#This Row],[Current Price ($)]]-PricingDataTable[[#This Row],[Prior Price ($)]])/PricingDataTable[[#This Row],[Prior Price ($)]]</f>
        <v>-3.1999470503955622E-2</v>
      </c>
      <c r="L1211" s="9">
        <f>(PricingDataTable[[#This Row],[Vendor Price ($)]]-PricingDataTable[[#This Row],[Current Price ($)]])/PricingDataTable[[#This Row],[Current Price ($)]]</f>
        <v>3.4080229310873805E-3</v>
      </c>
      <c r="M1211" t="str">
        <f t="shared" si="36"/>
        <v>STALE</v>
      </c>
      <c r="N1211" s="10" t="str">
        <f t="shared" si="37"/>
        <v>MEDIUM</v>
      </c>
    </row>
    <row r="1212" spans="1:14">
      <c r="A1212" s="4" t="s">
        <v>2440</v>
      </c>
      <c r="B1212" s="4" t="s">
        <v>2441</v>
      </c>
      <c r="C1212" s="4" t="s">
        <v>19</v>
      </c>
      <c r="D1212" s="4" t="s">
        <v>13</v>
      </c>
      <c r="E1212" s="5">
        <v>349.5591</v>
      </c>
      <c r="F1212" s="5">
        <v>356.33010000000002</v>
      </c>
      <c r="G1212" s="5">
        <v>357.81220000000002</v>
      </c>
      <c r="H1212" s="4">
        <v>0</v>
      </c>
      <c r="I1212" s="6">
        <v>1370399</v>
      </c>
      <c r="J1212" s="7">
        <v>898.72</v>
      </c>
      <c r="K1212" s="9">
        <f>(PricingDataTable[[#This Row],[Current Price ($)]]-PricingDataTable[[#This Row],[Prior Price ($)]])/PricingDataTable[[#This Row],[Prior Price ($)]]</f>
        <v>1.9370115096417215E-2</v>
      </c>
      <c r="L1212" s="9">
        <f>(PricingDataTable[[#This Row],[Vendor Price ($)]]-PricingDataTable[[#This Row],[Current Price ($)]])/PricingDataTable[[#This Row],[Current Price ($)]]</f>
        <v>4.1593455057543629E-3</v>
      </c>
      <c r="M1212" t="str">
        <f t="shared" si="36"/>
        <v>PASS</v>
      </c>
      <c r="N1212" s="10" t="str">
        <f t="shared" si="37"/>
        <v>NONE</v>
      </c>
    </row>
    <row r="1213" spans="1:14">
      <c r="A1213" s="4" t="s">
        <v>2442</v>
      </c>
      <c r="B1213" s="4" t="s">
        <v>2443</v>
      </c>
      <c r="C1213" s="4" t="s">
        <v>19</v>
      </c>
      <c r="D1213" s="4" t="s">
        <v>13</v>
      </c>
      <c r="E1213" s="5">
        <v>254.14230000000001</v>
      </c>
      <c r="F1213" s="5">
        <v>256.33999999999997</v>
      </c>
      <c r="G1213" s="5">
        <v>255.90700000000001</v>
      </c>
      <c r="H1213" s="4">
        <v>0</v>
      </c>
      <c r="I1213" s="6">
        <v>2789798</v>
      </c>
      <c r="J1213" s="7">
        <v>701.83</v>
      </c>
      <c r="K1213" s="9">
        <f>(PricingDataTable[[#This Row],[Current Price ($)]]-PricingDataTable[[#This Row],[Prior Price ($)]])/PricingDataTable[[#This Row],[Prior Price ($)]]</f>
        <v>8.6475175521743882E-3</v>
      </c>
      <c r="L1213" s="9">
        <f>(PricingDataTable[[#This Row],[Vendor Price ($)]]-PricingDataTable[[#This Row],[Current Price ($)]])/PricingDataTable[[#This Row],[Current Price ($)]]</f>
        <v>-1.6891628306154496E-3</v>
      </c>
      <c r="M1213" t="str">
        <f t="shared" si="36"/>
        <v>PASS</v>
      </c>
      <c r="N1213" s="10" t="str">
        <f t="shared" si="37"/>
        <v>NONE</v>
      </c>
    </row>
    <row r="1214" spans="1:14">
      <c r="A1214" s="4" t="s">
        <v>2444</v>
      </c>
      <c r="B1214" s="4" t="s">
        <v>2445</v>
      </c>
      <c r="C1214" s="4" t="s">
        <v>35</v>
      </c>
      <c r="D1214" s="4" t="s">
        <v>13</v>
      </c>
      <c r="E1214" s="5">
        <v>172.1944</v>
      </c>
      <c r="F1214" s="5">
        <v>172.20160000000001</v>
      </c>
      <c r="G1214" s="5">
        <v>171.59719999999999</v>
      </c>
      <c r="H1214" s="4">
        <v>0</v>
      </c>
      <c r="I1214" s="6">
        <v>2426584</v>
      </c>
      <c r="J1214" s="7">
        <v>246.39</v>
      </c>
      <c r="K1214" s="9">
        <f>(PricingDataTable[[#This Row],[Current Price ($)]]-PricingDataTable[[#This Row],[Prior Price ($)]])/PricingDataTable[[#This Row],[Prior Price ($)]]</f>
        <v>4.1813206469035236E-5</v>
      </c>
      <c r="L1214" s="9">
        <f>(PricingDataTable[[#This Row],[Vendor Price ($)]]-PricingDataTable[[#This Row],[Current Price ($)]])/PricingDataTable[[#This Row],[Current Price ($)]]</f>
        <v>-3.5098396298293782E-3</v>
      </c>
      <c r="M1214" t="str">
        <f t="shared" si="36"/>
        <v>PASS</v>
      </c>
      <c r="N1214" s="10" t="str">
        <f t="shared" si="37"/>
        <v>NONE</v>
      </c>
    </row>
    <row r="1215" spans="1:14">
      <c r="A1215" s="4" t="s">
        <v>2446</v>
      </c>
      <c r="B1215" s="4" t="s">
        <v>2447</v>
      </c>
      <c r="C1215" s="4" t="s">
        <v>16</v>
      </c>
      <c r="D1215" s="4" t="s">
        <v>13</v>
      </c>
      <c r="E1215" s="5">
        <v>112.7803</v>
      </c>
      <c r="F1215" s="5">
        <v>109.8142</v>
      </c>
      <c r="G1215" s="5">
        <v>109.88590000000001</v>
      </c>
      <c r="H1215" s="4">
        <v>0</v>
      </c>
      <c r="I1215" s="6">
        <v>4586390</v>
      </c>
      <c r="J1215" s="7">
        <v>567.51</v>
      </c>
      <c r="K1215" s="9">
        <f>(PricingDataTable[[#This Row],[Current Price ($)]]-PricingDataTable[[#This Row],[Prior Price ($)]])/PricingDataTable[[#This Row],[Prior Price ($)]]</f>
        <v>-2.6299805905818634E-2</v>
      </c>
      <c r="L1215" s="9">
        <f>(PricingDataTable[[#This Row],[Vendor Price ($)]]-PricingDataTable[[#This Row],[Current Price ($)]])/PricingDataTable[[#This Row],[Current Price ($)]]</f>
        <v>6.5292102478556487E-4</v>
      </c>
      <c r="M1215" t="str">
        <f t="shared" si="36"/>
        <v>PASS</v>
      </c>
      <c r="N1215" s="10" t="str">
        <f t="shared" si="37"/>
        <v>NONE</v>
      </c>
    </row>
    <row r="1216" spans="1:14">
      <c r="A1216" s="4" t="s">
        <v>2448</v>
      </c>
      <c r="B1216" s="4" t="s">
        <v>2449</v>
      </c>
      <c r="C1216" s="4" t="s">
        <v>35</v>
      </c>
      <c r="D1216" s="4" t="s">
        <v>32</v>
      </c>
      <c r="E1216" s="5">
        <v>156.2012</v>
      </c>
      <c r="F1216" s="5">
        <v>153.89689999999999</v>
      </c>
      <c r="G1216" s="5">
        <v>154.0361</v>
      </c>
      <c r="H1216" s="4">
        <v>0</v>
      </c>
      <c r="I1216" s="6">
        <v>1900802</v>
      </c>
      <c r="J1216" s="7">
        <v>755.79</v>
      </c>
      <c r="K1216" s="9">
        <f>(PricingDataTable[[#This Row],[Current Price ($)]]-PricingDataTable[[#This Row],[Prior Price ($)]])/PricingDataTable[[#This Row],[Prior Price ($)]]</f>
        <v>-1.475212738442478E-2</v>
      </c>
      <c r="L1216" s="9">
        <f>(PricingDataTable[[#This Row],[Vendor Price ($)]]-PricingDataTable[[#This Row],[Current Price ($)]])/PricingDataTable[[#This Row],[Current Price ($)]]</f>
        <v>9.0450165013081262E-4</v>
      </c>
      <c r="M1216" t="str">
        <f t="shared" si="36"/>
        <v>PASS</v>
      </c>
      <c r="N1216" s="10" t="str">
        <f t="shared" si="37"/>
        <v>NONE</v>
      </c>
    </row>
    <row r="1217" spans="1:14">
      <c r="A1217" s="4" t="s">
        <v>2450</v>
      </c>
      <c r="B1217" s="4" t="s">
        <v>2451</v>
      </c>
      <c r="C1217" s="4" t="s">
        <v>35</v>
      </c>
      <c r="D1217" s="4" t="s">
        <v>13</v>
      </c>
      <c r="E1217" s="5">
        <v>170.59889999999999</v>
      </c>
      <c r="F1217" s="5">
        <v>167.8818</v>
      </c>
      <c r="G1217" s="5">
        <v>167.68350000000001</v>
      </c>
      <c r="H1217" s="4">
        <v>0</v>
      </c>
      <c r="I1217" s="6">
        <v>4610977</v>
      </c>
      <c r="J1217" s="7">
        <v>396.42</v>
      </c>
      <c r="K1217" s="9">
        <f>(PricingDataTable[[#This Row],[Current Price ($)]]-PricingDataTable[[#This Row],[Prior Price ($)]])/PricingDataTable[[#This Row],[Prior Price ($)]]</f>
        <v>-1.5926831884613489E-2</v>
      </c>
      <c r="L1217" s="9">
        <f>(PricingDataTable[[#This Row],[Vendor Price ($)]]-PricingDataTable[[#This Row],[Current Price ($)]])/PricingDataTable[[#This Row],[Current Price ($)]]</f>
        <v>-1.1811881931215239E-3</v>
      </c>
      <c r="M1217" t="str">
        <f t="shared" si="36"/>
        <v>PASS</v>
      </c>
      <c r="N1217" s="10" t="str">
        <f t="shared" si="37"/>
        <v>NONE</v>
      </c>
    </row>
    <row r="1218" spans="1:14">
      <c r="A1218" s="4" t="s">
        <v>2452</v>
      </c>
      <c r="B1218" s="4" t="s">
        <v>2453</v>
      </c>
      <c r="C1218" s="4" t="s">
        <v>16</v>
      </c>
      <c r="D1218" s="4" t="s">
        <v>13</v>
      </c>
      <c r="E1218" s="5">
        <v>118.3366</v>
      </c>
      <c r="F1218" s="5">
        <v>117.45310000000001</v>
      </c>
      <c r="G1218" s="5">
        <v>117.8683</v>
      </c>
      <c r="H1218" s="4">
        <v>0</v>
      </c>
      <c r="I1218" s="6">
        <v>1515826</v>
      </c>
      <c r="J1218" s="7">
        <v>52.92</v>
      </c>
      <c r="K1218" s="9">
        <f>(PricingDataTable[[#This Row],[Current Price ($)]]-PricingDataTable[[#This Row],[Prior Price ($)]])/PricingDataTable[[#This Row],[Prior Price ($)]]</f>
        <v>-7.4659910796828531E-3</v>
      </c>
      <c r="L1218" s="9">
        <f>(PricingDataTable[[#This Row],[Vendor Price ($)]]-PricingDataTable[[#This Row],[Current Price ($)]])/PricingDataTable[[#This Row],[Current Price ($)]]</f>
        <v>3.5350280239516765E-3</v>
      </c>
      <c r="M1218" t="str">
        <f t="shared" ref="M1218:M1281" si="38">IF(OR(F1218="",F1218=0),"MISSING",IF(H1218&gt;=3,"STALE",IF(ABS(K1218)&gt;=5%,"LARGE MOVE",IF(ABS(L1218)&gt;=2%,"VENDOR DIFFERENCE","PASS"))))</f>
        <v>PASS</v>
      </c>
      <c r="N1218" s="10" t="str">
        <f t="shared" ref="N1218:N1281" si="39">IF(M1218="PASS","NONE",IF(M1218="MISSING","HIGH",IF(OR(ABS(K1218)&gt;=10%,ABS(L1218)&gt;=5%),"HIGH",IF(OR(ABS(K1218)&gt;=7%,ABS(L1218)&gt;=3%,H1218&gt;=5),"MEDIUM","LOW"))))</f>
        <v>NONE</v>
      </c>
    </row>
    <row r="1219" spans="1:14">
      <c r="A1219" s="4" t="s">
        <v>2454</v>
      </c>
      <c r="B1219" s="4" t="s">
        <v>2455</v>
      </c>
      <c r="C1219" s="4" t="s">
        <v>35</v>
      </c>
      <c r="D1219" s="4" t="s">
        <v>13</v>
      </c>
      <c r="E1219" s="5">
        <v>167.31720000000001</v>
      </c>
      <c r="F1219" s="5">
        <v>167.78190000000001</v>
      </c>
      <c r="G1219" s="5">
        <v>167.68450000000001</v>
      </c>
      <c r="H1219" s="4">
        <v>0</v>
      </c>
      <c r="I1219" s="6">
        <v>4512539</v>
      </c>
      <c r="J1219" s="7">
        <v>677.49</v>
      </c>
      <c r="K1219" s="9">
        <f>(PricingDataTable[[#This Row],[Current Price ($)]]-PricingDataTable[[#This Row],[Prior Price ($)]])/PricingDataTable[[#This Row],[Prior Price ($)]]</f>
        <v>2.7773594107479292E-3</v>
      </c>
      <c r="L1219" s="9">
        <f>(PricingDataTable[[#This Row],[Vendor Price ($)]]-PricingDataTable[[#This Row],[Current Price ($)]])/PricingDataTable[[#This Row],[Current Price ($)]]</f>
        <v>-5.8051553832679968E-4</v>
      </c>
      <c r="M1219" t="str">
        <f t="shared" si="38"/>
        <v>PASS</v>
      </c>
      <c r="N1219" s="10" t="str">
        <f t="shared" si="39"/>
        <v>NONE</v>
      </c>
    </row>
    <row r="1220" spans="1:14">
      <c r="A1220" s="4" t="s">
        <v>2456</v>
      </c>
      <c r="B1220" s="4" t="s">
        <v>2457</v>
      </c>
      <c r="C1220" s="4" t="s">
        <v>19</v>
      </c>
      <c r="D1220" s="4" t="s">
        <v>13</v>
      </c>
      <c r="E1220" s="5">
        <v>148.49</v>
      </c>
      <c r="F1220" s="5">
        <v>148.2567</v>
      </c>
      <c r="G1220" s="5">
        <v>148.03360000000001</v>
      </c>
      <c r="H1220" s="4">
        <v>0</v>
      </c>
      <c r="I1220" s="6">
        <v>413314</v>
      </c>
      <c r="J1220" s="7">
        <v>22.49</v>
      </c>
      <c r="K1220" s="9">
        <f>(PricingDataTable[[#This Row],[Current Price ($)]]-PricingDataTable[[#This Row],[Prior Price ($)]])/PricingDataTable[[#This Row],[Prior Price ($)]]</f>
        <v>-1.5711495723618697E-3</v>
      </c>
      <c r="L1220" s="9">
        <f>(PricingDataTable[[#This Row],[Vendor Price ($)]]-PricingDataTable[[#This Row],[Current Price ($)]])/PricingDataTable[[#This Row],[Current Price ($)]]</f>
        <v>-1.5048223790222505E-3</v>
      </c>
      <c r="M1220" t="str">
        <f t="shared" si="38"/>
        <v>PASS</v>
      </c>
      <c r="N1220" s="10" t="str">
        <f t="shared" si="39"/>
        <v>NONE</v>
      </c>
    </row>
    <row r="1221" spans="1:14">
      <c r="A1221" s="4" t="s">
        <v>2458</v>
      </c>
      <c r="B1221" s="4" t="s">
        <v>2459</v>
      </c>
      <c r="C1221" s="4" t="s">
        <v>19</v>
      </c>
      <c r="D1221" s="4" t="s">
        <v>13</v>
      </c>
      <c r="E1221" s="5">
        <v>189.38069999999999</v>
      </c>
      <c r="F1221" s="5">
        <v>188.1318</v>
      </c>
      <c r="G1221" s="5">
        <v>187.96029999999999</v>
      </c>
      <c r="H1221" s="4">
        <v>0</v>
      </c>
      <c r="I1221" s="6">
        <v>4671377</v>
      </c>
      <c r="J1221" s="7">
        <v>552.13</v>
      </c>
      <c r="K1221" s="9">
        <f>(PricingDataTable[[#This Row],[Current Price ($)]]-PricingDataTable[[#This Row],[Prior Price ($)]])/PricingDataTable[[#This Row],[Prior Price ($)]]</f>
        <v>-6.5946529926227543E-3</v>
      </c>
      <c r="L1221" s="9">
        <f>(PricingDataTable[[#This Row],[Vendor Price ($)]]-PricingDataTable[[#This Row],[Current Price ($)]])/PricingDataTable[[#This Row],[Current Price ($)]]</f>
        <v>-9.115949563019589E-4</v>
      </c>
      <c r="M1221" t="str">
        <f t="shared" si="38"/>
        <v>PASS</v>
      </c>
      <c r="N1221" s="10" t="str">
        <f t="shared" si="39"/>
        <v>NONE</v>
      </c>
    </row>
    <row r="1222" spans="1:14">
      <c r="A1222" s="4" t="s">
        <v>2460</v>
      </c>
      <c r="B1222" s="4" t="s">
        <v>2461</v>
      </c>
      <c r="C1222" s="4" t="s">
        <v>16</v>
      </c>
      <c r="D1222" s="4" t="s">
        <v>13</v>
      </c>
      <c r="E1222" s="5">
        <v>96.790199999999999</v>
      </c>
      <c r="F1222" s="5">
        <v>97.9221</v>
      </c>
      <c r="G1222" s="5">
        <v>98.385000000000005</v>
      </c>
      <c r="H1222" s="4">
        <v>2</v>
      </c>
      <c r="I1222" s="6">
        <v>4510027</v>
      </c>
      <c r="J1222" s="7">
        <v>803.24</v>
      </c>
      <c r="K1222" s="9">
        <f>(PricingDataTable[[#This Row],[Current Price ($)]]-PricingDataTable[[#This Row],[Prior Price ($)]])/PricingDataTable[[#This Row],[Prior Price ($)]]</f>
        <v>1.1694365751904653E-2</v>
      </c>
      <c r="L1222" s="9">
        <f>(PricingDataTable[[#This Row],[Vendor Price ($)]]-PricingDataTable[[#This Row],[Current Price ($)]])/PricingDataTable[[#This Row],[Current Price ($)]]</f>
        <v>4.7272270508905015E-3</v>
      </c>
      <c r="M1222" t="str">
        <f t="shared" si="38"/>
        <v>PASS</v>
      </c>
      <c r="N1222" s="10" t="str">
        <f t="shared" si="39"/>
        <v>NONE</v>
      </c>
    </row>
    <row r="1223" spans="1:14">
      <c r="A1223" s="4" t="s">
        <v>2462</v>
      </c>
      <c r="B1223" s="4" t="s">
        <v>2463</v>
      </c>
      <c r="C1223" s="4" t="s">
        <v>39</v>
      </c>
      <c r="D1223" s="4" t="s">
        <v>13</v>
      </c>
      <c r="E1223" s="5">
        <v>117.0748</v>
      </c>
      <c r="F1223" s="5">
        <v>117.5227</v>
      </c>
      <c r="G1223" s="5">
        <v>118.1271</v>
      </c>
      <c r="H1223" s="4">
        <v>0</v>
      </c>
      <c r="I1223" s="6">
        <v>3393659</v>
      </c>
      <c r="J1223" s="7">
        <v>788.32</v>
      </c>
      <c r="K1223" s="9">
        <f>(PricingDataTable[[#This Row],[Current Price ($)]]-PricingDataTable[[#This Row],[Prior Price ($)]])/PricingDataTable[[#This Row],[Prior Price ($)]]</f>
        <v>3.8257592581836929E-3</v>
      </c>
      <c r="L1223" s="9">
        <f>(PricingDataTable[[#This Row],[Vendor Price ($)]]-PricingDataTable[[#This Row],[Current Price ($)]])/PricingDataTable[[#This Row],[Current Price ($)]]</f>
        <v>5.142836235042237E-3</v>
      </c>
      <c r="M1223" t="str">
        <f t="shared" si="38"/>
        <v>PASS</v>
      </c>
      <c r="N1223" s="10" t="str">
        <f t="shared" si="39"/>
        <v>NONE</v>
      </c>
    </row>
    <row r="1224" spans="1:14">
      <c r="A1224" s="4" t="s">
        <v>2464</v>
      </c>
      <c r="B1224" s="4" t="s">
        <v>2465</v>
      </c>
      <c r="C1224" s="4" t="s">
        <v>39</v>
      </c>
      <c r="D1224" s="4" t="s">
        <v>13</v>
      </c>
      <c r="E1224" s="5">
        <v>106.90309999999999</v>
      </c>
      <c r="F1224" s="5">
        <v>0</v>
      </c>
      <c r="G1224" s="5">
        <v>108.6031</v>
      </c>
      <c r="H1224" s="4">
        <v>3</v>
      </c>
      <c r="I1224" s="6">
        <v>3570316</v>
      </c>
      <c r="J1224" s="7">
        <v>144.41</v>
      </c>
      <c r="K1224" s="9">
        <f>(PricingDataTable[[#This Row],[Current Price ($)]]-PricingDataTable[[#This Row],[Prior Price ($)]])/PricingDataTable[[#This Row],[Prior Price ($)]]</f>
        <v>-1</v>
      </c>
      <c r="L1224" s="9" t="e">
        <f>(PricingDataTable[[#This Row],[Vendor Price ($)]]-PricingDataTable[[#This Row],[Current Price ($)]])/PricingDataTable[[#This Row],[Current Price ($)]]</f>
        <v>#DIV/0!</v>
      </c>
      <c r="M1224" t="str">
        <f t="shared" si="38"/>
        <v>MISSING</v>
      </c>
      <c r="N1224" s="10" t="str">
        <f t="shared" si="39"/>
        <v>HIGH</v>
      </c>
    </row>
    <row r="1225" spans="1:14">
      <c r="A1225" s="4" t="s">
        <v>2466</v>
      </c>
      <c r="B1225" s="4" t="s">
        <v>2467</v>
      </c>
      <c r="C1225" s="4" t="s">
        <v>19</v>
      </c>
      <c r="D1225" s="4" t="s">
        <v>13</v>
      </c>
      <c r="E1225" s="5">
        <v>337.44139999999999</v>
      </c>
      <c r="F1225" s="5">
        <v>338.71809999999999</v>
      </c>
      <c r="G1225" s="5">
        <v>337.69260000000003</v>
      </c>
      <c r="H1225" s="4">
        <v>0</v>
      </c>
      <c r="I1225" s="6">
        <v>565824</v>
      </c>
      <c r="J1225" s="7">
        <v>351.25</v>
      </c>
      <c r="K1225" s="9">
        <f>(PricingDataTable[[#This Row],[Current Price ($)]]-PricingDataTable[[#This Row],[Prior Price ($)]])/PricingDataTable[[#This Row],[Prior Price ($)]]</f>
        <v>3.7834717376113462E-3</v>
      </c>
      <c r="L1225" s="9">
        <f>(PricingDataTable[[#This Row],[Vendor Price ($)]]-PricingDataTable[[#This Row],[Current Price ($)]])/PricingDataTable[[#This Row],[Current Price ($)]]</f>
        <v>-3.0275913805609014E-3</v>
      </c>
      <c r="M1225" t="str">
        <f t="shared" si="38"/>
        <v>PASS</v>
      </c>
      <c r="N1225" s="10" t="str">
        <f t="shared" si="39"/>
        <v>NONE</v>
      </c>
    </row>
    <row r="1226" spans="1:14">
      <c r="A1226" s="4" t="s">
        <v>2468</v>
      </c>
      <c r="B1226" s="4" t="s">
        <v>2469</v>
      </c>
      <c r="C1226" s="4" t="s">
        <v>19</v>
      </c>
      <c r="D1226" s="4" t="s">
        <v>13</v>
      </c>
      <c r="E1226" s="5">
        <v>42.1708</v>
      </c>
      <c r="F1226" s="5">
        <v>41.2271</v>
      </c>
      <c r="G1226" s="5">
        <v>41.4651</v>
      </c>
      <c r="H1226" s="4">
        <v>0</v>
      </c>
      <c r="I1226" s="6">
        <v>504053</v>
      </c>
      <c r="J1226" s="7">
        <v>5.71</v>
      </c>
      <c r="K1226" s="9">
        <f>(PricingDataTable[[#This Row],[Current Price ($)]]-PricingDataTable[[#This Row],[Prior Price ($)]])/PricingDataTable[[#This Row],[Prior Price ($)]]</f>
        <v>-2.2378043575175234E-2</v>
      </c>
      <c r="L1226" s="9">
        <f>(PricingDataTable[[#This Row],[Vendor Price ($)]]-PricingDataTable[[#This Row],[Current Price ($)]])/PricingDataTable[[#This Row],[Current Price ($)]]</f>
        <v>5.7729018048807588E-3</v>
      </c>
      <c r="M1226" t="str">
        <f t="shared" si="38"/>
        <v>PASS</v>
      </c>
      <c r="N1226" s="10" t="str">
        <f t="shared" si="39"/>
        <v>NONE</v>
      </c>
    </row>
    <row r="1227" spans="1:14">
      <c r="A1227" s="4" t="s">
        <v>2470</v>
      </c>
      <c r="B1227" s="4" t="s">
        <v>2471</v>
      </c>
      <c r="C1227" s="4" t="s">
        <v>19</v>
      </c>
      <c r="D1227" s="4" t="s">
        <v>13</v>
      </c>
      <c r="E1227" s="5">
        <v>343.83670000000001</v>
      </c>
      <c r="F1227" s="5">
        <v>339.0505</v>
      </c>
      <c r="G1227" s="5">
        <v>339.19049999999999</v>
      </c>
      <c r="H1227" s="4">
        <v>0</v>
      </c>
      <c r="I1227" s="6">
        <v>3007182</v>
      </c>
      <c r="J1227" s="7">
        <v>399.79</v>
      </c>
      <c r="K1227" s="9">
        <f>(PricingDataTable[[#This Row],[Current Price ($)]]-PricingDataTable[[#This Row],[Prior Price ($)]])/PricingDataTable[[#This Row],[Prior Price ($)]]</f>
        <v>-1.3919980037035045E-2</v>
      </c>
      <c r="L1227" s="9">
        <f>(PricingDataTable[[#This Row],[Vendor Price ($)]]-PricingDataTable[[#This Row],[Current Price ($)]])/PricingDataTable[[#This Row],[Current Price ($)]]</f>
        <v>4.1291783967281083E-4</v>
      </c>
      <c r="M1227" t="str">
        <f t="shared" si="38"/>
        <v>PASS</v>
      </c>
      <c r="N1227" s="10" t="str">
        <f t="shared" si="39"/>
        <v>NONE</v>
      </c>
    </row>
    <row r="1228" spans="1:14">
      <c r="A1228" s="4" t="s">
        <v>2472</v>
      </c>
      <c r="B1228" s="4" t="s">
        <v>2473</v>
      </c>
      <c r="C1228" s="4" t="s">
        <v>16</v>
      </c>
      <c r="D1228" s="4" t="s">
        <v>237</v>
      </c>
      <c r="E1228" s="5">
        <v>95.427400000000006</v>
      </c>
      <c r="F1228" s="5">
        <v>95.370999999999995</v>
      </c>
      <c r="G1228" s="5">
        <v>95.541700000000006</v>
      </c>
      <c r="H1228" s="4">
        <v>1</v>
      </c>
      <c r="I1228" s="6">
        <v>4436576</v>
      </c>
      <c r="J1228" s="7">
        <v>226.26</v>
      </c>
      <c r="K1228" s="9">
        <f>(PricingDataTable[[#This Row],[Current Price ($)]]-PricingDataTable[[#This Row],[Prior Price ($)]])/PricingDataTable[[#This Row],[Prior Price ($)]]</f>
        <v>-5.9102521917196379E-4</v>
      </c>
      <c r="L1228" s="9">
        <f>(PricingDataTable[[#This Row],[Vendor Price ($)]]-PricingDataTable[[#This Row],[Current Price ($)]])/PricingDataTable[[#This Row],[Current Price ($)]]</f>
        <v>1.7898522611696506E-3</v>
      </c>
      <c r="M1228" t="str">
        <f t="shared" si="38"/>
        <v>PASS</v>
      </c>
      <c r="N1228" s="10" t="str">
        <f t="shared" si="39"/>
        <v>NONE</v>
      </c>
    </row>
    <row r="1229" spans="1:14">
      <c r="A1229" s="4" t="s">
        <v>2474</v>
      </c>
      <c r="B1229" s="4" t="s">
        <v>2475</v>
      </c>
      <c r="C1229" s="4" t="s">
        <v>19</v>
      </c>
      <c r="D1229" s="4" t="s">
        <v>13</v>
      </c>
      <c r="E1229" s="5">
        <v>246.18049999999999</v>
      </c>
      <c r="F1229" s="5">
        <v>245.41900000000001</v>
      </c>
      <c r="G1229" s="5">
        <v>243.95400000000001</v>
      </c>
      <c r="H1229" s="4">
        <v>0</v>
      </c>
      <c r="I1229" s="6">
        <v>2221691</v>
      </c>
      <c r="J1229" s="7">
        <v>853.2</v>
      </c>
      <c r="K1229" s="9">
        <f>(PricingDataTable[[#This Row],[Current Price ($)]]-PricingDataTable[[#This Row],[Prior Price ($)]])/PricingDataTable[[#This Row],[Prior Price ($)]]</f>
        <v>-3.0932588080696231E-3</v>
      </c>
      <c r="L1229" s="9">
        <f>(PricingDataTable[[#This Row],[Vendor Price ($)]]-PricingDataTable[[#This Row],[Current Price ($)]])/PricingDataTable[[#This Row],[Current Price ($)]]</f>
        <v>-5.969382973608414E-3</v>
      </c>
      <c r="M1229" t="str">
        <f t="shared" si="38"/>
        <v>PASS</v>
      </c>
      <c r="N1229" s="10" t="str">
        <f t="shared" si="39"/>
        <v>NONE</v>
      </c>
    </row>
    <row r="1230" spans="1:14">
      <c r="A1230" s="4" t="s">
        <v>2476</v>
      </c>
      <c r="B1230" s="4" t="s">
        <v>2477</v>
      </c>
      <c r="C1230" s="4" t="s">
        <v>19</v>
      </c>
      <c r="D1230" s="4" t="s">
        <v>13</v>
      </c>
      <c r="E1230" s="5">
        <v>245.59289999999999</v>
      </c>
      <c r="F1230" s="5">
        <v>245.8783</v>
      </c>
      <c r="G1230" s="5">
        <v>246.5275</v>
      </c>
      <c r="H1230" s="4">
        <v>4</v>
      </c>
      <c r="I1230" s="6">
        <v>3601703</v>
      </c>
      <c r="J1230" s="7">
        <v>229.17</v>
      </c>
      <c r="K1230" s="9">
        <f>(PricingDataTable[[#This Row],[Current Price ($)]]-PricingDataTable[[#This Row],[Prior Price ($)]])/PricingDataTable[[#This Row],[Prior Price ($)]]</f>
        <v>1.1620857117612515E-3</v>
      </c>
      <c r="L1230" s="9">
        <f>(PricingDataTable[[#This Row],[Vendor Price ($)]]-PricingDataTable[[#This Row],[Current Price ($)]])/PricingDataTable[[#This Row],[Current Price ($)]]</f>
        <v>2.6403306025786235E-3</v>
      </c>
      <c r="M1230" t="str">
        <f t="shared" si="38"/>
        <v>STALE</v>
      </c>
      <c r="N1230" s="10" t="str">
        <f t="shared" si="39"/>
        <v>LOW</v>
      </c>
    </row>
    <row r="1231" spans="1:14">
      <c r="A1231" s="4" t="s">
        <v>2478</v>
      </c>
      <c r="B1231" s="4" t="s">
        <v>2479</v>
      </c>
      <c r="C1231" s="4" t="s">
        <v>19</v>
      </c>
      <c r="D1231" s="4" t="s">
        <v>13</v>
      </c>
      <c r="E1231" s="5">
        <v>261.00049999999999</v>
      </c>
      <c r="F1231" s="5">
        <v>265.14060000000001</v>
      </c>
      <c r="G1231" s="5">
        <v>264.01909999999998</v>
      </c>
      <c r="H1231" s="4">
        <v>0</v>
      </c>
      <c r="I1231" s="6">
        <v>2395662</v>
      </c>
      <c r="J1231" s="7">
        <v>692.82</v>
      </c>
      <c r="K1231" s="9">
        <f>(PricingDataTable[[#This Row],[Current Price ($)]]-PricingDataTable[[#This Row],[Prior Price ($)]])/PricingDataTable[[#This Row],[Prior Price ($)]]</f>
        <v>1.5862421719498691E-2</v>
      </c>
      <c r="L1231" s="9">
        <f>(PricingDataTable[[#This Row],[Vendor Price ($)]]-PricingDataTable[[#This Row],[Current Price ($)]])/PricingDataTable[[#This Row],[Current Price ($)]]</f>
        <v>-4.2298312668826495E-3</v>
      </c>
      <c r="M1231" t="str">
        <f t="shared" si="38"/>
        <v>PASS</v>
      </c>
      <c r="N1231" s="10" t="str">
        <f t="shared" si="39"/>
        <v>NONE</v>
      </c>
    </row>
    <row r="1232" spans="1:14">
      <c r="A1232" s="4" t="s">
        <v>2480</v>
      </c>
      <c r="B1232" s="4" t="s">
        <v>2481</v>
      </c>
      <c r="C1232" s="4" t="s">
        <v>12</v>
      </c>
      <c r="D1232" s="4" t="s">
        <v>13</v>
      </c>
      <c r="E1232" s="5">
        <v>115.7799</v>
      </c>
      <c r="F1232" s="5">
        <v>117.0652</v>
      </c>
      <c r="G1232" s="5">
        <v>117.25700000000001</v>
      </c>
      <c r="H1232" s="4">
        <v>0</v>
      </c>
      <c r="I1232" s="6">
        <v>1396509</v>
      </c>
      <c r="J1232" s="7">
        <v>440.46</v>
      </c>
      <c r="K1232" s="9">
        <f>(PricingDataTable[[#This Row],[Current Price ($)]]-PricingDataTable[[#This Row],[Prior Price ($)]])/PricingDataTable[[#This Row],[Prior Price ($)]]</f>
        <v>1.11012360521991E-2</v>
      </c>
      <c r="L1232" s="9">
        <f>(PricingDataTable[[#This Row],[Vendor Price ($)]]-PricingDataTable[[#This Row],[Current Price ($)]])/PricingDataTable[[#This Row],[Current Price ($)]]</f>
        <v>1.6384032146188672E-3</v>
      </c>
      <c r="M1232" t="str">
        <f t="shared" si="38"/>
        <v>PASS</v>
      </c>
      <c r="N1232" s="10" t="str">
        <f t="shared" si="39"/>
        <v>NONE</v>
      </c>
    </row>
    <row r="1233" spans="1:14">
      <c r="A1233" s="4" t="s">
        <v>2482</v>
      </c>
      <c r="B1233" s="4" t="s">
        <v>2483</v>
      </c>
      <c r="C1233" s="4" t="s">
        <v>39</v>
      </c>
      <c r="D1233" s="4" t="s">
        <v>13</v>
      </c>
      <c r="E1233" s="5">
        <v>137.79140000000001</v>
      </c>
      <c r="F1233" s="5">
        <v>138.10210000000001</v>
      </c>
      <c r="G1233" s="5">
        <v>138.2431</v>
      </c>
      <c r="H1233" s="4">
        <v>0</v>
      </c>
      <c r="I1233" s="6">
        <v>3247599</v>
      </c>
      <c r="J1233" s="7">
        <v>866.09</v>
      </c>
      <c r="K1233" s="9">
        <f>(PricingDataTable[[#This Row],[Current Price ($)]]-PricingDataTable[[#This Row],[Prior Price ($)]])/PricingDataTable[[#This Row],[Prior Price ($)]]</f>
        <v>2.2548577051978358E-3</v>
      </c>
      <c r="L1233" s="9">
        <f>(PricingDataTable[[#This Row],[Vendor Price ($)]]-PricingDataTable[[#This Row],[Current Price ($)]])/PricingDataTable[[#This Row],[Current Price ($)]]</f>
        <v>1.0209837504280611E-3</v>
      </c>
      <c r="M1233" t="str">
        <f t="shared" si="38"/>
        <v>PASS</v>
      </c>
      <c r="N1233" s="10" t="str">
        <f t="shared" si="39"/>
        <v>NONE</v>
      </c>
    </row>
    <row r="1234" spans="1:14">
      <c r="A1234" s="4" t="s">
        <v>2484</v>
      </c>
      <c r="B1234" s="4" t="s">
        <v>2485</v>
      </c>
      <c r="C1234" s="4" t="s">
        <v>19</v>
      </c>
      <c r="D1234" s="4" t="s">
        <v>13</v>
      </c>
      <c r="E1234" s="5">
        <v>19.354399999999998</v>
      </c>
      <c r="F1234" s="5">
        <v>19.0351</v>
      </c>
      <c r="G1234" s="5">
        <v>18.971</v>
      </c>
      <c r="H1234" s="4">
        <v>0</v>
      </c>
      <c r="I1234" s="6">
        <v>1925659</v>
      </c>
      <c r="J1234" s="7">
        <v>298.06</v>
      </c>
      <c r="K1234" s="9">
        <f>(PricingDataTable[[#This Row],[Current Price ($)]]-PricingDataTable[[#This Row],[Prior Price ($)]])/PricingDataTable[[#This Row],[Prior Price ($)]]</f>
        <v>-1.649754061092043E-2</v>
      </c>
      <c r="L1234" s="9">
        <f>(PricingDataTable[[#This Row],[Vendor Price ($)]]-PricingDataTable[[#This Row],[Current Price ($)]])/PricingDataTable[[#This Row],[Current Price ($)]]</f>
        <v>-3.3674632652310639E-3</v>
      </c>
      <c r="M1234" t="str">
        <f t="shared" si="38"/>
        <v>PASS</v>
      </c>
      <c r="N1234" s="10" t="str">
        <f t="shared" si="39"/>
        <v>NONE</v>
      </c>
    </row>
    <row r="1235" spans="1:14">
      <c r="A1235" s="4" t="s">
        <v>2486</v>
      </c>
      <c r="B1235" s="4" t="s">
        <v>2487</v>
      </c>
      <c r="C1235" s="4" t="s">
        <v>19</v>
      </c>
      <c r="D1235" s="4" t="s">
        <v>64</v>
      </c>
      <c r="E1235" s="5">
        <v>303.22219999999999</v>
      </c>
      <c r="F1235" s="5">
        <v>304.62939999999998</v>
      </c>
      <c r="G1235" s="5">
        <v>303.17090000000002</v>
      </c>
      <c r="H1235" s="4">
        <v>0</v>
      </c>
      <c r="I1235" s="6">
        <v>562708</v>
      </c>
      <c r="J1235" s="7">
        <v>758.34</v>
      </c>
      <c r="K1235" s="9">
        <f>(PricingDataTable[[#This Row],[Current Price ($)]]-PricingDataTable[[#This Row],[Prior Price ($)]])/PricingDataTable[[#This Row],[Prior Price ($)]]</f>
        <v>4.6408211535962371E-3</v>
      </c>
      <c r="L1235" s="9">
        <f>(PricingDataTable[[#This Row],[Vendor Price ($)]]-PricingDataTable[[#This Row],[Current Price ($)]])/PricingDataTable[[#This Row],[Current Price ($)]]</f>
        <v>-4.787784764044305E-3</v>
      </c>
      <c r="M1235" t="str">
        <f t="shared" si="38"/>
        <v>PASS</v>
      </c>
      <c r="N1235" s="10" t="str">
        <f t="shared" si="39"/>
        <v>NONE</v>
      </c>
    </row>
    <row r="1236" spans="1:14">
      <c r="A1236" s="4" t="s">
        <v>2488</v>
      </c>
      <c r="B1236" s="4" t="s">
        <v>2489</v>
      </c>
      <c r="C1236" s="4" t="s">
        <v>19</v>
      </c>
      <c r="D1236" s="4" t="s">
        <v>13</v>
      </c>
      <c r="E1236" s="5">
        <v>237.1489</v>
      </c>
      <c r="F1236" s="5">
        <v>235.74100000000001</v>
      </c>
      <c r="G1236" s="5">
        <v>236.16679999999999</v>
      </c>
      <c r="H1236" s="4">
        <v>1</v>
      </c>
      <c r="I1236" s="6">
        <v>3986523</v>
      </c>
      <c r="J1236" s="7">
        <v>542.57000000000005</v>
      </c>
      <c r="K1236" s="9">
        <f>(PricingDataTable[[#This Row],[Current Price ($)]]-PricingDataTable[[#This Row],[Prior Price ($)]])/PricingDataTable[[#This Row],[Prior Price ($)]]</f>
        <v>-5.9367764303354716E-3</v>
      </c>
      <c r="L1236" s="9">
        <f>(PricingDataTable[[#This Row],[Vendor Price ($)]]-PricingDataTable[[#This Row],[Current Price ($)]])/PricingDataTable[[#This Row],[Current Price ($)]]</f>
        <v>1.8062195375432406E-3</v>
      </c>
      <c r="M1236" t="str">
        <f t="shared" si="38"/>
        <v>PASS</v>
      </c>
      <c r="N1236" s="10" t="str">
        <f t="shared" si="39"/>
        <v>NONE</v>
      </c>
    </row>
    <row r="1237" spans="1:14">
      <c r="A1237" s="4" t="s">
        <v>2490</v>
      </c>
      <c r="B1237" s="4" t="s">
        <v>2491</v>
      </c>
      <c r="C1237" s="4" t="s">
        <v>12</v>
      </c>
      <c r="D1237" s="4" t="s">
        <v>13</v>
      </c>
      <c r="E1237" s="5">
        <v>75.778499999999994</v>
      </c>
      <c r="F1237" s="5">
        <v>75.183099999999996</v>
      </c>
      <c r="G1237" s="5">
        <v>74.834500000000006</v>
      </c>
      <c r="H1237" s="4">
        <v>0</v>
      </c>
      <c r="I1237" s="6">
        <v>3830343</v>
      </c>
      <c r="J1237" s="7">
        <v>864.32</v>
      </c>
      <c r="K1237" s="9">
        <f>(PricingDataTable[[#This Row],[Current Price ($)]]-PricingDataTable[[#This Row],[Prior Price ($)]])/PricingDataTable[[#This Row],[Prior Price ($)]]</f>
        <v>-7.8571098662549143E-3</v>
      </c>
      <c r="L1237" s="9">
        <f>(PricingDataTable[[#This Row],[Vendor Price ($)]]-PricingDataTable[[#This Row],[Current Price ($)]])/PricingDataTable[[#This Row],[Current Price ($)]]</f>
        <v>-4.6366803177840567E-3</v>
      </c>
      <c r="M1237" t="str">
        <f t="shared" si="38"/>
        <v>PASS</v>
      </c>
      <c r="N1237" s="10" t="str">
        <f t="shared" si="39"/>
        <v>NONE</v>
      </c>
    </row>
    <row r="1238" spans="1:14">
      <c r="A1238" s="4" t="s">
        <v>2492</v>
      </c>
      <c r="B1238" s="4" t="s">
        <v>2493</v>
      </c>
      <c r="C1238" s="4" t="s">
        <v>39</v>
      </c>
      <c r="D1238" s="4" t="s">
        <v>32</v>
      </c>
      <c r="E1238" s="5">
        <v>282.93560000000002</v>
      </c>
      <c r="F1238" s="5">
        <v>279.68079999999998</v>
      </c>
      <c r="G1238" s="5">
        <v>279.3152</v>
      </c>
      <c r="H1238" s="4">
        <v>0</v>
      </c>
      <c r="I1238" s="6">
        <v>512041</v>
      </c>
      <c r="J1238" s="7">
        <v>275.61</v>
      </c>
      <c r="K1238" s="9">
        <f>(PricingDataTable[[#This Row],[Current Price ($)]]-PricingDataTable[[#This Row],[Prior Price ($)]])/PricingDataTable[[#This Row],[Prior Price ($)]]</f>
        <v>-1.1503677868744851E-2</v>
      </c>
      <c r="L1238" s="9">
        <f>(PricingDataTable[[#This Row],[Vendor Price ($)]]-PricingDataTable[[#This Row],[Current Price ($)]])/PricingDataTable[[#This Row],[Current Price ($)]]</f>
        <v>-1.3072044988428674E-3</v>
      </c>
      <c r="M1238" t="str">
        <f t="shared" si="38"/>
        <v>PASS</v>
      </c>
      <c r="N1238" s="10" t="str">
        <f t="shared" si="39"/>
        <v>NONE</v>
      </c>
    </row>
    <row r="1239" spans="1:14">
      <c r="A1239" s="4" t="s">
        <v>2494</v>
      </c>
      <c r="B1239" s="4" t="s">
        <v>2495</v>
      </c>
      <c r="C1239" s="4" t="s">
        <v>12</v>
      </c>
      <c r="D1239" s="4" t="s">
        <v>13</v>
      </c>
      <c r="E1239" s="5">
        <v>98.967100000000002</v>
      </c>
      <c r="F1239" s="5">
        <v>98.770200000000003</v>
      </c>
      <c r="G1239" s="5">
        <v>99.090199999999996</v>
      </c>
      <c r="H1239" s="4">
        <v>0</v>
      </c>
      <c r="I1239" s="6">
        <v>4534598</v>
      </c>
      <c r="J1239" s="7">
        <v>672.98</v>
      </c>
      <c r="K1239" s="9">
        <f>(PricingDataTable[[#This Row],[Current Price ($)]]-PricingDataTable[[#This Row],[Prior Price ($)]])/PricingDataTable[[#This Row],[Prior Price ($)]]</f>
        <v>-1.9895500625965539E-3</v>
      </c>
      <c r="L1239" s="9">
        <f>(PricingDataTable[[#This Row],[Vendor Price ($)]]-PricingDataTable[[#This Row],[Current Price ($)]])/PricingDataTable[[#This Row],[Current Price ($)]]</f>
        <v>3.2398435965503075E-3</v>
      </c>
      <c r="M1239" t="str">
        <f t="shared" si="38"/>
        <v>PASS</v>
      </c>
      <c r="N1239" s="10" t="str">
        <f t="shared" si="39"/>
        <v>NONE</v>
      </c>
    </row>
    <row r="1240" spans="1:14">
      <c r="A1240" s="4" t="s">
        <v>2496</v>
      </c>
      <c r="B1240" s="4" t="s">
        <v>2497</v>
      </c>
      <c r="C1240" s="4" t="s">
        <v>19</v>
      </c>
      <c r="D1240" s="4" t="s">
        <v>13</v>
      </c>
      <c r="E1240" s="5">
        <v>77.677400000000006</v>
      </c>
      <c r="F1240" s="5">
        <v>77.051500000000004</v>
      </c>
      <c r="G1240" s="5">
        <v>76.993700000000004</v>
      </c>
      <c r="H1240" s="4">
        <v>0</v>
      </c>
      <c r="I1240" s="6">
        <v>946644</v>
      </c>
      <c r="J1240" s="7">
        <v>886.8</v>
      </c>
      <c r="K1240" s="9">
        <f>(PricingDataTable[[#This Row],[Current Price ($)]]-PricingDataTable[[#This Row],[Prior Price ($)]])/PricingDataTable[[#This Row],[Prior Price ($)]]</f>
        <v>-8.0576847319812628E-3</v>
      </c>
      <c r="L1240" s="9">
        <f>(PricingDataTable[[#This Row],[Vendor Price ($)]]-PricingDataTable[[#This Row],[Current Price ($)]])/PricingDataTable[[#This Row],[Current Price ($)]]</f>
        <v>-7.5014762853416596E-4</v>
      </c>
      <c r="M1240" t="str">
        <f t="shared" si="38"/>
        <v>PASS</v>
      </c>
      <c r="N1240" s="10" t="str">
        <f t="shared" si="39"/>
        <v>NONE</v>
      </c>
    </row>
    <row r="1241" spans="1:14">
      <c r="A1241" s="4" t="s">
        <v>2498</v>
      </c>
      <c r="B1241" s="4" t="s">
        <v>2499</v>
      </c>
      <c r="C1241" s="4" t="s">
        <v>16</v>
      </c>
      <c r="D1241" s="4" t="s">
        <v>13</v>
      </c>
      <c r="E1241" s="5">
        <v>115.8456</v>
      </c>
      <c r="F1241" s="5">
        <v>117.53189999999999</v>
      </c>
      <c r="G1241" s="5">
        <v>117.37390000000001</v>
      </c>
      <c r="H1241" s="4">
        <v>0</v>
      </c>
      <c r="I1241" s="6">
        <v>1780149</v>
      </c>
      <c r="J1241" s="7">
        <v>151.16999999999999</v>
      </c>
      <c r="K1241" s="9">
        <f>(PricingDataTable[[#This Row],[Current Price ($)]]-PricingDataTable[[#This Row],[Prior Price ($)]])/PricingDataTable[[#This Row],[Prior Price ($)]]</f>
        <v>1.4556444094553341E-2</v>
      </c>
      <c r="L1241" s="9">
        <f>(PricingDataTable[[#This Row],[Vendor Price ($)]]-PricingDataTable[[#This Row],[Current Price ($)]])/PricingDataTable[[#This Row],[Current Price ($)]]</f>
        <v>-1.3443158836025542E-3</v>
      </c>
      <c r="M1241" t="str">
        <f t="shared" si="38"/>
        <v>PASS</v>
      </c>
      <c r="N1241" s="10" t="str">
        <f t="shared" si="39"/>
        <v>NONE</v>
      </c>
    </row>
    <row r="1242" spans="1:14">
      <c r="A1242" s="4" t="s">
        <v>2500</v>
      </c>
      <c r="B1242" s="4" t="s">
        <v>2501</v>
      </c>
      <c r="C1242" s="4" t="s">
        <v>39</v>
      </c>
      <c r="D1242" s="4" t="s">
        <v>13</v>
      </c>
      <c r="E1242" s="5">
        <v>86.666600000000003</v>
      </c>
      <c r="F1242" s="5">
        <v>86.811000000000007</v>
      </c>
      <c r="G1242" s="5">
        <v>86.780699999999996</v>
      </c>
      <c r="H1242" s="4">
        <v>0</v>
      </c>
      <c r="I1242" s="6">
        <v>4261768</v>
      </c>
      <c r="J1242" s="7">
        <v>757.18</v>
      </c>
      <c r="K1242" s="9">
        <f>(PricingDataTable[[#This Row],[Current Price ($)]]-PricingDataTable[[#This Row],[Prior Price ($)]])/PricingDataTable[[#This Row],[Prior Price ($)]]</f>
        <v>1.6661551278116889E-3</v>
      </c>
      <c r="L1242" s="9">
        <f>(PricingDataTable[[#This Row],[Vendor Price ($)]]-PricingDataTable[[#This Row],[Current Price ($)]])/PricingDataTable[[#This Row],[Current Price ($)]]</f>
        <v>-3.4903410858083759E-4</v>
      </c>
      <c r="M1242" t="str">
        <f t="shared" si="38"/>
        <v>PASS</v>
      </c>
      <c r="N1242" s="10" t="str">
        <f t="shared" si="39"/>
        <v>NONE</v>
      </c>
    </row>
    <row r="1243" spans="1:14">
      <c r="A1243" s="4" t="s">
        <v>2502</v>
      </c>
      <c r="B1243" s="4" t="s">
        <v>2503</v>
      </c>
      <c r="C1243" s="4" t="s">
        <v>35</v>
      </c>
      <c r="D1243" s="4" t="s">
        <v>13</v>
      </c>
      <c r="E1243" s="5">
        <v>129.24610000000001</v>
      </c>
      <c r="F1243" s="5">
        <v>130.65600000000001</v>
      </c>
      <c r="G1243" s="5">
        <v>130.99789999999999</v>
      </c>
      <c r="H1243" s="4">
        <v>0</v>
      </c>
      <c r="I1243" s="6">
        <v>1974267</v>
      </c>
      <c r="J1243" s="7">
        <v>807.99</v>
      </c>
      <c r="K1243" s="9">
        <f>(PricingDataTable[[#This Row],[Current Price ($)]]-PricingDataTable[[#This Row],[Prior Price ($)]])/PricingDataTable[[#This Row],[Prior Price ($)]]</f>
        <v>1.0908646373081997E-2</v>
      </c>
      <c r="L1243" s="9">
        <f>(PricingDataTable[[#This Row],[Vendor Price ($)]]-PricingDataTable[[#This Row],[Current Price ($)]])/PricingDataTable[[#This Row],[Current Price ($)]]</f>
        <v>2.6167952485915778E-3</v>
      </c>
      <c r="M1243" t="str">
        <f t="shared" si="38"/>
        <v>PASS</v>
      </c>
      <c r="N1243" s="10" t="str">
        <f t="shared" si="39"/>
        <v>NONE</v>
      </c>
    </row>
    <row r="1244" spans="1:14">
      <c r="A1244" s="4" t="s">
        <v>2504</v>
      </c>
      <c r="B1244" s="4" t="s">
        <v>2505</v>
      </c>
      <c r="C1244" s="4" t="s">
        <v>12</v>
      </c>
      <c r="D1244" s="4" t="s">
        <v>13</v>
      </c>
      <c r="E1244" s="5">
        <v>79.252600000000001</v>
      </c>
      <c r="F1244" s="5">
        <v>78.956999999999994</v>
      </c>
      <c r="G1244" s="5">
        <v>78.952200000000005</v>
      </c>
      <c r="H1244" s="4">
        <v>1</v>
      </c>
      <c r="I1244" s="6">
        <v>1636672</v>
      </c>
      <c r="J1244" s="7">
        <v>283.51</v>
      </c>
      <c r="K1244" s="9">
        <f>(PricingDataTable[[#This Row],[Current Price ($)]]-PricingDataTable[[#This Row],[Prior Price ($)]])/PricingDataTable[[#This Row],[Prior Price ($)]]</f>
        <v>-3.7298460870685305E-3</v>
      </c>
      <c r="L1244" s="9">
        <f>(PricingDataTable[[#This Row],[Vendor Price ($)]]-PricingDataTable[[#This Row],[Current Price ($)]])/PricingDataTable[[#This Row],[Current Price ($)]]</f>
        <v>-6.079258330469513E-5</v>
      </c>
      <c r="M1244" t="str">
        <f t="shared" si="38"/>
        <v>PASS</v>
      </c>
      <c r="N1244" s="10" t="str">
        <f t="shared" si="39"/>
        <v>NONE</v>
      </c>
    </row>
    <row r="1245" spans="1:14">
      <c r="A1245" s="4" t="s">
        <v>2506</v>
      </c>
      <c r="B1245" s="4" t="s">
        <v>2507</v>
      </c>
      <c r="C1245" s="4" t="s">
        <v>19</v>
      </c>
      <c r="D1245" s="4" t="s">
        <v>13</v>
      </c>
      <c r="E1245" s="5">
        <v>41.399099999999997</v>
      </c>
      <c r="F1245" s="5">
        <v>42.206600000000002</v>
      </c>
      <c r="G1245" s="5"/>
      <c r="H1245" s="4">
        <v>1</v>
      </c>
      <c r="I1245" s="6">
        <v>2340982</v>
      </c>
      <c r="J1245" s="7">
        <v>849.12</v>
      </c>
      <c r="K1245" s="9">
        <f>(PricingDataTable[[#This Row],[Current Price ($)]]-PricingDataTable[[#This Row],[Prior Price ($)]])/PricingDataTable[[#This Row],[Prior Price ($)]]</f>
        <v>1.9505254945155925E-2</v>
      </c>
      <c r="L1245" s="9">
        <f>(PricingDataTable[[#This Row],[Vendor Price ($)]]-PricingDataTable[[#This Row],[Current Price ($)]])/PricingDataTable[[#This Row],[Current Price ($)]]</f>
        <v>-1</v>
      </c>
      <c r="M1245" t="str">
        <f t="shared" si="38"/>
        <v>VENDOR DIFFERENCE</v>
      </c>
      <c r="N1245" s="10" t="str">
        <f t="shared" si="39"/>
        <v>HIGH</v>
      </c>
    </row>
    <row r="1246" spans="1:14">
      <c r="A1246" s="4" t="s">
        <v>2508</v>
      </c>
      <c r="B1246" s="4" t="s">
        <v>2509</v>
      </c>
      <c r="C1246" s="4" t="s">
        <v>16</v>
      </c>
      <c r="D1246" s="4" t="s">
        <v>64</v>
      </c>
      <c r="E1246" s="5">
        <v>91.570400000000006</v>
      </c>
      <c r="F1246" s="5">
        <v>91.846999999999994</v>
      </c>
      <c r="G1246" s="5">
        <v>91.798599999999993</v>
      </c>
      <c r="H1246" s="4">
        <v>0</v>
      </c>
      <c r="I1246" s="6">
        <v>3297617</v>
      </c>
      <c r="J1246" s="7">
        <v>824.54</v>
      </c>
      <c r="K1246" s="9">
        <f>(PricingDataTable[[#This Row],[Current Price ($)]]-PricingDataTable[[#This Row],[Prior Price ($)]])/PricingDataTable[[#This Row],[Prior Price ($)]]</f>
        <v>3.0206267527496627E-3</v>
      </c>
      <c r="L1246" s="9">
        <f>(PricingDataTable[[#This Row],[Vendor Price ($)]]-PricingDataTable[[#This Row],[Current Price ($)]])/PricingDataTable[[#This Row],[Current Price ($)]]</f>
        <v>-5.2696331943341524E-4</v>
      </c>
      <c r="M1246" t="str">
        <f t="shared" si="38"/>
        <v>PASS</v>
      </c>
      <c r="N1246" s="10" t="str">
        <f t="shared" si="39"/>
        <v>NONE</v>
      </c>
    </row>
    <row r="1247" spans="1:14">
      <c r="A1247" s="4" t="s">
        <v>2510</v>
      </c>
      <c r="B1247" s="4" t="s">
        <v>2511</v>
      </c>
      <c r="C1247" s="4" t="s">
        <v>12</v>
      </c>
      <c r="D1247" s="4" t="s">
        <v>13</v>
      </c>
      <c r="E1247" s="5">
        <v>119.59050000000001</v>
      </c>
      <c r="F1247" s="5">
        <v>140.5317</v>
      </c>
      <c r="G1247" s="5">
        <v>140.09399999999999</v>
      </c>
      <c r="H1247" s="4">
        <v>0</v>
      </c>
      <c r="I1247" s="6">
        <v>3938895</v>
      </c>
      <c r="J1247" s="7">
        <v>37.950000000000003</v>
      </c>
      <c r="K1247" s="9">
        <f>(PricingDataTable[[#This Row],[Current Price ($)]]-PricingDataTable[[#This Row],[Prior Price ($)]])/PricingDataTable[[#This Row],[Prior Price ($)]]</f>
        <v>0.17510755452983301</v>
      </c>
      <c r="L1247" s="9">
        <f>(PricingDataTable[[#This Row],[Vendor Price ($)]]-PricingDataTable[[#This Row],[Current Price ($)]])/PricingDataTable[[#This Row],[Current Price ($)]]</f>
        <v>-3.1145997664584336E-3</v>
      </c>
      <c r="M1247" t="str">
        <f t="shared" si="38"/>
        <v>LARGE MOVE</v>
      </c>
      <c r="N1247" s="10" t="str">
        <f t="shared" si="39"/>
        <v>HIGH</v>
      </c>
    </row>
    <row r="1248" spans="1:14">
      <c r="A1248" s="4" t="s">
        <v>2512</v>
      </c>
      <c r="B1248" s="4" t="s">
        <v>2513</v>
      </c>
      <c r="C1248" s="4" t="s">
        <v>16</v>
      </c>
      <c r="D1248" s="4" t="s">
        <v>13</v>
      </c>
      <c r="E1248" s="5">
        <v>84.732399999999998</v>
      </c>
      <c r="F1248" s="5">
        <v>84.133899999999997</v>
      </c>
      <c r="G1248" s="5">
        <v>84.215999999999994</v>
      </c>
      <c r="H1248" s="4">
        <v>1</v>
      </c>
      <c r="I1248" s="6">
        <v>3259255</v>
      </c>
      <c r="J1248" s="7">
        <v>546.32000000000005</v>
      </c>
      <c r="K1248" s="9">
        <f>(PricingDataTable[[#This Row],[Current Price ($)]]-PricingDataTable[[#This Row],[Prior Price ($)]])/PricingDataTable[[#This Row],[Prior Price ($)]]</f>
        <v>-7.0634137590815486E-3</v>
      </c>
      <c r="L1248" s="9">
        <f>(PricingDataTable[[#This Row],[Vendor Price ($)]]-PricingDataTable[[#This Row],[Current Price ($)]])/PricingDataTable[[#This Row],[Current Price ($)]]</f>
        <v>9.758254401614207E-4</v>
      </c>
      <c r="M1248" t="str">
        <f t="shared" si="38"/>
        <v>PASS</v>
      </c>
      <c r="N1248" s="10" t="str">
        <f t="shared" si="39"/>
        <v>NONE</v>
      </c>
    </row>
    <row r="1249" spans="1:14">
      <c r="A1249" s="4" t="s">
        <v>2514</v>
      </c>
      <c r="B1249" s="4" t="s">
        <v>2515</v>
      </c>
      <c r="C1249" s="4" t="s">
        <v>19</v>
      </c>
      <c r="D1249" s="4" t="s">
        <v>13</v>
      </c>
      <c r="E1249" s="5">
        <v>197.9539</v>
      </c>
      <c r="F1249" s="5">
        <v>200.40989999999999</v>
      </c>
      <c r="G1249" s="5">
        <v>199.9444</v>
      </c>
      <c r="H1249" s="4">
        <v>0</v>
      </c>
      <c r="I1249" s="6">
        <v>3055161</v>
      </c>
      <c r="J1249" s="7">
        <v>27.77</v>
      </c>
      <c r="K1249" s="9">
        <f>(PricingDataTable[[#This Row],[Current Price ($)]]-PricingDataTable[[#This Row],[Prior Price ($)]])/PricingDataTable[[#This Row],[Prior Price ($)]]</f>
        <v>1.2406929088035087E-2</v>
      </c>
      <c r="L1249" s="9">
        <f>(PricingDataTable[[#This Row],[Vendor Price ($)]]-PricingDataTable[[#This Row],[Current Price ($)]])/PricingDataTable[[#This Row],[Current Price ($)]]</f>
        <v>-2.3227395453018617E-3</v>
      </c>
      <c r="M1249" t="str">
        <f t="shared" si="38"/>
        <v>PASS</v>
      </c>
      <c r="N1249" s="10" t="str">
        <f t="shared" si="39"/>
        <v>NONE</v>
      </c>
    </row>
    <row r="1250" spans="1:14">
      <c r="A1250" s="4" t="s">
        <v>2516</v>
      </c>
      <c r="B1250" s="4" t="s">
        <v>2517</v>
      </c>
      <c r="C1250" s="4" t="s">
        <v>19</v>
      </c>
      <c r="D1250" s="4" t="s">
        <v>13</v>
      </c>
      <c r="E1250" s="5">
        <v>34.516800000000003</v>
      </c>
      <c r="F1250" s="5">
        <v>34.130099999999999</v>
      </c>
      <c r="G1250" s="5">
        <v>34.158299999999997</v>
      </c>
      <c r="H1250" s="4">
        <v>0</v>
      </c>
      <c r="I1250" s="6">
        <v>3008372</v>
      </c>
      <c r="J1250" s="7">
        <v>409.21</v>
      </c>
      <c r="K1250" s="9">
        <f>(PricingDataTable[[#This Row],[Current Price ($)]]-PricingDataTable[[#This Row],[Prior Price ($)]])/PricingDataTable[[#This Row],[Prior Price ($)]]</f>
        <v>-1.1203240161312888E-2</v>
      </c>
      <c r="L1250" s="9">
        <f>(PricingDataTable[[#This Row],[Vendor Price ($)]]-PricingDataTable[[#This Row],[Current Price ($)]])/PricingDataTable[[#This Row],[Current Price ($)]]</f>
        <v>8.2625014283574405E-4</v>
      </c>
      <c r="M1250" t="str">
        <f t="shared" si="38"/>
        <v>PASS</v>
      </c>
      <c r="N1250" s="10" t="str">
        <f t="shared" si="39"/>
        <v>NONE</v>
      </c>
    </row>
    <row r="1251" spans="1:14">
      <c r="A1251" s="4" t="s">
        <v>2518</v>
      </c>
      <c r="B1251" s="4" t="s">
        <v>2519</v>
      </c>
      <c r="C1251" s="4" t="s">
        <v>12</v>
      </c>
      <c r="D1251" s="4" t="s">
        <v>64</v>
      </c>
      <c r="E1251" s="5">
        <v>84.3386</v>
      </c>
      <c r="F1251" s="5">
        <v>87.119200000000006</v>
      </c>
      <c r="G1251" s="5">
        <v>97.098100000000002</v>
      </c>
      <c r="H1251" s="4">
        <v>3</v>
      </c>
      <c r="I1251" s="6">
        <v>4283357</v>
      </c>
      <c r="J1251" s="7">
        <v>283.06</v>
      </c>
      <c r="K1251" s="9">
        <f>(PricingDataTable[[#This Row],[Current Price ($)]]-PricingDataTable[[#This Row],[Prior Price ($)]])/PricingDataTable[[#This Row],[Prior Price ($)]]</f>
        <v>3.2969482538244728E-2</v>
      </c>
      <c r="L1251" s="9">
        <f>(PricingDataTable[[#This Row],[Vendor Price ($)]]-PricingDataTable[[#This Row],[Current Price ($)]])/PricingDataTable[[#This Row],[Current Price ($)]]</f>
        <v>0.11454306283804254</v>
      </c>
      <c r="M1251" t="str">
        <f t="shared" si="38"/>
        <v>STALE</v>
      </c>
      <c r="N1251" s="10" t="str">
        <f t="shared" si="39"/>
        <v>HIGH</v>
      </c>
    </row>
    <row r="1252" spans="1:14">
      <c r="A1252" s="4" t="s">
        <v>2520</v>
      </c>
      <c r="B1252" s="4" t="s">
        <v>2521</v>
      </c>
      <c r="C1252" s="4" t="s">
        <v>16</v>
      </c>
      <c r="D1252" s="4" t="s">
        <v>13</v>
      </c>
      <c r="E1252" s="5">
        <v>79.510599999999997</v>
      </c>
      <c r="F1252" s="5">
        <v>79.496399999999994</v>
      </c>
      <c r="G1252" s="5">
        <v>79.220399999999998</v>
      </c>
      <c r="H1252" s="4">
        <v>0</v>
      </c>
      <c r="I1252" s="6">
        <v>4626695</v>
      </c>
      <c r="J1252" s="7">
        <v>130.36000000000001</v>
      </c>
      <c r="K1252" s="9">
        <f>(PricingDataTable[[#This Row],[Current Price ($)]]-PricingDataTable[[#This Row],[Prior Price ($)]])/PricingDataTable[[#This Row],[Prior Price ($)]]</f>
        <v>-1.7859253986264012E-4</v>
      </c>
      <c r="L1252" s="9">
        <f>(PricingDataTable[[#This Row],[Vendor Price ($)]]-PricingDataTable[[#This Row],[Current Price ($)]])/PricingDataTable[[#This Row],[Current Price ($)]]</f>
        <v>-3.4718553292978835E-3</v>
      </c>
      <c r="M1252" t="str">
        <f t="shared" si="38"/>
        <v>PASS</v>
      </c>
      <c r="N1252" s="10" t="str">
        <f t="shared" si="39"/>
        <v>NONE</v>
      </c>
    </row>
    <row r="1253" spans="1:14">
      <c r="A1253" s="4" t="s">
        <v>2522</v>
      </c>
      <c r="B1253" s="4" t="s">
        <v>2523</v>
      </c>
      <c r="C1253" s="4" t="s">
        <v>12</v>
      </c>
      <c r="D1253" s="4" t="s">
        <v>13</v>
      </c>
      <c r="E1253" s="5">
        <v>81.888499999999993</v>
      </c>
      <c r="F1253" s="5">
        <v>81.828800000000001</v>
      </c>
      <c r="G1253" s="5">
        <v>81.974299999999999</v>
      </c>
      <c r="H1253" s="4">
        <v>0</v>
      </c>
      <c r="I1253" s="6">
        <v>2218392</v>
      </c>
      <c r="J1253" s="7">
        <v>648.96</v>
      </c>
      <c r="K1253" s="9">
        <f>(PricingDataTable[[#This Row],[Current Price ($)]]-PricingDataTable[[#This Row],[Prior Price ($)]])/PricingDataTable[[#This Row],[Prior Price ($)]]</f>
        <v>-7.2904009720525255E-4</v>
      </c>
      <c r="L1253" s="9">
        <f>(PricingDataTable[[#This Row],[Vendor Price ($)]]-PricingDataTable[[#This Row],[Current Price ($)]])/PricingDataTable[[#This Row],[Current Price ($)]]</f>
        <v>1.7781025751324522E-3</v>
      </c>
      <c r="M1253" t="str">
        <f t="shared" si="38"/>
        <v>PASS</v>
      </c>
      <c r="N1253" s="10" t="str">
        <f t="shared" si="39"/>
        <v>NONE</v>
      </c>
    </row>
    <row r="1254" spans="1:14">
      <c r="A1254" s="4" t="s">
        <v>2524</v>
      </c>
      <c r="B1254" s="4" t="s">
        <v>2525</v>
      </c>
      <c r="C1254" s="4" t="s">
        <v>35</v>
      </c>
      <c r="D1254" s="4" t="s">
        <v>13</v>
      </c>
      <c r="E1254" s="5">
        <v>100.53230000000001</v>
      </c>
      <c r="F1254" s="5">
        <v>100.0428</v>
      </c>
      <c r="G1254" s="5"/>
      <c r="H1254" s="4">
        <v>0</v>
      </c>
      <c r="I1254" s="6">
        <v>4849429</v>
      </c>
      <c r="J1254" s="7">
        <v>127.55</v>
      </c>
      <c r="K1254" s="9">
        <f>(PricingDataTable[[#This Row],[Current Price ($)]]-PricingDataTable[[#This Row],[Prior Price ($)]])/PricingDataTable[[#This Row],[Prior Price ($)]]</f>
        <v>-4.8690818771679016E-3</v>
      </c>
      <c r="L1254" s="9">
        <f>(PricingDataTable[[#This Row],[Vendor Price ($)]]-PricingDataTable[[#This Row],[Current Price ($)]])/PricingDataTable[[#This Row],[Current Price ($)]]</f>
        <v>-1</v>
      </c>
      <c r="M1254" t="str">
        <f t="shared" si="38"/>
        <v>VENDOR DIFFERENCE</v>
      </c>
      <c r="N1254" s="10" t="str">
        <f t="shared" si="39"/>
        <v>HIGH</v>
      </c>
    </row>
    <row r="1255" spans="1:14">
      <c r="A1255" s="4" t="s">
        <v>2526</v>
      </c>
      <c r="B1255" s="4" t="s">
        <v>2527</v>
      </c>
      <c r="C1255" s="4" t="s">
        <v>39</v>
      </c>
      <c r="D1255" s="4" t="s">
        <v>13</v>
      </c>
      <c r="E1255" s="5">
        <v>14.177099999999999</v>
      </c>
      <c r="F1255" s="5">
        <v>14.171099999999999</v>
      </c>
      <c r="G1255" s="5">
        <v>14.155799999999999</v>
      </c>
      <c r="H1255" s="4">
        <v>2</v>
      </c>
      <c r="I1255" s="6">
        <v>3854375</v>
      </c>
      <c r="J1255" s="7">
        <v>154.68</v>
      </c>
      <c r="K1255" s="9">
        <f>(PricingDataTable[[#This Row],[Current Price ($)]]-PricingDataTable[[#This Row],[Prior Price ($)]])/PricingDataTable[[#This Row],[Prior Price ($)]]</f>
        <v>-4.2321772435831219E-4</v>
      </c>
      <c r="L1255" s="9">
        <f>(PricingDataTable[[#This Row],[Vendor Price ($)]]-PricingDataTable[[#This Row],[Current Price ($)]])/PricingDataTable[[#This Row],[Current Price ($)]]</f>
        <v>-1.0796621292630685E-3</v>
      </c>
      <c r="M1255" t="str">
        <f t="shared" si="38"/>
        <v>PASS</v>
      </c>
      <c r="N1255" s="10" t="str">
        <f t="shared" si="39"/>
        <v>NONE</v>
      </c>
    </row>
    <row r="1256" spans="1:14">
      <c r="A1256" s="4" t="s">
        <v>2528</v>
      </c>
      <c r="B1256" s="4" t="s">
        <v>2529</v>
      </c>
      <c r="C1256" s="4" t="s">
        <v>39</v>
      </c>
      <c r="D1256" s="4" t="s">
        <v>13</v>
      </c>
      <c r="E1256" s="5">
        <v>68.747900000000001</v>
      </c>
      <c r="F1256" s="5"/>
      <c r="G1256" s="5">
        <v>69.525099999999995</v>
      </c>
      <c r="H1256" s="4">
        <v>1</v>
      </c>
      <c r="I1256" s="6">
        <v>4364507</v>
      </c>
      <c r="J1256" s="7">
        <v>586.82000000000005</v>
      </c>
      <c r="K1256" s="9">
        <f>(PricingDataTable[[#This Row],[Current Price ($)]]-PricingDataTable[[#This Row],[Prior Price ($)]])/PricingDataTable[[#This Row],[Prior Price ($)]]</f>
        <v>-1</v>
      </c>
      <c r="L1256" s="9" t="e">
        <f>(PricingDataTable[[#This Row],[Vendor Price ($)]]-PricingDataTable[[#This Row],[Current Price ($)]])/PricingDataTable[[#This Row],[Current Price ($)]]</f>
        <v>#DIV/0!</v>
      </c>
      <c r="M1256" t="str">
        <f t="shared" si="38"/>
        <v>MISSING</v>
      </c>
      <c r="N1256" s="10" t="str">
        <f t="shared" si="39"/>
        <v>HIGH</v>
      </c>
    </row>
    <row r="1257" spans="1:14">
      <c r="A1257" s="4" t="s">
        <v>2530</v>
      </c>
      <c r="B1257" s="4" t="s">
        <v>2531</v>
      </c>
      <c r="C1257" s="4" t="s">
        <v>19</v>
      </c>
      <c r="D1257" s="4" t="s">
        <v>13</v>
      </c>
      <c r="E1257" s="5">
        <v>162.79740000000001</v>
      </c>
      <c r="F1257" s="5">
        <v>168.0453</v>
      </c>
      <c r="G1257" s="5">
        <v>168.9058</v>
      </c>
      <c r="H1257" s="4">
        <v>0</v>
      </c>
      <c r="I1257" s="6">
        <v>53403</v>
      </c>
      <c r="J1257" s="7">
        <v>433.43</v>
      </c>
      <c r="K1257" s="9">
        <f>(PricingDataTable[[#This Row],[Current Price ($)]]-PricingDataTable[[#This Row],[Prior Price ($)]])/PricingDataTable[[#This Row],[Prior Price ($)]]</f>
        <v>3.2235772807182345E-2</v>
      </c>
      <c r="L1257" s="9">
        <f>(PricingDataTable[[#This Row],[Vendor Price ($)]]-PricingDataTable[[#This Row],[Current Price ($)]])/PricingDataTable[[#This Row],[Current Price ($)]]</f>
        <v>5.1206430646974464E-3</v>
      </c>
      <c r="M1257" t="str">
        <f t="shared" si="38"/>
        <v>PASS</v>
      </c>
      <c r="N1257" s="10" t="str">
        <f t="shared" si="39"/>
        <v>NONE</v>
      </c>
    </row>
    <row r="1258" spans="1:14">
      <c r="A1258" s="4" t="s">
        <v>2532</v>
      </c>
      <c r="B1258" s="4" t="s">
        <v>2533</v>
      </c>
      <c r="C1258" s="4" t="s">
        <v>35</v>
      </c>
      <c r="D1258" s="4" t="s">
        <v>13</v>
      </c>
      <c r="E1258" s="5">
        <v>136.04429999999999</v>
      </c>
      <c r="F1258" s="5">
        <v>136.8005</v>
      </c>
      <c r="G1258" s="5">
        <v>122.48779999999999</v>
      </c>
      <c r="H1258" s="4">
        <v>2</v>
      </c>
      <c r="I1258" s="6">
        <v>723876</v>
      </c>
      <c r="J1258" s="7">
        <v>283.62</v>
      </c>
      <c r="K1258" s="9">
        <f>(PricingDataTable[[#This Row],[Current Price ($)]]-PricingDataTable[[#This Row],[Prior Price ($)]])/PricingDataTable[[#This Row],[Prior Price ($)]]</f>
        <v>5.5584835233817732E-3</v>
      </c>
      <c r="L1258" s="9">
        <f>(PricingDataTable[[#This Row],[Vendor Price ($)]]-PricingDataTable[[#This Row],[Current Price ($)]])/PricingDataTable[[#This Row],[Current Price ($)]]</f>
        <v>-0.10462461760008192</v>
      </c>
      <c r="M1258" t="str">
        <f t="shared" si="38"/>
        <v>VENDOR DIFFERENCE</v>
      </c>
      <c r="N1258" s="10" t="str">
        <f t="shared" si="39"/>
        <v>HIGH</v>
      </c>
    </row>
    <row r="1259" spans="1:14">
      <c r="A1259" s="4" t="s">
        <v>2534</v>
      </c>
      <c r="B1259" s="4" t="s">
        <v>2535</v>
      </c>
      <c r="C1259" s="4" t="s">
        <v>39</v>
      </c>
      <c r="D1259" s="4" t="s">
        <v>13</v>
      </c>
      <c r="E1259" s="5">
        <v>132.05269999999999</v>
      </c>
      <c r="F1259" s="5">
        <v>135.03440000000001</v>
      </c>
      <c r="G1259" s="5">
        <v>134.77070000000001</v>
      </c>
      <c r="H1259" s="4">
        <v>0</v>
      </c>
      <c r="I1259" s="6">
        <v>3609678</v>
      </c>
      <c r="J1259" s="7">
        <v>534.36</v>
      </c>
      <c r="K1259" s="9">
        <f>(PricingDataTable[[#This Row],[Current Price ($)]]-PricingDataTable[[#This Row],[Prior Price ($)]])/PricingDataTable[[#This Row],[Prior Price ($)]]</f>
        <v>2.2579621620762151E-2</v>
      </c>
      <c r="L1259" s="9">
        <f>(PricingDataTable[[#This Row],[Vendor Price ($)]]-PricingDataTable[[#This Row],[Current Price ($)]])/PricingDataTable[[#This Row],[Current Price ($)]]</f>
        <v>-1.9528357218605039E-3</v>
      </c>
      <c r="M1259" t="str">
        <f t="shared" si="38"/>
        <v>PASS</v>
      </c>
      <c r="N1259" s="10" t="str">
        <f t="shared" si="39"/>
        <v>NONE</v>
      </c>
    </row>
    <row r="1260" spans="1:14">
      <c r="A1260" s="4" t="s">
        <v>2536</v>
      </c>
      <c r="B1260" s="4" t="s">
        <v>2537</v>
      </c>
      <c r="C1260" s="4" t="s">
        <v>19</v>
      </c>
      <c r="D1260" s="4" t="s">
        <v>13</v>
      </c>
      <c r="E1260" s="5">
        <v>317.86939999999998</v>
      </c>
      <c r="F1260" s="5">
        <v>320.54469999999998</v>
      </c>
      <c r="G1260" s="5">
        <v>319.3175</v>
      </c>
      <c r="H1260" s="4">
        <v>0</v>
      </c>
      <c r="I1260" s="6">
        <v>1905242</v>
      </c>
      <c r="J1260" s="7">
        <v>729.69</v>
      </c>
      <c r="K1260" s="9">
        <f>(PricingDataTable[[#This Row],[Current Price ($)]]-PricingDataTable[[#This Row],[Prior Price ($)]])/PricingDataTable[[#This Row],[Prior Price ($)]]</f>
        <v>8.4163496077319586E-3</v>
      </c>
      <c r="L1260" s="9">
        <f>(PricingDataTable[[#This Row],[Vendor Price ($)]]-PricingDataTable[[#This Row],[Current Price ($)]])/PricingDataTable[[#This Row],[Current Price ($)]]</f>
        <v>-3.8284832037465671E-3</v>
      </c>
      <c r="M1260" t="str">
        <f t="shared" si="38"/>
        <v>PASS</v>
      </c>
      <c r="N1260" s="10" t="str">
        <f t="shared" si="39"/>
        <v>NONE</v>
      </c>
    </row>
    <row r="1261" spans="1:14">
      <c r="A1261" s="4" t="s">
        <v>2538</v>
      </c>
      <c r="B1261" s="4" t="s">
        <v>2539</v>
      </c>
      <c r="C1261" s="4" t="s">
        <v>16</v>
      </c>
      <c r="D1261" s="4" t="s">
        <v>13</v>
      </c>
      <c r="E1261" s="5">
        <v>102.7666</v>
      </c>
      <c r="F1261" s="5">
        <v>103.3224</v>
      </c>
      <c r="G1261" s="5">
        <v>103.9181</v>
      </c>
      <c r="H1261" s="4">
        <v>0</v>
      </c>
      <c r="I1261" s="6">
        <v>739958</v>
      </c>
      <c r="J1261" s="7">
        <v>863.41</v>
      </c>
      <c r="K1261" s="9">
        <f>(PricingDataTable[[#This Row],[Current Price ($)]]-PricingDataTable[[#This Row],[Prior Price ($)]])/PricingDataTable[[#This Row],[Prior Price ($)]]</f>
        <v>5.4083719807797963E-3</v>
      </c>
      <c r="L1261" s="9">
        <f>(PricingDataTable[[#This Row],[Vendor Price ($)]]-PricingDataTable[[#This Row],[Current Price ($)]])/PricingDataTable[[#This Row],[Current Price ($)]]</f>
        <v>5.7654487313495784E-3</v>
      </c>
      <c r="M1261" t="str">
        <f t="shared" si="38"/>
        <v>PASS</v>
      </c>
      <c r="N1261" s="10" t="str">
        <f t="shared" si="39"/>
        <v>NONE</v>
      </c>
    </row>
    <row r="1262" spans="1:14">
      <c r="A1262" s="4" t="s">
        <v>2540</v>
      </c>
      <c r="B1262" s="4" t="s">
        <v>2541</v>
      </c>
      <c r="C1262" s="4" t="s">
        <v>35</v>
      </c>
      <c r="D1262" s="4" t="s">
        <v>237</v>
      </c>
      <c r="E1262" s="5">
        <v>37.988900000000001</v>
      </c>
      <c r="F1262" s="5">
        <v>37.7774</v>
      </c>
      <c r="G1262" s="5">
        <v>37.908099999999997</v>
      </c>
      <c r="H1262" s="4">
        <v>1</v>
      </c>
      <c r="I1262" s="6">
        <v>1290572</v>
      </c>
      <c r="J1262" s="7">
        <v>316.75</v>
      </c>
      <c r="K1262" s="9">
        <f>(PricingDataTable[[#This Row],[Current Price ($)]]-PricingDataTable[[#This Row],[Prior Price ($)]])/PricingDataTable[[#This Row],[Prior Price ($)]]</f>
        <v>-5.5674157451255733E-3</v>
      </c>
      <c r="L1262" s="9">
        <f>(PricingDataTable[[#This Row],[Vendor Price ($)]]-PricingDataTable[[#This Row],[Current Price ($)]])/PricingDataTable[[#This Row],[Current Price ($)]]</f>
        <v>3.4597404797576691E-3</v>
      </c>
      <c r="M1262" t="str">
        <f t="shared" si="38"/>
        <v>PASS</v>
      </c>
      <c r="N1262" s="10" t="str">
        <f t="shared" si="39"/>
        <v>NONE</v>
      </c>
    </row>
    <row r="1263" spans="1:14">
      <c r="A1263" s="4" t="s">
        <v>2542</v>
      </c>
      <c r="B1263" s="4" t="s">
        <v>2543</v>
      </c>
      <c r="C1263" s="4" t="s">
        <v>16</v>
      </c>
      <c r="D1263" s="4" t="s">
        <v>13</v>
      </c>
      <c r="E1263" s="5">
        <v>78.436000000000007</v>
      </c>
      <c r="F1263" s="5">
        <v>78.944699999999997</v>
      </c>
      <c r="G1263" s="5">
        <v>78.841999999999999</v>
      </c>
      <c r="H1263" s="4">
        <v>0</v>
      </c>
      <c r="I1263" s="6">
        <v>2030678</v>
      </c>
      <c r="J1263" s="7">
        <v>303.79000000000002</v>
      </c>
      <c r="K1263" s="9">
        <f>(PricingDataTable[[#This Row],[Current Price ($)]]-PricingDataTable[[#This Row],[Prior Price ($)]])/PricingDataTable[[#This Row],[Prior Price ($)]]</f>
        <v>6.4855423530010498E-3</v>
      </c>
      <c r="L1263" s="9">
        <f>(PricingDataTable[[#This Row],[Vendor Price ($)]]-PricingDataTable[[#This Row],[Current Price ($)]])/PricingDataTable[[#This Row],[Current Price ($)]]</f>
        <v>-1.3009106374461956E-3</v>
      </c>
      <c r="M1263" t="str">
        <f t="shared" si="38"/>
        <v>PASS</v>
      </c>
      <c r="N1263" s="10" t="str">
        <f t="shared" si="39"/>
        <v>NONE</v>
      </c>
    </row>
    <row r="1264" spans="1:14">
      <c r="A1264" s="4" t="s">
        <v>2544</v>
      </c>
      <c r="B1264" s="4" t="s">
        <v>2545</v>
      </c>
      <c r="C1264" s="4" t="s">
        <v>16</v>
      </c>
      <c r="D1264" s="4" t="s">
        <v>13</v>
      </c>
      <c r="E1264" s="5">
        <v>88.650400000000005</v>
      </c>
      <c r="F1264" s="5">
        <v>88.362899999999996</v>
      </c>
      <c r="G1264" s="5">
        <v>88.341800000000006</v>
      </c>
      <c r="H1264" s="4">
        <v>0</v>
      </c>
      <c r="I1264" s="6">
        <v>2514023</v>
      </c>
      <c r="J1264" s="7">
        <v>837.87</v>
      </c>
      <c r="K1264" s="9">
        <f>(PricingDataTable[[#This Row],[Current Price ($)]]-PricingDataTable[[#This Row],[Prior Price ($)]])/PricingDataTable[[#This Row],[Prior Price ($)]]</f>
        <v>-3.2430761733732564E-3</v>
      </c>
      <c r="L1264" s="9">
        <f>(PricingDataTable[[#This Row],[Vendor Price ($)]]-PricingDataTable[[#This Row],[Current Price ($)]])/PricingDataTable[[#This Row],[Current Price ($)]]</f>
        <v>-2.3878799813032285E-4</v>
      </c>
      <c r="M1264" t="str">
        <f t="shared" si="38"/>
        <v>PASS</v>
      </c>
      <c r="N1264" s="10" t="str">
        <f t="shared" si="39"/>
        <v>NONE</v>
      </c>
    </row>
    <row r="1265" spans="1:14">
      <c r="A1265" s="4" t="s">
        <v>2546</v>
      </c>
      <c r="B1265" s="4" t="s">
        <v>2547</v>
      </c>
      <c r="C1265" s="4" t="s">
        <v>16</v>
      </c>
      <c r="D1265" s="4" t="s">
        <v>237</v>
      </c>
      <c r="E1265" s="5">
        <v>90.896000000000001</v>
      </c>
      <c r="F1265" s="5">
        <v>91.236999999999995</v>
      </c>
      <c r="G1265" s="5">
        <v>91.847999999999999</v>
      </c>
      <c r="H1265" s="4">
        <v>2</v>
      </c>
      <c r="I1265" s="6">
        <v>398895</v>
      </c>
      <c r="J1265" s="7">
        <v>297.89999999999998</v>
      </c>
      <c r="K1265" s="9">
        <f>(PricingDataTable[[#This Row],[Current Price ($)]]-PricingDataTable[[#This Row],[Prior Price ($)]])/PricingDataTable[[#This Row],[Prior Price ($)]]</f>
        <v>3.7515402217918716E-3</v>
      </c>
      <c r="L1265" s="9">
        <f>(PricingDataTable[[#This Row],[Vendor Price ($)]]-PricingDataTable[[#This Row],[Current Price ($)]])/PricingDataTable[[#This Row],[Current Price ($)]]</f>
        <v>6.6968444819536397E-3</v>
      </c>
      <c r="M1265" t="str">
        <f t="shared" si="38"/>
        <v>PASS</v>
      </c>
      <c r="N1265" s="10" t="str">
        <f t="shared" si="39"/>
        <v>NONE</v>
      </c>
    </row>
    <row r="1266" spans="1:14">
      <c r="A1266" s="4" t="s">
        <v>2548</v>
      </c>
      <c r="B1266" s="4" t="s">
        <v>2549</v>
      </c>
      <c r="C1266" s="4" t="s">
        <v>39</v>
      </c>
      <c r="D1266" s="4" t="s">
        <v>36</v>
      </c>
      <c r="E1266" s="5">
        <v>249.0033</v>
      </c>
      <c r="F1266" s="5">
        <v>246.44489999999999</v>
      </c>
      <c r="G1266" s="5">
        <v>246.94569999999999</v>
      </c>
      <c r="H1266" s="4">
        <v>4</v>
      </c>
      <c r="I1266" s="6">
        <v>82647</v>
      </c>
      <c r="J1266" s="7">
        <v>534.74</v>
      </c>
      <c r="K1266" s="9">
        <f>(PricingDataTable[[#This Row],[Current Price ($)]]-PricingDataTable[[#This Row],[Prior Price ($)]])/PricingDataTable[[#This Row],[Prior Price ($)]]</f>
        <v>-1.0274562626278471E-2</v>
      </c>
      <c r="L1266" s="9">
        <f>(PricingDataTable[[#This Row],[Vendor Price ($)]]-PricingDataTable[[#This Row],[Current Price ($)]])/PricingDataTable[[#This Row],[Current Price ($)]]</f>
        <v>2.0320972355280962E-3</v>
      </c>
      <c r="M1266" t="str">
        <f t="shared" si="38"/>
        <v>STALE</v>
      </c>
      <c r="N1266" s="10" t="str">
        <f t="shared" si="39"/>
        <v>LOW</v>
      </c>
    </row>
    <row r="1267" spans="1:14">
      <c r="A1267" s="4" t="s">
        <v>2550</v>
      </c>
      <c r="B1267" s="4" t="s">
        <v>2551</v>
      </c>
      <c r="C1267" s="4" t="s">
        <v>35</v>
      </c>
      <c r="D1267" s="4" t="s">
        <v>13</v>
      </c>
      <c r="E1267" s="5">
        <v>9.5658999999999992</v>
      </c>
      <c r="F1267" s="5">
        <v>7.5730000000000004</v>
      </c>
      <c r="G1267" s="5">
        <v>7.5589000000000004</v>
      </c>
      <c r="H1267" s="4">
        <v>0</v>
      </c>
      <c r="I1267" s="6">
        <v>3254943</v>
      </c>
      <c r="J1267" s="7">
        <v>85.46</v>
      </c>
      <c r="K1267" s="9">
        <f>(PricingDataTable[[#This Row],[Current Price ($)]]-PricingDataTable[[#This Row],[Prior Price ($)]])/PricingDataTable[[#This Row],[Prior Price ($)]]</f>
        <v>-0.20833376890830962</v>
      </c>
      <c r="L1267" s="9">
        <f>(PricingDataTable[[#This Row],[Vendor Price ($)]]-PricingDataTable[[#This Row],[Current Price ($)]])/PricingDataTable[[#This Row],[Current Price ($)]]</f>
        <v>-1.8618777234913509E-3</v>
      </c>
      <c r="M1267" t="str">
        <f t="shared" si="38"/>
        <v>LARGE MOVE</v>
      </c>
      <c r="N1267" s="10" t="str">
        <f t="shared" si="39"/>
        <v>HIGH</v>
      </c>
    </row>
    <row r="1268" spans="1:14">
      <c r="A1268" s="4" t="s">
        <v>2552</v>
      </c>
      <c r="B1268" s="4" t="s">
        <v>2553</v>
      </c>
      <c r="C1268" s="4" t="s">
        <v>19</v>
      </c>
      <c r="D1268" s="4" t="s">
        <v>32</v>
      </c>
      <c r="E1268" s="5">
        <v>248.82259999999999</v>
      </c>
      <c r="F1268" s="5">
        <v>246.0325</v>
      </c>
      <c r="G1268" s="5">
        <v>246.2799</v>
      </c>
      <c r="H1268" s="4">
        <v>0</v>
      </c>
      <c r="I1268" s="6">
        <v>1962322</v>
      </c>
      <c r="J1268" s="7">
        <v>283.75</v>
      </c>
      <c r="K1268" s="9">
        <f>(PricingDataTable[[#This Row],[Current Price ($)]]-PricingDataTable[[#This Row],[Prior Price ($)]])/PricingDataTable[[#This Row],[Prior Price ($)]]</f>
        <v>-1.1213209732556429E-2</v>
      </c>
      <c r="L1268" s="9">
        <f>(PricingDataTable[[#This Row],[Vendor Price ($)]]-PricingDataTable[[#This Row],[Current Price ($)]])/PricingDataTable[[#This Row],[Current Price ($)]]</f>
        <v>1.0055582087732269E-3</v>
      </c>
      <c r="M1268" t="str">
        <f t="shared" si="38"/>
        <v>PASS</v>
      </c>
      <c r="N1268" s="10" t="str">
        <f t="shared" si="39"/>
        <v>NONE</v>
      </c>
    </row>
    <row r="1269" spans="1:14">
      <c r="A1269" s="4" t="s">
        <v>2554</v>
      </c>
      <c r="B1269" s="4" t="s">
        <v>2555</v>
      </c>
      <c r="C1269" s="4" t="s">
        <v>12</v>
      </c>
      <c r="D1269" s="4" t="s">
        <v>237</v>
      </c>
      <c r="E1269" s="5">
        <v>119.6484</v>
      </c>
      <c r="F1269" s="5">
        <v>119.194</v>
      </c>
      <c r="G1269" s="5">
        <v>118.9975</v>
      </c>
      <c r="H1269" s="4">
        <v>2</v>
      </c>
      <c r="I1269" s="6">
        <v>89715</v>
      </c>
      <c r="J1269" s="7">
        <v>142.29</v>
      </c>
      <c r="K1269" s="9">
        <f>(PricingDataTable[[#This Row],[Current Price ($)]]-PricingDataTable[[#This Row],[Prior Price ($)]])/PricingDataTable[[#This Row],[Prior Price ($)]]</f>
        <v>-3.7977942036833976E-3</v>
      </c>
      <c r="L1269" s="9">
        <f>(PricingDataTable[[#This Row],[Vendor Price ($)]]-PricingDataTable[[#This Row],[Current Price ($)]])/PricingDataTable[[#This Row],[Current Price ($)]]</f>
        <v>-1.6485729147440336E-3</v>
      </c>
      <c r="M1269" t="str">
        <f t="shared" si="38"/>
        <v>PASS</v>
      </c>
      <c r="N1269" s="10" t="str">
        <f t="shared" si="39"/>
        <v>NONE</v>
      </c>
    </row>
    <row r="1270" spans="1:14">
      <c r="A1270" s="4" t="s">
        <v>2556</v>
      </c>
      <c r="B1270" s="4" t="s">
        <v>2557</v>
      </c>
      <c r="C1270" s="4" t="s">
        <v>19</v>
      </c>
      <c r="D1270" s="4" t="s">
        <v>13</v>
      </c>
      <c r="E1270" s="5">
        <v>81.392799999999994</v>
      </c>
      <c r="F1270" s="5">
        <v>81.2744</v>
      </c>
      <c r="G1270" s="5">
        <v>81.122200000000007</v>
      </c>
      <c r="H1270" s="4">
        <v>0</v>
      </c>
      <c r="I1270" s="6">
        <v>2851317</v>
      </c>
      <c r="J1270" s="7">
        <v>28.99</v>
      </c>
      <c r="K1270" s="9">
        <f>(PricingDataTable[[#This Row],[Current Price ($)]]-PricingDataTable[[#This Row],[Prior Price ($)]])/PricingDataTable[[#This Row],[Prior Price ($)]]</f>
        <v>-1.4546741235096233E-3</v>
      </c>
      <c r="L1270" s="9">
        <f>(PricingDataTable[[#This Row],[Vendor Price ($)]]-PricingDataTable[[#This Row],[Current Price ($)]])/PricingDataTable[[#This Row],[Current Price ($)]]</f>
        <v>-1.8726683925072772E-3</v>
      </c>
      <c r="M1270" t="str">
        <f t="shared" si="38"/>
        <v>PASS</v>
      </c>
      <c r="N1270" s="10" t="str">
        <f t="shared" si="39"/>
        <v>NONE</v>
      </c>
    </row>
    <row r="1271" spans="1:14">
      <c r="A1271" s="4" t="s">
        <v>2558</v>
      </c>
      <c r="B1271" s="4" t="s">
        <v>2559</v>
      </c>
      <c r="C1271" s="4" t="s">
        <v>35</v>
      </c>
      <c r="D1271" s="4" t="s">
        <v>13</v>
      </c>
      <c r="E1271" s="5">
        <v>138.16730000000001</v>
      </c>
      <c r="F1271" s="5">
        <v>137.25909999999999</v>
      </c>
      <c r="G1271" s="5">
        <v>136.4973</v>
      </c>
      <c r="H1271" s="4">
        <v>3</v>
      </c>
      <c r="I1271" s="6">
        <v>3072551</v>
      </c>
      <c r="J1271" s="7">
        <v>579.59</v>
      </c>
      <c r="K1271" s="9">
        <f>(PricingDataTable[[#This Row],[Current Price ($)]]-PricingDataTable[[#This Row],[Prior Price ($)]])/PricingDataTable[[#This Row],[Prior Price ($)]]</f>
        <v>-6.5731906174617436E-3</v>
      </c>
      <c r="L1271" s="9">
        <f>(PricingDataTable[[#This Row],[Vendor Price ($)]]-PricingDataTable[[#This Row],[Current Price ($)]])/PricingDataTable[[#This Row],[Current Price ($)]]</f>
        <v>-5.5500873894699428E-3</v>
      </c>
      <c r="M1271" t="str">
        <f t="shared" si="38"/>
        <v>STALE</v>
      </c>
      <c r="N1271" s="10" t="str">
        <f t="shared" si="39"/>
        <v>LOW</v>
      </c>
    </row>
    <row r="1272" spans="1:14">
      <c r="A1272" s="4" t="s">
        <v>2560</v>
      </c>
      <c r="B1272" s="4" t="s">
        <v>2561</v>
      </c>
      <c r="C1272" s="4" t="s">
        <v>19</v>
      </c>
      <c r="D1272" s="4" t="s">
        <v>237</v>
      </c>
      <c r="E1272" s="5">
        <v>106.4432</v>
      </c>
      <c r="F1272" s="5">
        <v>106.05110000000001</v>
      </c>
      <c r="G1272" s="5">
        <v>105.85169999999999</v>
      </c>
      <c r="H1272" s="4">
        <v>0</v>
      </c>
      <c r="I1272" s="6">
        <v>2328286</v>
      </c>
      <c r="J1272" s="7">
        <v>313.52</v>
      </c>
      <c r="K1272" s="9">
        <f>(PricingDataTable[[#This Row],[Current Price ($)]]-PricingDataTable[[#This Row],[Prior Price ($)]])/PricingDataTable[[#This Row],[Prior Price ($)]]</f>
        <v>-3.6836547567153113E-3</v>
      </c>
      <c r="L1272" s="9">
        <f>(PricingDataTable[[#This Row],[Vendor Price ($)]]-PricingDataTable[[#This Row],[Current Price ($)]])/PricingDataTable[[#This Row],[Current Price ($)]]</f>
        <v>-1.880225664797549E-3</v>
      </c>
      <c r="M1272" t="str">
        <f t="shared" si="38"/>
        <v>PASS</v>
      </c>
      <c r="N1272" s="10" t="str">
        <f t="shared" si="39"/>
        <v>NONE</v>
      </c>
    </row>
    <row r="1273" spans="1:14">
      <c r="A1273" s="4" t="s">
        <v>2562</v>
      </c>
      <c r="B1273" s="4" t="s">
        <v>2563</v>
      </c>
      <c r="C1273" s="4" t="s">
        <v>16</v>
      </c>
      <c r="D1273" s="4" t="s">
        <v>13</v>
      </c>
      <c r="E1273" s="5">
        <v>109.9365</v>
      </c>
      <c r="F1273" s="5">
        <v>109.96769999999999</v>
      </c>
      <c r="G1273" s="5">
        <v>109.8475</v>
      </c>
      <c r="H1273" s="4">
        <v>2</v>
      </c>
      <c r="I1273" s="6">
        <v>2826373</v>
      </c>
      <c r="J1273" s="7">
        <v>792.47</v>
      </c>
      <c r="K1273" s="9">
        <f>(PricingDataTable[[#This Row],[Current Price ($)]]-PricingDataTable[[#This Row],[Prior Price ($)]])/PricingDataTable[[#This Row],[Prior Price ($)]]</f>
        <v>2.838001937481941E-4</v>
      </c>
      <c r="L1273" s="9">
        <f>(PricingDataTable[[#This Row],[Vendor Price ($)]]-PricingDataTable[[#This Row],[Current Price ($)]])/PricingDataTable[[#This Row],[Current Price ($)]]</f>
        <v>-1.0930482314352031E-3</v>
      </c>
      <c r="M1273" t="str">
        <f t="shared" si="38"/>
        <v>PASS</v>
      </c>
      <c r="N1273" s="10" t="str">
        <f t="shared" si="39"/>
        <v>NONE</v>
      </c>
    </row>
    <row r="1274" spans="1:14">
      <c r="A1274" s="4" t="s">
        <v>2564</v>
      </c>
      <c r="B1274" s="4" t="s">
        <v>2565</v>
      </c>
      <c r="C1274" s="4" t="s">
        <v>35</v>
      </c>
      <c r="D1274" s="4" t="s">
        <v>13</v>
      </c>
      <c r="E1274" s="5">
        <v>137.27379999999999</v>
      </c>
      <c r="F1274" s="5">
        <v>137.33760000000001</v>
      </c>
      <c r="G1274" s="5">
        <v>137.73589999999999</v>
      </c>
      <c r="H1274" s="4">
        <v>0</v>
      </c>
      <c r="I1274" s="6">
        <v>4085352</v>
      </c>
      <c r="J1274" s="7">
        <v>512.54</v>
      </c>
      <c r="K1274" s="9">
        <f>(PricingDataTable[[#This Row],[Current Price ($)]]-PricingDataTable[[#This Row],[Prior Price ($)]])/PricingDataTable[[#This Row],[Prior Price ($)]]</f>
        <v>4.6476457998550878E-4</v>
      </c>
      <c r="L1274" s="9">
        <f>(PricingDataTable[[#This Row],[Vendor Price ($)]]-PricingDataTable[[#This Row],[Current Price ($)]])/PricingDataTable[[#This Row],[Current Price ($)]]</f>
        <v>2.9001526166175734E-3</v>
      </c>
      <c r="M1274" t="str">
        <f t="shared" si="38"/>
        <v>PASS</v>
      </c>
      <c r="N1274" s="10" t="str">
        <f t="shared" si="39"/>
        <v>NONE</v>
      </c>
    </row>
    <row r="1275" spans="1:14">
      <c r="A1275" s="4" t="s">
        <v>2566</v>
      </c>
      <c r="B1275" s="4" t="s">
        <v>2567</v>
      </c>
      <c r="C1275" s="4" t="s">
        <v>12</v>
      </c>
      <c r="D1275" s="4" t="s">
        <v>13</v>
      </c>
      <c r="E1275" s="5">
        <v>96.423699999999997</v>
      </c>
      <c r="F1275" s="5">
        <v>98.274000000000001</v>
      </c>
      <c r="G1275" s="5">
        <v>97.991200000000006</v>
      </c>
      <c r="H1275" s="4">
        <v>1</v>
      </c>
      <c r="I1275" s="6">
        <v>2027988</v>
      </c>
      <c r="J1275" s="7">
        <v>896.51</v>
      </c>
      <c r="K1275" s="9">
        <f>(PricingDataTable[[#This Row],[Current Price ($)]]-PricingDataTable[[#This Row],[Prior Price ($)]])/PricingDataTable[[#This Row],[Prior Price ($)]]</f>
        <v>1.9189265709571447E-2</v>
      </c>
      <c r="L1275" s="9">
        <f>(PricingDataTable[[#This Row],[Vendor Price ($)]]-PricingDataTable[[#This Row],[Current Price ($)]])/PricingDataTable[[#This Row],[Current Price ($)]]</f>
        <v>-2.8776685593340516E-3</v>
      </c>
      <c r="M1275" t="str">
        <f t="shared" si="38"/>
        <v>PASS</v>
      </c>
      <c r="N1275" s="10" t="str">
        <f t="shared" si="39"/>
        <v>NONE</v>
      </c>
    </row>
    <row r="1276" spans="1:14">
      <c r="A1276" s="4" t="s">
        <v>2568</v>
      </c>
      <c r="B1276" s="4" t="s">
        <v>2569</v>
      </c>
      <c r="C1276" s="4" t="s">
        <v>12</v>
      </c>
      <c r="D1276" s="4" t="s">
        <v>13</v>
      </c>
      <c r="E1276" s="5">
        <v>119.48820000000001</v>
      </c>
      <c r="F1276" s="5">
        <v>119.6773</v>
      </c>
      <c r="G1276" s="5">
        <v>119.90819999999999</v>
      </c>
      <c r="H1276" s="4">
        <v>1</v>
      </c>
      <c r="I1276" s="6">
        <v>173060</v>
      </c>
      <c r="J1276" s="7">
        <v>2.7</v>
      </c>
      <c r="K1276" s="9">
        <f>(PricingDataTable[[#This Row],[Current Price ($)]]-PricingDataTable[[#This Row],[Prior Price ($)]])/PricingDataTable[[#This Row],[Prior Price ($)]]</f>
        <v>1.5825830500417301E-3</v>
      </c>
      <c r="L1276" s="9">
        <f>(PricingDataTable[[#This Row],[Vendor Price ($)]]-PricingDataTable[[#This Row],[Current Price ($)]])/PricingDataTable[[#This Row],[Current Price ($)]]</f>
        <v>1.9293550238849908E-3</v>
      </c>
      <c r="M1276" t="str">
        <f t="shared" si="38"/>
        <v>PASS</v>
      </c>
      <c r="N1276" s="10" t="str">
        <f t="shared" si="39"/>
        <v>NONE</v>
      </c>
    </row>
    <row r="1277" spans="1:14">
      <c r="A1277" s="4" t="s">
        <v>2570</v>
      </c>
      <c r="B1277" s="4" t="s">
        <v>2571</v>
      </c>
      <c r="C1277" s="4" t="s">
        <v>16</v>
      </c>
      <c r="D1277" s="4" t="s">
        <v>64</v>
      </c>
      <c r="E1277" s="5">
        <v>82.858800000000002</v>
      </c>
      <c r="F1277" s="5">
        <v>82.530199999999994</v>
      </c>
      <c r="G1277" s="5">
        <v>82.683400000000006</v>
      </c>
      <c r="H1277" s="4">
        <v>0</v>
      </c>
      <c r="I1277" s="6">
        <v>2140966</v>
      </c>
      <c r="J1277" s="7">
        <v>117.18</v>
      </c>
      <c r="K1277" s="9">
        <f>(PricingDataTable[[#This Row],[Current Price ($)]]-PricingDataTable[[#This Row],[Prior Price ($)]])/PricingDataTable[[#This Row],[Prior Price ($)]]</f>
        <v>-3.9657827533105556E-3</v>
      </c>
      <c r="L1277" s="9">
        <f>(PricingDataTable[[#This Row],[Vendor Price ($)]]-PricingDataTable[[#This Row],[Current Price ($)]])/PricingDataTable[[#This Row],[Current Price ($)]]</f>
        <v>1.8562901822607052E-3</v>
      </c>
      <c r="M1277" t="str">
        <f t="shared" si="38"/>
        <v>PASS</v>
      </c>
      <c r="N1277" s="10" t="str">
        <f t="shared" si="39"/>
        <v>NONE</v>
      </c>
    </row>
    <row r="1278" spans="1:14">
      <c r="A1278" s="4" t="s">
        <v>2572</v>
      </c>
      <c r="B1278" s="4" t="s">
        <v>2573</v>
      </c>
      <c r="C1278" s="4" t="s">
        <v>19</v>
      </c>
      <c r="D1278" s="4" t="s">
        <v>13</v>
      </c>
      <c r="E1278" s="5">
        <v>95.131699999999995</v>
      </c>
      <c r="F1278" s="5">
        <v>93.735799999999998</v>
      </c>
      <c r="G1278" s="5">
        <v>93.540800000000004</v>
      </c>
      <c r="H1278" s="4">
        <v>1</v>
      </c>
      <c r="I1278" s="6">
        <v>2777880</v>
      </c>
      <c r="J1278" s="7">
        <v>770.44</v>
      </c>
      <c r="K1278" s="9">
        <f>(PricingDataTable[[#This Row],[Current Price ($)]]-PricingDataTable[[#This Row],[Prior Price ($)]])/PricingDataTable[[#This Row],[Prior Price ($)]]</f>
        <v>-1.4673342324377652E-2</v>
      </c>
      <c r="L1278" s="9">
        <f>(PricingDataTable[[#This Row],[Vendor Price ($)]]-PricingDataTable[[#This Row],[Current Price ($)]])/PricingDataTable[[#This Row],[Current Price ($)]]</f>
        <v>-2.0803150983934975E-3</v>
      </c>
      <c r="M1278" t="str">
        <f t="shared" si="38"/>
        <v>PASS</v>
      </c>
      <c r="N1278" s="10" t="str">
        <f t="shared" si="39"/>
        <v>NONE</v>
      </c>
    </row>
    <row r="1279" spans="1:14">
      <c r="A1279" s="4" t="s">
        <v>2574</v>
      </c>
      <c r="B1279" s="4" t="s">
        <v>2575</v>
      </c>
      <c r="C1279" s="4" t="s">
        <v>39</v>
      </c>
      <c r="D1279" s="4" t="s">
        <v>13</v>
      </c>
      <c r="E1279" s="5">
        <v>21.623200000000001</v>
      </c>
      <c r="F1279" s="5">
        <v>21.837800000000001</v>
      </c>
      <c r="G1279" s="5">
        <v>21.7958</v>
      </c>
      <c r="H1279" s="4">
        <v>0</v>
      </c>
      <c r="I1279" s="6">
        <v>3473921</v>
      </c>
      <c r="J1279" s="7">
        <v>459.49</v>
      </c>
      <c r="K1279" s="9">
        <f>(PricingDataTable[[#This Row],[Current Price ($)]]-PricingDataTable[[#This Row],[Prior Price ($)]])/PricingDataTable[[#This Row],[Prior Price ($)]]</f>
        <v>9.9245255096378319E-3</v>
      </c>
      <c r="L1279" s="9">
        <f>(PricingDataTable[[#This Row],[Vendor Price ($)]]-PricingDataTable[[#This Row],[Current Price ($)]])/PricingDataTable[[#This Row],[Current Price ($)]]</f>
        <v>-1.9232706591324029E-3</v>
      </c>
      <c r="M1279" t="str">
        <f t="shared" si="38"/>
        <v>PASS</v>
      </c>
      <c r="N1279" s="10" t="str">
        <f t="shared" si="39"/>
        <v>NONE</v>
      </c>
    </row>
    <row r="1280" spans="1:14">
      <c r="A1280" s="4" t="s">
        <v>2576</v>
      </c>
      <c r="B1280" s="4" t="s">
        <v>2577</v>
      </c>
      <c r="C1280" s="4" t="s">
        <v>19</v>
      </c>
      <c r="D1280" s="4" t="s">
        <v>36</v>
      </c>
      <c r="E1280" s="5">
        <v>38.228099999999998</v>
      </c>
      <c r="F1280" s="5">
        <v>37.975700000000003</v>
      </c>
      <c r="G1280" s="5">
        <v>38.025799999999997</v>
      </c>
      <c r="H1280" s="4">
        <v>0</v>
      </c>
      <c r="I1280" s="6">
        <v>3830722</v>
      </c>
      <c r="J1280" s="7">
        <v>300.81</v>
      </c>
      <c r="K1280" s="9">
        <f>(PricingDataTable[[#This Row],[Current Price ($)]]-PricingDataTable[[#This Row],[Prior Price ($)]])/PricingDataTable[[#This Row],[Prior Price ($)]]</f>
        <v>-6.6024730499290949E-3</v>
      </c>
      <c r="L1280" s="9">
        <f>(PricingDataTable[[#This Row],[Vendor Price ($)]]-PricingDataTable[[#This Row],[Current Price ($)]])/PricingDataTable[[#This Row],[Current Price ($)]]</f>
        <v>1.3192646876816851E-3</v>
      </c>
      <c r="M1280" t="str">
        <f t="shared" si="38"/>
        <v>PASS</v>
      </c>
      <c r="N1280" s="10" t="str">
        <f t="shared" si="39"/>
        <v>NONE</v>
      </c>
    </row>
    <row r="1281" spans="1:14">
      <c r="A1281" s="4" t="s">
        <v>2578</v>
      </c>
      <c r="B1281" s="4" t="s">
        <v>2579</v>
      </c>
      <c r="C1281" s="4" t="s">
        <v>39</v>
      </c>
      <c r="D1281" s="4" t="s">
        <v>13</v>
      </c>
      <c r="E1281" s="5">
        <v>118.5609</v>
      </c>
      <c r="F1281" s="5">
        <v>117.7244</v>
      </c>
      <c r="G1281" s="5">
        <v>117.6337</v>
      </c>
      <c r="H1281" s="4">
        <v>1</v>
      </c>
      <c r="I1281" s="6">
        <v>1938308</v>
      </c>
      <c r="J1281" s="7">
        <v>857.94</v>
      </c>
      <c r="K1281" s="9">
        <f>(PricingDataTable[[#This Row],[Current Price ($)]]-PricingDataTable[[#This Row],[Prior Price ($)]])/PricingDataTable[[#This Row],[Prior Price ($)]]</f>
        <v>-7.0554457666903748E-3</v>
      </c>
      <c r="L1281" s="9">
        <f>(PricingDataTable[[#This Row],[Vendor Price ($)]]-PricingDataTable[[#This Row],[Current Price ($)]])/PricingDataTable[[#This Row],[Current Price ($)]]</f>
        <v>-7.704435104362241E-4</v>
      </c>
      <c r="M1281" t="str">
        <f t="shared" si="38"/>
        <v>PASS</v>
      </c>
      <c r="N1281" s="10" t="str">
        <f t="shared" si="39"/>
        <v>NONE</v>
      </c>
    </row>
    <row r="1282" spans="1:14">
      <c r="A1282" s="4" t="s">
        <v>2580</v>
      </c>
      <c r="B1282" s="4" t="s">
        <v>2581</v>
      </c>
      <c r="C1282" s="4" t="s">
        <v>12</v>
      </c>
      <c r="D1282" s="4" t="s">
        <v>64</v>
      </c>
      <c r="E1282" s="5">
        <v>114.867</v>
      </c>
      <c r="F1282" s="5">
        <v>115.4372</v>
      </c>
      <c r="G1282" s="5">
        <v>115.3105</v>
      </c>
      <c r="H1282" s="4">
        <v>0</v>
      </c>
      <c r="I1282" s="6">
        <v>207897</v>
      </c>
      <c r="J1282" s="7">
        <v>625.47</v>
      </c>
      <c r="K1282" s="9">
        <f>(PricingDataTable[[#This Row],[Current Price ($)]]-PricingDataTable[[#This Row],[Prior Price ($)]])/PricingDataTable[[#This Row],[Prior Price ($)]]</f>
        <v>4.96400184561275E-3</v>
      </c>
      <c r="L1282" s="9">
        <f>(PricingDataTable[[#This Row],[Vendor Price ($)]]-PricingDataTable[[#This Row],[Current Price ($)]])/PricingDataTable[[#This Row],[Current Price ($)]]</f>
        <v>-1.0975664690411721E-3</v>
      </c>
      <c r="M1282" t="str">
        <f t="shared" ref="M1282:M1345" si="40">IF(OR(F1282="",F1282=0),"MISSING",IF(H1282&gt;=3,"STALE",IF(ABS(K1282)&gt;=5%,"LARGE MOVE",IF(ABS(L1282)&gt;=2%,"VENDOR DIFFERENCE","PASS"))))</f>
        <v>PASS</v>
      </c>
      <c r="N1282" s="10" t="str">
        <f t="shared" ref="N1282:N1345" si="41">IF(M1282="PASS","NONE",IF(M1282="MISSING","HIGH",IF(OR(ABS(K1282)&gt;=10%,ABS(L1282)&gt;=5%),"HIGH",IF(OR(ABS(K1282)&gt;=7%,ABS(L1282)&gt;=3%,H1282&gt;=5),"MEDIUM","LOW"))))</f>
        <v>NONE</v>
      </c>
    </row>
    <row r="1283" spans="1:14">
      <c r="A1283" s="4" t="s">
        <v>2582</v>
      </c>
      <c r="B1283" s="4" t="s">
        <v>2583</v>
      </c>
      <c r="C1283" s="4" t="s">
        <v>35</v>
      </c>
      <c r="D1283" s="4" t="s">
        <v>13</v>
      </c>
      <c r="E1283" s="5">
        <v>144.6053</v>
      </c>
      <c r="F1283" s="5">
        <v>145.2824</v>
      </c>
      <c r="G1283" s="5">
        <v>135.43430000000001</v>
      </c>
      <c r="H1283" s="4">
        <v>4</v>
      </c>
      <c r="I1283" s="6">
        <v>1434753</v>
      </c>
      <c r="J1283" s="7">
        <v>60.96</v>
      </c>
      <c r="K1283" s="9">
        <f>(PricingDataTable[[#This Row],[Current Price ($)]]-PricingDataTable[[#This Row],[Prior Price ($)]])/PricingDataTable[[#This Row],[Prior Price ($)]]</f>
        <v>4.6824009908350232E-3</v>
      </c>
      <c r="L1283" s="9">
        <f>(PricingDataTable[[#This Row],[Vendor Price ($)]]-PricingDataTable[[#This Row],[Current Price ($)]])/PricingDataTable[[#This Row],[Current Price ($)]]</f>
        <v>-6.7785912127002232E-2</v>
      </c>
      <c r="M1283" t="str">
        <f t="shared" si="40"/>
        <v>STALE</v>
      </c>
      <c r="N1283" s="10" t="str">
        <f t="shared" si="41"/>
        <v>HIGH</v>
      </c>
    </row>
    <row r="1284" spans="1:14">
      <c r="A1284" s="4" t="s">
        <v>2584</v>
      </c>
      <c r="B1284" s="4" t="s">
        <v>2585</v>
      </c>
      <c r="C1284" s="4" t="s">
        <v>16</v>
      </c>
      <c r="D1284" s="4" t="s">
        <v>36</v>
      </c>
      <c r="E1284" s="5">
        <v>111.1395</v>
      </c>
      <c r="F1284" s="5">
        <v>110.46939999999999</v>
      </c>
      <c r="G1284" s="5">
        <v>110.0752</v>
      </c>
      <c r="H1284" s="4">
        <v>0</v>
      </c>
      <c r="I1284" s="6">
        <v>4616731</v>
      </c>
      <c r="J1284" s="7">
        <v>495.63</v>
      </c>
      <c r="K1284" s="9">
        <f>(PricingDataTable[[#This Row],[Current Price ($)]]-PricingDataTable[[#This Row],[Prior Price ($)]])/PricingDataTable[[#This Row],[Prior Price ($)]]</f>
        <v>-6.0293594986481408E-3</v>
      </c>
      <c r="L1284" s="9">
        <f>(PricingDataTable[[#This Row],[Vendor Price ($)]]-PricingDataTable[[#This Row],[Current Price ($)]])/PricingDataTable[[#This Row],[Current Price ($)]]</f>
        <v>-3.5684089892766497E-3</v>
      </c>
      <c r="M1284" t="str">
        <f t="shared" si="40"/>
        <v>PASS</v>
      </c>
      <c r="N1284" s="10" t="str">
        <f t="shared" si="41"/>
        <v>NONE</v>
      </c>
    </row>
    <row r="1285" spans="1:14">
      <c r="A1285" s="4" t="s">
        <v>2586</v>
      </c>
      <c r="B1285" s="4" t="s">
        <v>2587</v>
      </c>
      <c r="C1285" s="4" t="s">
        <v>35</v>
      </c>
      <c r="D1285" s="4" t="s">
        <v>13</v>
      </c>
      <c r="E1285" s="5">
        <v>84.547499999999999</v>
      </c>
      <c r="F1285" s="5">
        <v>85.152900000000002</v>
      </c>
      <c r="G1285" s="5">
        <v>85.126599999999996</v>
      </c>
      <c r="H1285" s="4">
        <v>0</v>
      </c>
      <c r="I1285" s="6">
        <v>2850353</v>
      </c>
      <c r="J1285" s="7">
        <v>825.47</v>
      </c>
      <c r="K1285" s="9">
        <f>(PricingDataTable[[#This Row],[Current Price ($)]]-PricingDataTable[[#This Row],[Prior Price ($)]])/PricingDataTable[[#This Row],[Prior Price ($)]]</f>
        <v>7.1604719240663892E-3</v>
      </c>
      <c r="L1285" s="9">
        <f>(PricingDataTable[[#This Row],[Vendor Price ($)]]-PricingDataTable[[#This Row],[Current Price ($)]])/PricingDataTable[[#This Row],[Current Price ($)]]</f>
        <v>-3.0885618692970185E-4</v>
      </c>
      <c r="M1285" t="str">
        <f t="shared" si="40"/>
        <v>PASS</v>
      </c>
      <c r="N1285" s="10" t="str">
        <f t="shared" si="41"/>
        <v>NONE</v>
      </c>
    </row>
    <row r="1286" spans="1:14">
      <c r="A1286" s="4" t="s">
        <v>2588</v>
      </c>
      <c r="B1286" s="4" t="s">
        <v>2589</v>
      </c>
      <c r="C1286" s="4" t="s">
        <v>39</v>
      </c>
      <c r="D1286" s="4" t="s">
        <v>13</v>
      </c>
      <c r="E1286" s="5">
        <v>301.46339999999998</v>
      </c>
      <c r="F1286" s="5">
        <v>310.64170000000001</v>
      </c>
      <c r="G1286" s="5">
        <v>311.70339999999999</v>
      </c>
      <c r="H1286" s="4">
        <v>2</v>
      </c>
      <c r="I1286" s="6">
        <v>4271342</v>
      </c>
      <c r="J1286" s="7">
        <v>248.64</v>
      </c>
      <c r="K1286" s="9">
        <f>(PricingDataTable[[#This Row],[Current Price ($)]]-PricingDataTable[[#This Row],[Prior Price ($)]])/PricingDataTable[[#This Row],[Prior Price ($)]]</f>
        <v>3.0445818630056042E-2</v>
      </c>
      <c r="L1286" s="9">
        <f>(PricingDataTable[[#This Row],[Vendor Price ($)]]-PricingDataTable[[#This Row],[Current Price ($)]])/PricingDataTable[[#This Row],[Current Price ($)]]</f>
        <v>3.4177639383250009E-3</v>
      </c>
      <c r="M1286" t="str">
        <f t="shared" si="40"/>
        <v>PASS</v>
      </c>
      <c r="N1286" s="10" t="str">
        <f t="shared" si="41"/>
        <v>NONE</v>
      </c>
    </row>
    <row r="1287" spans="1:14">
      <c r="A1287" s="4" t="s">
        <v>2590</v>
      </c>
      <c r="B1287" s="4" t="s">
        <v>2591</v>
      </c>
      <c r="C1287" s="4" t="s">
        <v>12</v>
      </c>
      <c r="D1287" s="4" t="s">
        <v>237</v>
      </c>
      <c r="E1287" s="5">
        <v>81.905100000000004</v>
      </c>
      <c r="F1287" s="5">
        <v>69.941900000000004</v>
      </c>
      <c r="G1287" s="5">
        <v>69.706599999999995</v>
      </c>
      <c r="H1287" s="4">
        <v>0</v>
      </c>
      <c r="I1287" s="6">
        <v>1918958</v>
      </c>
      <c r="J1287" s="7">
        <v>121.92</v>
      </c>
      <c r="K1287" s="9">
        <f>(PricingDataTable[[#This Row],[Current Price ($)]]-PricingDataTable[[#This Row],[Prior Price ($)]])/PricingDataTable[[#This Row],[Prior Price ($)]]</f>
        <v>-0.14606172265219139</v>
      </c>
      <c r="L1287" s="9">
        <f>(PricingDataTable[[#This Row],[Vendor Price ($)]]-PricingDataTable[[#This Row],[Current Price ($)]])/PricingDataTable[[#This Row],[Current Price ($)]]</f>
        <v>-3.3642208747547519E-3</v>
      </c>
      <c r="M1287" t="str">
        <f t="shared" si="40"/>
        <v>LARGE MOVE</v>
      </c>
      <c r="N1287" s="10" t="str">
        <f t="shared" si="41"/>
        <v>HIGH</v>
      </c>
    </row>
    <row r="1288" spans="1:14">
      <c r="A1288" s="4" t="s">
        <v>2592</v>
      </c>
      <c r="B1288" s="4" t="s">
        <v>2593</v>
      </c>
      <c r="C1288" s="4" t="s">
        <v>19</v>
      </c>
      <c r="D1288" s="4" t="s">
        <v>13</v>
      </c>
      <c r="E1288" s="5">
        <v>174.64789999999999</v>
      </c>
      <c r="F1288" s="5">
        <v>174.38829999999999</v>
      </c>
      <c r="G1288" s="5">
        <v>174.74299999999999</v>
      </c>
      <c r="H1288" s="4">
        <v>0</v>
      </c>
      <c r="I1288" s="6">
        <v>3020072</v>
      </c>
      <c r="J1288" s="7">
        <v>519.63</v>
      </c>
      <c r="K1288" s="9">
        <f>(PricingDataTable[[#This Row],[Current Price ($)]]-PricingDataTable[[#This Row],[Prior Price ($)]])/PricingDataTable[[#This Row],[Prior Price ($)]]</f>
        <v>-1.4864192469534764E-3</v>
      </c>
      <c r="L1288" s="9">
        <f>(PricingDataTable[[#This Row],[Vendor Price ($)]]-PricingDataTable[[#This Row],[Current Price ($)]])/PricingDataTable[[#This Row],[Current Price ($)]]</f>
        <v>2.033966728272529E-3</v>
      </c>
      <c r="M1288" t="str">
        <f t="shared" si="40"/>
        <v>PASS</v>
      </c>
      <c r="N1288" s="10" t="str">
        <f t="shared" si="41"/>
        <v>NONE</v>
      </c>
    </row>
    <row r="1289" spans="1:14">
      <c r="A1289" s="4" t="s">
        <v>2594</v>
      </c>
      <c r="B1289" s="4" t="s">
        <v>2595</v>
      </c>
      <c r="C1289" s="4" t="s">
        <v>12</v>
      </c>
      <c r="D1289" s="4" t="s">
        <v>13</v>
      </c>
      <c r="E1289" s="5">
        <v>111.786</v>
      </c>
      <c r="F1289" s="5">
        <v>111.7191</v>
      </c>
      <c r="G1289" s="5">
        <v>111.5448</v>
      </c>
      <c r="H1289" s="4">
        <v>0</v>
      </c>
      <c r="I1289" s="6">
        <v>1101589</v>
      </c>
      <c r="J1289" s="7">
        <v>117.7</v>
      </c>
      <c r="K1289" s="9">
        <f>(PricingDataTable[[#This Row],[Current Price ($)]]-PricingDataTable[[#This Row],[Prior Price ($)]])/PricingDataTable[[#This Row],[Prior Price ($)]]</f>
        <v>-5.9846492405134775E-4</v>
      </c>
      <c r="L1289" s="9">
        <f>(PricingDataTable[[#This Row],[Vendor Price ($)]]-PricingDataTable[[#This Row],[Current Price ($)]])/PricingDataTable[[#This Row],[Current Price ($)]]</f>
        <v>-1.5601629443846429E-3</v>
      </c>
      <c r="M1289" t="str">
        <f t="shared" si="40"/>
        <v>PASS</v>
      </c>
      <c r="N1289" s="10" t="str">
        <f t="shared" si="41"/>
        <v>NONE</v>
      </c>
    </row>
    <row r="1290" spans="1:14">
      <c r="A1290" s="4" t="s">
        <v>2596</v>
      </c>
      <c r="B1290" s="4" t="s">
        <v>2597</v>
      </c>
      <c r="C1290" s="4" t="s">
        <v>16</v>
      </c>
      <c r="D1290" s="4" t="s">
        <v>36</v>
      </c>
      <c r="E1290" s="5">
        <v>109.7726</v>
      </c>
      <c r="F1290" s="5">
        <v>110.7868</v>
      </c>
      <c r="G1290" s="5">
        <v>110.9808</v>
      </c>
      <c r="H1290" s="4">
        <v>1</v>
      </c>
      <c r="I1290" s="6">
        <v>395556</v>
      </c>
      <c r="J1290" s="7">
        <v>366.56</v>
      </c>
      <c r="K1290" s="9">
        <f>(PricingDataTable[[#This Row],[Current Price ($)]]-PricingDataTable[[#This Row],[Prior Price ($)]])/PricingDataTable[[#This Row],[Prior Price ($)]]</f>
        <v>9.2390997389148327E-3</v>
      </c>
      <c r="L1290" s="9">
        <f>(PricingDataTable[[#This Row],[Vendor Price ($)]]-PricingDataTable[[#This Row],[Current Price ($)]])/PricingDataTable[[#This Row],[Current Price ($)]]</f>
        <v>1.7511111432048098E-3</v>
      </c>
      <c r="M1290" t="str">
        <f t="shared" si="40"/>
        <v>PASS</v>
      </c>
      <c r="N1290" s="10" t="str">
        <f t="shared" si="41"/>
        <v>NONE</v>
      </c>
    </row>
    <row r="1291" spans="1:14">
      <c r="A1291" s="4" t="s">
        <v>2598</v>
      </c>
      <c r="B1291" s="4" t="s">
        <v>2599</v>
      </c>
      <c r="C1291" s="4" t="s">
        <v>19</v>
      </c>
      <c r="D1291" s="4" t="s">
        <v>237</v>
      </c>
      <c r="E1291" s="5">
        <v>27.6449</v>
      </c>
      <c r="F1291" s="5">
        <v>27.548300000000001</v>
      </c>
      <c r="G1291" s="5">
        <v>27.439800000000002</v>
      </c>
      <c r="H1291" s="4">
        <v>0</v>
      </c>
      <c r="I1291" s="6">
        <v>4507939</v>
      </c>
      <c r="J1291" s="7">
        <v>201.98</v>
      </c>
      <c r="K1291" s="9">
        <f>(PricingDataTable[[#This Row],[Current Price ($)]]-PricingDataTable[[#This Row],[Prior Price ($)]])/PricingDataTable[[#This Row],[Prior Price ($)]]</f>
        <v>-3.4943154071817475E-3</v>
      </c>
      <c r="L1291" s="9">
        <f>(PricingDataTable[[#This Row],[Vendor Price ($)]]-PricingDataTable[[#This Row],[Current Price ($)]])/PricingDataTable[[#This Row],[Current Price ($)]]</f>
        <v>-3.9385370422131086E-3</v>
      </c>
      <c r="M1291" t="str">
        <f t="shared" si="40"/>
        <v>PASS</v>
      </c>
      <c r="N1291" s="10" t="str">
        <f t="shared" si="41"/>
        <v>NONE</v>
      </c>
    </row>
    <row r="1292" spans="1:14">
      <c r="A1292" s="4" t="s">
        <v>2600</v>
      </c>
      <c r="B1292" s="4" t="s">
        <v>2601</v>
      </c>
      <c r="C1292" s="4" t="s">
        <v>12</v>
      </c>
      <c r="D1292" s="4" t="s">
        <v>237</v>
      </c>
      <c r="E1292" s="5">
        <v>79.482900000000001</v>
      </c>
      <c r="F1292" s="5">
        <v>78.765600000000006</v>
      </c>
      <c r="G1292" s="5">
        <v>78.371099999999998</v>
      </c>
      <c r="H1292" s="4">
        <v>0</v>
      </c>
      <c r="I1292" s="6">
        <v>1335806</v>
      </c>
      <c r="J1292" s="7">
        <v>523.91999999999996</v>
      </c>
      <c r="K1292" s="9">
        <f>(PricingDataTable[[#This Row],[Current Price ($)]]-PricingDataTable[[#This Row],[Prior Price ($)]])/PricingDataTable[[#This Row],[Prior Price ($)]]</f>
        <v>-9.024582646078522E-3</v>
      </c>
      <c r="L1292" s="9">
        <f>(PricingDataTable[[#This Row],[Vendor Price ($)]]-PricingDataTable[[#This Row],[Current Price ($)]])/PricingDataTable[[#This Row],[Current Price ($)]]</f>
        <v>-5.0085316432555305E-3</v>
      </c>
      <c r="M1292" t="str">
        <f t="shared" si="40"/>
        <v>PASS</v>
      </c>
      <c r="N1292" s="10" t="str">
        <f t="shared" si="41"/>
        <v>NONE</v>
      </c>
    </row>
    <row r="1293" spans="1:14">
      <c r="A1293" s="4" t="s">
        <v>2602</v>
      </c>
      <c r="B1293" s="4" t="s">
        <v>2603</v>
      </c>
      <c r="C1293" s="4" t="s">
        <v>19</v>
      </c>
      <c r="D1293" s="4" t="s">
        <v>32</v>
      </c>
      <c r="E1293" s="5">
        <v>98.175399999999996</v>
      </c>
      <c r="F1293" s="5">
        <v>99.2363</v>
      </c>
      <c r="G1293" s="5">
        <v>98.8262</v>
      </c>
      <c r="H1293" s="4">
        <v>0</v>
      </c>
      <c r="I1293" s="6">
        <v>1704089</v>
      </c>
      <c r="J1293" s="7">
        <v>845.01</v>
      </c>
      <c r="K1293" s="9">
        <f>(PricingDataTable[[#This Row],[Current Price ($)]]-PricingDataTable[[#This Row],[Prior Price ($)]])/PricingDataTable[[#This Row],[Prior Price ($)]]</f>
        <v>1.0806169366256758E-2</v>
      </c>
      <c r="L1293" s="9">
        <f>(PricingDataTable[[#This Row],[Vendor Price ($)]]-PricingDataTable[[#This Row],[Current Price ($)]])/PricingDataTable[[#This Row],[Current Price ($)]]</f>
        <v>-4.1325603634960184E-3</v>
      </c>
      <c r="M1293" t="str">
        <f t="shared" si="40"/>
        <v>PASS</v>
      </c>
      <c r="N1293" s="10" t="str">
        <f t="shared" si="41"/>
        <v>NONE</v>
      </c>
    </row>
    <row r="1294" spans="1:14">
      <c r="A1294" s="4" t="s">
        <v>2604</v>
      </c>
      <c r="B1294" s="4" t="s">
        <v>2605</v>
      </c>
      <c r="C1294" s="4" t="s">
        <v>19</v>
      </c>
      <c r="D1294" s="4" t="s">
        <v>13</v>
      </c>
      <c r="E1294" s="5">
        <v>146.80510000000001</v>
      </c>
      <c r="F1294" s="5">
        <v>150.2817</v>
      </c>
      <c r="G1294" s="5">
        <v>149.49529999999999</v>
      </c>
      <c r="H1294" s="4">
        <v>0</v>
      </c>
      <c r="I1294" s="6">
        <v>341404</v>
      </c>
      <c r="J1294" s="7">
        <v>344.97</v>
      </c>
      <c r="K1294" s="9">
        <f>(PricingDataTable[[#This Row],[Current Price ($)]]-PricingDataTable[[#This Row],[Prior Price ($)]])/PricingDataTable[[#This Row],[Prior Price ($)]]</f>
        <v>2.3681738577201954E-2</v>
      </c>
      <c r="L1294" s="9">
        <f>(PricingDataTable[[#This Row],[Vendor Price ($)]]-PricingDataTable[[#This Row],[Current Price ($)]])/PricingDataTable[[#This Row],[Current Price ($)]]</f>
        <v>-5.2328393942842983E-3</v>
      </c>
      <c r="M1294" t="str">
        <f t="shared" si="40"/>
        <v>PASS</v>
      </c>
      <c r="N1294" s="10" t="str">
        <f t="shared" si="41"/>
        <v>NONE</v>
      </c>
    </row>
    <row r="1295" spans="1:14">
      <c r="A1295" s="4" t="s">
        <v>2606</v>
      </c>
      <c r="B1295" s="4" t="s">
        <v>2607</v>
      </c>
      <c r="C1295" s="4" t="s">
        <v>35</v>
      </c>
      <c r="D1295" s="4" t="s">
        <v>13</v>
      </c>
      <c r="E1295" s="5">
        <v>93.161799999999999</v>
      </c>
      <c r="F1295" s="5">
        <v>92.330100000000002</v>
      </c>
      <c r="G1295" s="5">
        <v>92.492599999999996</v>
      </c>
      <c r="H1295" s="4">
        <v>1</v>
      </c>
      <c r="I1295" s="6">
        <v>3700168</v>
      </c>
      <c r="J1295" s="7">
        <v>868.79</v>
      </c>
      <c r="K1295" s="9">
        <f>(PricingDataTable[[#This Row],[Current Price ($)]]-PricingDataTable[[#This Row],[Prior Price ($)]])/PricingDataTable[[#This Row],[Prior Price ($)]]</f>
        <v>-8.9274788593607882E-3</v>
      </c>
      <c r="L1295" s="9">
        <f>(PricingDataTable[[#This Row],[Vendor Price ($)]]-PricingDataTable[[#This Row],[Current Price ($)]])/PricingDataTable[[#This Row],[Current Price ($)]]</f>
        <v>1.7599894292326587E-3</v>
      </c>
      <c r="M1295" t="str">
        <f t="shared" si="40"/>
        <v>PASS</v>
      </c>
      <c r="N1295" s="10" t="str">
        <f t="shared" si="41"/>
        <v>NONE</v>
      </c>
    </row>
    <row r="1296" spans="1:14">
      <c r="A1296" s="4" t="s">
        <v>2608</v>
      </c>
      <c r="B1296" s="4" t="s">
        <v>2609</v>
      </c>
      <c r="C1296" s="4" t="s">
        <v>12</v>
      </c>
      <c r="D1296" s="4" t="s">
        <v>13</v>
      </c>
      <c r="E1296" s="5">
        <v>84.428200000000004</v>
      </c>
      <c r="F1296" s="5">
        <v>91.216899999999995</v>
      </c>
      <c r="G1296" s="5">
        <v>91.497500000000002</v>
      </c>
      <c r="H1296" s="4">
        <v>2</v>
      </c>
      <c r="I1296" s="6">
        <v>986419</v>
      </c>
      <c r="J1296" s="7">
        <v>79.8</v>
      </c>
      <c r="K1296" s="9">
        <f>(PricingDataTable[[#This Row],[Current Price ($)]]-PricingDataTable[[#This Row],[Prior Price ($)]])/PricingDataTable[[#This Row],[Prior Price ($)]]</f>
        <v>8.040796795383523E-2</v>
      </c>
      <c r="L1296" s="9">
        <f>(PricingDataTable[[#This Row],[Vendor Price ($)]]-PricingDataTable[[#This Row],[Current Price ($)]])/PricingDataTable[[#This Row],[Current Price ($)]]</f>
        <v>3.0761843474181524E-3</v>
      </c>
      <c r="M1296" t="str">
        <f t="shared" si="40"/>
        <v>LARGE MOVE</v>
      </c>
      <c r="N1296" s="10" t="str">
        <f t="shared" si="41"/>
        <v>MEDIUM</v>
      </c>
    </row>
    <row r="1297" spans="1:14">
      <c r="A1297" s="4" t="s">
        <v>2610</v>
      </c>
      <c r="B1297" s="4" t="s">
        <v>2611</v>
      </c>
      <c r="C1297" s="4" t="s">
        <v>19</v>
      </c>
      <c r="D1297" s="4" t="s">
        <v>13</v>
      </c>
      <c r="E1297" s="5">
        <v>55.006300000000003</v>
      </c>
      <c r="F1297" s="5">
        <v>55.293900000000001</v>
      </c>
      <c r="G1297" s="5">
        <v>55.16</v>
      </c>
      <c r="H1297" s="4">
        <v>0</v>
      </c>
      <c r="I1297" s="6">
        <v>4306353</v>
      </c>
      <c r="J1297" s="7">
        <v>572.67999999999995</v>
      </c>
      <c r="K1297" s="9">
        <f>(PricingDataTable[[#This Row],[Current Price ($)]]-PricingDataTable[[#This Row],[Prior Price ($)]])/PricingDataTable[[#This Row],[Prior Price ($)]]</f>
        <v>5.2284920090970967E-3</v>
      </c>
      <c r="L1297" s="9">
        <f>(PricingDataTable[[#This Row],[Vendor Price ($)]]-PricingDataTable[[#This Row],[Current Price ($)]])/PricingDataTable[[#This Row],[Current Price ($)]]</f>
        <v>-2.421605276531482E-3</v>
      </c>
      <c r="M1297" t="str">
        <f t="shared" si="40"/>
        <v>PASS</v>
      </c>
      <c r="N1297" s="10" t="str">
        <f t="shared" si="41"/>
        <v>NONE</v>
      </c>
    </row>
    <row r="1298" spans="1:14">
      <c r="A1298" s="4" t="s">
        <v>2612</v>
      </c>
      <c r="B1298" s="4" t="s">
        <v>2613</v>
      </c>
      <c r="C1298" s="4" t="s">
        <v>39</v>
      </c>
      <c r="D1298" s="4" t="s">
        <v>36</v>
      </c>
      <c r="E1298" s="5">
        <v>211.1885</v>
      </c>
      <c r="F1298" s="5">
        <v>210.74610000000001</v>
      </c>
      <c r="G1298" s="5">
        <v>210.48089999999999</v>
      </c>
      <c r="H1298" s="4">
        <v>0</v>
      </c>
      <c r="I1298" s="6">
        <v>710973</v>
      </c>
      <c r="J1298" s="7">
        <v>592.28</v>
      </c>
      <c r="K1298" s="9">
        <f>(PricingDataTable[[#This Row],[Current Price ($)]]-PricingDataTable[[#This Row],[Prior Price ($)]])/PricingDataTable[[#This Row],[Prior Price ($)]]</f>
        <v>-2.0948110337446978E-3</v>
      </c>
      <c r="L1298" s="9">
        <f>(PricingDataTable[[#This Row],[Vendor Price ($)]]-PricingDataTable[[#This Row],[Current Price ($)]])/PricingDataTable[[#This Row],[Current Price ($)]]</f>
        <v>-1.2583862761874189E-3</v>
      </c>
      <c r="M1298" t="str">
        <f t="shared" si="40"/>
        <v>PASS</v>
      </c>
      <c r="N1298" s="10" t="str">
        <f t="shared" si="41"/>
        <v>NONE</v>
      </c>
    </row>
    <row r="1299" spans="1:14">
      <c r="A1299" s="4" t="s">
        <v>2614</v>
      </c>
      <c r="B1299" s="4" t="s">
        <v>2615</v>
      </c>
      <c r="C1299" s="4" t="s">
        <v>19</v>
      </c>
      <c r="D1299" s="4" t="s">
        <v>13</v>
      </c>
      <c r="E1299" s="5">
        <v>123.8817</v>
      </c>
      <c r="F1299" s="5">
        <v>123.93470000000001</v>
      </c>
      <c r="G1299" s="5">
        <v>124.1337</v>
      </c>
      <c r="H1299" s="4">
        <v>3</v>
      </c>
      <c r="I1299" s="6">
        <v>3068154</v>
      </c>
      <c r="J1299" s="7">
        <v>600.11</v>
      </c>
      <c r="K1299" s="9">
        <f>(PricingDataTable[[#This Row],[Current Price ($)]]-PricingDataTable[[#This Row],[Prior Price ($)]])/PricingDataTable[[#This Row],[Prior Price ($)]]</f>
        <v>4.2782751609003983E-4</v>
      </c>
      <c r="L1299" s="9">
        <f>(PricingDataTable[[#This Row],[Vendor Price ($)]]-PricingDataTable[[#This Row],[Current Price ($)]])/PricingDataTable[[#This Row],[Current Price ($)]]</f>
        <v>1.6056842837397279E-3</v>
      </c>
      <c r="M1299" t="str">
        <f t="shared" si="40"/>
        <v>STALE</v>
      </c>
      <c r="N1299" s="10" t="str">
        <f t="shared" si="41"/>
        <v>LOW</v>
      </c>
    </row>
    <row r="1300" spans="1:14">
      <c r="A1300" s="4" t="s">
        <v>2616</v>
      </c>
      <c r="B1300" s="4" t="s">
        <v>2617</v>
      </c>
      <c r="C1300" s="4" t="s">
        <v>19</v>
      </c>
      <c r="D1300" s="4" t="s">
        <v>13</v>
      </c>
      <c r="E1300" s="5">
        <v>332.63839999999999</v>
      </c>
      <c r="F1300" s="5">
        <v>333.64659999999998</v>
      </c>
      <c r="G1300" s="5">
        <v>333.56330000000003</v>
      </c>
      <c r="H1300" s="4">
        <v>1</v>
      </c>
      <c r="I1300" s="6">
        <v>4191178</v>
      </c>
      <c r="J1300" s="7">
        <v>365.22</v>
      </c>
      <c r="K1300" s="9">
        <f>(PricingDataTable[[#This Row],[Current Price ($)]]-PricingDataTable[[#This Row],[Prior Price ($)]])/PricingDataTable[[#This Row],[Prior Price ($)]]</f>
        <v>3.0309188596385384E-3</v>
      </c>
      <c r="L1300" s="9">
        <f>(PricingDataTable[[#This Row],[Vendor Price ($)]]-PricingDataTable[[#This Row],[Current Price ($)]])/PricingDataTable[[#This Row],[Current Price ($)]]</f>
        <v>-2.4966536449030658E-4</v>
      </c>
      <c r="M1300" t="str">
        <f t="shared" si="40"/>
        <v>PASS</v>
      </c>
      <c r="N1300" s="10" t="str">
        <f t="shared" si="41"/>
        <v>NONE</v>
      </c>
    </row>
    <row r="1301" spans="1:14">
      <c r="A1301" s="4" t="s">
        <v>2618</v>
      </c>
      <c r="B1301" s="4" t="s">
        <v>2619</v>
      </c>
      <c r="C1301" s="4" t="s">
        <v>16</v>
      </c>
      <c r="D1301" s="4" t="s">
        <v>13</v>
      </c>
      <c r="E1301" s="5">
        <v>111.3882</v>
      </c>
      <c r="F1301" s="5">
        <v>112.8763</v>
      </c>
      <c r="G1301" s="5">
        <v>112.657</v>
      </c>
      <c r="H1301" s="4">
        <v>0</v>
      </c>
      <c r="I1301" s="6">
        <v>2251253</v>
      </c>
      <c r="J1301" s="7">
        <v>649.63</v>
      </c>
      <c r="K1301" s="9">
        <f>(PricingDataTable[[#This Row],[Current Price ($)]]-PricingDataTable[[#This Row],[Prior Price ($)]])/PricingDataTable[[#This Row],[Prior Price ($)]]</f>
        <v>1.3359583869745653E-2</v>
      </c>
      <c r="L1301" s="9">
        <f>(PricingDataTable[[#This Row],[Vendor Price ($)]]-PricingDataTable[[#This Row],[Current Price ($)]])/PricingDataTable[[#This Row],[Current Price ($)]]</f>
        <v>-1.9428347669085896E-3</v>
      </c>
      <c r="M1301" t="str">
        <f t="shared" si="40"/>
        <v>PASS</v>
      </c>
      <c r="N1301" s="10" t="str">
        <f t="shared" si="41"/>
        <v>NONE</v>
      </c>
    </row>
    <row r="1302" spans="1:14">
      <c r="A1302" s="4" t="s">
        <v>2620</v>
      </c>
      <c r="B1302" s="4" t="s">
        <v>2621</v>
      </c>
      <c r="C1302" s="4" t="s">
        <v>35</v>
      </c>
      <c r="D1302" s="4" t="s">
        <v>13</v>
      </c>
      <c r="E1302" s="5">
        <v>44.7074</v>
      </c>
      <c r="F1302" s="5">
        <v>44.290199999999999</v>
      </c>
      <c r="G1302" s="5">
        <v>44.399299999999997</v>
      </c>
      <c r="H1302" s="4">
        <v>3</v>
      </c>
      <c r="I1302" s="6">
        <v>534365</v>
      </c>
      <c r="J1302" s="7">
        <v>387.93</v>
      </c>
      <c r="K1302" s="9">
        <f>(PricingDataTable[[#This Row],[Current Price ($)]]-PricingDataTable[[#This Row],[Prior Price ($)]])/PricingDataTable[[#This Row],[Prior Price ($)]]</f>
        <v>-9.3317884734965828E-3</v>
      </c>
      <c r="L1302" s="9">
        <f>(PricingDataTable[[#This Row],[Vendor Price ($)]]-PricingDataTable[[#This Row],[Current Price ($)]])/PricingDataTable[[#This Row],[Current Price ($)]]</f>
        <v>2.4632988787586865E-3</v>
      </c>
      <c r="M1302" t="str">
        <f t="shared" si="40"/>
        <v>STALE</v>
      </c>
      <c r="N1302" s="10" t="str">
        <f t="shared" si="41"/>
        <v>LOW</v>
      </c>
    </row>
    <row r="1303" spans="1:14">
      <c r="A1303" s="4" t="s">
        <v>2622</v>
      </c>
      <c r="B1303" s="4" t="s">
        <v>2623</v>
      </c>
      <c r="C1303" s="4" t="s">
        <v>19</v>
      </c>
      <c r="D1303" s="4" t="s">
        <v>13</v>
      </c>
      <c r="E1303" s="5">
        <v>134.51920000000001</v>
      </c>
      <c r="F1303" s="5">
        <v>131.07820000000001</v>
      </c>
      <c r="G1303" s="5">
        <v>130.88810000000001</v>
      </c>
      <c r="H1303" s="4">
        <v>3</v>
      </c>
      <c r="I1303" s="6">
        <v>735324</v>
      </c>
      <c r="J1303" s="7">
        <v>733.33</v>
      </c>
      <c r="K1303" s="9">
        <f>(PricingDataTable[[#This Row],[Current Price ($)]]-PricingDataTable[[#This Row],[Prior Price ($)]])/PricingDataTable[[#This Row],[Prior Price ($)]]</f>
        <v>-2.5579991555108879E-2</v>
      </c>
      <c r="L1303" s="9">
        <f>(PricingDataTable[[#This Row],[Vendor Price ($)]]-PricingDataTable[[#This Row],[Current Price ($)]])/PricingDataTable[[#This Row],[Current Price ($)]]</f>
        <v>-1.4502792989223305E-3</v>
      </c>
      <c r="M1303" t="str">
        <f t="shared" si="40"/>
        <v>STALE</v>
      </c>
      <c r="N1303" s="10" t="str">
        <f t="shared" si="41"/>
        <v>LOW</v>
      </c>
    </row>
    <row r="1304" spans="1:14">
      <c r="A1304" s="4" t="s">
        <v>2624</v>
      </c>
      <c r="B1304" s="4" t="s">
        <v>2625</v>
      </c>
      <c r="C1304" s="4" t="s">
        <v>12</v>
      </c>
      <c r="D1304" s="4" t="s">
        <v>13</v>
      </c>
      <c r="E1304" s="5">
        <v>121.99760000000001</v>
      </c>
      <c r="F1304" s="5">
        <v>120.6884</v>
      </c>
      <c r="G1304" s="5">
        <v>120.52160000000001</v>
      </c>
      <c r="H1304" s="4">
        <v>2</v>
      </c>
      <c r="I1304" s="6">
        <v>2317798</v>
      </c>
      <c r="J1304" s="7">
        <v>123.21</v>
      </c>
      <c r="K1304" s="9">
        <f>(PricingDataTable[[#This Row],[Current Price ($)]]-PricingDataTable[[#This Row],[Prior Price ($)]])/PricingDataTable[[#This Row],[Prior Price ($)]]</f>
        <v>-1.0731358649678387E-2</v>
      </c>
      <c r="L1304" s="9">
        <f>(PricingDataTable[[#This Row],[Vendor Price ($)]]-PricingDataTable[[#This Row],[Current Price ($)]])/PricingDataTable[[#This Row],[Current Price ($)]]</f>
        <v>-1.3820715164008716E-3</v>
      </c>
      <c r="M1304" t="str">
        <f t="shared" si="40"/>
        <v>PASS</v>
      </c>
      <c r="N1304" s="10" t="str">
        <f t="shared" si="41"/>
        <v>NONE</v>
      </c>
    </row>
    <row r="1305" spans="1:14">
      <c r="A1305" s="4" t="s">
        <v>2626</v>
      </c>
      <c r="B1305" s="4" t="s">
        <v>2627</v>
      </c>
      <c r="C1305" s="4" t="s">
        <v>35</v>
      </c>
      <c r="D1305" s="4" t="s">
        <v>13</v>
      </c>
      <c r="E1305" s="5">
        <v>70.495500000000007</v>
      </c>
      <c r="F1305" s="5">
        <v>71.129300000000001</v>
      </c>
      <c r="G1305" s="5">
        <v>71.057900000000004</v>
      </c>
      <c r="H1305" s="4">
        <v>0</v>
      </c>
      <c r="I1305" s="6">
        <v>1321477</v>
      </c>
      <c r="J1305" s="7">
        <v>846.87</v>
      </c>
      <c r="K1305" s="9">
        <f>(PricingDataTable[[#This Row],[Current Price ($)]]-PricingDataTable[[#This Row],[Prior Price ($)]])/PricingDataTable[[#This Row],[Prior Price ($)]]</f>
        <v>8.9906447929299551E-3</v>
      </c>
      <c r="L1305" s="9">
        <f>(PricingDataTable[[#This Row],[Vendor Price ($)]]-PricingDataTable[[#This Row],[Current Price ($)]])/PricingDataTable[[#This Row],[Current Price ($)]]</f>
        <v>-1.003805745311665E-3</v>
      </c>
      <c r="M1305" t="str">
        <f t="shared" si="40"/>
        <v>PASS</v>
      </c>
      <c r="N1305" s="10" t="str">
        <f t="shared" si="41"/>
        <v>NONE</v>
      </c>
    </row>
    <row r="1306" spans="1:14">
      <c r="A1306" s="4" t="s">
        <v>2628</v>
      </c>
      <c r="B1306" s="4" t="s">
        <v>2629</v>
      </c>
      <c r="C1306" s="4" t="s">
        <v>39</v>
      </c>
      <c r="D1306" s="4" t="s">
        <v>64</v>
      </c>
      <c r="E1306" s="5">
        <v>81.013900000000007</v>
      </c>
      <c r="F1306" s="5">
        <v>81.404399999999995</v>
      </c>
      <c r="G1306" s="5">
        <v>81.154799999999994</v>
      </c>
      <c r="H1306" s="4">
        <v>0</v>
      </c>
      <c r="I1306" s="6">
        <v>152598</v>
      </c>
      <c r="J1306" s="7">
        <v>27.18</v>
      </c>
      <c r="K1306" s="9">
        <f>(PricingDataTable[[#This Row],[Current Price ($)]]-PricingDataTable[[#This Row],[Prior Price ($)]])/PricingDataTable[[#This Row],[Prior Price ($)]]</f>
        <v>4.8201604909773347E-3</v>
      </c>
      <c r="L1306" s="9">
        <f>(PricingDataTable[[#This Row],[Vendor Price ($)]]-PricingDataTable[[#This Row],[Current Price ($)]])/PricingDataTable[[#This Row],[Current Price ($)]]</f>
        <v>-3.0661733272403084E-3</v>
      </c>
      <c r="M1306" t="str">
        <f t="shared" si="40"/>
        <v>PASS</v>
      </c>
      <c r="N1306" s="10" t="str">
        <f t="shared" si="41"/>
        <v>NONE</v>
      </c>
    </row>
    <row r="1307" spans="1:14">
      <c r="A1307" s="4" t="s">
        <v>2630</v>
      </c>
      <c r="B1307" s="4" t="s">
        <v>2631</v>
      </c>
      <c r="C1307" s="4" t="s">
        <v>16</v>
      </c>
      <c r="D1307" s="4" t="s">
        <v>13</v>
      </c>
      <c r="E1307" s="5">
        <v>92.813400000000001</v>
      </c>
      <c r="F1307" s="5">
        <v>94.099500000000006</v>
      </c>
      <c r="G1307" s="5">
        <v>94.667000000000002</v>
      </c>
      <c r="H1307" s="4">
        <v>0</v>
      </c>
      <c r="I1307" s="6">
        <v>2671392</v>
      </c>
      <c r="J1307" s="7">
        <v>140.94999999999999</v>
      </c>
      <c r="K1307" s="9">
        <f>(PricingDataTable[[#This Row],[Current Price ($)]]-PricingDataTable[[#This Row],[Prior Price ($)]])/PricingDataTable[[#This Row],[Prior Price ($)]]</f>
        <v>1.3856835327657479E-2</v>
      </c>
      <c r="L1307" s="9">
        <f>(PricingDataTable[[#This Row],[Vendor Price ($)]]-PricingDataTable[[#This Row],[Current Price ($)]])/PricingDataTable[[#This Row],[Current Price ($)]]</f>
        <v>6.0308503233279182E-3</v>
      </c>
      <c r="M1307" t="str">
        <f t="shared" si="40"/>
        <v>PASS</v>
      </c>
      <c r="N1307" s="10" t="str">
        <f t="shared" si="41"/>
        <v>NONE</v>
      </c>
    </row>
    <row r="1308" spans="1:14">
      <c r="A1308" s="4" t="s">
        <v>2632</v>
      </c>
      <c r="B1308" s="4" t="s">
        <v>2633</v>
      </c>
      <c r="C1308" s="4" t="s">
        <v>39</v>
      </c>
      <c r="D1308" s="4" t="s">
        <v>13</v>
      </c>
      <c r="E1308" s="5">
        <v>312.09960000000001</v>
      </c>
      <c r="F1308" s="5">
        <v>307.94040000000001</v>
      </c>
      <c r="G1308" s="5">
        <v>307.90499999999997</v>
      </c>
      <c r="H1308" s="4">
        <v>2</v>
      </c>
      <c r="I1308" s="6">
        <v>1628352</v>
      </c>
      <c r="J1308" s="7">
        <v>578.61</v>
      </c>
      <c r="K1308" s="9">
        <f>(PricingDataTable[[#This Row],[Current Price ($)]]-PricingDataTable[[#This Row],[Prior Price ($)]])/PricingDataTable[[#This Row],[Prior Price ($)]]</f>
        <v>-1.3326514997135525E-2</v>
      </c>
      <c r="L1308" s="9">
        <f>(PricingDataTable[[#This Row],[Vendor Price ($)]]-PricingDataTable[[#This Row],[Current Price ($)]])/PricingDataTable[[#This Row],[Current Price ($)]]</f>
        <v>-1.1495730992113502E-4</v>
      </c>
      <c r="M1308" t="str">
        <f t="shared" si="40"/>
        <v>PASS</v>
      </c>
      <c r="N1308" s="10" t="str">
        <f t="shared" si="41"/>
        <v>NONE</v>
      </c>
    </row>
    <row r="1309" spans="1:14">
      <c r="A1309" s="4" t="s">
        <v>2634</v>
      </c>
      <c r="B1309" s="4" t="s">
        <v>2635</v>
      </c>
      <c r="C1309" s="4" t="s">
        <v>12</v>
      </c>
      <c r="D1309" s="4" t="s">
        <v>13</v>
      </c>
      <c r="E1309" s="5">
        <v>92.071899999999999</v>
      </c>
      <c r="F1309" s="5">
        <v>92.040400000000005</v>
      </c>
      <c r="G1309" s="5">
        <v>91.884500000000003</v>
      </c>
      <c r="H1309" s="4">
        <v>0</v>
      </c>
      <c r="I1309" s="6">
        <v>3412962</v>
      </c>
      <c r="J1309" s="7">
        <v>169.63</v>
      </c>
      <c r="K1309" s="9">
        <f>(PricingDataTable[[#This Row],[Current Price ($)]]-PricingDataTable[[#This Row],[Prior Price ($)]])/PricingDataTable[[#This Row],[Prior Price ($)]]</f>
        <v>-3.4212392706128674E-4</v>
      </c>
      <c r="L1309" s="9">
        <f>(PricingDataTable[[#This Row],[Vendor Price ($)]]-PricingDataTable[[#This Row],[Current Price ($)]])/PricingDataTable[[#This Row],[Current Price ($)]]</f>
        <v>-1.6938214088596157E-3</v>
      </c>
      <c r="M1309" t="str">
        <f t="shared" si="40"/>
        <v>PASS</v>
      </c>
      <c r="N1309" s="10" t="str">
        <f t="shared" si="41"/>
        <v>NONE</v>
      </c>
    </row>
    <row r="1310" spans="1:14">
      <c r="A1310" s="4" t="s">
        <v>2636</v>
      </c>
      <c r="B1310" s="4" t="s">
        <v>2637</v>
      </c>
      <c r="C1310" s="4" t="s">
        <v>19</v>
      </c>
      <c r="D1310" s="4" t="s">
        <v>36</v>
      </c>
      <c r="E1310" s="5">
        <v>228.8313</v>
      </c>
      <c r="F1310" s="5">
        <v>233.29349999999999</v>
      </c>
      <c r="G1310" s="5">
        <v>233.63659999999999</v>
      </c>
      <c r="H1310" s="4">
        <v>1</v>
      </c>
      <c r="I1310" s="6">
        <v>3083709</v>
      </c>
      <c r="J1310" s="7">
        <v>293.07</v>
      </c>
      <c r="K1310" s="9">
        <f>(PricingDataTable[[#This Row],[Current Price ($)]]-PricingDataTable[[#This Row],[Prior Price ($)]])/PricingDataTable[[#This Row],[Prior Price ($)]]</f>
        <v>1.9499954770173467E-2</v>
      </c>
      <c r="L1310" s="9">
        <f>(PricingDataTable[[#This Row],[Vendor Price ($)]]-PricingDataTable[[#This Row],[Current Price ($)]])/PricingDataTable[[#This Row],[Current Price ($)]]</f>
        <v>1.4706796374523621E-3</v>
      </c>
      <c r="M1310" t="str">
        <f t="shared" si="40"/>
        <v>PASS</v>
      </c>
      <c r="N1310" s="10" t="str">
        <f t="shared" si="41"/>
        <v>NONE</v>
      </c>
    </row>
    <row r="1311" spans="1:14">
      <c r="A1311" s="4" t="s">
        <v>2638</v>
      </c>
      <c r="B1311" s="4" t="s">
        <v>2639</v>
      </c>
      <c r="C1311" s="4" t="s">
        <v>19</v>
      </c>
      <c r="D1311" s="4" t="s">
        <v>36</v>
      </c>
      <c r="E1311" s="5">
        <v>173.47499999999999</v>
      </c>
      <c r="F1311" s="5">
        <v>172.0881</v>
      </c>
      <c r="G1311" s="5">
        <v>171.32749999999999</v>
      </c>
      <c r="H1311" s="4">
        <v>0</v>
      </c>
      <c r="I1311" s="6">
        <v>3569703</v>
      </c>
      <c r="J1311" s="7">
        <v>24.02</v>
      </c>
      <c r="K1311" s="9">
        <f>(PricingDataTable[[#This Row],[Current Price ($)]]-PricingDataTable[[#This Row],[Prior Price ($)]])/PricingDataTable[[#This Row],[Prior Price ($)]]</f>
        <v>-7.994811932555107E-3</v>
      </c>
      <c r="L1311" s="9">
        <f>(PricingDataTable[[#This Row],[Vendor Price ($)]]-PricingDataTable[[#This Row],[Current Price ($)]])/PricingDataTable[[#This Row],[Current Price ($)]]</f>
        <v>-4.4198291456527842E-3</v>
      </c>
      <c r="M1311" t="str">
        <f t="shared" si="40"/>
        <v>PASS</v>
      </c>
      <c r="N1311" s="10" t="str">
        <f t="shared" si="41"/>
        <v>NONE</v>
      </c>
    </row>
    <row r="1312" spans="1:14">
      <c r="A1312" s="4" t="s">
        <v>2640</v>
      </c>
      <c r="B1312" s="4" t="s">
        <v>2641</v>
      </c>
      <c r="C1312" s="4" t="s">
        <v>35</v>
      </c>
      <c r="D1312" s="4" t="s">
        <v>13</v>
      </c>
      <c r="E1312" s="5">
        <v>23.968399999999999</v>
      </c>
      <c r="F1312" s="5">
        <v>24.393799999999999</v>
      </c>
      <c r="G1312" s="5">
        <v>24.332999999999998</v>
      </c>
      <c r="H1312" s="4">
        <v>0</v>
      </c>
      <c r="I1312" s="6">
        <v>1665798</v>
      </c>
      <c r="J1312" s="7">
        <v>109.64</v>
      </c>
      <c r="K1312" s="9">
        <f>(PricingDataTable[[#This Row],[Current Price ($)]]-PricingDataTable[[#This Row],[Prior Price ($)]])/PricingDataTable[[#This Row],[Prior Price ($)]]</f>
        <v>1.7748368685435816E-2</v>
      </c>
      <c r="L1312" s="9">
        <f>(PricingDataTable[[#This Row],[Vendor Price ($)]]-PricingDataTable[[#This Row],[Current Price ($)]])/PricingDataTable[[#This Row],[Current Price ($)]]</f>
        <v>-2.4924366027433368E-3</v>
      </c>
      <c r="M1312" t="str">
        <f t="shared" si="40"/>
        <v>PASS</v>
      </c>
      <c r="N1312" s="10" t="str">
        <f t="shared" si="41"/>
        <v>NONE</v>
      </c>
    </row>
    <row r="1313" spans="1:14">
      <c r="A1313" s="4" t="s">
        <v>2642</v>
      </c>
      <c r="B1313" s="4" t="s">
        <v>2643</v>
      </c>
      <c r="C1313" s="4" t="s">
        <v>19</v>
      </c>
      <c r="D1313" s="4" t="s">
        <v>13</v>
      </c>
      <c r="E1313" s="5">
        <v>185.1893</v>
      </c>
      <c r="F1313" s="5">
        <v>154.0659</v>
      </c>
      <c r="G1313" s="5">
        <v>154.70349999999999</v>
      </c>
      <c r="H1313" s="4">
        <v>0</v>
      </c>
      <c r="I1313" s="6">
        <v>3134387</v>
      </c>
      <c r="J1313" s="7">
        <v>869.73</v>
      </c>
      <c r="K1313" s="9">
        <f>(PricingDataTable[[#This Row],[Current Price ($)]]-PricingDataTable[[#This Row],[Prior Price ($)]])/PricingDataTable[[#This Row],[Prior Price ($)]]</f>
        <v>-0.16806262564845811</v>
      </c>
      <c r="L1313" s="9">
        <f>(PricingDataTable[[#This Row],[Vendor Price ($)]]-PricingDataTable[[#This Row],[Current Price ($)]])/PricingDataTable[[#This Row],[Current Price ($)]]</f>
        <v>4.1384887895374121E-3</v>
      </c>
      <c r="M1313" t="str">
        <f t="shared" si="40"/>
        <v>LARGE MOVE</v>
      </c>
      <c r="N1313" s="10" t="str">
        <f t="shared" si="41"/>
        <v>HIGH</v>
      </c>
    </row>
    <row r="1314" spans="1:14">
      <c r="A1314" s="4" t="s">
        <v>2644</v>
      </c>
      <c r="B1314" s="4" t="s">
        <v>2645</v>
      </c>
      <c r="C1314" s="4" t="s">
        <v>35</v>
      </c>
      <c r="D1314" s="4" t="s">
        <v>13</v>
      </c>
      <c r="E1314" s="5">
        <v>28.838200000000001</v>
      </c>
      <c r="F1314" s="5">
        <v>28.616299999999999</v>
      </c>
      <c r="G1314" s="5">
        <v>28.468599999999999</v>
      </c>
      <c r="H1314" s="4">
        <v>2</v>
      </c>
      <c r="I1314" s="6">
        <v>2411293</v>
      </c>
      <c r="J1314" s="7">
        <v>327.36</v>
      </c>
      <c r="K1314" s="9">
        <f>(PricingDataTable[[#This Row],[Current Price ($)]]-PricingDataTable[[#This Row],[Prior Price ($)]])/PricingDataTable[[#This Row],[Prior Price ($)]]</f>
        <v>-7.6946550062070981E-3</v>
      </c>
      <c r="L1314" s="9">
        <f>(PricingDataTable[[#This Row],[Vendor Price ($)]]-PricingDataTable[[#This Row],[Current Price ($)]])/PricingDataTable[[#This Row],[Current Price ($)]]</f>
        <v>-5.1613940306748391E-3</v>
      </c>
      <c r="M1314" t="str">
        <f t="shared" si="40"/>
        <v>PASS</v>
      </c>
      <c r="N1314" s="10" t="str">
        <f t="shared" si="41"/>
        <v>NONE</v>
      </c>
    </row>
    <row r="1315" spans="1:14">
      <c r="A1315" s="4" t="s">
        <v>2646</v>
      </c>
      <c r="B1315" s="4" t="s">
        <v>2647</v>
      </c>
      <c r="C1315" s="4" t="s">
        <v>39</v>
      </c>
      <c r="D1315" s="4" t="s">
        <v>13</v>
      </c>
      <c r="E1315" s="5">
        <v>85.509900000000002</v>
      </c>
      <c r="F1315" s="5">
        <v>84.415800000000004</v>
      </c>
      <c r="G1315" s="5">
        <v>84.549499999999995</v>
      </c>
      <c r="H1315" s="4">
        <v>0</v>
      </c>
      <c r="I1315" s="6">
        <v>383199</v>
      </c>
      <c r="J1315" s="7">
        <v>460.4</v>
      </c>
      <c r="K1315" s="9">
        <f>(PricingDataTable[[#This Row],[Current Price ($)]]-PricingDataTable[[#This Row],[Prior Price ($)]])/PricingDataTable[[#This Row],[Prior Price ($)]]</f>
        <v>-1.2795009700631124E-2</v>
      </c>
      <c r="L1315" s="9">
        <f>(PricingDataTable[[#This Row],[Vendor Price ($)]]-PricingDataTable[[#This Row],[Current Price ($)]])/PricingDataTable[[#This Row],[Current Price ($)]]</f>
        <v>1.5838267243808667E-3</v>
      </c>
      <c r="M1315" t="str">
        <f t="shared" si="40"/>
        <v>PASS</v>
      </c>
      <c r="N1315" s="10" t="str">
        <f t="shared" si="41"/>
        <v>NONE</v>
      </c>
    </row>
    <row r="1316" spans="1:14">
      <c r="A1316" s="4" t="s">
        <v>2648</v>
      </c>
      <c r="B1316" s="4" t="s">
        <v>2649</v>
      </c>
      <c r="C1316" s="4" t="s">
        <v>16</v>
      </c>
      <c r="D1316" s="4" t="s">
        <v>237</v>
      </c>
      <c r="E1316" s="5">
        <v>113.2246</v>
      </c>
      <c r="F1316" s="5">
        <v>114.11969999999999</v>
      </c>
      <c r="G1316" s="5">
        <v>113.5162</v>
      </c>
      <c r="H1316" s="4">
        <v>0</v>
      </c>
      <c r="I1316" s="6">
        <v>2972419</v>
      </c>
      <c r="J1316" s="7">
        <v>580.4</v>
      </c>
      <c r="K1316" s="9">
        <f>(PricingDataTable[[#This Row],[Current Price ($)]]-PricingDataTable[[#This Row],[Prior Price ($)]])/PricingDataTable[[#This Row],[Prior Price ($)]]</f>
        <v>7.9055258309589909E-3</v>
      </c>
      <c r="L1316" s="9">
        <f>(PricingDataTable[[#This Row],[Vendor Price ($)]]-PricingDataTable[[#This Row],[Current Price ($)]])/PricingDataTable[[#This Row],[Current Price ($)]]</f>
        <v>-5.2883069268495871E-3</v>
      </c>
      <c r="M1316" t="str">
        <f t="shared" si="40"/>
        <v>PASS</v>
      </c>
      <c r="N1316" s="10" t="str">
        <f t="shared" si="41"/>
        <v>NONE</v>
      </c>
    </row>
    <row r="1317" spans="1:14">
      <c r="A1317" s="4" t="s">
        <v>2650</v>
      </c>
      <c r="B1317" s="4" t="s">
        <v>2651</v>
      </c>
      <c r="C1317" s="4" t="s">
        <v>35</v>
      </c>
      <c r="D1317" s="4" t="s">
        <v>13</v>
      </c>
      <c r="E1317" s="5">
        <v>101.7193</v>
      </c>
      <c r="F1317" s="5">
        <v>103.575</v>
      </c>
      <c r="G1317" s="5">
        <v>103.4597</v>
      </c>
      <c r="H1317" s="4">
        <v>1</v>
      </c>
      <c r="I1317" s="6">
        <v>2199976</v>
      </c>
      <c r="J1317" s="7">
        <v>480.81</v>
      </c>
      <c r="K1317" s="9">
        <f>(PricingDataTable[[#This Row],[Current Price ($)]]-PricingDataTable[[#This Row],[Prior Price ($)]])/PricingDataTable[[#This Row],[Prior Price ($)]]</f>
        <v>1.8243342217258658E-2</v>
      </c>
      <c r="L1317" s="9">
        <f>(PricingDataTable[[#This Row],[Vendor Price ($)]]-PricingDataTable[[#This Row],[Current Price ($)]])/PricingDataTable[[#This Row],[Current Price ($)]]</f>
        <v>-1.1132029930002881E-3</v>
      </c>
      <c r="M1317" t="str">
        <f t="shared" si="40"/>
        <v>PASS</v>
      </c>
      <c r="N1317" s="10" t="str">
        <f t="shared" si="41"/>
        <v>NONE</v>
      </c>
    </row>
    <row r="1318" spans="1:14">
      <c r="A1318" s="4" t="s">
        <v>2652</v>
      </c>
      <c r="B1318" s="4" t="s">
        <v>2653</v>
      </c>
      <c r="C1318" s="4" t="s">
        <v>16</v>
      </c>
      <c r="D1318" s="4" t="s">
        <v>13</v>
      </c>
      <c r="E1318" s="5">
        <v>112.6876</v>
      </c>
      <c r="F1318" s="5">
        <v>113.3185</v>
      </c>
      <c r="G1318" s="5">
        <v>113.4896</v>
      </c>
      <c r="H1318" s="4">
        <v>1</v>
      </c>
      <c r="I1318" s="6">
        <v>4265418</v>
      </c>
      <c r="J1318" s="7">
        <v>15.4</v>
      </c>
      <c r="K1318" s="9">
        <f>(PricingDataTable[[#This Row],[Current Price ($)]]-PricingDataTable[[#This Row],[Prior Price ($)]])/PricingDataTable[[#This Row],[Prior Price ($)]]</f>
        <v>5.598663916881688E-3</v>
      </c>
      <c r="L1318" s="9">
        <f>(PricingDataTable[[#This Row],[Vendor Price ($)]]-PricingDataTable[[#This Row],[Current Price ($)]])/PricingDataTable[[#This Row],[Current Price ($)]]</f>
        <v>1.509903502075968E-3</v>
      </c>
      <c r="M1318" t="str">
        <f t="shared" si="40"/>
        <v>PASS</v>
      </c>
      <c r="N1318" s="10" t="str">
        <f t="shared" si="41"/>
        <v>NONE</v>
      </c>
    </row>
    <row r="1319" spans="1:14">
      <c r="A1319" s="4" t="s">
        <v>2654</v>
      </c>
      <c r="B1319" s="4" t="s">
        <v>2655</v>
      </c>
      <c r="C1319" s="4" t="s">
        <v>19</v>
      </c>
      <c r="D1319" s="4" t="s">
        <v>237</v>
      </c>
      <c r="E1319" s="5">
        <v>126.3683</v>
      </c>
      <c r="F1319" s="5">
        <v>129.35929999999999</v>
      </c>
      <c r="G1319" s="5">
        <v>129.31309999999999</v>
      </c>
      <c r="H1319" s="4">
        <v>0</v>
      </c>
      <c r="I1319" s="6">
        <v>1499525</v>
      </c>
      <c r="J1319" s="7">
        <v>660.88</v>
      </c>
      <c r="K1319" s="9">
        <f>(PricingDataTable[[#This Row],[Current Price ($)]]-PricingDataTable[[#This Row],[Prior Price ($)]])/PricingDataTable[[#This Row],[Prior Price ($)]]</f>
        <v>2.3668910636607324E-2</v>
      </c>
      <c r="L1319" s="9">
        <f>(PricingDataTable[[#This Row],[Vendor Price ($)]]-PricingDataTable[[#This Row],[Current Price ($)]])/PricingDataTable[[#This Row],[Current Price ($)]]</f>
        <v>-3.5714478974452482E-4</v>
      </c>
      <c r="M1319" t="str">
        <f t="shared" si="40"/>
        <v>PASS</v>
      </c>
      <c r="N1319" s="10" t="str">
        <f t="shared" si="41"/>
        <v>NONE</v>
      </c>
    </row>
    <row r="1320" spans="1:14">
      <c r="A1320" s="4" t="s">
        <v>2656</v>
      </c>
      <c r="B1320" s="4" t="s">
        <v>2657</v>
      </c>
      <c r="C1320" s="4" t="s">
        <v>19</v>
      </c>
      <c r="D1320" s="4" t="s">
        <v>13</v>
      </c>
      <c r="E1320" s="5">
        <v>311.84230000000002</v>
      </c>
      <c r="F1320" s="5">
        <v>315.23489999999998</v>
      </c>
      <c r="G1320" s="5">
        <v>315.19670000000002</v>
      </c>
      <c r="H1320" s="4">
        <v>0</v>
      </c>
      <c r="I1320" s="6">
        <v>4017368</v>
      </c>
      <c r="J1320" s="7">
        <v>778.07</v>
      </c>
      <c r="K1320" s="9">
        <f>(PricingDataTable[[#This Row],[Current Price ($)]]-PricingDataTable[[#This Row],[Prior Price ($)]])/PricingDataTable[[#This Row],[Prior Price ($)]]</f>
        <v>1.0879216834919313E-2</v>
      </c>
      <c r="L1320" s="9">
        <f>(PricingDataTable[[#This Row],[Vendor Price ($)]]-PricingDataTable[[#This Row],[Current Price ($)]])/PricingDataTable[[#This Row],[Current Price ($)]]</f>
        <v>-1.211794760033255E-4</v>
      </c>
      <c r="M1320" t="str">
        <f t="shared" si="40"/>
        <v>PASS</v>
      </c>
      <c r="N1320" s="10" t="str">
        <f t="shared" si="41"/>
        <v>NONE</v>
      </c>
    </row>
    <row r="1321" spans="1:14">
      <c r="A1321" s="4" t="s">
        <v>2658</v>
      </c>
      <c r="B1321" s="4" t="s">
        <v>2659</v>
      </c>
      <c r="C1321" s="4" t="s">
        <v>39</v>
      </c>
      <c r="D1321" s="4" t="s">
        <v>13</v>
      </c>
      <c r="E1321" s="5">
        <v>26.9543</v>
      </c>
      <c r="F1321" s="5">
        <v>26.496700000000001</v>
      </c>
      <c r="G1321" s="5">
        <v>26.581900000000001</v>
      </c>
      <c r="H1321" s="4">
        <v>0</v>
      </c>
      <c r="I1321" s="6">
        <v>4689313</v>
      </c>
      <c r="J1321" s="7">
        <v>854.81</v>
      </c>
      <c r="K1321" s="9">
        <f>(PricingDataTable[[#This Row],[Current Price ($)]]-PricingDataTable[[#This Row],[Prior Price ($)]])/PricingDataTable[[#This Row],[Prior Price ($)]]</f>
        <v>-1.6976883094719557E-2</v>
      </c>
      <c r="L1321" s="9">
        <f>(PricingDataTable[[#This Row],[Vendor Price ($)]]-PricingDataTable[[#This Row],[Current Price ($)]])/PricingDataTable[[#This Row],[Current Price ($)]]</f>
        <v>3.2154947597248106E-3</v>
      </c>
      <c r="M1321" t="str">
        <f t="shared" si="40"/>
        <v>PASS</v>
      </c>
      <c r="N1321" s="10" t="str">
        <f t="shared" si="41"/>
        <v>NONE</v>
      </c>
    </row>
    <row r="1322" spans="1:14">
      <c r="A1322" s="4" t="s">
        <v>2660</v>
      </c>
      <c r="B1322" s="4" t="s">
        <v>2661</v>
      </c>
      <c r="C1322" s="4" t="s">
        <v>19</v>
      </c>
      <c r="D1322" s="4" t="s">
        <v>13</v>
      </c>
      <c r="E1322" s="5">
        <v>233.71700000000001</v>
      </c>
      <c r="F1322" s="5">
        <v>234.2398</v>
      </c>
      <c r="G1322" s="5">
        <v>234.92060000000001</v>
      </c>
      <c r="H1322" s="4">
        <v>1</v>
      </c>
      <c r="I1322" s="6">
        <v>3973228</v>
      </c>
      <c r="J1322" s="7">
        <v>591.23</v>
      </c>
      <c r="K1322" s="9">
        <f>(PricingDataTable[[#This Row],[Current Price ($)]]-PricingDataTable[[#This Row],[Prior Price ($)]])/PricingDataTable[[#This Row],[Prior Price ($)]]</f>
        <v>2.2368933368132806E-3</v>
      </c>
      <c r="L1322" s="9">
        <f>(PricingDataTable[[#This Row],[Vendor Price ($)]]-PricingDataTable[[#This Row],[Current Price ($)]])/PricingDataTable[[#This Row],[Current Price ($)]]</f>
        <v>2.9064232466045692E-3</v>
      </c>
      <c r="M1322" t="str">
        <f t="shared" si="40"/>
        <v>PASS</v>
      </c>
      <c r="N1322" s="10" t="str">
        <f t="shared" si="41"/>
        <v>NONE</v>
      </c>
    </row>
    <row r="1323" spans="1:14">
      <c r="A1323" s="4" t="s">
        <v>2662</v>
      </c>
      <c r="B1323" s="4" t="s">
        <v>2663</v>
      </c>
      <c r="C1323" s="4" t="s">
        <v>19</v>
      </c>
      <c r="D1323" s="4" t="s">
        <v>13</v>
      </c>
      <c r="E1323" s="5">
        <v>170.84119999999999</v>
      </c>
      <c r="F1323" s="5">
        <v>169.83519999999999</v>
      </c>
      <c r="G1323" s="5">
        <v>170.13159999999999</v>
      </c>
      <c r="H1323" s="4">
        <v>0</v>
      </c>
      <c r="I1323" s="6">
        <v>2246363</v>
      </c>
      <c r="J1323" s="7">
        <v>65</v>
      </c>
      <c r="K1323" s="9">
        <f>(PricingDataTable[[#This Row],[Current Price ($)]]-PricingDataTable[[#This Row],[Prior Price ($)]])/PricingDataTable[[#This Row],[Prior Price ($)]]</f>
        <v>-5.888509329131382E-3</v>
      </c>
      <c r="L1323" s="9">
        <f>(PricingDataTable[[#This Row],[Vendor Price ($)]]-PricingDataTable[[#This Row],[Current Price ($)]])/PricingDataTable[[#This Row],[Current Price ($)]]</f>
        <v>1.7452212497762866E-3</v>
      </c>
      <c r="M1323" t="str">
        <f t="shared" si="40"/>
        <v>PASS</v>
      </c>
      <c r="N1323" s="10" t="str">
        <f t="shared" si="41"/>
        <v>NONE</v>
      </c>
    </row>
    <row r="1324" spans="1:14">
      <c r="A1324" s="4" t="s">
        <v>2664</v>
      </c>
      <c r="B1324" s="4" t="s">
        <v>2665</v>
      </c>
      <c r="C1324" s="4" t="s">
        <v>19</v>
      </c>
      <c r="D1324" s="4" t="s">
        <v>13</v>
      </c>
      <c r="E1324" s="5">
        <v>202.79480000000001</v>
      </c>
      <c r="F1324" s="5">
        <v>201.26779999999999</v>
      </c>
      <c r="G1324" s="5">
        <v>200.57320000000001</v>
      </c>
      <c r="H1324" s="4">
        <v>0</v>
      </c>
      <c r="I1324" s="6">
        <v>1551741</v>
      </c>
      <c r="J1324" s="7">
        <v>54.37</v>
      </c>
      <c r="K1324" s="9">
        <f>(PricingDataTable[[#This Row],[Current Price ($)]]-PricingDataTable[[#This Row],[Prior Price ($)]])/PricingDataTable[[#This Row],[Prior Price ($)]]</f>
        <v>-7.5297788700697211E-3</v>
      </c>
      <c r="L1324" s="9">
        <f>(PricingDataTable[[#This Row],[Vendor Price ($)]]-PricingDataTable[[#This Row],[Current Price ($)]])/PricingDataTable[[#This Row],[Current Price ($)]]</f>
        <v>-3.4511233292159995E-3</v>
      </c>
      <c r="M1324" t="str">
        <f t="shared" si="40"/>
        <v>PASS</v>
      </c>
      <c r="N1324" s="10" t="str">
        <f t="shared" si="41"/>
        <v>NONE</v>
      </c>
    </row>
    <row r="1325" spans="1:14">
      <c r="A1325" s="4" t="s">
        <v>2666</v>
      </c>
      <c r="B1325" s="4" t="s">
        <v>2667</v>
      </c>
      <c r="C1325" s="4" t="s">
        <v>19</v>
      </c>
      <c r="D1325" s="4" t="s">
        <v>13</v>
      </c>
      <c r="E1325" s="5">
        <v>341.92689999999999</v>
      </c>
      <c r="F1325" s="5">
        <v>341.1388</v>
      </c>
      <c r="G1325" s="5">
        <v>340.79840000000002</v>
      </c>
      <c r="H1325" s="4">
        <v>0</v>
      </c>
      <c r="I1325" s="6">
        <v>615814</v>
      </c>
      <c r="J1325" s="7">
        <v>846.73</v>
      </c>
      <c r="K1325" s="9">
        <f>(PricingDataTable[[#This Row],[Current Price ($)]]-PricingDataTable[[#This Row],[Prior Price ($)]])/PricingDataTable[[#This Row],[Prior Price ($)]]</f>
        <v>-2.304878615867853E-3</v>
      </c>
      <c r="L1325" s="9">
        <f>(PricingDataTable[[#This Row],[Vendor Price ($)]]-PricingDataTable[[#This Row],[Current Price ($)]])/PricingDataTable[[#This Row],[Current Price ($)]]</f>
        <v>-9.9783431260234328E-4</v>
      </c>
      <c r="M1325" t="str">
        <f t="shared" si="40"/>
        <v>PASS</v>
      </c>
      <c r="N1325" s="10" t="str">
        <f t="shared" si="41"/>
        <v>NONE</v>
      </c>
    </row>
    <row r="1326" spans="1:14">
      <c r="A1326" s="4" t="s">
        <v>2668</v>
      </c>
      <c r="B1326" s="4" t="s">
        <v>2669</v>
      </c>
      <c r="C1326" s="4" t="s">
        <v>39</v>
      </c>
      <c r="D1326" s="4" t="s">
        <v>13</v>
      </c>
      <c r="E1326" s="5">
        <v>331.7491</v>
      </c>
      <c r="F1326" s="5">
        <v>327.71730000000002</v>
      </c>
      <c r="G1326" s="5">
        <v>328.40750000000003</v>
      </c>
      <c r="H1326" s="4">
        <v>0</v>
      </c>
      <c r="I1326" s="6">
        <v>1384899</v>
      </c>
      <c r="J1326" s="7">
        <v>383.84</v>
      </c>
      <c r="K1326" s="9">
        <f>(PricingDataTable[[#This Row],[Current Price ($)]]-PricingDataTable[[#This Row],[Prior Price ($)]])/PricingDataTable[[#This Row],[Prior Price ($)]]</f>
        <v>-1.215316032507692E-2</v>
      </c>
      <c r="L1326" s="9">
        <f>(PricingDataTable[[#This Row],[Vendor Price ($)]]-PricingDataTable[[#This Row],[Current Price ($)]])/PricingDataTable[[#This Row],[Current Price ($)]]</f>
        <v>2.1060835055091822E-3</v>
      </c>
      <c r="M1326" t="str">
        <f t="shared" si="40"/>
        <v>PASS</v>
      </c>
      <c r="N1326" s="10" t="str">
        <f t="shared" si="41"/>
        <v>NONE</v>
      </c>
    </row>
    <row r="1327" spans="1:14">
      <c r="A1327" s="4" t="s">
        <v>2670</v>
      </c>
      <c r="B1327" s="4" t="s">
        <v>2671</v>
      </c>
      <c r="C1327" s="4" t="s">
        <v>19</v>
      </c>
      <c r="D1327" s="4" t="s">
        <v>13</v>
      </c>
      <c r="E1327" s="5">
        <v>271.50799999999998</v>
      </c>
      <c r="F1327" s="5">
        <v>274.70839999999998</v>
      </c>
      <c r="G1327" s="5">
        <v>275.5908</v>
      </c>
      <c r="H1327" s="4">
        <v>4</v>
      </c>
      <c r="I1327" s="6">
        <v>4486935</v>
      </c>
      <c r="J1327" s="7">
        <v>559.54999999999995</v>
      </c>
      <c r="K1327" s="9">
        <f>(PricingDataTable[[#This Row],[Current Price ($)]]-PricingDataTable[[#This Row],[Prior Price ($)]])/PricingDataTable[[#This Row],[Prior Price ($)]]</f>
        <v>1.1787497974277009E-2</v>
      </c>
      <c r="L1327" s="9">
        <f>(PricingDataTable[[#This Row],[Vendor Price ($)]]-PricingDataTable[[#This Row],[Current Price ($)]])/PricingDataTable[[#This Row],[Current Price ($)]]</f>
        <v>3.2121333020760133E-3</v>
      </c>
      <c r="M1327" t="str">
        <f t="shared" si="40"/>
        <v>STALE</v>
      </c>
      <c r="N1327" s="10" t="str">
        <f t="shared" si="41"/>
        <v>LOW</v>
      </c>
    </row>
    <row r="1328" spans="1:14">
      <c r="A1328" s="4" t="s">
        <v>2672</v>
      </c>
      <c r="B1328" s="4" t="s">
        <v>2673</v>
      </c>
      <c r="C1328" s="4" t="s">
        <v>16</v>
      </c>
      <c r="D1328" s="4" t="s">
        <v>13</v>
      </c>
      <c r="E1328" s="5">
        <v>106.87009999999999</v>
      </c>
      <c r="F1328" s="5">
        <v>107.3424</v>
      </c>
      <c r="G1328" s="5">
        <v>107.7814</v>
      </c>
      <c r="H1328" s="4">
        <v>1</v>
      </c>
      <c r="I1328" s="6">
        <v>3207388</v>
      </c>
      <c r="J1328" s="7">
        <v>296.07</v>
      </c>
      <c r="K1328" s="9">
        <f>(PricingDataTable[[#This Row],[Current Price ($)]]-PricingDataTable[[#This Row],[Prior Price ($)]])/PricingDataTable[[#This Row],[Prior Price ($)]]</f>
        <v>4.4193839062563259E-3</v>
      </c>
      <c r="L1328" s="9">
        <f>(PricingDataTable[[#This Row],[Vendor Price ($)]]-PricingDataTable[[#This Row],[Current Price ($)]])/PricingDataTable[[#This Row],[Current Price ($)]]</f>
        <v>4.0897166450536522E-3</v>
      </c>
      <c r="M1328" t="str">
        <f t="shared" si="40"/>
        <v>PASS</v>
      </c>
      <c r="N1328" s="10" t="str">
        <f t="shared" si="41"/>
        <v>NONE</v>
      </c>
    </row>
    <row r="1329" spans="1:14">
      <c r="A1329" s="4" t="s">
        <v>2674</v>
      </c>
      <c r="B1329" s="4" t="s">
        <v>2675</v>
      </c>
      <c r="C1329" s="4" t="s">
        <v>35</v>
      </c>
      <c r="D1329" s="4" t="s">
        <v>13</v>
      </c>
      <c r="E1329" s="5">
        <v>141.84350000000001</v>
      </c>
      <c r="F1329" s="5">
        <v>141.14060000000001</v>
      </c>
      <c r="G1329" s="5">
        <v>140.93729999999999</v>
      </c>
      <c r="H1329" s="4">
        <v>0</v>
      </c>
      <c r="I1329" s="6">
        <v>2929508</v>
      </c>
      <c r="J1329" s="7">
        <v>437.76</v>
      </c>
      <c r="K1329" s="9">
        <f>(PricingDataTable[[#This Row],[Current Price ($)]]-PricingDataTable[[#This Row],[Prior Price ($)]])/PricingDataTable[[#This Row],[Prior Price ($)]]</f>
        <v>-4.9554614769094082E-3</v>
      </c>
      <c r="L1329" s="9">
        <f>(PricingDataTable[[#This Row],[Vendor Price ($)]]-PricingDataTable[[#This Row],[Current Price ($)]])/PricingDataTable[[#This Row],[Current Price ($)]]</f>
        <v>-1.440407650243891E-3</v>
      </c>
      <c r="M1329" t="str">
        <f t="shared" si="40"/>
        <v>PASS</v>
      </c>
      <c r="N1329" s="10" t="str">
        <f t="shared" si="41"/>
        <v>NONE</v>
      </c>
    </row>
    <row r="1330" spans="1:14">
      <c r="A1330" s="4" t="s">
        <v>2676</v>
      </c>
      <c r="B1330" s="4" t="s">
        <v>2677</v>
      </c>
      <c r="C1330" s="4" t="s">
        <v>35</v>
      </c>
      <c r="D1330" s="4" t="s">
        <v>13</v>
      </c>
      <c r="E1330" s="5">
        <v>83.184899999999999</v>
      </c>
      <c r="F1330" s="5">
        <v>84.190799999999996</v>
      </c>
      <c r="G1330" s="5">
        <v>93.902699999999996</v>
      </c>
      <c r="H1330" s="4">
        <v>0</v>
      </c>
      <c r="I1330" s="6">
        <v>3652212</v>
      </c>
      <c r="J1330" s="7">
        <v>446.87</v>
      </c>
      <c r="K1330" s="9">
        <f>(PricingDataTable[[#This Row],[Current Price ($)]]-PricingDataTable[[#This Row],[Prior Price ($)]])/PricingDataTable[[#This Row],[Prior Price ($)]]</f>
        <v>1.2092338874002337E-2</v>
      </c>
      <c r="L1330" s="9">
        <f>(PricingDataTable[[#This Row],[Vendor Price ($)]]-PricingDataTable[[#This Row],[Current Price ($)]])/PricingDataTable[[#This Row],[Current Price ($)]]</f>
        <v>0.11535583460425605</v>
      </c>
      <c r="M1330" t="str">
        <f t="shared" si="40"/>
        <v>VENDOR DIFFERENCE</v>
      </c>
      <c r="N1330" s="10" t="str">
        <f t="shared" si="41"/>
        <v>HIGH</v>
      </c>
    </row>
    <row r="1331" spans="1:14">
      <c r="A1331" s="4" t="s">
        <v>2678</v>
      </c>
      <c r="B1331" s="4" t="s">
        <v>2679</v>
      </c>
      <c r="C1331" s="4" t="s">
        <v>16</v>
      </c>
      <c r="D1331" s="4" t="s">
        <v>13</v>
      </c>
      <c r="E1331" s="5">
        <v>90.475499999999997</v>
      </c>
      <c r="F1331" s="5">
        <v>91.531400000000005</v>
      </c>
      <c r="G1331" s="5">
        <v>91.427599999999998</v>
      </c>
      <c r="H1331" s="4">
        <v>0</v>
      </c>
      <c r="I1331" s="6">
        <v>2774490</v>
      </c>
      <c r="J1331" s="7">
        <v>29.92</v>
      </c>
      <c r="K1331" s="9">
        <f>(PricingDataTable[[#This Row],[Current Price ($)]]-PricingDataTable[[#This Row],[Prior Price ($)]])/PricingDataTable[[#This Row],[Prior Price ($)]]</f>
        <v>1.1670562749031598E-2</v>
      </c>
      <c r="L1331" s="9">
        <f>(PricingDataTable[[#This Row],[Vendor Price ($)]]-PricingDataTable[[#This Row],[Current Price ($)]])/PricingDataTable[[#This Row],[Current Price ($)]]</f>
        <v>-1.1340370626911286E-3</v>
      </c>
      <c r="M1331" t="str">
        <f t="shared" si="40"/>
        <v>PASS</v>
      </c>
      <c r="N1331" s="10" t="str">
        <f t="shared" si="41"/>
        <v>NONE</v>
      </c>
    </row>
    <row r="1332" spans="1:14">
      <c r="A1332" s="4" t="s">
        <v>2680</v>
      </c>
      <c r="B1332" s="4" t="s">
        <v>2681</v>
      </c>
      <c r="C1332" s="4" t="s">
        <v>16</v>
      </c>
      <c r="D1332" s="4" t="s">
        <v>13</v>
      </c>
      <c r="E1332" s="5">
        <v>98.513000000000005</v>
      </c>
      <c r="F1332" s="5">
        <v>100.39700000000001</v>
      </c>
      <c r="G1332" s="5">
        <v>100.5127</v>
      </c>
      <c r="H1332" s="4">
        <v>0</v>
      </c>
      <c r="I1332" s="6">
        <v>922991</v>
      </c>
      <c r="J1332" s="7">
        <v>794.48</v>
      </c>
      <c r="K1332" s="9">
        <f>(PricingDataTable[[#This Row],[Current Price ($)]]-PricingDataTable[[#This Row],[Prior Price ($)]])/PricingDataTable[[#This Row],[Prior Price ($)]]</f>
        <v>1.9124379523514666E-2</v>
      </c>
      <c r="L1332" s="9">
        <f>(PricingDataTable[[#This Row],[Vendor Price ($)]]-PricingDataTable[[#This Row],[Current Price ($)]])/PricingDataTable[[#This Row],[Current Price ($)]]</f>
        <v>1.1524248732530822E-3</v>
      </c>
      <c r="M1332" t="str">
        <f t="shared" si="40"/>
        <v>PASS</v>
      </c>
      <c r="N1332" s="10" t="str">
        <f t="shared" si="41"/>
        <v>NONE</v>
      </c>
    </row>
    <row r="1333" spans="1:14">
      <c r="A1333" s="4" t="s">
        <v>2682</v>
      </c>
      <c r="B1333" s="4" t="s">
        <v>2683</v>
      </c>
      <c r="C1333" s="4" t="s">
        <v>19</v>
      </c>
      <c r="D1333" s="4" t="s">
        <v>13</v>
      </c>
      <c r="E1333" s="5">
        <v>84.177099999999996</v>
      </c>
      <c r="F1333" s="5">
        <v>84.602900000000005</v>
      </c>
      <c r="G1333" s="5">
        <v>84.978999999999999</v>
      </c>
      <c r="H1333" s="4">
        <v>0</v>
      </c>
      <c r="I1333" s="6">
        <v>1352423</v>
      </c>
      <c r="J1333" s="7">
        <v>416.51</v>
      </c>
      <c r="K1333" s="9">
        <f>(PricingDataTable[[#This Row],[Current Price ($)]]-PricingDataTable[[#This Row],[Prior Price ($)]])/PricingDataTable[[#This Row],[Prior Price ($)]]</f>
        <v>5.0583828618473376E-3</v>
      </c>
      <c r="L1333" s="9">
        <f>(PricingDataTable[[#This Row],[Vendor Price ($)]]-PricingDataTable[[#This Row],[Current Price ($)]])/PricingDataTable[[#This Row],[Current Price ($)]]</f>
        <v>4.4454740913135822E-3</v>
      </c>
      <c r="M1333" t="str">
        <f t="shared" si="40"/>
        <v>PASS</v>
      </c>
      <c r="N1333" s="10" t="str">
        <f t="shared" si="41"/>
        <v>NONE</v>
      </c>
    </row>
    <row r="1334" spans="1:14">
      <c r="A1334" s="4" t="s">
        <v>2684</v>
      </c>
      <c r="B1334" s="4" t="s">
        <v>2685</v>
      </c>
      <c r="C1334" s="4" t="s">
        <v>16</v>
      </c>
      <c r="D1334" s="4" t="s">
        <v>13</v>
      </c>
      <c r="E1334" s="5">
        <v>78.918199999999999</v>
      </c>
      <c r="F1334" s="5">
        <v>78.611400000000003</v>
      </c>
      <c r="G1334" s="5">
        <v>78.790999999999997</v>
      </c>
      <c r="H1334" s="4">
        <v>2</v>
      </c>
      <c r="I1334" s="6">
        <v>2925947</v>
      </c>
      <c r="J1334" s="7">
        <v>830.36</v>
      </c>
      <c r="K1334" s="9">
        <f>(PricingDataTable[[#This Row],[Current Price ($)]]-PricingDataTable[[#This Row],[Prior Price ($)]])/PricingDataTable[[#This Row],[Prior Price ($)]]</f>
        <v>-3.8875696607372635E-3</v>
      </c>
      <c r="L1334" s="9">
        <f>(PricingDataTable[[#This Row],[Vendor Price ($)]]-PricingDataTable[[#This Row],[Current Price ($)]])/PricingDataTable[[#This Row],[Current Price ($)]]</f>
        <v>2.2846559150453182E-3</v>
      </c>
      <c r="M1334" t="str">
        <f t="shared" si="40"/>
        <v>PASS</v>
      </c>
      <c r="N1334" s="10" t="str">
        <f t="shared" si="41"/>
        <v>NONE</v>
      </c>
    </row>
    <row r="1335" spans="1:14">
      <c r="A1335" s="4" t="s">
        <v>2686</v>
      </c>
      <c r="B1335" s="4" t="s">
        <v>2687</v>
      </c>
      <c r="C1335" s="4" t="s">
        <v>19</v>
      </c>
      <c r="D1335" s="4" t="s">
        <v>237</v>
      </c>
      <c r="E1335" s="5">
        <v>265.77199999999999</v>
      </c>
      <c r="F1335" s="5">
        <v>271.14359999999999</v>
      </c>
      <c r="G1335" s="5">
        <v>269.76760000000002</v>
      </c>
      <c r="H1335" s="4">
        <v>1</v>
      </c>
      <c r="I1335" s="6">
        <v>2562482</v>
      </c>
      <c r="J1335" s="7">
        <v>550.87</v>
      </c>
      <c r="K1335" s="9">
        <f>(PricingDataTable[[#This Row],[Current Price ($)]]-PricingDataTable[[#This Row],[Prior Price ($)]])/PricingDataTable[[#This Row],[Prior Price ($)]]</f>
        <v>2.021130894149873E-2</v>
      </c>
      <c r="L1335" s="9">
        <f>(PricingDataTable[[#This Row],[Vendor Price ($)]]-PricingDataTable[[#This Row],[Current Price ($)]])/PricingDataTable[[#This Row],[Current Price ($)]]</f>
        <v>-5.0748016917971745E-3</v>
      </c>
      <c r="M1335" t="str">
        <f t="shared" si="40"/>
        <v>PASS</v>
      </c>
      <c r="N1335" s="10" t="str">
        <f t="shared" si="41"/>
        <v>NONE</v>
      </c>
    </row>
    <row r="1336" spans="1:14">
      <c r="A1336" s="4" t="s">
        <v>2688</v>
      </c>
      <c r="B1336" s="4" t="s">
        <v>2689</v>
      </c>
      <c r="C1336" s="4" t="s">
        <v>35</v>
      </c>
      <c r="D1336" s="4" t="s">
        <v>13</v>
      </c>
      <c r="E1336" s="5">
        <v>136.0307</v>
      </c>
      <c r="F1336" s="5">
        <v>136.1516</v>
      </c>
      <c r="G1336" s="5">
        <v>136.78980000000001</v>
      </c>
      <c r="H1336" s="4">
        <v>0</v>
      </c>
      <c r="I1336" s="6">
        <v>3439640</v>
      </c>
      <c r="J1336" s="7">
        <v>237.56</v>
      </c>
      <c r="K1336" s="9">
        <f>(PricingDataTable[[#This Row],[Current Price ($)]]-PricingDataTable[[#This Row],[Prior Price ($)]])/PricingDataTable[[#This Row],[Prior Price ($)]]</f>
        <v>8.887699614866792E-4</v>
      </c>
      <c r="L1336" s="9">
        <f>(PricingDataTable[[#This Row],[Vendor Price ($)]]-PricingDataTable[[#This Row],[Current Price ($)]])/PricingDataTable[[#This Row],[Current Price ($)]]</f>
        <v>4.6874219619895165E-3</v>
      </c>
      <c r="M1336" t="str">
        <f t="shared" si="40"/>
        <v>PASS</v>
      </c>
      <c r="N1336" s="10" t="str">
        <f t="shared" si="41"/>
        <v>NONE</v>
      </c>
    </row>
    <row r="1337" spans="1:14">
      <c r="A1337" s="4" t="s">
        <v>2690</v>
      </c>
      <c r="B1337" s="4" t="s">
        <v>2691</v>
      </c>
      <c r="C1337" s="4" t="s">
        <v>19</v>
      </c>
      <c r="D1337" s="4" t="s">
        <v>13</v>
      </c>
      <c r="E1337" s="5">
        <v>210.91579999999999</v>
      </c>
      <c r="F1337" s="5">
        <v>209.58940000000001</v>
      </c>
      <c r="G1337" s="5">
        <v>209.58840000000001</v>
      </c>
      <c r="H1337" s="4">
        <v>0</v>
      </c>
      <c r="I1337" s="6">
        <v>4383082</v>
      </c>
      <c r="J1337" s="7">
        <v>524.46</v>
      </c>
      <c r="K1337" s="9">
        <f>(PricingDataTable[[#This Row],[Current Price ($)]]-PricingDataTable[[#This Row],[Prior Price ($)]])/PricingDataTable[[#This Row],[Prior Price ($)]]</f>
        <v>-6.2887654694431536E-3</v>
      </c>
      <c r="L1337" s="9">
        <f>(PricingDataTable[[#This Row],[Vendor Price ($)]]-PricingDataTable[[#This Row],[Current Price ($)]])/PricingDataTable[[#This Row],[Current Price ($)]]</f>
        <v>-4.7712336597403055E-6</v>
      </c>
      <c r="M1337" t="str">
        <f t="shared" si="40"/>
        <v>PASS</v>
      </c>
      <c r="N1337" s="10" t="str">
        <f t="shared" si="41"/>
        <v>NONE</v>
      </c>
    </row>
    <row r="1338" spans="1:14">
      <c r="A1338" s="4" t="s">
        <v>2692</v>
      </c>
      <c r="B1338" s="4" t="s">
        <v>2693</v>
      </c>
      <c r="C1338" s="4" t="s">
        <v>19</v>
      </c>
      <c r="D1338" s="4" t="s">
        <v>13</v>
      </c>
      <c r="E1338" s="5">
        <v>10.7278</v>
      </c>
      <c r="F1338" s="5">
        <v>10.8597</v>
      </c>
      <c r="G1338" s="5">
        <v>10.833500000000001</v>
      </c>
      <c r="H1338" s="4">
        <v>0</v>
      </c>
      <c r="I1338" s="6">
        <v>2742594</v>
      </c>
      <c r="J1338" s="7">
        <v>271.36</v>
      </c>
      <c r="K1338" s="9">
        <f>(PricingDataTable[[#This Row],[Current Price ($)]]-PricingDataTable[[#This Row],[Prior Price ($)]])/PricingDataTable[[#This Row],[Prior Price ($)]]</f>
        <v>1.2295158373571459E-2</v>
      </c>
      <c r="L1338" s="9">
        <f>(PricingDataTable[[#This Row],[Vendor Price ($)]]-PricingDataTable[[#This Row],[Current Price ($)]])/PricingDataTable[[#This Row],[Current Price ($)]]</f>
        <v>-2.4125896663811462E-3</v>
      </c>
      <c r="M1338" t="str">
        <f t="shared" si="40"/>
        <v>PASS</v>
      </c>
      <c r="N1338" s="10" t="str">
        <f t="shared" si="41"/>
        <v>NONE</v>
      </c>
    </row>
    <row r="1339" spans="1:14">
      <c r="A1339" s="4" t="s">
        <v>2694</v>
      </c>
      <c r="B1339" s="4" t="s">
        <v>2695</v>
      </c>
      <c r="C1339" s="4" t="s">
        <v>19</v>
      </c>
      <c r="D1339" s="4" t="s">
        <v>13</v>
      </c>
      <c r="E1339" s="5">
        <v>276.25420000000003</v>
      </c>
      <c r="F1339" s="5">
        <v>273.67779999999999</v>
      </c>
      <c r="G1339" s="5">
        <v>274.35270000000003</v>
      </c>
      <c r="H1339" s="4">
        <v>0</v>
      </c>
      <c r="I1339" s="6">
        <v>2334187</v>
      </c>
      <c r="J1339" s="7">
        <v>510.1</v>
      </c>
      <c r="K1339" s="9">
        <f>(PricingDataTable[[#This Row],[Current Price ($)]]-PricingDataTable[[#This Row],[Prior Price ($)]])/PricingDataTable[[#This Row],[Prior Price ($)]]</f>
        <v>-9.3261930497347545E-3</v>
      </c>
      <c r="L1339" s="9">
        <f>(PricingDataTable[[#This Row],[Vendor Price ($)]]-PricingDataTable[[#This Row],[Current Price ($)]])/PricingDataTable[[#This Row],[Current Price ($)]]</f>
        <v>2.4660385314411197E-3</v>
      </c>
      <c r="M1339" t="str">
        <f t="shared" si="40"/>
        <v>PASS</v>
      </c>
      <c r="N1339" s="10" t="str">
        <f t="shared" si="41"/>
        <v>NONE</v>
      </c>
    </row>
    <row r="1340" spans="1:14">
      <c r="A1340" s="4" t="s">
        <v>2696</v>
      </c>
      <c r="B1340" s="4" t="s">
        <v>2697</v>
      </c>
      <c r="C1340" s="4" t="s">
        <v>35</v>
      </c>
      <c r="D1340" s="4" t="s">
        <v>13</v>
      </c>
      <c r="E1340" s="5">
        <v>110.747</v>
      </c>
      <c r="F1340" s="5">
        <v>108.4872</v>
      </c>
      <c r="G1340" s="5">
        <v>108.24120000000001</v>
      </c>
      <c r="H1340" s="4">
        <v>0</v>
      </c>
      <c r="I1340" s="6">
        <v>3872098</v>
      </c>
      <c r="J1340" s="7">
        <v>300.12</v>
      </c>
      <c r="K1340" s="9">
        <f>(PricingDataTable[[#This Row],[Current Price ($)]]-PricingDataTable[[#This Row],[Prior Price ($)]])/PricingDataTable[[#This Row],[Prior Price ($)]]</f>
        <v>-2.0405067405889085E-2</v>
      </c>
      <c r="L1340" s="9">
        <f>(PricingDataTable[[#This Row],[Vendor Price ($)]]-PricingDataTable[[#This Row],[Current Price ($)]])/PricingDataTable[[#This Row],[Current Price ($)]]</f>
        <v>-2.2675486140299973E-3</v>
      </c>
      <c r="M1340" t="str">
        <f t="shared" si="40"/>
        <v>PASS</v>
      </c>
      <c r="N1340" s="10" t="str">
        <f t="shared" si="41"/>
        <v>NONE</v>
      </c>
    </row>
    <row r="1341" spans="1:14">
      <c r="A1341" s="4" t="s">
        <v>2698</v>
      </c>
      <c r="B1341" s="4" t="s">
        <v>2699</v>
      </c>
      <c r="C1341" s="4" t="s">
        <v>16</v>
      </c>
      <c r="D1341" s="4" t="s">
        <v>13</v>
      </c>
      <c r="E1341" s="5">
        <v>84.515699999999995</v>
      </c>
      <c r="F1341" s="5">
        <v>83.276200000000003</v>
      </c>
      <c r="G1341" s="5">
        <v>83.102400000000003</v>
      </c>
      <c r="H1341" s="4">
        <v>0</v>
      </c>
      <c r="I1341" s="6">
        <v>4813243</v>
      </c>
      <c r="J1341" s="7">
        <v>548.61</v>
      </c>
      <c r="K1341" s="9">
        <f>(PricingDataTable[[#This Row],[Current Price ($)]]-PricingDataTable[[#This Row],[Prior Price ($)]])/PricingDataTable[[#This Row],[Prior Price ($)]]</f>
        <v>-1.4665914143762551E-2</v>
      </c>
      <c r="L1341" s="9">
        <f>(PricingDataTable[[#This Row],[Vendor Price ($)]]-PricingDataTable[[#This Row],[Current Price ($)]])/PricingDataTable[[#This Row],[Current Price ($)]]</f>
        <v>-2.0870308683633492E-3</v>
      </c>
      <c r="M1341" t="str">
        <f t="shared" si="40"/>
        <v>PASS</v>
      </c>
      <c r="N1341" s="10" t="str">
        <f t="shared" si="41"/>
        <v>NONE</v>
      </c>
    </row>
    <row r="1342" spans="1:14">
      <c r="A1342" s="4" t="s">
        <v>2700</v>
      </c>
      <c r="B1342" s="4" t="s">
        <v>2701</v>
      </c>
      <c r="C1342" s="4" t="s">
        <v>12</v>
      </c>
      <c r="D1342" s="4" t="s">
        <v>13</v>
      </c>
      <c r="E1342" s="5">
        <v>84.457599999999999</v>
      </c>
      <c r="F1342" s="5">
        <v>84.117199999999997</v>
      </c>
      <c r="G1342" s="5">
        <v>83.878100000000003</v>
      </c>
      <c r="H1342" s="4">
        <v>3</v>
      </c>
      <c r="I1342" s="6">
        <v>1718177</v>
      </c>
      <c r="J1342" s="7">
        <v>267.10000000000002</v>
      </c>
      <c r="K1342" s="9">
        <f>(PricingDataTable[[#This Row],[Current Price ($)]]-PricingDataTable[[#This Row],[Prior Price ($)]])/PricingDataTable[[#This Row],[Prior Price ($)]]</f>
        <v>-4.0304247338309694E-3</v>
      </c>
      <c r="L1342" s="9">
        <f>(PricingDataTable[[#This Row],[Vendor Price ($)]]-PricingDataTable[[#This Row],[Current Price ($)]])/PricingDataTable[[#This Row],[Current Price ($)]]</f>
        <v>-2.8424626592420269E-3</v>
      </c>
      <c r="M1342" t="str">
        <f t="shared" si="40"/>
        <v>STALE</v>
      </c>
      <c r="N1342" s="10" t="str">
        <f t="shared" si="41"/>
        <v>LOW</v>
      </c>
    </row>
    <row r="1343" spans="1:14">
      <c r="A1343" s="4" t="s">
        <v>2702</v>
      </c>
      <c r="B1343" s="4" t="s">
        <v>2703</v>
      </c>
      <c r="C1343" s="4" t="s">
        <v>39</v>
      </c>
      <c r="D1343" s="4" t="s">
        <v>13</v>
      </c>
      <c r="E1343" s="5">
        <v>237.39599999999999</v>
      </c>
      <c r="F1343" s="5">
        <v>241.0986</v>
      </c>
      <c r="G1343" s="5">
        <v>242.17490000000001</v>
      </c>
      <c r="H1343" s="4">
        <v>0</v>
      </c>
      <c r="I1343" s="6">
        <v>158005</v>
      </c>
      <c r="J1343" s="7">
        <v>271.27</v>
      </c>
      <c r="K1343" s="9">
        <f>(PricingDataTable[[#This Row],[Current Price ($)]]-PricingDataTable[[#This Row],[Prior Price ($)]])/PricingDataTable[[#This Row],[Prior Price ($)]]</f>
        <v>1.5596724460395365E-2</v>
      </c>
      <c r="L1343" s="9">
        <f>(PricingDataTable[[#This Row],[Vendor Price ($)]]-PricingDataTable[[#This Row],[Current Price ($)]])/PricingDataTable[[#This Row],[Current Price ($)]]</f>
        <v>4.4641486926925468E-3</v>
      </c>
      <c r="M1343" t="str">
        <f t="shared" si="40"/>
        <v>PASS</v>
      </c>
      <c r="N1343" s="10" t="str">
        <f t="shared" si="41"/>
        <v>NONE</v>
      </c>
    </row>
    <row r="1344" spans="1:14">
      <c r="A1344" s="4" t="s">
        <v>2704</v>
      </c>
      <c r="B1344" s="4" t="s">
        <v>2705</v>
      </c>
      <c r="C1344" s="4" t="s">
        <v>12</v>
      </c>
      <c r="D1344" s="4" t="s">
        <v>13</v>
      </c>
      <c r="E1344" s="5">
        <v>112.07259999999999</v>
      </c>
      <c r="F1344" s="5">
        <v>111.1759</v>
      </c>
      <c r="G1344" s="5">
        <v>110.74079999999999</v>
      </c>
      <c r="H1344" s="4">
        <v>0</v>
      </c>
      <c r="I1344" s="6">
        <v>2633282</v>
      </c>
      <c r="J1344" s="7">
        <v>639.74</v>
      </c>
      <c r="K1344" s="9">
        <f>(PricingDataTable[[#This Row],[Current Price ($)]]-PricingDataTable[[#This Row],[Prior Price ($)]])/PricingDataTable[[#This Row],[Prior Price ($)]]</f>
        <v>-8.0010635962759463E-3</v>
      </c>
      <c r="L1344" s="9">
        <f>(PricingDataTable[[#This Row],[Vendor Price ($)]]-PricingDataTable[[#This Row],[Current Price ($)]])/PricingDataTable[[#This Row],[Current Price ($)]]</f>
        <v>-3.9136179693621152E-3</v>
      </c>
      <c r="M1344" t="str">
        <f t="shared" si="40"/>
        <v>PASS</v>
      </c>
      <c r="N1344" s="10" t="str">
        <f t="shared" si="41"/>
        <v>NONE</v>
      </c>
    </row>
    <row r="1345" spans="1:14">
      <c r="A1345" s="4" t="s">
        <v>2706</v>
      </c>
      <c r="B1345" s="4" t="s">
        <v>2707</v>
      </c>
      <c r="C1345" s="4" t="s">
        <v>39</v>
      </c>
      <c r="D1345" s="4" t="s">
        <v>13</v>
      </c>
      <c r="E1345" s="5">
        <v>207.23779999999999</v>
      </c>
      <c r="F1345" s="5">
        <v>212.16679999999999</v>
      </c>
      <c r="G1345" s="5">
        <v>212.57769999999999</v>
      </c>
      <c r="H1345" s="4">
        <v>4</v>
      </c>
      <c r="I1345" s="6">
        <v>3908549</v>
      </c>
      <c r="J1345" s="7">
        <v>237.29</v>
      </c>
      <c r="K1345" s="9">
        <f>(PricingDataTable[[#This Row],[Current Price ($)]]-PricingDataTable[[#This Row],[Prior Price ($)]])/PricingDataTable[[#This Row],[Prior Price ($)]]</f>
        <v>2.3784271016194933E-2</v>
      </c>
      <c r="L1345" s="9">
        <f>(PricingDataTable[[#This Row],[Vendor Price ($)]]-PricingDataTable[[#This Row],[Current Price ($)]])/PricingDataTable[[#This Row],[Current Price ($)]]</f>
        <v>1.9366837789889749E-3</v>
      </c>
      <c r="M1345" t="str">
        <f t="shared" si="40"/>
        <v>STALE</v>
      </c>
      <c r="N1345" s="10" t="str">
        <f t="shared" si="41"/>
        <v>LOW</v>
      </c>
    </row>
    <row r="1346" spans="1:14">
      <c r="A1346" s="4" t="s">
        <v>2708</v>
      </c>
      <c r="B1346" s="4" t="s">
        <v>2709</v>
      </c>
      <c r="C1346" s="4" t="s">
        <v>19</v>
      </c>
      <c r="D1346" s="4" t="s">
        <v>13</v>
      </c>
      <c r="E1346" s="5">
        <v>61.066699999999997</v>
      </c>
      <c r="F1346" s="5">
        <v>59.803400000000003</v>
      </c>
      <c r="G1346" s="5">
        <v>59.731099999999998</v>
      </c>
      <c r="H1346" s="4">
        <v>0</v>
      </c>
      <c r="I1346" s="6">
        <v>3542035</v>
      </c>
      <c r="J1346" s="7">
        <v>351.88</v>
      </c>
      <c r="K1346" s="9">
        <f>(PricingDataTable[[#This Row],[Current Price ($)]]-PricingDataTable[[#This Row],[Prior Price ($)]])/PricingDataTable[[#This Row],[Prior Price ($)]]</f>
        <v>-2.0687215782087355E-2</v>
      </c>
      <c r="L1346" s="9">
        <f>(PricingDataTable[[#This Row],[Vendor Price ($)]]-PricingDataTable[[#This Row],[Current Price ($)]])/PricingDataTable[[#This Row],[Current Price ($)]]</f>
        <v>-1.2089613634008363E-3</v>
      </c>
      <c r="M1346" t="str">
        <f t="shared" ref="M1346:M1409" si="42">IF(OR(F1346="",F1346=0),"MISSING",IF(H1346&gt;=3,"STALE",IF(ABS(K1346)&gt;=5%,"LARGE MOVE",IF(ABS(L1346)&gt;=2%,"VENDOR DIFFERENCE","PASS"))))</f>
        <v>PASS</v>
      </c>
      <c r="N1346" s="10" t="str">
        <f t="shared" ref="N1346:N1409" si="43">IF(M1346="PASS","NONE",IF(M1346="MISSING","HIGH",IF(OR(ABS(K1346)&gt;=10%,ABS(L1346)&gt;=5%),"HIGH",IF(OR(ABS(K1346)&gt;=7%,ABS(L1346)&gt;=3%,H1346&gt;=5),"MEDIUM","LOW"))))</f>
        <v>NONE</v>
      </c>
    </row>
    <row r="1347" spans="1:14">
      <c r="A1347" s="4" t="s">
        <v>2710</v>
      </c>
      <c r="B1347" s="4" t="s">
        <v>2711</v>
      </c>
      <c r="C1347" s="4" t="s">
        <v>39</v>
      </c>
      <c r="D1347" s="4" t="s">
        <v>32</v>
      </c>
      <c r="E1347" s="5">
        <v>265.83100000000002</v>
      </c>
      <c r="F1347" s="5">
        <v>265.94810000000001</v>
      </c>
      <c r="G1347" s="5">
        <v>265.41739999999999</v>
      </c>
      <c r="H1347" s="4">
        <v>0</v>
      </c>
      <c r="I1347" s="6">
        <v>1128781</v>
      </c>
      <c r="J1347" s="7">
        <v>297.3</v>
      </c>
      <c r="K1347" s="9">
        <f>(PricingDataTable[[#This Row],[Current Price ($)]]-PricingDataTable[[#This Row],[Prior Price ($)]])/PricingDataTable[[#This Row],[Prior Price ($)]]</f>
        <v>4.4050543390347077E-4</v>
      </c>
      <c r="L1347" s="9">
        <f>(PricingDataTable[[#This Row],[Vendor Price ($)]]-PricingDataTable[[#This Row],[Current Price ($)]])/PricingDataTable[[#This Row],[Current Price ($)]]</f>
        <v>-1.9955021299269456E-3</v>
      </c>
      <c r="M1347" t="str">
        <f t="shared" si="42"/>
        <v>PASS</v>
      </c>
      <c r="N1347" s="10" t="str">
        <f t="shared" si="43"/>
        <v>NONE</v>
      </c>
    </row>
    <row r="1348" spans="1:14">
      <c r="A1348" s="4" t="s">
        <v>2712</v>
      </c>
      <c r="B1348" s="4" t="s">
        <v>2713</v>
      </c>
      <c r="C1348" s="4" t="s">
        <v>19</v>
      </c>
      <c r="D1348" s="4" t="s">
        <v>64</v>
      </c>
      <c r="E1348" s="5">
        <v>86.564899999999994</v>
      </c>
      <c r="F1348" s="5">
        <v>86.716399999999993</v>
      </c>
      <c r="G1348" s="5">
        <v>86.911699999999996</v>
      </c>
      <c r="H1348" s="4">
        <v>1</v>
      </c>
      <c r="I1348" s="6">
        <v>3828673</v>
      </c>
      <c r="J1348" s="7">
        <v>328.81</v>
      </c>
      <c r="K1348" s="9">
        <f>(PricingDataTable[[#This Row],[Current Price ($)]]-PricingDataTable[[#This Row],[Prior Price ($)]])/PricingDataTable[[#This Row],[Prior Price ($)]]</f>
        <v>1.7501319819002695E-3</v>
      </c>
      <c r="L1348" s="9">
        <f>(PricingDataTable[[#This Row],[Vendor Price ($)]]-PricingDataTable[[#This Row],[Current Price ($)]])/PricingDataTable[[#This Row],[Current Price ($)]]</f>
        <v>2.2521691398628535E-3</v>
      </c>
      <c r="M1348" t="str">
        <f t="shared" si="42"/>
        <v>PASS</v>
      </c>
      <c r="N1348" s="10" t="str">
        <f t="shared" si="43"/>
        <v>NONE</v>
      </c>
    </row>
    <row r="1349" spans="1:14">
      <c r="A1349" s="4" t="s">
        <v>2714</v>
      </c>
      <c r="B1349" s="4" t="s">
        <v>2715</v>
      </c>
      <c r="C1349" s="4" t="s">
        <v>39</v>
      </c>
      <c r="D1349" s="4" t="s">
        <v>13</v>
      </c>
      <c r="E1349" s="5">
        <v>171.6087</v>
      </c>
      <c r="F1349" s="5">
        <v>168.96270000000001</v>
      </c>
      <c r="G1349" s="5">
        <v>168.42410000000001</v>
      </c>
      <c r="H1349" s="4">
        <v>0</v>
      </c>
      <c r="I1349" s="6">
        <v>471181</v>
      </c>
      <c r="J1349" s="7">
        <v>70.599999999999994</v>
      </c>
      <c r="K1349" s="9">
        <f>(PricingDataTable[[#This Row],[Current Price ($)]]-PricingDataTable[[#This Row],[Prior Price ($)]])/PricingDataTable[[#This Row],[Prior Price ($)]]</f>
        <v>-1.5418798697268766E-2</v>
      </c>
      <c r="L1349" s="9">
        <f>(PricingDataTable[[#This Row],[Vendor Price ($)]]-PricingDataTable[[#This Row],[Current Price ($)]])/PricingDataTable[[#This Row],[Current Price ($)]]</f>
        <v>-3.1876858028428898E-3</v>
      </c>
      <c r="M1349" t="str">
        <f t="shared" si="42"/>
        <v>PASS</v>
      </c>
      <c r="N1349" s="10" t="str">
        <f t="shared" si="43"/>
        <v>NONE</v>
      </c>
    </row>
    <row r="1350" spans="1:14">
      <c r="A1350" s="4" t="s">
        <v>2716</v>
      </c>
      <c r="B1350" s="4" t="s">
        <v>2717</v>
      </c>
      <c r="C1350" s="4" t="s">
        <v>39</v>
      </c>
      <c r="D1350" s="4" t="s">
        <v>13</v>
      </c>
      <c r="E1350" s="5">
        <v>96.343800000000002</v>
      </c>
      <c r="F1350" s="5">
        <v>95.500100000000003</v>
      </c>
      <c r="G1350" s="5">
        <v>95.516400000000004</v>
      </c>
      <c r="H1350" s="4">
        <v>4</v>
      </c>
      <c r="I1350" s="6">
        <v>2484070</v>
      </c>
      <c r="J1350" s="7">
        <v>412.72</v>
      </c>
      <c r="K1350" s="9">
        <f>(PricingDataTable[[#This Row],[Current Price ($)]]-PricingDataTable[[#This Row],[Prior Price ($)]])/PricingDataTable[[#This Row],[Prior Price ($)]]</f>
        <v>-8.7571800157352966E-3</v>
      </c>
      <c r="L1350" s="9">
        <f>(PricingDataTable[[#This Row],[Vendor Price ($)]]-PricingDataTable[[#This Row],[Current Price ($)]])/PricingDataTable[[#This Row],[Current Price ($)]]</f>
        <v>1.7068044954927892E-4</v>
      </c>
      <c r="M1350" t="str">
        <f t="shared" si="42"/>
        <v>STALE</v>
      </c>
      <c r="N1350" s="10" t="str">
        <f t="shared" si="43"/>
        <v>LOW</v>
      </c>
    </row>
    <row r="1351" spans="1:14">
      <c r="A1351" s="4" t="s">
        <v>2718</v>
      </c>
      <c r="B1351" s="4" t="s">
        <v>2719</v>
      </c>
      <c r="C1351" s="4" t="s">
        <v>19</v>
      </c>
      <c r="D1351" s="4" t="s">
        <v>13</v>
      </c>
      <c r="E1351" s="5">
        <v>335.50319999999999</v>
      </c>
      <c r="F1351" s="5">
        <v>334.37540000000001</v>
      </c>
      <c r="G1351" s="5">
        <v>333.92059999999998</v>
      </c>
      <c r="H1351" s="4">
        <v>0</v>
      </c>
      <c r="I1351" s="6">
        <v>2173175</v>
      </c>
      <c r="J1351" s="7">
        <v>594.57000000000005</v>
      </c>
      <c r="K1351" s="9">
        <f>(PricingDataTable[[#This Row],[Current Price ($)]]-PricingDataTable[[#This Row],[Prior Price ($)]])/PricingDataTable[[#This Row],[Prior Price ($)]]</f>
        <v>-3.3615178633168903E-3</v>
      </c>
      <c r="L1351" s="9">
        <f>(PricingDataTable[[#This Row],[Vendor Price ($)]]-PricingDataTable[[#This Row],[Current Price ($)]])/PricingDataTable[[#This Row],[Current Price ($)]]</f>
        <v>-1.3601479056175611E-3</v>
      </c>
      <c r="M1351" t="str">
        <f t="shared" si="42"/>
        <v>PASS</v>
      </c>
      <c r="N1351" s="10" t="str">
        <f t="shared" si="43"/>
        <v>NONE</v>
      </c>
    </row>
    <row r="1352" spans="1:14">
      <c r="A1352" s="4" t="s">
        <v>2720</v>
      </c>
      <c r="B1352" s="4" t="s">
        <v>2721</v>
      </c>
      <c r="C1352" s="4" t="s">
        <v>12</v>
      </c>
      <c r="D1352" s="4" t="s">
        <v>237</v>
      </c>
      <c r="E1352" s="5">
        <v>116.5849</v>
      </c>
      <c r="F1352" s="5">
        <v>114.6178</v>
      </c>
      <c r="G1352" s="5">
        <v>114.69029999999999</v>
      </c>
      <c r="H1352" s="4">
        <v>0</v>
      </c>
      <c r="I1352" s="6">
        <v>1535081</v>
      </c>
      <c r="J1352" s="7">
        <v>833.11</v>
      </c>
      <c r="K1352" s="9">
        <f>(PricingDataTable[[#This Row],[Current Price ($)]]-PricingDataTable[[#This Row],[Prior Price ($)]])/PricingDataTable[[#This Row],[Prior Price ($)]]</f>
        <v>-1.6872682482894457E-2</v>
      </c>
      <c r="L1352" s="9">
        <f>(PricingDataTable[[#This Row],[Vendor Price ($)]]-PricingDataTable[[#This Row],[Current Price ($)]])/PricingDataTable[[#This Row],[Current Price ($)]]</f>
        <v>6.3253700559591009E-4</v>
      </c>
      <c r="M1352" t="str">
        <f t="shared" si="42"/>
        <v>PASS</v>
      </c>
      <c r="N1352" s="10" t="str">
        <f t="shared" si="43"/>
        <v>NONE</v>
      </c>
    </row>
    <row r="1353" spans="1:14">
      <c r="A1353" s="4" t="s">
        <v>2722</v>
      </c>
      <c r="B1353" s="4" t="s">
        <v>2723</v>
      </c>
      <c r="C1353" s="4" t="s">
        <v>16</v>
      </c>
      <c r="D1353" s="4" t="s">
        <v>13</v>
      </c>
      <c r="E1353" s="5">
        <v>101.8411</v>
      </c>
      <c r="F1353" s="5">
        <v>102.4618</v>
      </c>
      <c r="G1353" s="5">
        <v>102.3766</v>
      </c>
      <c r="H1353" s="4">
        <v>0</v>
      </c>
      <c r="I1353" s="6">
        <v>1305863</v>
      </c>
      <c r="J1353" s="7">
        <v>285.13</v>
      </c>
      <c r="K1353" s="9">
        <f>(PricingDataTable[[#This Row],[Current Price ($)]]-PricingDataTable[[#This Row],[Prior Price ($)]])/PricingDataTable[[#This Row],[Prior Price ($)]]</f>
        <v>6.0947888426185438E-3</v>
      </c>
      <c r="L1353" s="9">
        <f>(PricingDataTable[[#This Row],[Vendor Price ($)]]-PricingDataTable[[#This Row],[Current Price ($)]])/PricingDataTable[[#This Row],[Current Price ($)]]</f>
        <v>-8.3152940900901981E-4</v>
      </c>
      <c r="M1353" t="str">
        <f t="shared" si="42"/>
        <v>PASS</v>
      </c>
      <c r="N1353" s="10" t="str">
        <f t="shared" si="43"/>
        <v>NONE</v>
      </c>
    </row>
    <row r="1354" spans="1:14">
      <c r="A1354" s="4" t="s">
        <v>2724</v>
      </c>
      <c r="B1354" s="4" t="s">
        <v>2725</v>
      </c>
      <c r="C1354" s="4" t="s">
        <v>39</v>
      </c>
      <c r="D1354" s="4" t="s">
        <v>13</v>
      </c>
      <c r="E1354" s="5">
        <v>142.81739999999999</v>
      </c>
      <c r="F1354" s="5">
        <v>140.17169999999999</v>
      </c>
      <c r="G1354" s="5">
        <v>140.0318</v>
      </c>
      <c r="H1354" s="4">
        <v>0</v>
      </c>
      <c r="I1354" s="6">
        <v>1574925</v>
      </c>
      <c r="J1354" s="7">
        <v>406.34</v>
      </c>
      <c r="K1354" s="9">
        <f>(PricingDataTable[[#This Row],[Current Price ($)]]-PricingDataTable[[#This Row],[Prior Price ($)]])/PricingDataTable[[#This Row],[Prior Price ($)]]</f>
        <v>-1.852505366993101E-2</v>
      </c>
      <c r="L1354" s="9">
        <f>(PricingDataTable[[#This Row],[Vendor Price ($)]]-PricingDataTable[[#This Row],[Current Price ($)]])/PricingDataTable[[#This Row],[Current Price ($)]]</f>
        <v>-9.9806166294610856E-4</v>
      </c>
      <c r="M1354" t="str">
        <f t="shared" si="42"/>
        <v>PASS</v>
      </c>
      <c r="N1354" s="10" t="str">
        <f t="shared" si="43"/>
        <v>NONE</v>
      </c>
    </row>
    <row r="1355" spans="1:14">
      <c r="A1355" s="4" t="s">
        <v>2726</v>
      </c>
      <c r="B1355" s="4" t="s">
        <v>2727</v>
      </c>
      <c r="C1355" s="4" t="s">
        <v>19</v>
      </c>
      <c r="D1355" s="4" t="s">
        <v>13</v>
      </c>
      <c r="E1355" s="5">
        <v>342.92959999999999</v>
      </c>
      <c r="F1355" s="5">
        <v>346.26440000000002</v>
      </c>
      <c r="G1355" s="5">
        <v>347.04719999999998</v>
      </c>
      <c r="H1355" s="4">
        <v>0</v>
      </c>
      <c r="I1355" s="6">
        <v>420402</v>
      </c>
      <c r="J1355" s="7">
        <v>602.71</v>
      </c>
      <c r="K1355" s="9">
        <f>(PricingDataTable[[#This Row],[Current Price ($)]]-PricingDataTable[[#This Row],[Prior Price ($)]])/PricingDataTable[[#This Row],[Prior Price ($)]]</f>
        <v>9.7244449006444172E-3</v>
      </c>
      <c r="L1355" s="9">
        <f>(PricingDataTable[[#This Row],[Vendor Price ($)]]-PricingDataTable[[#This Row],[Current Price ($)]])/PricingDataTable[[#This Row],[Current Price ($)]]</f>
        <v>2.260700204814448E-3</v>
      </c>
      <c r="M1355" t="str">
        <f t="shared" si="42"/>
        <v>PASS</v>
      </c>
      <c r="N1355" s="10" t="str">
        <f t="shared" si="43"/>
        <v>NONE</v>
      </c>
    </row>
    <row r="1356" spans="1:14">
      <c r="A1356" s="4" t="s">
        <v>2728</v>
      </c>
      <c r="B1356" s="4" t="s">
        <v>2729</v>
      </c>
      <c r="C1356" s="4" t="s">
        <v>39</v>
      </c>
      <c r="D1356" s="4" t="s">
        <v>64</v>
      </c>
      <c r="E1356" s="5">
        <v>173.77809999999999</v>
      </c>
      <c r="F1356" s="5">
        <v>172.4837</v>
      </c>
      <c r="G1356" s="5">
        <v>171.61580000000001</v>
      </c>
      <c r="H1356" s="4">
        <v>0</v>
      </c>
      <c r="I1356" s="6">
        <v>2113412</v>
      </c>
      <c r="J1356" s="7">
        <v>625.05999999999995</v>
      </c>
      <c r="K1356" s="9">
        <f>(PricingDataTable[[#This Row],[Current Price ($)]]-PricingDataTable[[#This Row],[Prior Price ($)]])/PricingDataTable[[#This Row],[Prior Price ($)]]</f>
        <v>-7.4485795390788366E-3</v>
      </c>
      <c r="L1356" s="9">
        <f>(PricingDataTable[[#This Row],[Vendor Price ($)]]-PricingDataTable[[#This Row],[Current Price ($)]])/PricingDataTable[[#This Row],[Current Price ($)]]</f>
        <v>-5.0317798145563418E-3</v>
      </c>
      <c r="M1356" t="str">
        <f t="shared" si="42"/>
        <v>PASS</v>
      </c>
      <c r="N1356" s="10" t="str">
        <f t="shared" si="43"/>
        <v>NONE</v>
      </c>
    </row>
    <row r="1357" spans="1:14">
      <c r="A1357" s="4" t="s">
        <v>2730</v>
      </c>
      <c r="B1357" s="4" t="s">
        <v>2731</v>
      </c>
      <c r="C1357" s="4" t="s">
        <v>19</v>
      </c>
      <c r="D1357" s="4" t="s">
        <v>64</v>
      </c>
      <c r="E1357" s="5">
        <v>269.39679999999998</v>
      </c>
      <c r="F1357" s="5">
        <v>267.40780000000001</v>
      </c>
      <c r="G1357" s="5">
        <v>267.4264</v>
      </c>
      <c r="H1357" s="4">
        <v>0</v>
      </c>
      <c r="I1357" s="6">
        <v>3812812</v>
      </c>
      <c r="J1357" s="7">
        <v>163.77000000000001</v>
      </c>
      <c r="K1357" s="9">
        <f>(PricingDataTable[[#This Row],[Current Price ($)]]-PricingDataTable[[#This Row],[Prior Price ($)]])/PricingDataTable[[#This Row],[Prior Price ($)]]</f>
        <v>-7.3831611956785533E-3</v>
      </c>
      <c r="L1357" s="9">
        <f>(PricingDataTable[[#This Row],[Vendor Price ($)]]-PricingDataTable[[#This Row],[Current Price ($)]])/PricingDataTable[[#This Row],[Current Price ($)]]</f>
        <v>6.9556684584339638E-5</v>
      </c>
      <c r="M1357" t="str">
        <f t="shared" si="42"/>
        <v>PASS</v>
      </c>
      <c r="N1357" s="10" t="str">
        <f t="shared" si="43"/>
        <v>NONE</v>
      </c>
    </row>
    <row r="1358" spans="1:14">
      <c r="A1358" s="4" t="s">
        <v>2732</v>
      </c>
      <c r="B1358" s="4" t="s">
        <v>2733</v>
      </c>
      <c r="C1358" s="4" t="s">
        <v>39</v>
      </c>
      <c r="D1358" s="4" t="s">
        <v>13</v>
      </c>
      <c r="E1358" s="5">
        <v>46.641500000000001</v>
      </c>
      <c r="F1358" s="5">
        <v>47.019199999999998</v>
      </c>
      <c r="G1358" s="5">
        <v>47.209400000000002</v>
      </c>
      <c r="H1358" s="4">
        <v>2</v>
      </c>
      <c r="I1358" s="6">
        <v>1639284</v>
      </c>
      <c r="J1358" s="7">
        <v>666.09</v>
      </c>
      <c r="K1358" s="9">
        <f>(PricingDataTable[[#This Row],[Current Price ($)]]-PricingDataTable[[#This Row],[Prior Price ($)]])/PricingDataTable[[#This Row],[Prior Price ($)]]</f>
        <v>8.0979385311363752E-3</v>
      </c>
      <c r="L1358" s="9">
        <f>(PricingDataTable[[#This Row],[Vendor Price ($)]]-PricingDataTable[[#This Row],[Current Price ($)]])/PricingDataTable[[#This Row],[Current Price ($)]]</f>
        <v>4.0451560213700865E-3</v>
      </c>
      <c r="M1358" t="str">
        <f t="shared" si="42"/>
        <v>PASS</v>
      </c>
      <c r="N1358" s="10" t="str">
        <f t="shared" si="43"/>
        <v>NONE</v>
      </c>
    </row>
    <row r="1359" spans="1:14">
      <c r="A1359" s="4" t="s">
        <v>2734</v>
      </c>
      <c r="B1359" s="4" t="s">
        <v>2735</v>
      </c>
      <c r="C1359" s="4" t="s">
        <v>39</v>
      </c>
      <c r="D1359" s="4" t="s">
        <v>13</v>
      </c>
      <c r="E1359" s="5">
        <v>107.1447</v>
      </c>
      <c r="F1359" s="5">
        <v>106.2989</v>
      </c>
      <c r="G1359" s="5">
        <v>106.9174</v>
      </c>
      <c r="H1359" s="4">
        <v>2</v>
      </c>
      <c r="I1359" s="6">
        <v>2774220</v>
      </c>
      <c r="J1359" s="7">
        <v>10.77</v>
      </c>
      <c r="K1359" s="9">
        <f>(PricingDataTable[[#This Row],[Current Price ($)]]-PricingDataTable[[#This Row],[Prior Price ($)]])/PricingDataTable[[#This Row],[Prior Price ($)]]</f>
        <v>-7.8939975565753325E-3</v>
      </c>
      <c r="L1359" s="9">
        <f>(PricingDataTable[[#This Row],[Vendor Price ($)]]-PricingDataTable[[#This Row],[Current Price ($)]])/PricingDataTable[[#This Row],[Current Price ($)]]</f>
        <v>5.8184985921773168E-3</v>
      </c>
      <c r="M1359" t="str">
        <f t="shared" si="42"/>
        <v>PASS</v>
      </c>
      <c r="N1359" s="10" t="str">
        <f t="shared" si="43"/>
        <v>NONE</v>
      </c>
    </row>
    <row r="1360" spans="1:14">
      <c r="A1360" s="4" t="s">
        <v>2736</v>
      </c>
      <c r="B1360" s="4" t="s">
        <v>2737</v>
      </c>
      <c r="C1360" s="4" t="s">
        <v>39</v>
      </c>
      <c r="D1360" s="4" t="s">
        <v>13</v>
      </c>
      <c r="E1360" s="5">
        <v>135.97329999999999</v>
      </c>
      <c r="F1360" s="5">
        <v>134.83879999999999</v>
      </c>
      <c r="G1360" s="5">
        <v>134.20939999999999</v>
      </c>
      <c r="H1360" s="4">
        <v>1</v>
      </c>
      <c r="I1360" s="6">
        <v>3760732</v>
      </c>
      <c r="J1360" s="7">
        <v>447.25</v>
      </c>
      <c r="K1360" s="9">
        <f>(PricingDataTable[[#This Row],[Current Price ($)]]-PricingDataTable[[#This Row],[Prior Price ($)]])/PricingDataTable[[#This Row],[Prior Price ($)]]</f>
        <v>-8.3435497998504329E-3</v>
      </c>
      <c r="L1360" s="9">
        <f>(PricingDataTable[[#This Row],[Vendor Price ($)]]-PricingDataTable[[#This Row],[Current Price ($)]])/PricingDataTable[[#This Row],[Current Price ($)]]</f>
        <v>-4.667795916308985E-3</v>
      </c>
      <c r="M1360" t="str">
        <f t="shared" si="42"/>
        <v>PASS</v>
      </c>
      <c r="N1360" s="10" t="str">
        <f t="shared" si="43"/>
        <v>NONE</v>
      </c>
    </row>
    <row r="1361" spans="1:14">
      <c r="A1361" s="4" t="s">
        <v>2738</v>
      </c>
      <c r="B1361" s="4" t="s">
        <v>2739</v>
      </c>
      <c r="C1361" s="4" t="s">
        <v>16</v>
      </c>
      <c r="D1361" s="4" t="s">
        <v>13</v>
      </c>
      <c r="E1361" s="5">
        <v>85.4602</v>
      </c>
      <c r="F1361" s="5">
        <v>86.769900000000007</v>
      </c>
      <c r="G1361" s="5">
        <v>86.656400000000005</v>
      </c>
      <c r="H1361" s="4">
        <v>0</v>
      </c>
      <c r="I1361" s="6">
        <v>1431227</v>
      </c>
      <c r="J1361" s="7">
        <v>144.18</v>
      </c>
      <c r="K1361" s="9">
        <f>(PricingDataTable[[#This Row],[Current Price ($)]]-PricingDataTable[[#This Row],[Prior Price ($)]])/PricingDataTable[[#This Row],[Prior Price ($)]]</f>
        <v>1.5325262519863124E-2</v>
      </c>
      <c r="L1361" s="9">
        <f>(PricingDataTable[[#This Row],[Vendor Price ($)]]-PricingDataTable[[#This Row],[Current Price ($)]])/PricingDataTable[[#This Row],[Current Price ($)]]</f>
        <v>-1.3080572871468322E-3</v>
      </c>
      <c r="M1361" t="str">
        <f t="shared" si="42"/>
        <v>PASS</v>
      </c>
      <c r="N1361" s="10" t="str">
        <f t="shared" si="43"/>
        <v>NONE</v>
      </c>
    </row>
    <row r="1362" spans="1:14">
      <c r="A1362" s="4" t="s">
        <v>2740</v>
      </c>
      <c r="B1362" s="4" t="s">
        <v>2741</v>
      </c>
      <c r="C1362" s="4" t="s">
        <v>19</v>
      </c>
      <c r="D1362" s="4" t="s">
        <v>13</v>
      </c>
      <c r="E1362" s="5">
        <v>310.95119999999997</v>
      </c>
      <c r="F1362" s="5">
        <v>310.03969999999998</v>
      </c>
      <c r="G1362" s="5">
        <v>310.35539999999997</v>
      </c>
      <c r="H1362" s="4">
        <v>0</v>
      </c>
      <c r="I1362" s="6">
        <v>1266919</v>
      </c>
      <c r="J1362" s="7">
        <v>533.36</v>
      </c>
      <c r="K1362" s="9">
        <f>(PricingDataTable[[#This Row],[Current Price ($)]]-PricingDataTable[[#This Row],[Prior Price ($)]])/PricingDataTable[[#This Row],[Prior Price ($)]]</f>
        <v>-2.9313281312308478E-3</v>
      </c>
      <c r="L1362" s="9">
        <f>(PricingDataTable[[#This Row],[Vendor Price ($)]]-PricingDataTable[[#This Row],[Current Price ($)]])/PricingDataTable[[#This Row],[Current Price ($)]]</f>
        <v>1.0182566942233287E-3</v>
      </c>
      <c r="M1362" t="str">
        <f t="shared" si="42"/>
        <v>PASS</v>
      </c>
      <c r="N1362" s="10" t="str">
        <f t="shared" si="43"/>
        <v>NONE</v>
      </c>
    </row>
    <row r="1363" spans="1:14">
      <c r="A1363" s="4" t="s">
        <v>2742</v>
      </c>
      <c r="B1363" s="4" t="s">
        <v>2743</v>
      </c>
      <c r="C1363" s="4" t="s">
        <v>19</v>
      </c>
      <c r="D1363" s="4" t="s">
        <v>64</v>
      </c>
      <c r="E1363" s="5">
        <v>325.69650000000001</v>
      </c>
      <c r="F1363" s="5">
        <v>324.72730000000001</v>
      </c>
      <c r="G1363" s="5">
        <v>324.87950000000001</v>
      </c>
      <c r="H1363" s="4">
        <v>0</v>
      </c>
      <c r="I1363" s="6">
        <v>2050871</v>
      </c>
      <c r="J1363" s="7">
        <v>417.05</v>
      </c>
      <c r="K1363" s="9">
        <f>(PricingDataTable[[#This Row],[Current Price ($)]]-PricingDataTable[[#This Row],[Prior Price ($)]])/PricingDataTable[[#This Row],[Prior Price ($)]]</f>
        <v>-2.9757765281481401E-3</v>
      </c>
      <c r="L1363" s="9">
        <f>(PricingDataTable[[#This Row],[Vendor Price ($)]]-PricingDataTable[[#This Row],[Current Price ($)]])/PricingDataTable[[#This Row],[Current Price ($)]]</f>
        <v>4.6870096847414258E-4</v>
      </c>
      <c r="M1363" t="str">
        <f t="shared" si="42"/>
        <v>PASS</v>
      </c>
      <c r="N1363" s="10" t="str">
        <f t="shared" si="43"/>
        <v>NONE</v>
      </c>
    </row>
    <row r="1364" spans="1:14">
      <c r="A1364" s="4" t="s">
        <v>2744</v>
      </c>
      <c r="B1364" s="4" t="s">
        <v>2745</v>
      </c>
      <c r="C1364" s="4" t="s">
        <v>12</v>
      </c>
      <c r="D1364" s="4" t="s">
        <v>13</v>
      </c>
      <c r="E1364" s="5">
        <v>106.1211</v>
      </c>
      <c r="F1364" s="5">
        <v>105.4958</v>
      </c>
      <c r="G1364" s="5">
        <v>106.0107</v>
      </c>
      <c r="H1364" s="4">
        <v>0</v>
      </c>
      <c r="I1364" s="6">
        <v>228061</v>
      </c>
      <c r="J1364" s="7">
        <v>581.75</v>
      </c>
      <c r="K1364" s="9">
        <f>(PricingDataTable[[#This Row],[Current Price ($)]]-PricingDataTable[[#This Row],[Prior Price ($)]])/PricingDataTable[[#This Row],[Prior Price ($)]]</f>
        <v>-5.8923249005145605E-3</v>
      </c>
      <c r="L1364" s="9">
        <f>(PricingDataTable[[#This Row],[Vendor Price ($)]]-PricingDataTable[[#This Row],[Current Price ($)]])/PricingDataTable[[#This Row],[Current Price ($)]]</f>
        <v>4.8807630256370131E-3</v>
      </c>
      <c r="M1364" t="str">
        <f t="shared" si="42"/>
        <v>PASS</v>
      </c>
      <c r="N1364" s="10" t="str">
        <f t="shared" si="43"/>
        <v>NONE</v>
      </c>
    </row>
    <row r="1365" spans="1:14">
      <c r="A1365" s="4" t="s">
        <v>2746</v>
      </c>
      <c r="B1365" s="4" t="s">
        <v>2747</v>
      </c>
      <c r="C1365" s="4" t="s">
        <v>19</v>
      </c>
      <c r="D1365" s="4" t="s">
        <v>13</v>
      </c>
      <c r="E1365" s="5">
        <v>44.583399999999997</v>
      </c>
      <c r="F1365" s="5">
        <v>44.073799999999999</v>
      </c>
      <c r="G1365" s="5">
        <v>43.889200000000002</v>
      </c>
      <c r="H1365" s="4">
        <v>0</v>
      </c>
      <c r="I1365" s="6">
        <v>1318296</v>
      </c>
      <c r="J1365" s="7">
        <v>58</v>
      </c>
      <c r="K1365" s="9">
        <f>(PricingDataTable[[#This Row],[Current Price ($)]]-PricingDataTable[[#This Row],[Prior Price ($)]])/PricingDataTable[[#This Row],[Prior Price ($)]]</f>
        <v>-1.1430263281849274E-2</v>
      </c>
      <c r="L1365" s="9">
        <f>(PricingDataTable[[#This Row],[Vendor Price ($)]]-PricingDataTable[[#This Row],[Current Price ($)]])/PricingDataTable[[#This Row],[Current Price ($)]]</f>
        <v>-4.1884294070399222E-3</v>
      </c>
      <c r="M1365" t="str">
        <f t="shared" si="42"/>
        <v>PASS</v>
      </c>
      <c r="N1365" s="10" t="str">
        <f t="shared" si="43"/>
        <v>NONE</v>
      </c>
    </row>
    <row r="1366" spans="1:14">
      <c r="A1366" s="4" t="s">
        <v>2748</v>
      </c>
      <c r="B1366" s="4" t="s">
        <v>2749</v>
      </c>
      <c r="C1366" s="4" t="s">
        <v>19</v>
      </c>
      <c r="D1366" s="4" t="s">
        <v>13</v>
      </c>
      <c r="E1366" s="5">
        <v>332.8168</v>
      </c>
      <c r="F1366" s="5">
        <v>333.55770000000001</v>
      </c>
      <c r="G1366" s="5">
        <v>333.91050000000001</v>
      </c>
      <c r="H1366" s="4">
        <v>3</v>
      </c>
      <c r="I1366" s="6">
        <v>1289940</v>
      </c>
      <c r="J1366" s="7">
        <v>782.78</v>
      </c>
      <c r="K1366" s="9">
        <f>(PricingDataTable[[#This Row],[Current Price ($)]]-PricingDataTable[[#This Row],[Prior Price ($)]])/PricingDataTable[[#This Row],[Prior Price ($)]]</f>
        <v>2.226149641484476E-3</v>
      </c>
      <c r="L1366" s="9">
        <f>(PricingDataTable[[#This Row],[Vendor Price ($)]]-PricingDataTable[[#This Row],[Current Price ($)]])/PricingDataTable[[#This Row],[Current Price ($)]]</f>
        <v>1.0576880701599813E-3</v>
      </c>
      <c r="M1366" t="str">
        <f t="shared" si="42"/>
        <v>STALE</v>
      </c>
      <c r="N1366" s="10" t="str">
        <f t="shared" si="43"/>
        <v>LOW</v>
      </c>
    </row>
    <row r="1367" spans="1:14">
      <c r="A1367" s="4" t="s">
        <v>2750</v>
      </c>
      <c r="B1367" s="4" t="s">
        <v>2751</v>
      </c>
      <c r="C1367" s="4" t="s">
        <v>16</v>
      </c>
      <c r="D1367" s="4" t="s">
        <v>237</v>
      </c>
      <c r="E1367" s="5">
        <v>89.8977</v>
      </c>
      <c r="F1367" s="5">
        <v>91.727199999999996</v>
      </c>
      <c r="G1367" s="5">
        <v>91.751999999999995</v>
      </c>
      <c r="H1367" s="4">
        <v>0</v>
      </c>
      <c r="I1367" s="6">
        <v>2564514</v>
      </c>
      <c r="J1367" s="7">
        <v>675.12</v>
      </c>
      <c r="K1367" s="9">
        <f>(PricingDataTable[[#This Row],[Current Price ($)]]-PricingDataTable[[#This Row],[Prior Price ($)]])/PricingDataTable[[#This Row],[Prior Price ($)]]</f>
        <v>2.0350909978786955E-2</v>
      </c>
      <c r="L1367" s="9">
        <f>(PricingDataTable[[#This Row],[Vendor Price ($)]]-PricingDataTable[[#This Row],[Current Price ($)]])/PricingDataTable[[#This Row],[Current Price ($)]]</f>
        <v>2.7036691406691848E-4</v>
      </c>
      <c r="M1367" t="str">
        <f t="shared" si="42"/>
        <v>PASS</v>
      </c>
      <c r="N1367" s="10" t="str">
        <f t="shared" si="43"/>
        <v>NONE</v>
      </c>
    </row>
    <row r="1368" spans="1:14">
      <c r="A1368" s="4" t="s">
        <v>2752</v>
      </c>
      <c r="B1368" s="4" t="s">
        <v>2753</v>
      </c>
      <c r="C1368" s="4" t="s">
        <v>19</v>
      </c>
      <c r="D1368" s="4" t="s">
        <v>13</v>
      </c>
      <c r="E1368" s="5">
        <v>202.94589999999999</v>
      </c>
      <c r="F1368" s="5">
        <v>197.2929</v>
      </c>
      <c r="G1368" s="5">
        <v>197.2715</v>
      </c>
      <c r="H1368" s="4">
        <v>0</v>
      </c>
      <c r="I1368" s="6">
        <v>3253404</v>
      </c>
      <c r="J1368" s="7">
        <v>574.1</v>
      </c>
      <c r="K1368" s="9">
        <f>(PricingDataTable[[#This Row],[Current Price ($)]]-PricingDataTable[[#This Row],[Prior Price ($)]])/PricingDataTable[[#This Row],[Prior Price ($)]]</f>
        <v>-2.7854713990280128E-2</v>
      </c>
      <c r="L1368" s="9">
        <f>(PricingDataTable[[#This Row],[Vendor Price ($)]]-PricingDataTable[[#This Row],[Current Price ($)]])/PricingDataTable[[#This Row],[Current Price ($)]]</f>
        <v>-1.084681709275897E-4</v>
      </c>
      <c r="M1368" t="str">
        <f t="shared" si="42"/>
        <v>PASS</v>
      </c>
      <c r="N1368" s="10" t="str">
        <f t="shared" si="43"/>
        <v>NONE</v>
      </c>
    </row>
    <row r="1369" spans="1:14">
      <c r="A1369" s="4" t="s">
        <v>2754</v>
      </c>
      <c r="B1369" s="4" t="s">
        <v>2755</v>
      </c>
      <c r="C1369" s="4" t="s">
        <v>39</v>
      </c>
      <c r="D1369" s="4" t="s">
        <v>32</v>
      </c>
      <c r="E1369" s="5">
        <v>48.613199999999999</v>
      </c>
      <c r="F1369" s="5">
        <v>48.331200000000003</v>
      </c>
      <c r="G1369" s="5">
        <v>48.3613</v>
      </c>
      <c r="H1369" s="4">
        <v>0</v>
      </c>
      <c r="I1369" s="6">
        <v>1215926</v>
      </c>
      <c r="J1369" s="7">
        <v>161.31</v>
      </c>
      <c r="K1369" s="9">
        <f>(PricingDataTable[[#This Row],[Current Price ($)]]-PricingDataTable[[#This Row],[Prior Price ($)]])/PricingDataTable[[#This Row],[Prior Price ($)]]</f>
        <v>-5.80089358445847E-3</v>
      </c>
      <c r="L1369" s="9">
        <f>(PricingDataTable[[#This Row],[Vendor Price ($)]]-PricingDataTable[[#This Row],[Current Price ($)]])/PricingDataTable[[#This Row],[Current Price ($)]]</f>
        <v>6.2278610917993653E-4</v>
      </c>
      <c r="M1369" t="str">
        <f t="shared" si="42"/>
        <v>PASS</v>
      </c>
      <c r="N1369" s="10" t="str">
        <f t="shared" si="43"/>
        <v>NONE</v>
      </c>
    </row>
    <row r="1370" spans="1:14">
      <c r="A1370" s="4" t="s">
        <v>2756</v>
      </c>
      <c r="B1370" s="4" t="s">
        <v>2757</v>
      </c>
      <c r="C1370" s="4" t="s">
        <v>19</v>
      </c>
      <c r="D1370" s="4" t="s">
        <v>13</v>
      </c>
      <c r="E1370" s="5">
        <v>23.551500000000001</v>
      </c>
      <c r="F1370" s="5">
        <v>23.663599999999999</v>
      </c>
      <c r="G1370" s="5">
        <v>23.709900000000001</v>
      </c>
      <c r="H1370" s="4">
        <v>0</v>
      </c>
      <c r="I1370" s="6">
        <v>4768681</v>
      </c>
      <c r="J1370" s="7">
        <v>695.28</v>
      </c>
      <c r="K1370" s="9">
        <f>(PricingDataTable[[#This Row],[Current Price ($)]]-PricingDataTable[[#This Row],[Prior Price ($)]])/PricingDataTable[[#This Row],[Prior Price ($)]]</f>
        <v>4.7597817548775271E-3</v>
      </c>
      <c r="L1370" s="9">
        <f>(PricingDataTable[[#This Row],[Vendor Price ($)]]-PricingDataTable[[#This Row],[Current Price ($)]])/PricingDataTable[[#This Row],[Current Price ($)]]</f>
        <v>1.9565915583428656E-3</v>
      </c>
      <c r="M1370" t="str">
        <f t="shared" si="42"/>
        <v>PASS</v>
      </c>
      <c r="N1370" s="10" t="str">
        <f t="shared" si="43"/>
        <v>NONE</v>
      </c>
    </row>
    <row r="1371" spans="1:14">
      <c r="A1371" s="4" t="s">
        <v>2758</v>
      </c>
      <c r="B1371" s="4" t="s">
        <v>2759</v>
      </c>
      <c r="C1371" s="4" t="s">
        <v>19</v>
      </c>
      <c r="D1371" s="4" t="s">
        <v>64</v>
      </c>
      <c r="E1371" s="5">
        <v>160.70760000000001</v>
      </c>
      <c r="F1371" s="5">
        <v>161.60579999999999</v>
      </c>
      <c r="G1371" s="5">
        <v>161.1653</v>
      </c>
      <c r="H1371" s="4">
        <v>0</v>
      </c>
      <c r="I1371" s="6">
        <v>1350589</v>
      </c>
      <c r="J1371" s="7">
        <v>462.42</v>
      </c>
      <c r="K1371" s="9">
        <f>(PricingDataTable[[#This Row],[Current Price ($)]]-PricingDataTable[[#This Row],[Prior Price ($)]])/PricingDataTable[[#This Row],[Prior Price ($)]]</f>
        <v>5.5890325037519957E-3</v>
      </c>
      <c r="L1371" s="9">
        <f>(PricingDataTable[[#This Row],[Vendor Price ($)]]-PricingDataTable[[#This Row],[Current Price ($)]])/PricingDataTable[[#This Row],[Current Price ($)]]</f>
        <v>-2.7257685058332433E-3</v>
      </c>
      <c r="M1371" t="str">
        <f t="shared" si="42"/>
        <v>PASS</v>
      </c>
      <c r="N1371" s="10" t="str">
        <f t="shared" si="43"/>
        <v>NONE</v>
      </c>
    </row>
    <row r="1372" spans="1:14">
      <c r="A1372" s="4" t="s">
        <v>2760</v>
      </c>
      <c r="B1372" s="4" t="s">
        <v>2761</v>
      </c>
      <c r="C1372" s="4" t="s">
        <v>39</v>
      </c>
      <c r="D1372" s="4" t="s">
        <v>13</v>
      </c>
      <c r="E1372" s="5">
        <v>83.014300000000006</v>
      </c>
      <c r="F1372" s="5">
        <v>82.083299999999994</v>
      </c>
      <c r="G1372" s="5">
        <v>82.188100000000006</v>
      </c>
      <c r="H1372" s="4">
        <v>1</v>
      </c>
      <c r="I1372" s="6">
        <v>1651110</v>
      </c>
      <c r="J1372" s="7">
        <v>673.25</v>
      </c>
      <c r="K1372" s="9">
        <f>(PricingDataTable[[#This Row],[Current Price ($)]]-PricingDataTable[[#This Row],[Prior Price ($)]])/PricingDataTable[[#This Row],[Prior Price ($)]]</f>
        <v>-1.1214935258142411E-2</v>
      </c>
      <c r="L1372" s="9">
        <f>(PricingDataTable[[#This Row],[Vendor Price ($)]]-PricingDataTable[[#This Row],[Current Price ($)]])/PricingDataTable[[#This Row],[Current Price ($)]]</f>
        <v>1.276751787513557E-3</v>
      </c>
      <c r="M1372" t="str">
        <f t="shared" si="42"/>
        <v>PASS</v>
      </c>
      <c r="N1372" s="10" t="str">
        <f t="shared" si="43"/>
        <v>NONE</v>
      </c>
    </row>
    <row r="1373" spans="1:14">
      <c r="A1373" s="4" t="s">
        <v>2762</v>
      </c>
      <c r="B1373" s="4" t="s">
        <v>2763</v>
      </c>
      <c r="C1373" s="4" t="s">
        <v>19</v>
      </c>
      <c r="D1373" s="4" t="s">
        <v>13</v>
      </c>
      <c r="E1373" s="5">
        <v>306.55509999999998</v>
      </c>
      <c r="F1373" s="5">
        <v>311.75380000000001</v>
      </c>
      <c r="G1373" s="5">
        <v>311.78579999999999</v>
      </c>
      <c r="H1373" s="4">
        <v>0</v>
      </c>
      <c r="I1373" s="6">
        <v>17030</v>
      </c>
      <c r="J1373" s="7">
        <v>841.8</v>
      </c>
      <c r="K1373" s="9">
        <f>(PricingDataTable[[#This Row],[Current Price ($)]]-PricingDataTable[[#This Row],[Prior Price ($)]])/PricingDataTable[[#This Row],[Prior Price ($)]]</f>
        <v>1.6958452167326627E-2</v>
      </c>
      <c r="L1373" s="9">
        <f>(PricingDataTable[[#This Row],[Vendor Price ($)]]-PricingDataTable[[#This Row],[Current Price ($)]])/PricingDataTable[[#This Row],[Current Price ($)]]</f>
        <v>1.0264510007570802E-4</v>
      </c>
      <c r="M1373" t="str">
        <f t="shared" si="42"/>
        <v>PASS</v>
      </c>
      <c r="N1373" s="10" t="str">
        <f t="shared" si="43"/>
        <v>NONE</v>
      </c>
    </row>
    <row r="1374" spans="1:14">
      <c r="A1374" s="4" t="s">
        <v>2764</v>
      </c>
      <c r="B1374" s="4" t="s">
        <v>2765</v>
      </c>
      <c r="C1374" s="4" t="s">
        <v>35</v>
      </c>
      <c r="D1374" s="4" t="s">
        <v>64</v>
      </c>
      <c r="E1374" s="5">
        <v>111.63809999999999</v>
      </c>
      <c r="F1374" s="5">
        <v>110.7123</v>
      </c>
      <c r="G1374" s="5">
        <v>110.35080000000001</v>
      </c>
      <c r="H1374" s="4">
        <v>0</v>
      </c>
      <c r="I1374" s="6">
        <v>3837853</v>
      </c>
      <c r="J1374" s="7">
        <v>680.71</v>
      </c>
      <c r="K1374" s="9">
        <f>(PricingDataTable[[#This Row],[Current Price ($)]]-PricingDataTable[[#This Row],[Prior Price ($)]])/PricingDataTable[[#This Row],[Prior Price ($)]]</f>
        <v>-8.29286775751285E-3</v>
      </c>
      <c r="L1374" s="9">
        <f>(PricingDataTable[[#This Row],[Vendor Price ($)]]-PricingDataTable[[#This Row],[Current Price ($)]])/PricingDataTable[[#This Row],[Current Price ($)]]</f>
        <v>-3.2652198536205317E-3</v>
      </c>
      <c r="M1374" t="str">
        <f t="shared" si="42"/>
        <v>PASS</v>
      </c>
      <c r="N1374" s="10" t="str">
        <f t="shared" si="43"/>
        <v>NONE</v>
      </c>
    </row>
    <row r="1375" spans="1:14">
      <c r="A1375" s="4" t="s">
        <v>2766</v>
      </c>
      <c r="B1375" s="4" t="s">
        <v>2767</v>
      </c>
      <c r="C1375" s="4" t="s">
        <v>19</v>
      </c>
      <c r="D1375" s="4" t="s">
        <v>13</v>
      </c>
      <c r="E1375" s="5">
        <v>312.22109999999998</v>
      </c>
      <c r="F1375" s="5">
        <v>315.48230000000001</v>
      </c>
      <c r="G1375" s="5">
        <v>314.72809999999998</v>
      </c>
      <c r="H1375" s="4">
        <v>2</v>
      </c>
      <c r="I1375" s="6">
        <v>3419433</v>
      </c>
      <c r="J1375" s="7">
        <v>810.14</v>
      </c>
      <c r="K1375" s="9">
        <f>(PricingDataTable[[#This Row],[Current Price ($)]]-PricingDataTable[[#This Row],[Prior Price ($)]])/PricingDataTable[[#This Row],[Prior Price ($)]]</f>
        <v>1.0445162098269564E-2</v>
      </c>
      <c r="L1375" s="9">
        <f>(PricingDataTable[[#This Row],[Vendor Price ($)]]-PricingDataTable[[#This Row],[Current Price ($)]])/PricingDataTable[[#This Row],[Current Price ($)]]</f>
        <v>-2.3906254011715577E-3</v>
      </c>
      <c r="M1375" t="str">
        <f t="shared" si="42"/>
        <v>PASS</v>
      </c>
      <c r="N1375" s="10" t="str">
        <f t="shared" si="43"/>
        <v>NONE</v>
      </c>
    </row>
    <row r="1376" spans="1:14">
      <c r="A1376" s="4" t="s">
        <v>2768</v>
      </c>
      <c r="B1376" s="4" t="s">
        <v>2769</v>
      </c>
      <c r="C1376" s="4" t="s">
        <v>19</v>
      </c>
      <c r="D1376" s="4" t="s">
        <v>13</v>
      </c>
      <c r="E1376" s="5">
        <v>223.8382</v>
      </c>
      <c r="F1376" s="5">
        <v>219.10509999999999</v>
      </c>
      <c r="G1376" s="5">
        <v>218.78960000000001</v>
      </c>
      <c r="H1376" s="4">
        <v>0</v>
      </c>
      <c r="I1376" s="6">
        <v>2557032</v>
      </c>
      <c r="J1376" s="7">
        <v>868.63</v>
      </c>
      <c r="K1376" s="9">
        <f>(PricingDataTable[[#This Row],[Current Price ($)]]-PricingDataTable[[#This Row],[Prior Price ($)]])/PricingDataTable[[#This Row],[Prior Price ($)]]</f>
        <v>-2.114518433404132E-2</v>
      </c>
      <c r="L1376" s="9">
        <f>(PricingDataTable[[#This Row],[Vendor Price ($)]]-PricingDataTable[[#This Row],[Current Price ($)]])/PricingDataTable[[#This Row],[Current Price ($)]]</f>
        <v>-1.4399482257600846E-3</v>
      </c>
      <c r="M1376" t="str">
        <f t="shared" si="42"/>
        <v>PASS</v>
      </c>
      <c r="N1376" s="10" t="str">
        <f t="shared" si="43"/>
        <v>NONE</v>
      </c>
    </row>
    <row r="1377" spans="1:14">
      <c r="A1377" s="4" t="s">
        <v>2770</v>
      </c>
      <c r="B1377" s="4" t="s">
        <v>2771</v>
      </c>
      <c r="C1377" s="4" t="s">
        <v>35</v>
      </c>
      <c r="D1377" s="4" t="s">
        <v>13</v>
      </c>
      <c r="E1377" s="5">
        <v>120.16070000000001</v>
      </c>
      <c r="F1377" s="5">
        <v>120.4075</v>
      </c>
      <c r="G1377" s="5">
        <v>120.1734</v>
      </c>
      <c r="H1377" s="4">
        <v>0</v>
      </c>
      <c r="I1377" s="6">
        <v>1878418</v>
      </c>
      <c r="J1377" s="7">
        <v>314.52</v>
      </c>
      <c r="K1377" s="9">
        <f>(PricingDataTable[[#This Row],[Current Price ($)]]-PricingDataTable[[#This Row],[Prior Price ($)]])/PricingDataTable[[#This Row],[Prior Price ($)]]</f>
        <v>2.0539161306483171E-3</v>
      </c>
      <c r="L1377" s="9">
        <f>(PricingDataTable[[#This Row],[Vendor Price ($)]]-PricingDataTable[[#This Row],[Current Price ($)]])/PricingDataTable[[#This Row],[Current Price ($)]]</f>
        <v>-1.9442310487303364E-3</v>
      </c>
      <c r="M1377" t="str">
        <f t="shared" si="42"/>
        <v>PASS</v>
      </c>
      <c r="N1377" s="10" t="str">
        <f t="shared" si="43"/>
        <v>NONE</v>
      </c>
    </row>
    <row r="1378" spans="1:14">
      <c r="A1378" s="4" t="s">
        <v>2772</v>
      </c>
      <c r="B1378" s="4" t="s">
        <v>2773</v>
      </c>
      <c r="C1378" s="4" t="s">
        <v>39</v>
      </c>
      <c r="D1378" s="4" t="s">
        <v>32</v>
      </c>
      <c r="E1378" s="5">
        <v>29.648800000000001</v>
      </c>
      <c r="F1378" s="5">
        <v>29.096299999999999</v>
      </c>
      <c r="G1378" s="5">
        <v>29.116099999999999</v>
      </c>
      <c r="H1378" s="4">
        <v>0</v>
      </c>
      <c r="I1378" s="6">
        <v>3236005</v>
      </c>
      <c r="J1378" s="7">
        <v>85.66</v>
      </c>
      <c r="K1378" s="9">
        <f>(PricingDataTable[[#This Row],[Current Price ($)]]-PricingDataTable[[#This Row],[Prior Price ($)]])/PricingDataTable[[#This Row],[Prior Price ($)]]</f>
        <v>-1.8634818272577708E-2</v>
      </c>
      <c r="L1378" s="9">
        <f>(PricingDataTable[[#This Row],[Vendor Price ($)]]-PricingDataTable[[#This Row],[Current Price ($)]])/PricingDataTable[[#This Row],[Current Price ($)]]</f>
        <v>6.8049889504851271E-4</v>
      </c>
      <c r="M1378" t="str">
        <f t="shared" si="42"/>
        <v>PASS</v>
      </c>
      <c r="N1378" s="10" t="str">
        <f t="shared" si="43"/>
        <v>NONE</v>
      </c>
    </row>
    <row r="1379" spans="1:14">
      <c r="A1379" s="4" t="s">
        <v>2774</v>
      </c>
      <c r="B1379" s="4" t="s">
        <v>2775</v>
      </c>
      <c r="C1379" s="4" t="s">
        <v>39</v>
      </c>
      <c r="D1379" s="4" t="s">
        <v>32</v>
      </c>
      <c r="E1379" s="5">
        <v>290.32839999999999</v>
      </c>
      <c r="F1379" s="5">
        <v>292.79070000000002</v>
      </c>
      <c r="G1379" s="5">
        <v>293.87189999999998</v>
      </c>
      <c r="H1379" s="4">
        <v>2</v>
      </c>
      <c r="I1379" s="6">
        <v>630651</v>
      </c>
      <c r="J1379" s="7">
        <v>559.13</v>
      </c>
      <c r="K1379" s="9">
        <f>(PricingDataTable[[#This Row],[Current Price ($)]]-PricingDataTable[[#This Row],[Prior Price ($)]])/PricingDataTable[[#This Row],[Prior Price ($)]]</f>
        <v>8.4810855569073772E-3</v>
      </c>
      <c r="L1379" s="9">
        <f>(PricingDataTable[[#This Row],[Vendor Price ($)]]-PricingDataTable[[#This Row],[Current Price ($)]])/PricingDataTable[[#This Row],[Current Price ($)]]</f>
        <v>3.6927402407247465E-3</v>
      </c>
      <c r="M1379" t="str">
        <f t="shared" si="42"/>
        <v>PASS</v>
      </c>
      <c r="N1379" s="10" t="str">
        <f t="shared" si="43"/>
        <v>NONE</v>
      </c>
    </row>
    <row r="1380" spans="1:14">
      <c r="A1380" s="4" t="s">
        <v>2776</v>
      </c>
      <c r="B1380" s="4" t="s">
        <v>2777</v>
      </c>
      <c r="C1380" s="4" t="s">
        <v>16</v>
      </c>
      <c r="D1380" s="4" t="s">
        <v>13</v>
      </c>
      <c r="E1380" s="5">
        <v>98.032200000000003</v>
      </c>
      <c r="F1380" s="5">
        <v>97.462599999999995</v>
      </c>
      <c r="G1380" s="5">
        <v>97.459800000000001</v>
      </c>
      <c r="H1380" s="4">
        <v>2</v>
      </c>
      <c r="I1380" s="6">
        <v>2508426</v>
      </c>
      <c r="J1380" s="7">
        <v>315.08</v>
      </c>
      <c r="K1380" s="9">
        <f>(PricingDataTable[[#This Row],[Current Price ($)]]-PricingDataTable[[#This Row],[Prior Price ($)]])/PricingDataTable[[#This Row],[Prior Price ($)]]</f>
        <v>-5.8103357876290477E-3</v>
      </c>
      <c r="L1380" s="9">
        <f>(PricingDataTable[[#This Row],[Vendor Price ($)]]-PricingDataTable[[#This Row],[Current Price ($)]])/PricingDataTable[[#This Row],[Current Price ($)]]</f>
        <v>-2.8728968855678736E-5</v>
      </c>
      <c r="M1380" t="str">
        <f t="shared" si="42"/>
        <v>PASS</v>
      </c>
      <c r="N1380" s="10" t="str">
        <f t="shared" si="43"/>
        <v>NONE</v>
      </c>
    </row>
    <row r="1381" spans="1:14">
      <c r="A1381" s="4" t="s">
        <v>2778</v>
      </c>
      <c r="B1381" s="4" t="s">
        <v>2779</v>
      </c>
      <c r="C1381" s="4" t="s">
        <v>39</v>
      </c>
      <c r="D1381" s="4" t="s">
        <v>13</v>
      </c>
      <c r="E1381" s="5">
        <v>252.93709999999999</v>
      </c>
      <c r="F1381" s="5">
        <v>252.40110000000001</v>
      </c>
      <c r="G1381" s="5">
        <v>251.2313</v>
      </c>
      <c r="H1381" s="4">
        <v>1</v>
      </c>
      <c r="I1381" s="6">
        <v>2969744</v>
      </c>
      <c r="J1381" s="7">
        <v>517.36</v>
      </c>
      <c r="K1381" s="9">
        <f>(PricingDataTable[[#This Row],[Current Price ($)]]-PricingDataTable[[#This Row],[Prior Price ($)]])/PricingDataTable[[#This Row],[Prior Price ($)]]</f>
        <v>-2.1191039195118983E-3</v>
      </c>
      <c r="L1381" s="9">
        <f>(PricingDataTable[[#This Row],[Vendor Price ($)]]-PricingDataTable[[#This Row],[Current Price ($)]])/PricingDataTable[[#This Row],[Current Price ($)]]</f>
        <v>-4.6346866158666076E-3</v>
      </c>
      <c r="M1381" t="str">
        <f t="shared" si="42"/>
        <v>PASS</v>
      </c>
      <c r="N1381" s="10" t="str">
        <f t="shared" si="43"/>
        <v>NONE</v>
      </c>
    </row>
    <row r="1382" spans="1:14">
      <c r="A1382" s="4" t="s">
        <v>2780</v>
      </c>
      <c r="B1382" s="4" t="s">
        <v>2781</v>
      </c>
      <c r="C1382" s="4" t="s">
        <v>19</v>
      </c>
      <c r="D1382" s="4" t="s">
        <v>13</v>
      </c>
      <c r="E1382" s="5">
        <v>218.92599999999999</v>
      </c>
      <c r="F1382" s="5">
        <v>214.31489999999999</v>
      </c>
      <c r="G1382" s="5">
        <v>213.5667</v>
      </c>
      <c r="H1382" s="4">
        <v>0</v>
      </c>
      <c r="I1382" s="6">
        <v>76769</v>
      </c>
      <c r="J1382" s="7">
        <v>687.64</v>
      </c>
      <c r="K1382" s="9">
        <f>(PricingDataTable[[#This Row],[Current Price ($)]]-PricingDataTable[[#This Row],[Prior Price ($)]])/PricingDataTable[[#This Row],[Prior Price ($)]]</f>
        <v>-2.1062368106118019E-2</v>
      </c>
      <c r="L1382" s="9">
        <f>(PricingDataTable[[#This Row],[Vendor Price ($)]]-PricingDataTable[[#This Row],[Current Price ($)]])/PricingDataTable[[#This Row],[Current Price ($)]]</f>
        <v>-3.4911245088418822E-3</v>
      </c>
      <c r="M1382" t="str">
        <f t="shared" si="42"/>
        <v>PASS</v>
      </c>
      <c r="N1382" s="10" t="str">
        <f t="shared" si="43"/>
        <v>NONE</v>
      </c>
    </row>
    <row r="1383" spans="1:14">
      <c r="A1383" s="4" t="s">
        <v>2782</v>
      </c>
      <c r="B1383" s="4" t="s">
        <v>2783</v>
      </c>
      <c r="C1383" s="4" t="s">
        <v>35</v>
      </c>
      <c r="D1383" s="4" t="s">
        <v>13</v>
      </c>
      <c r="E1383" s="5">
        <v>110.19370000000001</v>
      </c>
      <c r="F1383" s="5">
        <v>108.4453</v>
      </c>
      <c r="G1383" s="5">
        <v>108.6</v>
      </c>
      <c r="H1383" s="4">
        <v>0</v>
      </c>
      <c r="I1383" s="6">
        <v>3674142</v>
      </c>
      <c r="J1383" s="7">
        <v>516.77</v>
      </c>
      <c r="K1383" s="9">
        <f>(PricingDataTable[[#This Row],[Current Price ($)]]-PricingDataTable[[#This Row],[Prior Price ($)]])/PricingDataTable[[#This Row],[Prior Price ($)]]</f>
        <v>-1.5866605804143102E-2</v>
      </c>
      <c r="L1383" s="9">
        <f>(PricingDataTable[[#This Row],[Vendor Price ($)]]-PricingDataTable[[#This Row],[Current Price ($)]])/PricingDataTable[[#This Row],[Current Price ($)]]</f>
        <v>1.4265256308940192E-3</v>
      </c>
      <c r="M1383" t="str">
        <f t="shared" si="42"/>
        <v>PASS</v>
      </c>
      <c r="N1383" s="10" t="str">
        <f t="shared" si="43"/>
        <v>NONE</v>
      </c>
    </row>
    <row r="1384" spans="1:14">
      <c r="A1384" s="4" t="s">
        <v>2784</v>
      </c>
      <c r="B1384" s="4" t="s">
        <v>2785</v>
      </c>
      <c r="C1384" s="4" t="s">
        <v>19</v>
      </c>
      <c r="D1384" s="4" t="s">
        <v>13</v>
      </c>
      <c r="E1384" s="5">
        <v>275.39159999999998</v>
      </c>
      <c r="F1384" s="5">
        <v>270.54169999999999</v>
      </c>
      <c r="G1384" s="5">
        <v>270.86930000000001</v>
      </c>
      <c r="H1384" s="4">
        <v>1</v>
      </c>
      <c r="I1384" s="6">
        <v>2314574</v>
      </c>
      <c r="J1384" s="7">
        <v>67.930000000000007</v>
      </c>
      <c r="K1384" s="9">
        <f>(PricingDataTable[[#This Row],[Current Price ($)]]-PricingDataTable[[#This Row],[Prior Price ($)]])/PricingDataTable[[#This Row],[Prior Price ($)]]</f>
        <v>-1.7610922047005033E-2</v>
      </c>
      <c r="L1384" s="9">
        <f>(PricingDataTable[[#This Row],[Vendor Price ($)]]-PricingDataTable[[#This Row],[Current Price ($)]])/PricingDataTable[[#This Row],[Current Price ($)]]</f>
        <v>1.2109039013210093E-3</v>
      </c>
      <c r="M1384" t="str">
        <f t="shared" si="42"/>
        <v>PASS</v>
      </c>
      <c r="N1384" s="10" t="str">
        <f t="shared" si="43"/>
        <v>NONE</v>
      </c>
    </row>
    <row r="1385" spans="1:14">
      <c r="A1385" s="4" t="s">
        <v>2786</v>
      </c>
      <c r="B1385" s="4" t="s">
        <v>2787</v>
      </c>
      <c r="C1385" s="4" t="s">
        <v>39</v>
      </c>
      <c r="D1385" s="4" t="s">
        <v>32</v>
      </c>
      <c r="E1385" s="5">
        <v>297.6671</v>
      </c>
      <c r="F1385" s="5">
        <v>300.6909</v>
      </c>
      <c r="G1385" s="5">
        <v>301.34350000000001</v>
      </c>
      <c r="H1385" s="4">
        <v>3</v>
      </c>
      <c r="I1385" s="6">
        <v>4879185</v>
      </c>
      <c r="J1385" s="7">
        <v>482.88</v>
      </c>
      <c r="K1385" s="9">
        <f>(PricingDataTable[[#This Row],[Current Price ($)]]-PricingDataTable[[#This Row],[Prior Price ($)]])/PricingDataTable[[#This Row],[Prior Price ($)]]</f>
        <v>1.015832787701427E-2</v>
      </c>
      <c r="L1385" s="9">
        <f>(PricingDataTable[[#This Row],[Vendor Price ($)]]-PricingDataTable[[#This Row],[Current Price ($)]])/PricingDataTable[[#This Row],[Current Price ($)]]</f>
        <v>2.1703350517092695E-3</v>
      </c>
      <c r="M1385" t="str">
        <f t="shared" si="42"/>
        <v>STALE</v>
      </c>
      <c r="N1385" s="10" t="str">
        <f t="shared" si="43"/>
        <v>LOW</v>
      </c>
    </row>
    <row r="1386" spans="1:14">
      <c r="A1386" s="4" t="s">
        <v>2788</v>
      </c>
      <c r="B1386" s="4" t="s">
        <v>2789</v>
      </c>
      <c r="C1386" s="4" t="s">
        <v>35</v>
      </c>
      <c r="D1386" s="4" t="s">
        <v>13</v>
      </c>
      <c r="E1386" s="5">
        <v>106.0018</v>
      </c>
      <c r="F1386" s="5">
        <v>0</v>
      </c>
      <c r="G1386" s="5">
        <v>89.831999999999994</v>
      </c>
      <c r="H1386" s="4">
        <v>0</v>
      </c>
      <c r="I1386" s="6">
        <v>993100</v>
      </c>
      <c r="J1386" s="7">
        <v>752.16</v>
      </c>
      <c r="K1386" s="9">
        <f>(PricingDataTable[[#This Row],[Current Price ($)]]-PricingDataTable[[#This Row],[Prior Price ($)]])/PricingDataTable[[#This Row],[Prior Price ($)]]</f>
        <v>-1</v>
      </c>
      <c r="L1386" s="9" t="e">
        <f>(PricingDataTable[[#This Row],[Vendor Price ($)]]-PricingDataTable[[#This Row],[Current Price ($)]])/PricingDataTable[[#This Row],[Current Price ($)]]</f>
        <v>#DIV/0!</v>
      </c>
      <c r="M1386" t="str">
        <f t="shared" si="42"/>
        <v>MISSING</v>
      </c>
      <c r="N1386" s="10" t="str">
        <f t="shared" si="43"/>
        <v>HIGH</v>
      </c>
    </row>
    <row r="1387" spans="1:14">
      <c r="A1387" s="4" t="s">
        <v>2790</v>
      </c>
      <c r="B1387" s="4" t="s">
        <v>2791</v>
      </c>
      <c r="C1387" s="4" t="s">
        <v>16</v>
      </c>
      <c r="D1387" s="4" t="s">
        <v>237</v>
      </c>
      <c r="E1387" s="5">
        <v>76.9542</v>
      </c>
      <c r="F1387" s="5">
        <v>76.005399999999995</v>
      </c>
      <c r="G1387" s="5">
        <v>72.321399999999997</v>
      </c>
      <c r="H1387" s="4">
        <v>1</v>
      </c>
      <c r="I1387" s="6">
        <v>1858569</v>
      </c>
      <c r="J1387" s="7">
        <v>0.69</v>
      </c>
      <c r="K1387" s="9">
        <f>(PricingDataTable[[#This Row],[Current Price ($)]]-PricingDataTable[[#This Row],[Prior Price ($)]])/PricingDataTable[[#This Row],[Prior Price ($)]]</f>
        <v>-1.232941152009904E-2</v>
      </c>
      <c r="L1387" s="9">
        <f>(PricingDataTable[[#This Row],[Vendor Price ($)]]-PricingDataTable[[#This Row],[Current Price ($)]])/PricingDataTable[[#This Row],[Current Price ($)]]</f>
        <v>-4.8470240272401668E-2</v>
      </c>
      <c r="M1387" t="str">
        <f t="shared" si="42"/>
        <v>VENDOR DIFFERENCE</v>
      </c>
      <c r="N1387" s="10" t="str">
        <f t="shared" si="43"/>
        <v>MEDIUM</v>
      </c>
    </row>
    <row r="1388" spans="1:14">
      <c r="A1388" s="4" t="s">
        <v>2792</v>
      </c>
      <c r="B1388" s="4" t="s">
        <v>2793</v>
      </c>
      <c r="C1388" s="4" t="s">
        <v>16</v>
      </c>
      <c r="D1388" s="4" t="s">
        <v>64</v>
      </c>
      <c r="E1388" s="5">
        <v>115.22490000000001</v>
      </c>
      <c r="F1388" s="5">
        <v>114.65730000000001</v>
      </c>
      <c r="G1388" s="5">
        <v>114.91459999999999</v>
      </c>
      <c r="H1388" s="4">
        <v>0</v>
      </c>
      <c r="I1388" s="6">
        <v>890077</v>
      </c>
      <c r="J1388" s="7">
        <v>498.09</v>
      </c>
      <c r="K1388" s="9">
        <f>(PricingDataTable[[#This Row],[Current Price ($)]]-PricingDataTable[[#This Row],[Prior Price ($)]])/PricingDataTable[[#This Row],[Prior Price ($)]]</f>
        <v>-4.9260185949391039E-3</v>
      </c>
      <c r="L1388" s="9">
        <f>(PricingDataTable[[#This Row],[Vendor Price ($)]]-PricingDataTable[[#This Row],[Current Price ($)]])/PricingDataTable[[#This Row],[Current Price ($)]]</f>
        <v>2.2440786587507862E-3</v>
      </c>
      <c r="M1388" t="str">
        <f t="shared" si="42"/>
        <v>PASS</v>
      </c>
      <c r="N1388" s="10" t="str">
        <f t="shared" si="43"/>
        <v>NONE</v>
      </c>
    </row>
    <row r="1389" spans="1:14">
      <c r="A1389" s="4" t="s">
        <v>2794</v>
      </c>
      <c r="B1389" s="4" t="s">
        <v>2795</v>
      </c>
      <c r="C1389" s="4" t="s">
        <v>19</v>
      </c>
      <c r="D1389" s="4" t="s">
        <v>36</v>
      </c>
      <c r="E1389" s="5">
        <v>160.9007</v>
      </c>
      <c r="F1389" s="5">
        <v>134.05260000000001</v>
      </c>
      <c r="G1389" s="5">
        <v>134.0994</v>
      </c>
      <c r="H1389" s="4">
        <v>1</v>
      </c>
      <c r="I1389" s="6">
        <v>2986429</v>
      </c>
      <c r="J1389" s="7">
        <v>580.62</v>
      </c>
      <c r="K1389" s="9">
        <f>(PricingDataTable[[#This Row],[Current Price ($)]]-PricingDataTable[[#This Row],[Prior Price ($)]])/PricingDataTable[[#This Row],[Prior Price ($)]]</f>
        <v>-0.16686130016836465</v>
      </c>
      <c r="L1389" s="9">
        <f>(PricingDataTable[[#This Row],[Vendor Price ($)]]-PricingDataTable[[#This Row],[Current Price ($)]])/PricingDataTable[[#This Row],[Current Price ($)]]</f>
        <v>3.4911669001563866E-4</v>
      </c>
      <c r="M1389" t="str">
        <f t="shared" si="42"/>
        <v>LARGE MOVE</v>
      </c>
      <c r="N1389" s="10" t="str">
        <f t="shared" si="43"/>
        <v>HIGH</v>
      </c>
    </row>
    <row r="1390" spans="1:14">
      <c r="A1390" s="4" t="s">
        <v>2796</v>
      </c>
      <c r="B1390" s="4" t="s">
        <v>2797</v>
      </c>
      <c r="C1390" s="4" t="s">
        <v>16</v>
      </c>
      <c r="D1390" s="4" t="s">
        <v>13</v>
      </c>
      <c r="E1390" s="5">
        <v>88.052999999999997</v>
      </c>
      <c r="F1390" s="5">
        <v>86.242699999999999</v>
      </c>
      <c r="G1390" s="5">
        <v>86.049700000000001</v>
      </c>
      <c r="H1390" s="4">
        <v>2</v>
      </c>
      <c r="I1390" s="6">
        <v>435415</v>
      </c>
      <c r="J1390" s="7">
        <v>452.49</v>
      </c>
      <c r="K1390" s="9">
        <f>(PricingDataTable[[#This Row],[Current Price ($)]]-PricingDataTable[[#This Row],[Prior Price ($)]])/PricingDataTable[[#This Row],[Prior Price ($)]]</f>
        <v>-2.0559208658421611E-2</v>
      </c>
      <c r="L1390" s="9">
        <f>(PricingDataTable[[#This Row],[Vendor Price ($)]]-PricingDataTable[[#This Row],[Current Price ($)]])/PricingDataTable[[#This Row],[Current Price ($)]]</f>
        <v>-2.2378705675958409E-3</v>
      </c>
      <c r="M1390" t="str">
        <f t="shared" si="42"/>
        <v>PASS</v>
      </c>
      <c r="N1390" s="10" t="str">
        <f t="shared" si="43"/>
        <v>NONE</v>
      </c>
    </row>
    <row r="1391" spans="1:14">
      <c r="A1391" s="4" t="s">
        <v>2798</v>
      </c>
      <c r="B1391" s="4" t="s">
        <v>2799</v>
      </c>
      <c r="C1391" s="4" t="s">
        <v>12</v>
      </c>
      <c r="D1391" s="4" t="s">
        <v>13</v>
      </c>
      <c r="E1391" s="5">
        <v>83.099800000000002</v>
      </c>
      <c r="F1391" s="5">
        <v>74.199799999999996</v>
      </c>
      <c r="G1391" s="5">
        <v>73.921599999999998</v>
      </c>
      <c r="H1391" s="4">
        <v>0</v>
      </c>
      <c r="I1391" s="6">
        <v>2542883</v>
      </c>
      <c r="J1391" s="7">
        <v>854.73</v>
      </c>
      <c r="K1391" s="9">
        <f>(PricingDataTable[[#This Row],[Current Price ($)]]-PricingDataTable[[#This Row],[Prior Price ($)]])/PricingDataTable[[#This Row],[Prior Price ($)]]</f>
        <v>-0.10710013742512023</v>
      </c>
      <c r="L1391" s="9">
        <f>(PricingDataTable[[#This Row],[Vendor Price ($)]]-PricingDataTable[[#This Row],[Current Price ($)]])/PricingDataTable[[#This Row],[Current Price ($)]]</f>
        <v>-3.7493362515801693E-3</v>
      </c>
      <c r="M1391" t="str">
        <f t="shared" si="42"/>
        <v>LARGE MOVE</v>
      </c>
      <c r="N1391" s="10" t="str">
        <f t="shared" si="43"/>
        <v>HIGH</v>
      </c>
    </row>
    <row r="1392" spans="1:14">
      <c r="A1392" s="4" t="s">
        <v>2800</v>
      </c>
      <c r="B1392" s="4" t="s">
        <v>2801</v>
      </c>
      <c r="C1392" s="4" t="s">
        <v>12</v>
      </c>
      <c r="D1392" s="4" t="s">
        <v>36</v>
      </c>
      <c r="E1392" s="5">
        <v>94.669700000000006</v>
      </c>
      <c r="F1392" s="5">
        <v>94.511600000000001</v>
      </c>
      <c r="G1392" s="5">
        <v>94.768500000000003</v>
      </c>
      <c r="H1392" s="4">
        <v>0</v>
      </c>
      <c r="I1392" s="6">
        <v>324962</v>
      </c>
      <c r="J1392" s="7">
        <v>340.17</v>
      </c>
      <c r="K1392" s="9">
        <f>(PricingDataTable[[#This Row],[Current Price ($)]]-PricingDataTable[[#This Row],[Prior Price ($)]])/PricingDataTable[[#This Row],[Prior Price ($)]]</f>
        <v>-1.6700169114299988E-3</v>
      </c>
      <c r="L1392" s="9">
        <f>(PricingDataTable[[#This Row],[Vendor Price ($)]]-PricingDataTable[[#This Row],[Current Price ($)]])/PricingDataTable[[#This Row],[Current Price ($)]]</f>
        <v>2.7181848577317669E-3</v>
      </c>
      <c r="M1392" t="str">
        <f t="shared" si="42"/>
        <v>PASS</v>
      </c>
      <c r="N1392" s="10" t="str">
        <f t="shared" si="43"/>
        <v>NONE</v>
      </c>
    </row>
    <row r="1393" spans="1:14">
      <c r="A1393" s="4" t="s">
        <v>2802</v>
      </c>
      <c r="B1393" s="4" t="s">
        <v>2803</v>
      </c>
      <c r="C1393" s="4" t="s">
        <v>19</v>
      </c>
      <c r="D1393" s="4" t="s">
        <v>13</v>
      </c>
      <c r="E1393" s="5">
        <v>212.29589999999999</v>
      </c>
      <c r="F1393" s="5">
        <v>213.25640000000001</v>
      </c>
      <c r="G1393" s="5">
        <v>213.0067</v>
      </c>
      <c r="H1393" s="4">
        <v>0</v>
      </c>
      <c r="I1393" s="6">
        <v>67390</v>
      </c>
      <c r="J1393" s="7">
        <v>298.74</v>
      </c>
      <c r="K1393" s="9">
        <f>(PricingDataTable[[#This Row],[Current Price ($)]]-PricingDataTable[[#This Row],[Prior Price ($)]])/PricingDataTable[[#This Row],[Prior Price ($)]]</f>
        <v>4.5243455007846342E-3</v>
      </c>
      <c r="L1393" s="9">
        <f>(PricingDataTable[[#This Row],[Vendor Price ($)]]-PricingDataTable[[#This Row],[Current Price ($)]])/PricingDataTable[[#This Row],[Current Price ($)]]</f>
        <v>-1.1708910025678876E-3</v>
      </c>
      <c r="M1393" t="str">
        <f t="shared" si="42"/>
        <v>PASS</v>
      </c>
      <c r="N1393" s="10" t="str">
        <f t="shared" si="43"/>
        <v>NONE</v>
      </c>
    </row>
    <row r="1394" spans="1:14">
      <c r="A1394" s="4" t="s">
        <v>2804</v>
      </c>
      <c r="B1394" s="4" t="s">
        <v>2805</v>
      </c>
      <c r="C1394" s="4" t="s">
        <v>16</v>
      </c>
      <c r="D1394" s="4" t="s">
        <v>13</v>
      </c>
      <c r="E1394" s="5">
        <v>99.9452</v>
      </c>
      <c r="F1394" s="5">
        <v>98.764099999999999</v>
      </c>
      <c r="G1394" s="5">
        <v>98.800200000000004</v>
      </c>
      <c r="H1394" s="4">
        <v>0</v>
      </c>
      <c r="I1394" s="6">
        <v>2737847</v>
      </c>
      <c r="J1394" s="7">
        <v>153.82</v>
      </c>
      <c r="K1394" s="9">
        <f>(PricingDataTable[[#This Row],[Current Price ($)]]-PricingDataTable[[#This Row],[Prior Price ($)]])/PricingDataTable[[#This Row],[Prior Price ($)]]</f>
        <v>-1.1817475976835313E-2</v>
      </c>
      <c r="L1394" s="9">
        <f>(PricingDataTable[[#This Row],[Vendor Price ($)]]-PricingDataTable[[#This Row],[Current Price ($)]])/PricingDataTable[[#This Row],[Current Price ($)]]</f>
        <v>3.6551742991638341E-4</v>
      </c>
      <c r="M1394" t="str">
        <f t="shared" si="42"/>
        <v>PASS</v>
      </c>
      <c r="N1394" s="10" t="str">
        <f t="shared" si="43"/>
        <v>NONE</v>
      </c>
    </row>
    <row r="1395" spans="1:14">
      <c r="A1395" s="4" t="s">
        <v>2806</v>
      </c>
      <c r="B1395" s="4" t="s">
        <v>2807</v>
      </c>
      <c r="C1395" s="4" t="s">
        <v>19</v>
      </c>
      <c r="D1395" s="4" t="s">
        <v>13</v>
      </c>
      <c r="E1395" s="5">
        <v>292.00940000000003</v>
      </c>
      <c r="F1395" s="5">
        <v>294.84140000000002</v>
      </c>
      <c r="G1395" s="5">
        <v>294.70249999999999</v>
      </c>
      <c r="H1395" s="4">
        <v>0</v>
      </c>
      <c r="I1395" s="6">
        <v>473753</v>
      </c>
      <c r="J1395" s="7">
        <v>3.19</v>
      </c>
      <c r="K1395" s="9">
        <f>(PricingDataTable[[#This Row],[Current Price ($)]]-PricingDataTable[[#This Row],[Prior Price ($)]])/PricingDataTable[[#This Row],[Prior Price ($)]]</f>
        <v>9.6983179308611066E-3</v>
      </c>
      <c r="L1395" s="9">
        <f>(PricingDataTable[[#This Row],[Vendor Price ($)]]-PricingDataTable[[#This Row],[Current Price ($)]])/PricingDataTable[[#This Row],[Current Price ($)]]</f>
        <v>-4.7110073415753382E-4</v>
      </c>
      <c r="M1395" t="str">
        <f t="shared" si="42"/>
        <v>PASS</v>
      </c>
      <c r="N1395" s="10" t="str">
        <f t="shared" si="43"/>
        <v>NONE</v>
      </c>
    </row>
    <row r="1396" spans="1:14">
      <c r="A1396" s="4" t="s">
        <v>2808</v>
      </c>
      <c r="B1396" s="4" t="s">
        <v>2809</v>
      </c>
      <c r="C1396" s="4" t="s">
        <v>19</v>
      </c>
      <c r="D1396" s="4" t="s">
        <v>13</v>
      </c>
      <c r="E1396" s="5">
        <v>39.260399999999997</v>
      </c>
      <c r="F1396" s="5">
        <v>39.997399999999999</v>
      </c>
      <c r="G1396" s="5">
        <v>39.794699999999999</v>
      </c>
      <c r="H1396" s="4">
        <v>1</v>
      </c>
      <c r="I1396" s="6">
        <v>4150454</v>
      </c>
      <c r="J1396" s="7">
        <v>141.52000000000001</v>
      </c>
      <c r="K1396" s="9">
        <f>(PricingDataTable[[#This Row],[Current Price ($)]]-PricingDataTable[[#This Row],[Prior Price ($)]])/PricingDataTable[[#This Row],[Prior Price ($)]]</f>
        <v>1.8772096056076909E-2</v>
      </c>
      <c r="L1396" s="9">
        <f>(PricingDataTable[[#This Row],[Vendor Price ($)]]-PricingDataTable[[#This Row],[Current Price ($)]])/PricingDataTable[[#This Row],[Current Price ($)]]</f>
        <v>-5.0678294089115819E-3</v>
      </c>
      <c r="M1396" t="str">
        <f t="shared" si="42"/>
        <v>PASS</v>
      </c>
      <c r="N1396" s="10" t="str">
        <f t="shared" si="43"/>
        <v>NONE</v>
      </c>
    </row>
    <row r="1397" spans="1:14">
      <c r="A1397" s="4" t="s">
        <v>2810</v>
      </c>
      <c r="B1397" s="4" t="s">
        <v>2811</v>
      </c>
      <c r="C1397" s="4" t="s">
        <v>12</v>
      </c>
      <c r="D1397" s="4" t="s">
        <v>32</v>
      </c>
      <c r="E1397" s="5">
        <v>105.87430000000001</v>
      </c>
      <c r="F1397" s="5">
        <v>103.9901</v>
      </c>
      <c r="G1397" s="5">
        <v>103.82129999999999</v>
      </c>
      <c r="H1397" s="4">
        <v>0</v>
      </c>
      <c r="I1397" s="6">
        <v>2905768</v>
      </c>
      <c r="J1397" s="7">
        <v>126.12</v>
      </c>
      <c r="K1397" s="9">
        <f>(PricingDataTable[[#This Row],[Current Price ($)]]-PricingDataTable[[#This Row],[Prior Price ($)]])/PricingDataTable[[#This Row],[Prior Price ($)]]</f>
        <v>-1.779657575067799E-2</v>
      </c>
      <c r="L1397" s="9">
        <f>(PricingDataTable[[#This Row],[Vendor Price ($)]]-PricingDataTable[[#This Row],[Current Price ($)]])/PricingDataTable[[#This Row],[Current Price ($)]]</f>
        <v>-1.6232314422238703E-3</v>
      </c>
      <c r="M1397" t="str">
        <f t="shared" si="42"/>
        <v>PASS</v>
      </c>
      <c r="N1397" s="10" t="str">
        <f t="shared" si="43"/>
        <v>NONE</v>
      </c>
    </row>
    <row r="1398" spans="1:14">
      <c r="A1398" s="4" t="s">
        <v>2812</v>
      </c>
      <c r="B1398" s="4" t="s">
        <v>2813</v>
      </c>
      <c r="C1398" s="4" t="s">
        <v>16</v>
      </c>
      <c r="D1398" s="4" t="s">
        <v>237</v>
      </c>
      <c r="E1398" s="5">
        <v>91.384600000000006</v>
      </c>
      <c r="F1398" s="5">
        <v>91.073800000000006</v>
      </c>
      <c r="G1398" s="5">
        <v>91.158100000000005</v>
      </c>
      <c r="H1398" s="4">
        <v>0</v>
      </c>
      <c r="I1398" s="6">
        <v>2589001</v>
      </c>
      <c r="J1398" s="7">
        <v>539.44000000000005</v>
      </c>
      <c r="K1398" s="9">
        <f>(PricingDataTable[[#This Row],[Current Price ($)]]-PricingDataTable[[#This Row],[Prior Price ($)]])/PricingDataTable[[#This Row],[Prior Price ($)]]</f>
        <v>-3.4010106735708249E-3</v>
      </c>
      <c r="L1398" s="9">
        <f>(PricingDataTable[[#This Row],[Vendor Price ($)]]-PricingDataTable[[#This Row],[Current Price ($)]])/PricingDataTable[[#This Row],[Current Price ($)]]</f>
        <v>9.256229563277136E-4</v>
      </c>
      <c r="M1398" t="str">
        <f t="shared" si="42"/>
        <v>PASS</v>
      </c>
      <c r="N1398" s="10" t="str">
        <f t="shared" si="43"/>
        <v>NONE</v>
      </c>
    </row>
    <row r="1399" spans="1:14">
      <c r="A1399" s="4" t="s">
        <v>2814</v>
      </c>
      <c r="B1399" s="4" t="s">
        <v>2815</v>
      </c>
      <c r="C1399" s="4" t="s">
        <v>16</v>
      </c>
      <c r="D1399" s="4" t="s">
        <v>13</v>
      </c>
      <c r="E1399" s="5">
        <v>86.516099999999994</v>
      </c>
      <c r="F1399" s="5">
        <v>86.034800000000004</v>
      </c>
      <c r="G1399" s="5">
        <v>86.168599999999998</v>
      </c>
      <c r="H1399" s="4">
        <v>2</v>
      </c>
      <c r="I1399" s="6">
        <v>2482321</v>
      </c>
      <c r="J1399" s="7">
        <v>101.1</v>
      </c>
      <c r="K1399" s="9">
        <f>(PricingDataTable[[#This Row],[Current Price ($)]]-PricingDataTable[[#This Row],[Prior Price ($)]])/PricingDataTable[[#This Row],[Prior Price ($)]]</f>
        <v>-5.563126400750731E-3</v>
      </c>
      <c r="L1399" s="9">
        <f>(PricingDataTable[[#This Row],[Vendor Price ($)]]-PricingDataTable[[#This Row],[Current Price ($)]])/PricingDataTable[[#This Row],[Current Price ($)]]</f>
        <v>1.5551846462128545E-3</v>
      </c>
      <c r="M1399" t="str">
        <f t="shared" si="42"/>
        <v>PASS</v>
      </c>
      <c r="N1399" s="10" t="str">
        <f t="shared" si="43"/>
        <v>NONE</v>
      </c>
    </row>
    <row r="1400" spans="1:14">
      <c r="A1400" s="4" t="s">
        <v>2816</v>
      </c>
      <c r="B1400" s="4" t="s">
        <v>2817</v>
      </c>
      <c r="C1400" s="4" t="s">
        <v>16</v>
      </c>
      <c r="D1400" s="4" t="s">
        <v>13</v>
      </c>
      <c r="E1400" s="5">
        <v>115.2889</v>
      </c>
      <c r="F1400" s="5">
        <v>114.45659999999999</v>
      </c>
      <c r="G1400" s="5">
        <v>114.35769999999999</v>
      </c>
      <c r="H1400" s="4">
        <v>0</v>
      </c>
      <c r="I1400" s="6">
        <v>4483164</v>
      </c>
      <c r="J1400" s="7">
        <v>27.45</v>
      </c>
      <c r="K1400" s="9">
        <f>(PricingDataTable[[#This Row],[Current Price ($)]]-PricingDataTable[[#This Row],[Prior Price ($)]])/PricingDataTable[[#This Row],[Prior Price ($)]]</f>
        <v>-7.2192552795629378E-3</v>
      </c>
      <c r="L1400" s="9">
        <f>(PricingDataTable[[#This Row],[Vendor Price ($)]]-PricingDataTable[[#This Row],[Current Price ($)]])/PricingDataTable[[#This Row],[Current Price ($)]]</f>
        <v>-8.64082979924272E-4</v>
      </c>
      <c r="M1400" t="str">
        <f t="shared" si="42"/>
        <v>PASS</v>
      </c>
      <c r="N1400" s="10" t="str">
        <f t="shared" si="43"/>
        <v>NONE</v>
      </c>
    </row>
    <row r="1401" spans="1:14">
      <c r="A1401" s="4" t="s">
        <v>2818</v>
      </c>
      <c r="B1401" s="4" t="s">
        <v>2819</v>
      </c>
      <c r="C1401" s="4" t="s">
        <v>16</v>
      </c>
      <c r="D1401" s="4" t="s">
        <v>13</v>
      </c>
      <c r="E1401" s="5">
        <v>118.6923</v>
      </c>
      <c r="F1401" s="5">
        <v>119.5592</v>
      </c>
      <c r="G1401" s="5">
        <v>119.6597</v>
      </c>
      <c r="H1401" s="4">
        <v>0</v>
      </c>
      <c r="I1401" s="6">
        <v>4304186</v>
      </c>
      <c r="J1401" s="7">
        <v>427.1</v>
      </c>
      <c r="K1401" s="9">
        <f>(PricingDataTable[[#This Row],[Current Price ($)]]-PricingDataTable[[#This Row],[Prior Price ($)]])/PricingDataTable[[#This Row],[Prior Price ($)]]</f>
        <v>7.3037593845599177E-3</v>
      </c>
      <c r="L1401" s="9">
        <f>(PricingDataTable[[#This Row],[Vendor Price ($)]]-PricingDataTable[[#This Row],[Current Price ($)]])/PricingDataTable[[#This Row],[Current Price ($)]]</f>
        <v>8.4058775903482713E-4</v>
      </c>
      <c r="M1401" t="str">
        <f t="shared" si="42"/>
        <v>PASS</v>
      </c>
      <c r="N1401" s="10" t="str">
        <f t="shared" si="43"/>
        <v>NONE</v>
      </c>
    </row>
    <row r="1402" spans="1:14">
      <c r="A1402" s="4" t="s">
        <v>2820</v>
      </c>
      <c r="B1402" s="4" t="s">
        <v>2821</v>
      </c>
      <c r="C1402" s="4" t="s">
        <v>39</v>
      </c>
      <c r="D1402" s="4" t="s">
        <v>13</v>
      </c>
      <c r="E1402" s="5">
        <v>128.59819999999999</v>
      </c>
      <c r="F1402" s="5">
        <v>129.48519999999999</v>
      </c>
      <c r="G1402" s="5">
        <v>129.91730000000001</v>
      </c>
      <c r="H1402" s="4">
        <v>0</v>
      </c>
      <c r="I1402" s="6">
        <v>2630500</v>
      </c>
      <c r="J1402" s="7">
        <v>163.55000000000001</v>
      </c>
      <c r="K1402" s="9">
        <f>(PricingDataTable[[#This Row],[Current Price ($)]]-PricingDataTable[[#This Row],[Prior Price ($)]])/PricingDataTable[[#This Row],[Prior Price ($)]]</f>
        <v>6.8974526859629489E-3</v>
      </c>
      <c r="L1402" s="9">
        <f>(PricingDataTable[[#This Row],[Vendor Price ($)]]-PricingDataTable[[#This Row],[Current Price ($)]])/PricingDataTable[[#This Row],[Current Price ($)]]</f>
        <v>3.3370609150699827E-3</v>
      </c>
      <c r="M1402" t="str">
        <f t="shared" si="42"/>
        <v>PASS</v>
      </c>
      <c r="N1402" s="10" t="str">
        <f t="shared" si="43"/>
        <v>NONE</v>
      </c>
    </row>
    <row r="1403" spans="1:14">
      <c r="A1403" s="4" t="s">
        <v>2822</v>
      </c>
      <c r="B1403" s="4" t="s">
        <v>2823</v>
      </c>
      <c r="C1403" s="4" t="s">
        <v>16</v>
      </c>
      <c r="D1403" s="4" t="s">
        <v>64</v>
      </c>
      <c r="E1403" s="5">
        <v>85.635300000000001</v>
      </c>
      <c r="F1403" s="5">
        <v>85.290999999999997</v>
      </c>
      <c r="G1403" s="5">
        <v>85.453100000000006</v>
      </c>
      <c r="H1403" s="4">
        <v>0</v>
      </c>
      <c r="I1403" s="6">
        <v>2989361</v>
      </c>
      <c r="J1403" s="7">
        <v>382.49</v>
      </c>
      <c r="K1403" s="9">
        <f>(PricingDataTable[[#This Row],[Current Price ($)]]-PricingDataTable[[#This Row],[Prior Price ($)]])/PricingDataTable[[#This Row],[Prior Price ($)]]</f>
        <v>-4.0205382593393613E-3</v>
      </c>
      <c r="L1403" s="9">
        <f>(PricingDataTable[[#This Row],[Vendor Price ($)]]-PricingDataTable[[#This Row],[Current Price ($)]])/PricingDataTable[[#This Row],[Current Price ($)]]</f>
        <v>1.9005522270815146E-3</v>
      </c>
      <c r="M1403" t="str">
        <f t="shared" si="42"/>
        <v>PASS</v>
      </c>
      <c r="N1403" s="10" t="str">
        <f t="shared" si="43"/>
        <v>NONE</v>
      </c>
    </row>
    <row r="1404" spans="1:14">
      <c r="A1404" s="4" t="s">
        <v>2824</v>
      </c>
      <c r="B1404" s="4" t="s">
        <v>2825</v>
      </c>
      <c r="C1404" s="4" t="s">
        <v>19</v>
      </c>
      <c r="D1404" s="4" t="s">
        <v>64</v>
      </c>
      <c r="E1404" s="5">
        <v>177.82490000000001</v>
      </c>
      <c r="F1404" s="5">
        <v>177.61089999999999</v>
      </c>
      <c r="G1404" s="5">
        <v>177.03720000000001</v>
      </c>
      <c r="H1404" s="4">
        <v>1</v>
      </c>
      <c r="I1404" s="6">
        <v>2604753</v>
      </c>
      <c r="J1404" s="7">
        <v>202.19</v>
      </c>
      <c r="K1404" s="9">
        <f>(PricingDataTable[[#This Row],[Current Price ($)]]-PricingDataTable[[#This Row],[Prior Price ($)]])/PricingDataTable[[#This Row],[Prior Price ($)]]</f>
        <v>-1.2034310155665884E-3</v>
      </c>
      <c r="L1404" s="9">
        <f>(PricingDataTable[[#This Row],[Vendor Price ($)]]-PricingDataTable[[#This Row],[Current Price ($)]])/PricingDataTable[[#This Row],[Current Price ($)]]</f>
        <v>-3.230094549377172E-3</v>
      </c>
      <c r="M1404" t="str">
        <f t="shared" si="42"/>
        <v>PASS</v>
      </c>
      <c r="N1404" s="10" t="str">
        <f t="shared" si="43"/>
        <v>NONE</v>
      </c>
    </row>
    <row r="1405" spans="1:14">
      <c r="A1405" s="4" t="s">
        <v>2826</v>
      </c>
      <c r="B1405" s="4" t="s">
        <v>2827</v>
      </c>
      <c r="C1405" s="4" t="s">
        <v>12</v>
      </c>
      <c r="D1405" s="4" t="s">
        <v>13</v>
      </c>
      <c r="E1405" s="5">
        <v>119.4329</v>
      </c>
      <c r="F1405" s="5">
        <v>118.3865</v>
      </c>
      <c r="G1405" s="5">
        <v>118.1134</v>
      </c>
      <c r="H1405" s="4">
        <v>0</v>
      </c>
      <c r="I1405" s="6">
        <v>310801</v>
      </c>
      <c r="J1405" s="7">
        <v>101.13</v>
      </c>
      <c r="K1405" s="9">
        <f>(PricingDataTable[[#This Row],[Current Price ($)]]-PricingDataTable[[#This Row],[Prior Price ($)]])/PricingDataTable[[#This Row],[Prior Price ($)]]</f>
        <v>-8.7614049395100136E-3</v>
      </c>
      <c r="L1405" s="9">
        <f>(PricingDataTable[[#This Row],[Vendor Price ($)]]-PricingDataTable[[#This Row],[Current Price ($)]])/PricingDataTable[[#This Row],[Current Price ($)]]</f>
        <v>-2.3068508655970017E-3</v>
      </c>
      <c r="M1405" t="str">
        <f t="shared" si="42"/>
        <v>PASS</v>
      </c>
      <c r="N1405" s="10" t="str">
        <f t="shared" si="43"/>
        <v>NONE</v>
      </c>
    </row>
    <row r="1406" spans="1:14">
      <c r="A1406" s="4" t="s">
        <v>2828</v>
      </c>
      <c r="B1406" s="4" t="s">
        <v>2829</v>
      </c>
      <c r="C1406" s="4" t="s">
        <v>16</v>
      </c>
      <c r="D1406" s="4" t="s">
        <v>13</v>
      </c>
      <c r="E1406" s="5">
        <v>103.872</v>
      </c>
      <c r="F1406" s="5">
        <v>102.9795</v>
      </c>
      <c r="G1406" s="5">
        <v>102.9354</v>
      </c>
      <c r="H1406" s="4">
        <v>0</v>
      </c>
      <c r="I1406" s="6">
        <v>3436963</v>
      </c>
      <c r="J1406" s="7">
        <v>597.28</v>
      </c>
      <c r="K1406" s="9">
        <f>(PricingDataTable[[#This Row],[Current Price ($)]]-PricingDataTable[[#This Row],[Prior Price ($)]])/PricingDataTable[[#This Row],[Prior Price ($)]]</f>
        <v>-8.5923059149722574E-3</v>
      </c>
      <c r="L1406" s="9">
        <f>(PricingDataTable[[#This Row],[Vendor Price ($)]]-PricingDataTable[[#This Row],[Current Price ($)]])/PricingDataTable[[#This Row],[Current Price ($)]]</f>
        <v>-4.2824057215271245E-4</v>
      </c>
      <c r="M1406" t="str">
        <f t="shared" si="42"/>
        <v>PASS</v>
      </c>
      <c r="N1406" s="10" t="str">
        <f t="shared" si="43"/>
        <v>NONE</v>
      </c>
    </row>
    <row r="1407" spans="1:14">
      <c r="A1407" s="4" t="s">
        <v>2830</v>
      </c>
      <c r="B1407" s="4" t="s">
        <v>2831</v>
      </c>
      <c r="C1407" s="4" t="s">
        <v>19</v>
      </c>
      <c r="D1407" s="4" t="s">
        <v>13</v>
      </c>
      <c r="E1407" s="5">
        <v>102.7119</v>
      </c>
      <c r="F1407" s="5">
        <v>104.685</v>
      </c>
      <c r="G1407" s="5">
        <v>104.4782</v>
      </c>
      <c r="H1407" s="4">
        <v>2</v>
      </c>
      <c r="I1407" s="6">
        <v>4890207</v>
      </c>
      <c r="J1407" s="7">
        <v>333.77</v>
      </c>
      <c r="K1407" s="9">
        <f>(PricingDataTable[[#This Row],[Current Price ($)]]-PricingDataTable[[#This Row],[Prior Price ($)]])/PricingDataTable[[#This Row],[Prior Price ($)]]</f>
        <v>1.9210042848004975E-2</v>
      </c>
      <c r="L1407" s="9">
        <f>(PricingDataTable[[#This Row],[Vendor Price ($)]]-PricingDataTable[[#This Row],[Current Price ($)]])/PricingDataTable[[#This Row],[Current Price ($)]]</f>
        <v>-1.9754501600038324E-3</v>
      </c>
      <c r="M1407" t="str">
        <f t="shared" si="42"/>
        <v>PASS</v>
      </c>
      <c r="N1407" s="10" t="str">
        <f t="shared" si="43"/>
        <v>NONE</v>
      </c>
    </row>
    <row r="1408" spans="1:14">
      <c r="A1408" s="4" t="s">
        <v>2832</v>
      </c>
      <c r="B1408" s="4" t="s">
        <v>2833</v>
      </c>
      <c r="C1408" s="4" t="s">
        <v>35</v>
      </c>
      <c r="D1408" s="4" t="s">
        <v>13</v>
      </c>
      <c r="E1408" s="5">
        <v>139.97319999999999</v>
      </c>
      <c r="F1408" s="5">
        <v>137.5926</v>
      </c>
      <c r="G1408" s="5">
        <v>137.6283</v>
      </c>
      <c r="H1408" s="4">
        <v>0</v>
      </c>
      <c r="I1408" s="6">
        <v>4969872</v>
      </c>
      <c r="J1408" s="7">
        <v>46.4</v>
      </c>
      <c r="K1408" s="9">
        <f>(PricingDataTable[[#This Row],[Current Price ($)]]-PricingDataTable[[#This Row],[Prior Price ($)]])/PricingDataTable[[#This Row],[Prior Price ($)]]</f>
        <v>-1.7007541443647693E-2</v>
      </c>
      <c r="L1408" s="9">
        <f>(PricingDataTable[[#This Row],[Vendor Price ($)]]-PricingDataTable[[#This Row],[Current Price ($)]])/PricingDataTable[[#This Row],[Current Price ($)]]</f>
        <v>2.5946162802353764E-4</v>
      </c>
      <c r="M1408" t="str">
        <f t="shared" si="42"/>
        <v>PASS</v>
      </c>
      <c r="N1408" s="10" t="str">
        <f t="shared" si="43"/>
        <v>NONE</v>
      </c>
    </row>
    <row r="1409" spans="1:14">
      <c r="A1409" s="4" t="s">
        <v>2834</v>
      </c>
      <c r="B1409" s="4" t="s">
        <v>2835</v>
      </c>
      <c r="C1409" s="4" t="s">
        <v>16</v>
      </c>
      <c r="D1409" s="4" t="s">
        <v>13</v>
      </c>
      <c r="E1409" s="5">
        <v>111.5564</v>
      </c>
      <c r="F1409" s="5">
        <v>109.3472</v>
      </c>
      <c r="G1409" s="5">
        <v>108.9038</v>
      </c>
      <c r="H1409" s="4">
        <v>1</v>
      </c>
      <c r="I1409" s="6">
        <v>3791419</v>
      </c>
      <c r="J1409" s="7">
        <v>808.86</v>
      </c>
      <c r="K1409" s="9">
        <f>(PricingDataTable[[#This Row],[Current Price ($)]]-PricingDataTable[[#This Row],[Prior Price ($)]])/PricingDataTable[[#This Row],[Prior Price ($)]]</f>
        <v>-1.9803435750884717E-2</v>
      </c>
      <c r="L1409" s="9">
        <f>(PricingDataTable[[#This Row],[Vendor Price ($)]]-PricingDataTable[[#This Row],[Current Price ($)]])/PricingDataTable[[#This Row],[Current Price ($)]]</f>
        <v>-4.0549735155540967E-3</v>
      </c>
      <c r="M1409" t="str">
        <f t="shared" si="42"/>
        <v>PASS</v>
      </c>
      <c r="N1409" s="10" t="str">
        <f t="shared" si="43"/>
        <v>NONE</v>
      </c>
    </row>
    <row r="1410" spans="1:14">
      <c r="A1410" s="4" t="s">
        <v>2836</v>
      </c>
      <c r="B1410" s="4" t="s">
        <v>2837</v>
      </c>
      <c r="C1410" s="4" t="s">
        <v>35</v>
      </c>
      <c r="D1410" s="4" t="s">
        <v>32</v>
      </c>
      <c r="E1410" s="5">
        <v>96.183499999999995</v>
      </c>
      <c r="F1410" s="5">
        <v>96.961699999999993</v>
      </c>
      <c r="G1410" s="5">
        <v>96.847200000000001</v>
      </c>
      <c r="H1410" s="4">
        <v>0</v>
      </c>
      <c r="I1410" s="6">
        <v>1342136</v>
      </c>
      <c r="J1410" s="7">
        <v>470.86</v>
      </c>
      <c r="K1410" s="9">
        <f>(PricingDataTable[[#This Row],[Current Price ($)]]-PricingDataTable[[#This Row],[Prior Price ($)]])/PricingDataTable[[#This Row],[Prior Price ($)]]</f>
        <v>8.0907848019670554E-3</v>
      </c>
      <c r="L1410" s="9">
        <f>(PricingDataTable[[#This Row],[Vendor Price ($)]]-PricingDataTable[[#This Row],[Current Price ($)]])/PricingDataTable[[#This Row],[Current Price ($)]]</f>
        <v>-1.1808786355849011E-3</v>
      </c>
      <c r="M1410" t="str">
        <f t="shared" ref="M1410:M1473" si="44">IF(OR(F1410="",F1410=0),"MISSING",IF(H1410&gt;=3,"STALE",IF(ABS(K1410)&gt;=5%,"LARGE MOVE",IF(ABS(L1410)&gt;=2%,"VENDOR DIFFERENCE","PASS"))))</f>
        <v>PASS</v>
      </c>
      <c r="N1410" s="10" t="str">
        <f t="shared" ref="N1410:N1473" si="45">IF(M1410="PASS","NONE",IF(M1410="MISSING","HIGH",IF(OR(ABS(K1410)&gt;=10%,ABS(L1410)&gt;=5%),"HIGH",IF(OR(ABS(K1410)&gt;=7%,ABS(L1410)&gt;=3%,H1410&gt;=5),"MEDIUM","LOW"))))</f>
        <v>NONE</v>
      </c>
    </row>
    <row r="1411" spans="1:14">
      <c r="A1411" s="4" t="s">
        <v>2838</v>
      </c>
      <c r="B1411" s="4" t="s">
        <v>2839</v>
      </c>
      <c r="C1411" s="4" t="s">
        <v>19</v>
      </c>
      <c r="D1411" s="4" t="s">
        <v>13</v>
      </c>
      <c r="E1411" s="5">
        <v>82.432100000000005</v>
      </c>
      <c r="F1411" s="5">
        <v>83.623500000000007</v>
      </c>
      <c r="G1411" s="5">
        <v>83.680499999999995</v>
      </c>
      <c r="H1411" s="4">
        <v>0</v>
      </c>
      <c r="I1411" s="6">
        <v>4125545</v>
      </c>
      <c r="J1411" s="7">
        <v>750.9</v>
      </c>
      <c r="K1411" s="9">
        <f>(PricingDataTable[[#This Row],[Current Price ($)]]-PricingDataTable[[#This Row],[Prior Price ($)]])/PricingDataTable[[#This Row],[Prior Price ($)]]</f>
        <v>1.445310746663013E-2</v>
      </c>
      <c r="L1411" s="9">
        <f>(PricingDataTable[[#This Row],[Vendor Price ($)]]-PricingDataTable[[#This Row],[Current Price ($)]])/PricingDataTable[[#This Row],[Current Price ($)]]</f>
        <v>6.8162657626131347E-4</v>
      </c>
      <c r="M1411" t="str">
        <f t="shared" si="44"/>
        <v>PASS</v>
      </c>
      <c r="N1411" s="10" t="str">
        <f t="shared" si="45"/>
        <v>NONE</v>
      </c>
    </row>
    <row r="1412" spans="1:14">
      <c r="A1412" s="4" t="s">
        <v>2840</v>
      </c>
      <c r="B1412" s="4" t="s">
        <v>2841</v>
      </c>
      <c r="C1412" s="4" t="s">
        <v>35</v>
      </c>
      <c r="D1412" s="4" t="s">
        <v>13</v>
      </c>
      <c r="E1412" s="5">
        <v>4.0214999999999996</v>
      </c>
      <c r="F1412" s="5">
        <v>4.0556000000000001</v>
      </c>
      <c r="G1412" s="5">
        <v>4.0376000000000003</v>
      </c>
      <c r="H1412" s="4">
        <v>4</v>
      </c>
      <c r="I1412" s="6">
        <v>1401259</v>
      </c>
      <c r="J1412" s="7">
        <v>750.09</v>
      </c>
      <c r="K1412" s="9">
        <f>(PricingDataTable[[#This Row],[Current Price ($)]]-PricingDataTable[[#This Row],[Prior Price ($)]])/PricingDataTable[[#This Row],[Prior Price ($)]]</f>
        <v>8.4794231008331385E-3</v>
      </c>
      <c r="L1412" s="9">
        <f>(PricingDataTable[[#This Row],[Vendor Price ($)]]-PricingDataTable[[#This Row],[Current Price ($)]])/PricingDataTable[[#This Row],[Current Price ($)]]</f>
        <v>-4.4383075253969307E-3</v>
      </c>
      <c r="M1412" t="str">
        <f t="shared" si="44"/>
        <v>STALE</v>
      </c>
      <c r="N1412" s="10" t="str">
        <f t="shared" si="45"/>
        <v>LOW</v>
      </c>
    </row>
    <row r="1413" spans="1:14">
      <c r="A1413" s="4" t="s">
        <v>2842</v>
      </c>
      <c r="B1413" s="4" t="s">
        <v>2843</v>
      </c>
      <c r="C1413" s="4" t="s">
        <v>12</v>
      </c>
      <c r="D1413" s="4" t="s">
        <v>13</v>
      </c>
      <c r="E1413" s="5">
        <v>82.390299999999996</v>
      </c>
      <c r="F1413" s="5">
        <v>83.838999999999999</v>
      </c>
      <c r="G1413" s="5">
        <v>83.401600000000002</v>
      </c>
      <c r="H1413" s="4">
        <v>1</v>
      </c>
      <c r="I1413" s="6">
        <v>2627313</v>
      </c>
      <c r="J1413" s="7">
        <v>670.11</v>
      </c>
      <c r="K1413" s="9">
        <f>(PricingDataTable[[#This Row],[Current Price ($)]]-PricingDataTable[[#This Row],[Prior Price ($)]])/PricingDataTable[[#This Row],[Prior Price ($)]]</f>
        <v>1.7583380567858138E-2</v>
      </c>
      <c r="L1413" s="9">
        <f>(PricingDataTable[[#This Row],[Vendor Price ($)]]-PricingDataTable[[#This Row],[Current Price ($)]])/PricingDataTable[[#This Row],[Current Price ($)]]</f>
        <v>-5.2171423800378902E-3</v>
      </c>
      <c r="M1413" t="str">
        <f t="shared" si="44"/>
        <v>PASS</v>
      </c>
      <c r="N1413" s="10" t="str">
        <f t="shared" si="45"/>
        <v>NONE</v>
      </c>
    </row>
    <row r="1414" spans="1:14">
      <c r="A1414" s="4" t="s">
        <v>2844</v>
      </c>
      <c r="B1414" s="4" t="s">
        <v>2845</v>
      </c>
      <c r="C1414" s="4" t="s">
        <v>39</v>
      </c>
      <c r="D1414" s="4" t="s">
        <v>13</v>
      </c>
      <c r="E1414" s="5">
        <v>264.15879999999999</v>
      </c>
      <c r="F1414" s="5">
        <v>264.71429999999998</v>
      </c>
      <c r="G1414" s="5">
        <v>263.54169999999999</v>
      </c>
      <c r="H1414" s="4">
        <v>0</v>
      </c>
      <c r="I1414" s="6">
        <v>2023754</v>
      </c>
      <c r="J1414" s="7">
        <v>708.58</v>
      </c>
      <c r="K1414" s="9">
        <f>(PricingDataTable[[#This Row],[Current Price ($)]]-PricingDataTable[[#This Row],[Prior Price ($)]])/PricingDataTable[[#This Row],[Prior Price ($)]]</f>
        <v>2.1029017394082463E-3</v>
      </c>
      <c r="L1414" s="9">
        <f>(PricingDataTable[[#This Row],[Vendor Price ($)]]-PricingDataTable[[#This Row],[Current Price ($)]])/PricingDataTable[[#This Row],[Current Price ($)]]</f>
        <v>-4.4296813583549833E-3</v>
      </c>
      <c r="M1414" t="str">
        <f t="shared" si="44"/>
        <v>PASS</v>
      </c>
      <c r="N1414" s="10" t="str">
        <f t="shared" si="45"/>
        <v>NONE</v>
      </c>
    </row>
    <row r="1415" spans="1:14">
      <c r="A1415" s="4" t="s">
        <v>2846</v>
      </c>
      <c r="B1415" s="4" t="s">
        <v>2847</v>
      </c>
      <c r="C1415" s="4" t="s">
        <v>19</v>
      </c>
      <c r="D1415" s="4" t="s">
        <v>64</v>
      </c>
      <c r="E1415" s="5">
        <v>50.9724</v>
      </c>
      <c r="F1415" s="5">
        <v>50.351399999999998</v>
      </c>
      <c r="G1415" s="5">
        <v>50.275100000000002</v>
      </c>
      <c r="H1415" s="4">
        <v>0</v>
      </c>
      <c r="I1415" s="6">
        <v>4815790</v>
      </c>
      <c r="J1415" s="7">
        <v>53.35</v>
      </c>
      <c r="K1415" s="9">
        <f>(PricingDataTable[[#This Row],[Current Price ($)]]-PricingDataTable[[#This Row],[Prior Price ($)]])/PricingDataTable[[#This Row],[Prior Price ($)]]</f>
        <v>-1.2183063775690417E-2</v>
      </c>
      <c r="L1415" s="9">
        <f>(PricingDataTable[[#This Row],[Vendor Price ($)]]-PricingDataTable[[#This Row],[Current Price ($)]])/PricingDataTable[[#This Row],[Current Price ($)]]</f>
        <v>-1.5153501193610557E-3</v>
      </c>
      <c r="M1415" t="str">
        <f t="shared" si="44"/>
        <v>PASS</v>
      </c>
      <c r="N1415" s="10" t="str">
        <f t="shared" si="45"/>
        <v>NONE</v>
      </c>
    </row>
    <row r="1416" spans="1:14">
      <c r="A1416" s="4" t="s">
        <v>2848</v>
      </c>
      <c r="B1416" s="4" t="s">
        <v>2849</v>
      </c>
      <c r="C1416" s="4" t="s">
        <v>39</v>
      </c>
      <c r="D1416" s="4" t="s">
        <v>32</v>
      </c>
      <c r="E1416" s="5">
        <v>300.61020000000002</v>
      </c>
      <c r="F1416" s="5">
        <v>300.39190000000002</v>
      </c>
      <c r="G1416" s="5">
        <v>300.13130000000001</v>
      </c>
      <c r="H1416" s="4">
        <v>0</v>
      </c>
      <c r="I1416" s="6">
        <v>585508</v>
      </c>
      <c r="J1416" s="7">
        <v>815.22</v>
      </c>
      <c r="K1416" s="9">
        <f>(PricingDataTable[[#This Row],[Current Price ($)]]-PricingDataTable[[#This Row],[Prior Price ($)]])/PricingDataTable[[#This Row],[Prior Price ($)]]</f>
        <v>-7.2618959702631263E-4</v>
      </c>
      <c r="L1416" s="9">
        <f>(PricingDataTable[[#This Row],[Vendor Price ($)]]-PricingDataTable[[#This Row],[Current Price ($)]])/PricingDataTable[[#This Row],[Current Price ($)]]</f>
        <v>-8.675333788960714E-4</v>
      </c>
      <c r="M1416" t="str">
        <f t="shared" si="44"/>
        <v>PASS</v>
      </c>
      <c r="N1416" s="10" t="str">
        <f t="shared" si="45"/>
        <v>NONE</v>
      </c>
    </row>
    <row r="1417" spans="1:14">
      <c r="A1417" s="4" t="s">
        <v>2850</v>
      </c>
      <c r="B1417" s="4" t="s">
        <v>2851</v>
      </c>
      <c r="C1417" s="4" t="s">
        <v>16</v>
      </c>
      <c r="D1417" s="4" t="s">
        <v>13</v>
      </c>
      <c r="E1417" s="5">
        <v>95.102800000000002</v>
      </c>
      <c r="F1417" s="5">
        <v>95.501000000000005</v>
      </c>
      <c r="G1417" s="5">
        <v>95.441900000000004</v>
      </c>
      <c r="H1417" s="4">
        <v>0</v>
      </c>
      <c r="I1417" s="6">
        <v>2030996</v>
      </c>
      <c r="J1417" s="7">
        <v>718.67</v>
      </c>
      <c r="K1417" s="9">
        <f>(PricingDataTable[[#This Row],[Current Price ($)]]-PricingDataTable[[#This Row],[Prior Price ($)]])/PricingDataTable[[#This Row],[Prior Price ($)]]</f>
        <v>4.1870481205600971E-3</v>
      </c>
      <c r="L1417" s="9">
        <f>(PricingDataTable[[#This Row],[Vendor Price ($)]]-PricingDataTable[[#This Row],[Current Price ($)]])/PricingDataTable[[#This Row],[Current Price ($)]]</f>
        <v>-6.1884168752160515E-4</v>
      </c>
      <c r="M1417" t="str">
        <f t="shared" si="44"/>
        <v>PASS</v>
      </c>
      <c r="N1417" s="10" t="str">
        <f t="shared" si="45"/>
        <v>NONE</v>
      </c>
    </row>
    <row r="1418" spans="1:14">
      <c r="A1418" s="4" t="s">
        <v>2852</v>
      </c>
      <c r="B1418" s="4" t="s">
        <v>2853</v>
      </c>
      <c r="C1418" s="4" t="s">
        <v>12</v>
      </c>
      <c r="D1418" s="4" t="s">
        <v>13</v>
      </c>
      <c r="E1418" s="5">
        <v>123.7714</v>
      </c>
      <c r="F1418" s="5">
        <v>126.5916</v>
      </c>
      <c r="G1418" s="5">
        <v>126.4847</v>
      </c>
      <c r="H1418" s="4">
        <v>4</v>
      </c>
      <c r="I1418" s="6">
        <v>2805414</v>
      </c>
      <c r="J1418" s="7">
        <v>774.72</v>
      </c>
      <c r="K1418" s="9">
        <f>(PricingDataTable[[#This Row],[Current Price ($)]]-PricingDataTable[[#This Row],[Prior Price ($)]])/PricingDataTable[[#This Row],[Prior Price ($)]]</f>
        <v>2.2785554659638656E-2</v>
      </c>
      <c r="L1418" s="9">
        <f>(PricingDataTable[[#This Row],[Vendor Price ($)]]-PricingDataTable[[#This Row],[Current Price ($)]])/PricingDataTable[[#This Row],[Current Price ($)]]</f>
        <v>-8.4444781486288194E-4</v>
      </c>
      <c r="M1418" t="str">
        <f t="shared" si="44"/>
        <v>STALE</v>
      </c>
      <c r="N1418" s="10" t="str">
        <f t="shared" si="45"/>
        <v>LOW</v>
      </c>
    </row>
    <row r="1419" spans="1:14">
      <c r="A1419" s="4" t="s">
        <v>2854</v>
      </c>
      <c r="B1419" s="4" t="s">
        <v>2855</v>
      </c>
      <c r="C1419" s="4" t="s">
        <v>12</v>
      </c>
      <c r="D1419" s="4" t="s">
        <v>13</v>
      </c>
      <c r="E1419" s="5">
        <v>92.853399999999993</v>
      </c>
      <c r="F1419" s="5">
        <v>92.990300000000005</v>
      </c>
      <c r="G1419" s="5">
        <v>92.856300000000005</v>
      </c>
      <c r="H1419" s="4">
        <v>4</v>
      </c>
      <c r="I1419" s="6">
        <v>4262900</v>
      </c>
      <c r="J1419" s="7">
        <v>819.93</v>
      </c>
      <c r="K1419" s="9">
        <f>(PricingDataTable[[#This Row],[Current Price ($)]]-PricingDataTable[[#This Row],[Prior Price ($)]])/PricingDataTable[[#This Row],[Prior Price ($)]]</f>
        <v>1.4743671206440621E-3</v>
      </c>
      <c r="L1419" s="9">
        <f>(PricingDataTable[[#This Row],[Vendor Price ($)]]-PricingDataTable[[#This Row],[Current Price ($)]])/PricingDataTable[[#This Row],[Current Price ($)]]</f>
        <v>-1.4410105139998509E-3</v>
      </c>
      <c r="M1419" t="str">
        <f t="shared" si="44"/>
        <v>STALE</v>
      </c>
      <c r="N1419" s="10" t="str">
        <f t="shared" si="45"/>
        <v>LOW</v>
      </c>
    </row>
    <row r="1420" spans="1:14">
      <c r="A1420" s="4" t="s">
        <v>2856</v>
      </c>
      <c r="B1420" s="4" t="s">
        <v>2857</v>
      </c>
      <c r="C1420" s="4" t="s">
        <v>19</v>
      </c>
      <c r="D1420" s="4" t="s">
        <v>13</v>
      </c>
      <c r="E1420" s="5">
        <v>62.1755</v>
      </c>
      <c r="F1420" s="5">
        <v>60.081200000000003</v>
      </c>
      <c r="G1420" s="5">
        <v>59.739699999999999</v>
      </c>
      <c r="H1420" s="4">
        <v>0</v>
      </c>
      <c r="I1420" s="6">
        <v>690600</v>
      </c>
      <c r="J1420" s="7">
        <v>340.06</v>
      </c>
      <c r="K1420" s="9">
        <f>(PricingDataTable[[#This Row],[Current Price ($)]]-PricingDataTable[[#This Row],[Prior Price ($)]])/PricingDataTable[[#This Row],[Prior Price ($)]]</f>
        <v>-3.368368569613428E-2</v>
      </c>
      <c r="L1420" s="9">
        <f>(PricingDataTable[[#This Row],[Vendor Price ($)]]-PricingDataTable[[#This Row],[Current Price ($)]])/PricingDataTable[[#This Row],[Current Price ($)]]</f>
        <v>-5.6839743547066881E-3</v>
      </c>
      <c r="M1420" t="str">
        <f t="shared" si="44"/>
        <v>PASS</v>
      </c>
      <c r="N1420" s="10" t="str">
        <f t="shared" si="45"/>
        <v>NONE</v>
      </c>
    </row>
    <row r="1421" spans="1:14">
      <c r="A1421" s="4" t="s">
        <v>2858</v>
      </c>
      <c r="B1421" s="4" t="s">
        <v>2859</v>
      </c>
      <c r="C1421" s="4" t="s">
        <v>19</v>
      </c>
      <c r="D1421" s="4" t="s">
        <v>13</v>
      </c>
      <c r="E1421" s="5">
        <v>148.97540000000001</v>
      </c>
      <c r="F1421" s="5">
        <v>149.79650000000001</v>
      </c>
      <c r="G1421" s="5">
        <v>149.8426</v>
      </c>
      <c r="H1421" s="4">
        <v>3</v>
      </c>
      <c r="I1421" s="6">
        <v>4492371</v>
      </c>
      <c r="J1421" s="7">
        <v>785</v>
      </c>
      <c r="K1421" s="9">
        <f>(PricingDataTable[[#This Row],[Current Price ($)]]-PricingDataTable[[#This Row],[Prior Price ($)]])/PricingDataTable[[#This Row],[Prior Price ($)]]</f>
        <v>5.5116482318557378E-3</v>
      </c>
      <c r="L1421" s="9">
        <f>(PricingDataTable[[#This Row],[Vendor Price ($)]]-PricingDataTable[[#This Row],[Current Price ($)]])/PricingDataTable[[#This Row],[Current Price ($)]]</f>
        <v>3.0775084865130751E-4</v>
      </c>
      <c r="M1421" t="str">
        <f t="shared" si="44"/>
        <v>STALE</v>
      </c>
      <c r="N1421" s="10" t="str">
        <f t="shared" si="45"/>
        <v>LOW</v>
      </c>
    </row>
    <row r="1422" spans="1:14">
      <c r="A1422" s="4" t="s">
        <v>2860</v>
      </c>
      <c r="B1422" s="4" t="s">
        <v>2861</v>
      </c>
      <c r="C1422" s="4" t="s">
        <v>16</v>
      </c>
      <c r="D1422" s="4" t="s">
        <v>13</v>
      </c>
      <c r="E1422" s="5">
        <v>123.76560000000001</v>
      </c>
      <c r="F1422" s="5">
        <v>124.1653</v>
      </c>
      <c r="G1422" s="5">
        <v>124.1418</v>
      </c>
      <c r="H1422" s="4">
        <v>0</v>
      </c>
      <c r="I1422" s="6">
        <v>1198137</v>
      </c>
      <c r="J1422" s="7">
        <v>438.05</v>
      </c>
      <c r="K1422" s="9">
        <f>(PricingDataTable[[#This Row],[Current Price ($)]]-PricingDataTable[[#This Row],[Prior Price ($)]])/PricingDataTable[[#This Row],[Prior Price ($)]]</f>
        <v>3.2294918781955221E-3</v>
      </c>
      <c r="L1422" s="9">
        <f>(PricingDataTable[[#This Row],[Vendor Price ($)]]-PricingDataTable[[#This Row],[Current Price ($)]])/PricingDataTable[[#This Row],[Current Price ($)]]</f>
        <v>-1.8926382813876761E-4</v>
      </c>
      <c r="M1422" t="str">
        <f t="shared" si="44"/>
        <v>PASS</v>
      </c>
      <c r="N1422" s="10" t="str">
        <f t="shared" si="45"/>
        <v>NONE</v>
      </c>
    </row>
    <row r="1423" spans="1:14">
      <c r="A1423" s="4" t="s">
        <v>2862</v>
      </c>
      <c r="B1423" s="4" t="s">
        <v>2863</v>
      </c>
      <c r="C1423" s="4" t="s">
        <v>19</v>
      </c>
      <c r="D1423" s="4" t="s">
        <v>64</v>
      </c>
      <c r="E1423" s="5">
        <v>306.34800000000001</v>
      </c>
      <c r="F1423" s="5">
        <v>306.1103</v>
      </c>
      <c r="G1423" s="5">
        <v>306.81920000000002</v>
      </c>
      <c r="H1423" s="4">
        <v>1</v>
      </c>
      <c r="I1423" s="6">
        <v>1774474</v>
      </c>
      <c r="J1423" s="7">
        <v>833.92</v>
      </c>
      <c r="K1423" s="9">
        <f>(PricingDataTable[[#This Row],[Current Price ($)]]-PricingDataTable[[#This Row],[Prior Price ($)]])/PricingDataTable[[#This Row],[Prior Price ($)]]</f>
        <v>-7.7591497251497637E-4</v>
      </c>
      <c r="L1423" s="9">
        <f>(PricingDataTable[[#This Row],[Vendor Price ($)]]-PricingDataTable[[#This Row],[Current Price ($)]])/PricingDataTable[[#This Row],[Current Price ($)]]</f>
        <v>2.3158319076490674E-3</v>
      </c>
      <c r="M1423" t="str">
        <f t="shared" si="44"/>
        <v>PASS</v>
      </c>
      <c r="N1423" s="10" t="str">
        <f t="shared" si="45"/>
        <v>NONE</v>
      </c>
    </row>
    <row r="1424" spans="1:14">
      <c r="A1424" s="4" t="s">
        <v>2864</v>
      </c>
      <c r="B1424" s="4" t="s">
        <v>2865</v>
      </c>
      <c r="C1424" s="4" t="s">
        <v>12</v>
      </c>
      <c r="D1424" s="4" t="s">
        <v>13</v>
      </c>
      <c r="E1424" s="5">
        <v>99.764899999999997</v>
      </c>
      <c r="F1424" s="5">
        <v>99.637</v>
      </c>
      <c r="G1424" s="5"/>
      <c r="H1424" s="4">
        <v>0</v>
      </c>
      <c r="I1424" s="6">
        <v>1458104</v>
      </c>
      <c r="J1424" s="7">
        <v>155.99</v>
      </c>
      <c r="K1424" s="9">
        <f>(PricingDataTable[[#This Row],[Current Price ($)]]-PricingDataTable[[#This Row],[Prior Price ($)]])/PricingDataTable[[#This Row],[Prior Price ($)]]</f>
        <v>-1.2820140149491133E-3</v>
      </c>
      <c r="L1424" s="9">
        <f>(PricingDataTable[[#This Row],[Vendor Price ($)]]-PricingDataTable[[#This Row],[Current Price ($)]])/PricingDataTable[[#This Row],[Current Price ($)]]</f>
        <v>-1</v>
      </c>
      <c r="M1424" t="str">
        <f t="shared" si="44"/>
        <v>VENDOR DIFFERENCE</v>
      </c>
      <c r="N1424" s="10" t="str">
        <f t="shared" si="45"/>
        <v>HIGH</v>
      </c>
    </row>
    <row r="1425" spans="1:14">
      <c r="A1425" s="4" t="s">
        <v>2866</v>
      </c>
      <c r="B1425" s="4" t="s">
        <v>2867</v>
      </c>
      <c r="C1425" s="4" t="s">
        <v>35</v>
      </c>
      <c r="D1425" s="4" t="s">
        <v>13</v>
      </c>
      <c r="E1425" s="5">
        <v>138.21639999999999</v>
      </c>
      <c r="F1425" s="5">
        <v>140.13390000000001</v>
      </c>
      <c r="G1425" s="5">
        <v>139.62389999999999</v>
      </c>
      <c r="H1425" s="4">
        <v>0</v>
      </c>
      <c r="I1425" s="6">
        <v>3806697</v>
      </c>
      <c r="J1425" s="7">
        <v>122.38</v>
      </c>
      <c r="K1425" s="9">
        <f>(PricingDataTable[[#This Row],[Current Price ($)]]-PricingDataTable[[#This Row],[Prior Price ($)]])/PricingDataTable[[#This Row],[Prior Price ($)]]</f>
        <v>1.3873172792809091E-2</v>
      </c>
      <c r="L1425" s="9">
        <f>(PricingDataTable[[#This Row],[Vendor Price ($)]]-PricingDataTable[[#This Row],[Current Price ($)]])/PricingDataTable[[#This Row],[Current Price ($)]]</f>
        <v>-3.6393763393441506E-3</v>
      </c>
      <c r="M1425" t="str">
        <f t="shared" si="44"/>
        <v>PASS</v>
      </c>
      <c r="N1425" s="10" t="str">
        <f t="shared" si="45"/>
        <v>NONE</v>
      </c>
    </row>
    <row r="1426" spans="1:14">
      <c r="A1426" s="4" t="s">
        <v>2868</v>
      </c>
      <c r="B1426" s="4" t="s">
        <v>2869</v>
      </c>
      <c r="C1426" s="4" t="s">
        <v>16</v>
      </c>
      <c r="D1426" s="4" t="s">
        <v>64</v>
      </c>
      <c r="E1426" s="5">
        <v>76.063599999999994</v>
      </c>
      <c r="F1426" s="5">
        <v>77.683199999999999</v>
      </c>
      <c r="G1426" s="5">
        <v>77.598399999999998</v>
      </c>
      <c r="H1426" s="4">
        <v>1</v>
      </c>
      <c r="I1426" s="6">
        <v>2274221</v>
      </c>
      <c r="J1426" s="7">
        <v>698.14</v>
      </c>
      <c r="K1426" s="9">
        <f>(PricingDataTable[[#This Row],[Current Price ($)]]-PricingDataTable[[#This Row],[Prior Price ($)]])/PricingDataTable[[#This Row],[Prior Price ($)]]</f>
        <v>2.1292707681466638E-2</v>
      </c>
      <c r="L1426" s="9">
        <f>(PricingDataTable[[#This Row],[Vendor Price ($)]]-PricingDataTable[[#This Row],[Current Price ($)]])/PricingDataTable[[#This Row],[Current Price ($)]]</f>
        <v>-1.091613115834586E-3</v>
      </c>
      <c r="M1426" t="str">
        <f t="shared" si="44"/>
        <v>PASS</v>
      </c>
      <c r="N1426" s="10" t="str">
        <f t="shared" si="45"/>
        <v>NONE</v>
      </c>
    </row>
    <row r="1427" spans="1:14">
      <c r="A1427" s="4" t="s">
        <v>2870</v>
      </c>
      <c r="B1427" s="4" t="s">
        <v>2871</v>
      </c>
      <c r="C1427" s="4" t="s">
        <v>19</v>
      </c>
      <c r="D1427" s="4" t="s">
        <v>13</v>
      </c>
      <c r="E1427" s="5">
        <v>180.32589999999999</v>
      </c>
      <c r="F1427" s="5">
        <v>179.54050000000001</v>
      </c>
      <c r="G1427" s="5">
        <v>179.51240000000001</v>
      </c>
      <c r="H1427" s="4">
        <v>0</v>
      </c>
      <c r="I1427" s="6">
        <v>1867001</v>
      </c>
      <c r="J1427" s="7">
        <v>659.12</v>
      </c>
      <c r="K1427" s="9">
        <f>(PricingDataTable[[#This Row],[Current Price ($)]]-PricingDataTable[[#This Row],[Prior Price ($)]])/PricingDataTable[[#This Row],[Prior Price ($)]]</f>
        <v>-4.3554475535681871E-3</v>
      </c>
      <c r="L1427" s="9">
        <f>(PricingDataTable[[#This Row],[Vendor Price ($)]]-PricingDataTable[[#This Row],[Current Price ($)]])/PricingDataTable[[#This Row],[Current Price ($)]]</f>
        <v>-1.5651064801532193E-4</v>
      </c>
      <c r="M1427" t="str">
        <f t="shared" si="44"/>
        <v>PASS</v>
      </c>
      <c r="N1427" s="10" t="str">
        <f t="shared" si="45"/>
        <v>NONE</v>
      </c>
    </row>
    <row r="1428" spans="1:14">
      <c r="A1428" s="4" t="s">
        <v>2872</v>
      </c>
      <c r="B1428" s="4" t="s">
        <v>2873</v>
      </c>
      <c r="C1428" s="4" t="s">
        <v>19</v>
      </c>
      <c r="D1428" s="4" t="s">
        <v>13</v>
      </c>
      <c r="E1428" s="5">
        <v>12.7622</v>
      </c>
      <c r="F1428" s="5">
        <v>10.772399999999999</v>
      </c>
      <c r="G1428" s="5">
        <v>10.7959</v>
      </c>
      <c r="H1428" s="4">
        <v>4</v>
      </c>
      <c r="I1428" s="6">
        <v>3516926</v>
      </c>
      <c r="J1428" s="7">
        <v>872.4</v>
      </c>
      <c r="K1428" s="9">
        <f>(PricingDataTable[[#This Row],[Current Price ($)]]-PricingDataTable[[#This Row],[Prior Price ($)]])/PricingDataTable[[#This Row],[Prior Price ($)]]</f>
        <v>-0.15591355722367622</v>
      </c>
      <c r="L1428" s="9">
        <f>(PricingDataTable[[#This Row],[Vendor Price ($)]]-PricingDataTable[[#This Row],[Current Price ($)]])/PricingDataTable[[#This Row],[Current Price ($)]]</f>
        <v>2.1815008726003768E-3</v>
      </c>
      <c r="M1428" t="str">
        <f t="shared" si="44"/>
        <v>STALE</v>
      </c>
      <c r="N1428" s="10" t="str">
        <f t="shared" si="45"/>
        <v>HIGH</v>
      </c>
    </row>
    <row r="1429" spans="1:14">
      <c r="A1429" s="4" t="s">
        <v>2874</v>
      </c>
      <c r="B1429" s="4" t="s">
        <v>2875</v>
      </c>
      <c r="C1429" s="4" t="s">
        <v>19</v>
      </c>
      <c r="D1429" s="4" t="s">
        <v>13</v>
      </c>
      <c r="E1429" s="5">
        <v>98.461500000000001</v>
      </c>
      <c r="F1429" s="5">
        <v>98.628900000000002</v>
      </c>
      <c r="G1429" s="5">
        <v>98.701800000000006</v>
      </c>
      <c r="H1429" s="4">
        <v>0</v>
      </c>
      <c r="I1429" s="6">
        <v>293344</v>
      </c>
      <c r="J1429" s="7">
        <v>651.79999999999995</v>
      </c>
      <c r="K1429" s="9">
        <f>(PricingDataTable[[#This Row],[Current Price ($)]]-PricingDataTable[[#This Row],[Prior Price ($)]])/PricingDataTable[[#This Row],[Prior Price ($)]]</f>
        <v>1.7001569141238012E-3</v>
      </c>
      <c r="L1429" s="9">
        <f>(PricingDataTable[[#This Row],[Vendor Price ($)]]-PricingDataTable[[#This Row],[Current Price ($)]])/PricingDataTable[[#This Row],[Current Price ($)]]</f>
        <v>7.3913426997567833E-4</v>
      </c>
      <c r="M1429" t="str">
        <f t="shared" si="44"/>
        <v>PASS</v>
      </c>
      <c r="N1429" s="10" t="str">
        <f t="shared" si="45"/>
        <v>NONE</v>
      </c>
    </row>
    <row r="1430" spans="1:14">
      <c r="A1430" s="4" t="s">
        <v>2876</v>
      </c>
      <c r="B1430" s="4" t="s">
        <v>2877</v>
      </c>
      <c r="C1430" s="4" t="s">
        <v>16</v>
      </c>
      <c r="D1430" s="4" t="s">
        <v>13</v>
      </c>
      <c r="E1430" s="5">
        <v>112.8981</v>
      </c>
      <c r="F1430" s="5">
        <v>113.321</v>
      </c>
      <c r="G1430" s="5">
        <v>113.36799999999999</v>
      </c>
      <c r="H1430" s="4">
        <v>1</v>
      </c>
      <c r="I1430" s="6">
        <v>1339494</v>
      </c>
      <c r="J1430" s="7">
        <v>243.8</v>
      </c>
      <c r="K1430" s="9">
        <f>(PricingDataTable[[#This Row],[Current Price ($)]]-PricingDataTable[[#This Row],[Prior Price ($)]])/PricingDataTable[[#This Row],[Prior Price ($)]]</f>
        <v>3.7458557761379375E-3</v>
      </c>
      <c r="L1430" s="9">
        <f>(PricingDataTable[[#This Row],[Vendor Price ($)]]-PricingDataTable[[#This Row],[Current Price ($)]])/PricingDataTable[[#This Row],[Current Price ($)]]</f>
        <v>4.1475101702241461E-4</v>
      </c>
      <c r="M1430" t="str">
        <f t="shared" si="44"/>
        <v>PASS</v>
      </c>
      <c r="N1430" s="10" t="str">
        <f t="shared" si="45"/>
        <v>NONE</v>
      </c>
    </row>
    <row r="1431" spans="1:14">
      <c r="A1431" s="4" t="s">
        <v>2878</v>
      </c>
      <c r="B1431" s="4" t="s">
        <v>2879</v>
      </c>
      <c r="C1431" s="4" t="s">
        <v>12</v>
      </c>
      <c r="D1431" s="4" t="s">
        <v>13</v>
      </c>
      <c r="E1431" s="5">
        <v>99.136099999999999</v>
      </c>
      <c r="F1431" s="5">
        <v>98.7316</v>
      </c>
      <c r="G1431" s="5">
        <v>98.641499999999994</v>
      </c>
      <c r="H1431" s="4">
        <v>1</v>
      </c>
      <c r="I1431" s="6">
        <v>4928314</v>
      </c>
      <c r="J1431" s="7">
        <v>657.22</v>
      </c>
      <c r="K1431" s="9">
        <f>(PricingDataTable[[#This Row],[Current Price ($)]]-PricingDataTable[[#This Row],[Prior Price ($)]])/PricingDataTable[[#This Row],[Prior Price ($)]]</f>
        <v>-4.0802492734735253E-3</v>
      </c>
      <c r="L1431" s="9">
        <f>(PricingDataTable[[#This Row],[Vendor Price ($)]]-PricingDataTable[[#This Row],[Current Price ($)]])/PricingDataTable[[#This Row],[Current Price ($)]]</f>
        <v>-9.1257510260146432E-4</v>
      </c>
      <c r="M1431" t="str">
        <f t="shared" si="44"/>
        <v>PASS</v>
      </c>
      <c r="N1431" s="10" t="str">
        <f t="shared" si="45"/>
        <v>NONE</v>
      </c>
    </row>
    <row r="1432" spans="1:14">
      <c r="A1432" s="4" t="s">
        <v>2880</v>
      </c>
      <c r="B1432" s="4" t="s">
        <v>2881</v>
      </c>
      <c r="C1432" s="4" t="s">
        <v>19</v>
      </c>
      <c r="D1432" s="4" t="s">
        <v>13</v>
      </c>
      <c r="E1432" s="5">
        <v>95.469700000000003</v>
      </c>
      <c r="F1432" s="5">
        <v>96.539299999999997</v>
      </c>
      <c r="G1432" s="5">
        <v>96.418899999999994</v>
      </c>
      <c r="H1432" s="4">
        <v>5</v>
      </c>
      <c r="I1432" s="6">
        <v>1557272</v>
      </c>
      <c r="J1432" s="7">
        <v>260.79000000000002</v>
      </c>
      <c r="K1432" s="9">
        <f>(PricingDataTable[[#This Row],[Current Price ($)]]-PricingDataTable[[#This Row],[Prior Price ($)]])/PricingDataTable[[#This Row],[Prior Price ($)]]</f>
        <v>1.120355463565921E-2</v>
      </c>
      <c r="L1432" s="9">
        <f>(PricingDataTable[[#This Row],[Vendor Price ($)]]-PricingDataTable[[#This Row],[Current Price ($)]])/PricingDataTable[[#This Row],[Current Price ($)]]</f>
        <v>-1.2471604828293101E-3</v>
      </c>
      <c r="M1432" t="str">
        <f t="shared" si="44"/>
        <v>STALE</v>
      </c>
      <c r="N1432" s="10" t="str">
        <f t="shared" si="45"/>
        <v>MEDIUM</v>
      </c>
    </row>
    <row r="1433" spans="1:14">
      <c r="A1433" s="4" t="s">
        <v>2882</v>
      </c>
      <c r="B1433" s="4" t="s">
        <v>2883</v>
      </c>
      <c r="C1433" s="4" t="s">
        <v>19</v>
      </c>
      <c r="D1433" s="4" t="s">
        <v>13</v>
      </c>
      <c r="E1433" s="5">
        <v>190.48070000000001</v>
      </c>
      <c r="F1433" s="5">
        <v>190.03800000000001</v>
      </c>
      <c r="G1433" s="5">
        <v>189.93190000000001</v>
      </c>
      <c r="H1433" s="4">
        <v>0</v>
      </c>
      <c r="I1433" s="6">
        <v>101656</v>
      </c>
      <c r="J1433" s="7">
        <v>134.55000000000001</v>
      </c>
      <c r="K1433" s="9">
        <f>(PricingDataTable[[#This Row],[Current Price ($)]]-PricingDataTable[[#This Row],[Prior Price ($)]])/PricingDataTable[[#This Row],[Prior Price ($)]]</f>
        <v>-2.3241199764595681E-3</v>
      </c>
      <c r="L1433" s="9">
        <f>(PricingDataTable[[#This Row],[Vendor Price ($)]]-PricingDataTable[[#This Row],[Current Price ($)]])/PricingDataTable[[#This Row],[Current Price ($)]]</f>
        <v>-5.5830939075341703E-4</v>
      </c>
      <c r="M1433" t="str">
        <f t="shared" si="44"/>
        <v>PASS</v>
      </c>
      <c r="N1433" s="10" t="str">
        <f t="shared" si="45"/>
        <v>NONE</v>
      </c>
    </row>
    <row r="1434" spans="1:14">
      <c r="A1434" s="4" t="s">
        <v>2884</v>
      </c>
      <c r="B1434" s="4" t="s">
        <v>2885</v>
      </c>
      <c r="C1434" s="4" t="s">
        <v>12</v>
      </c>
      <c r="D1434" s="4" t="s">
        <v>13</v>
      </c>
      <c r="E1434" s="5">
        <v>121.71250000000001</v>
      </c>
      <c r="F1434" s="5">
        <v>121.9393</v>
      </c>
      <c r="G1434" s="5">
        <v>122.01900000000001</v>
      </c>
      <c r="H1434" s="4">
        <v>0</v>
      </c>
      <c r="I1434" s="6">
        <v>1138008</v>
      </c>
      <c r="J1434" s="7">
        <v>63.26</v>
      </c>
      <c r="K1434" s="9">
        <f>(PricingDataTable[[#This Row],[Current Price ($)]]-PricingDataTable[[#This Row],[Prior Price ($)]])/PricingDataTable[[#This Row],[Prior Price ($)]]</f>
        <v>1.8634076204169434E-3</v>
      </c>
      <c r="L1434" s="9">
        <f>(PricingDataTable[[#This Row],[Vendor Price ($)]]-PricingDataTable[[#This Row],[Current Price ($)]])/PricingDataTable[[#This Row],[Current Price ($)]]</f>
        <v>6.536038832435691E-4</v>
      </c>
      <c r="M1434" t="str">
        <f t="shared" si="44"/>
        <v>PASS</v>
      </c>
      <c r="N1434" s="10" t="str">
        <f t="shared" si="45"/>
        <v>NONE</v>
      </c>
    </row>
    <row r="1435" spans="1:14">
      <c r="A1435" s="4" t="s">
        <v>2886</v>
      </c>
      <c r="B1435" s="4" t="s">
        <v>2887</v>
      </c>
      <c r="C1435" s="4" t="s">
        <v>16</v>
      </c>
      <c r="D1435" s="4" t="s">
        <v>13</v>
      </c>
      <c r="E1435" s="5">
        <v>76.558899999999994</v>
      </c>
      <c r="F1435" s="5">
        <v>76.005099999999999</v>
      </c>
      <c r="G1435" s="5">
        <v>76.224800000000002</v>
      </c>
      <c r="H1435" s="4">
        <v>0</v>
      </c>
      <c r="I1435" s="6">
        <v>4724506</v>
      </c>
      <c r="J1435" s="7">
        <v>869.13</v>
      </c>
      <c r="K1435" s="9">
        <f>(PricingDataTable[[#This Row],[Current Price ($)]]-PricingDataTable[[#This Row],[Prior Price ($)]])/PricingDataTable[[#This Row],[Prior Price ($)]]</f>
        <v>-7.233646251448172E-3</v>
      </c>
      <c r="L1435" s="9">
        <f>(PricingDataTable[[#This Row],[Vendor Price ($)]]-PricingDataTable[[#This Row],[Current Price ($)]])/PricingDataTable[[#This Row],[Current Price ($)]]</f>
        <v>2.8905954995125738E-3</v>
      </c>
      <c r="M1435" t="str">
        <f t="shared" si="44"/>
        <v>PASS</v>
      </c>
      <c r="N1435" s="10" t="str">
        <f t="shared" si="45"/>
        <v>NONE</v>
      </c>
    </row>
    <row r="1436" spans="1:14">
      <c r="A1436" s="4" t="s">
        <v>2888</v>
      </c>
      <c r="B1436" s="4" t="s">
        <v>2889</v>
      </c>
      <c r="C1436" s="4" t="s">
        <v>19</v>
      </c>
      <c r="D1436" s="4" t="s">
        <v>13</v>
      </c>
      <c r="E1436" s="5">
        <v>72.811199999999999</v>
      </c>
      <c r="F1436" s="5">
        <v>73.039599999999993</v>
      </c>
      <c r="G1436" s="5">
        <v>72.725399999999993</v>
      </c>
      <c r="H1436" s="4">
        <v>0</v>
      </c>
      <c r="I1436" s="6">
        <v>4273453</v>
      </c>
      <c r="J1436" s="7">
        <v>425.46</v>
      </c>
      <c r="K1436" s="9">
        <f>(PricingDataTable[[#This Row],[Current Price ($)]]-PricingDataTable[[#This Row],[Prior Price ($)]])/PricingDataTable[[#This Row],[Prior Price ($)]]</f>
        <v>3.1368800404332508E-3</v>
      </c>
      <c r="L1436" s="9">
        <f>(PricingDataTable[[#This Row],[Vendor Price ($)]]-PricingDataTable[[#This Row],[Current Price ($)]])/PricingDataTable[[#This Row],[Current Price ($)]]</f>
        <v>-4.3017760228697809E-3</v>
      </c>
      <c r="M1436" t="str">
        <f t="shared" si="44"/>
        <v>PASS</v>
      </c>
      <c r="N1436" s="10" t="str">
        <f t="shared" si="45"/>
        <v>NONE</v>
      </c>
    </row>
    <row r="1437" spans="1:14">
      <c r="A1437" s="4" t="s">
        <v>2890</v>
      </c>
      <c r="B1437" s="4" t="s">
        <v>2891</v>
      </c>
      <c r="C1437" s="4" t="s">
        <v>16</v>
      </c>
      <c r="D1437" s="4" t="s">
        <v>13</v>
      </c>
      <c r="E1437" s="5">
        <v>76.247600000000006</v>
      </c>
      <c r="F1437" s="5">
        <v>76.6036</v>
      </c>
      <c r="G1437" s="5">
        <v>76.424300000000002</v>
      </c>
      <c r="H1437" s="4">
        <v>1</v>
      </c>
      <c r="I1437" s="6">
        <v>931794</v>
      </c>
      <c r="J1437" s="7">
        <v>512.62</v>
      </c>
      <c r="K1437" s="9">
        <f>(PricingDataTable[[#This Row],[Current Price ($)]]-PricingDataTable[[#This Row],[Prior Price ($)]])/PricingDataTable[[#This Row],[Prior Price ($)]]</f>
        <v>4.6689994176865174E-3</v>
      </c>
      <c r="L1437" s="9">
        <f>(PricingDataTable[[#This Row],[Vendor Price ($)]]-PricingDataTable[[#This Row],[Current Price ($)]])/PricingDataTable[[#This Row],[Current Price ($)]]</f>
        <v>-2.3406210674171684E-3</v>
      </c>
      <c r="M1437" t="str">
        <f t="shared" si="44"/>
        <v>PASS</v>
      </c>
      <c r="N1437" s="10" t="str">
        <f t="shared" si="45"/>
        <v>NONE</v>
      </c>
    </row>
    <row r="1438" spans="1:14">
      <c r="A1438" s="4" t="s">
        <v>2892</v>
      </c>
      <c r="B1438" s="4" t="s">
        <v>2893</v>
      </c>
      <c r="C1438" s="4" t="s">
        <v>16</v>
      </c>
      <c r="D1438" s="4" t="s">
        <v>13</v>
      </c>
      <c r="E1438" s="5">
        <v>87.841800000000006</v>
      </c>
      <c r="F1438" s="5">
        <v>87.852999999999994</v>
      </c>
      <c r="G1438" s="5">
        <v>87.940600000000003</v>
      </c>
      <c r="H1438" s="4">
        <v>1</v>
      </c>
      <c r="I1438" s="6">
        <v>1106154</v>
      </c>
      <c r="J1438" s="7">
        <v>165.46</v>
      </c>
      <c r="K1438" s="9">
        <f>(PricingDataTable[[#This Row],[Current Price ($)]]-PricingDataTable[[#This Row],[Prior Price ($)]])/PricingDataTable[[#This Row],[Prior Price ($)]]</f>
        <v>1.2750194098923415E-4</v>
      </c>
      <c r="L1438" s="9">
        <f>(PricingDataTable[[#This Row],[Vendor Price ($)]]-PricingDataTable[[#This Row],[Current Price ($)]])/PricingDataTable[[#This Row],[Current Price ($)]]</f>
        <v>9.9712018940740794E-4</v>
      </c>
      <c r="M1438" t="str">
        <f t="shared" si="44"/>
        <v>PASS</v>
      </c>
      <c r="N1438" s="10" t="str">
        <f t="shared" si="45"/>
        <v>NONE</v>
      </c>
    </row>
    <row r="1439" spans="1:14">
      <c r="A1439" s="4" t="s">
        <v>2894</v>
      </c>
      <c r="B1439" s="4" t="s">
        <v>2895</v>
      </c>
      <c r="C1439" s="4" t="s">
        <v>12</v>
      </c>
      <c r="D1439" s="4" t="s">
        <v>13</v>
      </c>
      <c r="E1439" s="5">
        <v>92.116100000000003</v>
      </c>
      <c r="F1439" s="5">
        <v>92.44</v>
      </c>
      <c r="G1439" s="5">
        <v>92.8001</v>
      </c>
      <c r="H1439" s="4">
        <v>1</v>
      </c>
      <c r="I1439" s="6">
        <v>4894419</v>
      </c>
      <c r="J1439" s="7">
        <v>244.58</v>
      </c>
      <c r="K1439" s="9">
        <f>(PricingDataTable[[#This Row],[Current Price ($)]]-PricingDataTable[[#This Row],[Prior Price ($)]])/PricingDataTable[[#This Row],[Prior Price ($)]]</f>
        <v>3.5162148636339874E-3</v>
      </c>
      <c r="L1439" s="9">
        <f>(PricingDataTable[[#This Row],[Vendor Price ($)]]-PricingDataTable[[#This Row],[Current Price ($)]])/PricingDataTable[[#This Row],[Current Price ($)]]</f>
        <v>3.8954997836434741E-3</v>
      </c>
      <c r="M1439" t="str">
        <f t="shared" si="44"/>
        <v>PASS</v>
      </c>
      <c r="N1439" s="10" t="str">
        <f t="shared" si="45"/>
        <v>NONE</v>
      </c>
    </row>
    <row r="1440" spans="1:14">
      <c r="A1440" s="4" t="s">
        <v>2896</v>
      </c>
      <c r="B1440" s="4" t="s">
        <v>2897</v>
      </c>
      <c r="C1440" s="4" t="s">
        <v>39</v>
      </c>
      <c r="D1440" s="4" t="s">
        <v>13</v>
      </c>
      <c r="E1440" s="5">
        <v>69.660700000000006</v>
      </c>
      <c r="F1440" s="5">
        <v>69.237099999999998</v>
      </c>
      <c r="G1440" s="5">
        <v>69.141800000000003</v>
      </c>
      <c r="H1440" s="4">
        <v>0</v>
      </c>
      <c r="I1440" s="6">
        <v>3946370</v>
      </c>
      <c r="J1440" s="7">
        <v>368.2</v>
      </c>
      <c r="K1440" s="9">
        <f>(PricingDataTable[[#This Row],[Current Price ($)]]-PricingDataTable[[#This Row],[Prior Price ($)]])/PricingDataTable[[#This Row],[Prior Price ($)]]</f>
        <v>-6.0809035797803855E-3</v>
      </c>
      <c r="L1440" s="9">
        <f>(PricingDataTable[[#This Row],[Vendor Price ($)]]-PricingDataTable[[#This Row],[Current Price ($)]])/PricingDataTable[[#This Row],[Current Price ($)]]</f>
        <v>-1.3764296887072772E-3</v>
      </c>
      <c r="M1440" t="str">
        <f t="shared" si="44"/>
        <v>PASS</v>
      </c>
      <c r="N1440" s="10" t="str">
        <f t="shared" si="45"/>
        <v>NONE</v>
      </c>
    </row>
    <row r="1441" spans="1:14">
      <c r="A1441" s="4" t="s">
        <v>2898</v>
      </c>
      <c r="B1441" s="4" t="s">
        <v>2899</v>
      </c>
      <c r="C1441" s="4" t="s">
        <v>12</v>
      </c>
      <c r="D1441" s="4" t="s">
        <v>13</v>
      </c>
      <c r="E1441" s="5">
        <v>102.8596</v>
      </c>
      <c r="F1441" s="5">
        <v>104.68380000000001</v>
      </c>
      <c r="G1441" s="5">
        <v>104.5968</v>
      </c>
      <c r="H1441" s="4">
        <v>1</v>
      </c>
      <c r="I1441" s="6">
        <v>3207670</v>
      </c>
      <c r="J1441" s="7">
        <v>33.54</v>
      </c>
      <c r="K1441" s="9">
        <f>(PricingDataTable[[#This Row],[Current Price ($)]]-PricingDataTable[[#This Row],[Prior Price ($)]])/PricingDataTable[[#This Row],[Prior Price ($)]]</f>
        <v>1.7734854111818486E-2</v>
      </c>
      <c r="L1441" s="9">
        <f>(PricingDataTable[[#This Row],[Vendor Price ($)]]-PricingDataTable[[#This Row],[Current Price ($)]])/PricingDataTable[[#This Row],[Current Price ($)]]</f>
        <v>-8.3107414900876063E-4</v>
      </c>
      <c r="M1441" t="str">
        <f t="shared" si="44"/>
        <v>PASS</v>
      </c>
      <c r="N1441" s="10" t="str">
        <f t="shared" si="45"/>
        <v>NONE</v>
      </c>
    </row>
    <row r="1442" spans="1:14">
      <c r="A1442" s="4" t="s">
        <v>2900</v>
      </c>
      <c r="B1442" s="4" t="s">
        <v>2901</v>
      </c>
      <c r="C1442" s="4" t="s">
        <v>12</v>
      </c>
      <c r="D1442" s="4" t="s">
        <v>13</v>
      </c>
      <c r="E1442" s="5">
        <v>122.75409999999999</v>
      </c>
      <c r="F1442" s="5">
        <v>119.5149</v>
      </c>
      <c r="G1442" s="5">
        <v>119.32810000000001</v>
      </c>
      <c r="H1442" s="4">
        <v>0</v>
      </c>
      <c r="I1442" s="6">
        <v>2396247</v>
      </c>
      <c r="J1442" s="7">
        <v>659.31</v>
      </c>
      <c r="K1442" s="9">
        <f>(PricingDataTable[[#This Row],[Current Price ($)]]-PricingDataTable[[#This Row],[Prior Price ($)]])/PricingDataTable[[#This Row],[Prior Price ($)]]</f>
        <v>-2.6387713322813634E-2</v>
      </c>
      <c r="L1442" s="9">
        <f>(PricingDataTable[[#This Row],[Vendor Price ($)]]-PricingDataTable[[#This Row],[Current Price ($)]])/PricingDataTable[[#This Row],[Current Price ($)]]</f>
        <v>-1.5629850336651831E-3</v>
      </c>
      <c r="M1442" t="str">
        <f t="shared" si="44"/>
        <v>PASS</v>
      </c>
      <c r="N1442" s="10" t="str">
        <f t="shared" si="45"/>
        <v>NONE</v>
      </c>
    </row>
    <row r="1443" spans="1:14">
      <c r="A1443" s="4" t="s">
        <v>2902</v>
      </c>
      <c r="B1443" s="4" t="s">
        <v>2903</v>
      </c>
      <c r="C1443" s="4" t="s">
        <v>19</v>
      </c>
      <c r="D1443" s="4" t="s">
        <v>13</v>
      </c>
      <c r="E1443" s="5">
        <v>278.57799999999997</v>
      </c>
      <c r="F1443" s="5">
        <v>281.94400000000002</v>
      </c>
      <c r="G1443" s="5">
        <v>281.39069999999998</v>
      </c>
      <c r="H1443" s="4">
        <v>0</v>
      </c>
      <c r="I1443" s="6">
        <v>4409372</v>
      </c>
      <c r="J1443" s="7">
        <v>242.46</v>
      </c>
      <c r="K1443" s="9">
        <f>(PricingDataTable[[#This Row],[Current Price ($)]]-PricingDataTable[[#This Row],[Prior Price ($)]])/PricingDataTable[[#This Row],[Prior Price ($)]]</f>
        <v>1.2082791893114469E-2</v>
      </c>
      <c r="L1443" s="9">
        <f>(PricingDataTable[[#This Row],[Vendor Price ($)]]-PricingDataTable[[#This Row],[Current Price ($)]])/PricingDataTable[[#This Row],[Current Price ($)]]</f>
        <v>-1.9624464432654557E-3</v>
      </c>
      <c r="M1443" t="str">
        <f t="shared" si="44"/>
        <v>PASS</v>
      </c>
      <c r="N1443" s="10" t="str">
        <f t="shared" si="45"/>
        <v>NONE</v>
      </c>
    </row>
    <row r="1444" spans="1:14">
      <c r="A1444" s="4" t="s">
        <v>2904</v>
      </c>
      <c r="B1444" s="4" t="s">
        <v>2905</v>
      </c>
      <c r="C1444" s="4" t="s">
        <v>19</v>
      </c>
      <c r="D1444" s="4" t="s">
        <v>32</v>
      </c>
      <c r="E1444" s="5">
        <v>157.90610000000001</v>
      </c>
      <c r="F1444" s="5">
        <v>155.0539</v>
      </c>
      <c r="G1444" s="5">
        <v>153.99019999999999</v>
      </c>
      <c r="H1444" s="4">
        <v>0</v>
      </c>
      <c r="I1444" s="6">
        <v>1096799</v>
      </c>
      <c r="J1444" s="7">
        <v>77.36</v>
      </c>
      <c r="K1444" s="9">
        <f>(PricingDataTable[[#This Row],[Current Price ($)]]-PricingDataTable[[#This Row],[Prior Price ($)]])/PricingDataTable[[#This Row],[Prior Price ($)]]</f>
        <v>-1.8062633425814521E-2</v>
      </c>
      <c r="L1444" s="9">
        <f>(PricingDataTable[[#This Row],[Vendor Price ($)]]-PricingDataTable[[#This Row],[Current Price ($)]])/PricingDataTable[[#This Row],[Current Price ($)]]</f>
        <v>-6.8601950676507421E-3</v>
      </c>
      <c r="M1444" t="str">
        <f t="shared" si="44"/>
        <v>PASS</v>
      </c>
      <c r="N1444" s="10" t="str">
        <f t="shared" si="45"/>
        <v>NONE</v>
      </c>
    </row>
    <row r="1445" spans="1:14">
      <c r="A1445" s="4" t="s">
        <v>2906</v>
      </c>
      <c r="B1445" s="4" t="s">
        <v>2907</v>
      </c>
      <c r="C1445" s="4" t="s">
        <v>19</v>
      </c>
      <c r="D1445" s="4" t="s">
        <v>13</v>
      </c>
      <c r="E1445" s="5">
        <v>256.3261</v>
      </c>
      <c r="F1445" s="5">
        <v>250.6891</v>
      </c>
      <c r="G1445" s="5">
        <v>250.43440000000001</v>
      </c>
      <c r="H1445" s="4">
        <v>0</v>
      </c>
      <c r="I1445" s="6">
        <v>1656747</v>
      </c>
      <c r="J1445" s="7">
        <v>706.92</v>
      </c>
      <c r="K1445" s="9">
        <f>(PricingDataTable[[#This Row],[Current Price ($)]]-PricingDataTable[[#This Row],[Prior Price ($)]])/PricingDataTable[[#This Row],[Prior Price ($)]]</f>
        <v>-2.1991517836068977E-2</v>
      </c>
      <c r="L1445" s="9">
        <f>(PricingDataTable[[#This Row],[Vendor Price ($)]]-PricingDataTable[[#This Row],[Current Price ($)]])/PricingDataTable[[#This Row],[Current Price ($)]]</f>
        <v>-1.0159994989809508E-3</v>
      </c>
      <c r="M1445" t="str">
        <f t="shared" si="44"/>
        <v>PASS</v>
      </c>
      <c r="N1445" s="10" t="str">
        <f t="shared" si="45"/>
        <v>NONE</v>
      </c>
    </row>
    <row r="1446" spans="1:14">
      <c r="A1446" s="4" t="s">
        <v>2908</v>
      </c>
      <c r="B1446" s="4" t="s">
        <v>2909</v>
      </c>
      <c r="C1446" s="4" t="s">
        <v>16</v>
      </c>
      <c r="D1446" s="4" t="s">
        <v>13</v>
      </c>
      <c r="E1446" s="5">
        <v>88.521000000000001</v>
      </c>
      <c r="F1446" s="5">
        <v>88.802800000000005</v>
      </c>
      <c r="G1446" s="5">
        <v>88.777199999999993</v>
      </c>
      <c r="H1446" s="4">
        <v>4</v>
      </c>
      <c r="I1446" s="6">
        <v>1573794</v>
      </c>
      <c r="J1446" s="7">
        <v>133.4</v>
      </c>
      <c r="K1446" s="9">
        <f>(PricingDataTable[[#This Row],[Current Price ($)]]-PricingDataTable[[#This Row],[Prior Price ($)]])/PricingDataTable[[#This Row],[Prior Price ($)]]</f>
        <v>3.183425401882085E-3</v>
      </c>
      <c r="L1446" s="9">
        <f>(PricingDataTable[[#This Row],[Vendor Price ($)]]-PricingDataTable[[#This Row],[Current Price ($)]])/PricingDataTable[[#This Row],[Current Price ($)]]</f>
        <v>-2.8827919840378218E-4</v>
      </c>
      <c r="M1446" t="str">
        <f t="shared" si="44"/>
        <v>STALE</v>
      </c>
      <c r="N1446" s="10" t="str">
        <f t="shared" si="45"/>
        <v>LOW</v>
      </c>
    </row>
    <row r="1447" spans="1:14">
      <c r="A1447" s="4" t="s">
        <v>2910</v>
      </c>
      <c r="B1447" s="4" t="s">
        <v>2911</v>
      </c>
      <c r="C1447" s="4" t="s">
        <v>19</v>
      </c>
      <c r="D1447" s="4" t="s">
        <v>13</v>
      </c>
      <c r="E1447" s="5">
        <v>262.27030000000002</v>
      </c>
      <c r="F1447" s="5">
        <v>254.84119999999999</v>
      </c>
      <c r="G1447" s="5">
        <v>261.34289999999999</v>
      </c>
      <c r="H1447" s="4">
        <v>0</v>
      </c>
      <c r="I1447" s="6">
        <v>153452</v>
      </c>
      <c r="J1447" s="7">
        <v>493.78</v>
      </c>
      <c r="K1447" s="9">
        <f>(PricingDataTable[[#This Row],[Current Price ($)]]-PricingDataTable[[#This Row],[Prior Price ($)]])/PricingDataTable[[#This Row],[Prior Price ($)]]</f>
        <v>-2.8326120037228893E-2</v>
      </c>
      <c r="L1447" s="9">
        <f>(PricingDataTable[[#This Row],[Vendor Price ($)]]-PricingDataTable[[#This Row],[Current Price ($)]])/PricingDataTable[[#This Row],[Current Price ($)]]</f>
        <v>2.5512750685524947E-2</v>
      </c>
      <c r="M1447" t="str">
        <f t="shared" si="44"/>
        <v>VENDOR DIFFERENCE</v>
      </c>
      <c r="N1447" s="10" t="str">
        <f t="shared" si="45"/>
        <v>LOW</v>
      </c>
    </row>
    <row r="1448" spans="1:14">
      <c r="A1448" s="4" t="s">
        <v>2912</v>
      </c>
      <c r="B1448" s="4" t="s">
        <v>2913</v>
      </c>
      <c r="C1448" s="4" t="s">
        <v>39</v>
      </c>
      <c r="D1448" s="4" t="s">
        <v>32</v>
      </c>
      <c r="E1448" s="5">
        <v>347.9699</v>
      </c>
      <c r="F1448" s="5">
        <v>342.60340000000002</v>
      </c>
      <c r="G1448" s="5">
        <v>330.48759999999999</v>
      </c>
      <c r="H1448" s="4">
        <v>0</v>
      </c>
      <c r="I1448" s="6">
        <v>775648</v>
      </c>
      <c r="J1448" s="7">
        <v>346.16</v>
      </c>
      <c r="K1448" s="9">
        <f>(PricingDataTable[[#This Row],[Current Price ($)]]-PricingDataTable[[#This Row],[Prior Price ($)]])/PricingDataTable[[#This Row],[Prior Price ($)]]</f>
        <v>-1.5422310952757619E-2</v>
      </c>
      <c r="L1448" s="9">
        <f>(PricingDataTable[[#This Row],[Vendor Price ($)]]-PricingDataTable[[#This Row],[Current Price ($)]])/PricingDataTable[[#This Row],[Current Price ($)]]</f>
        <v>-3.5363922249458224E-2</v>
      </c>
      <c r="M1448" t="str">
        <f t="shared" si="44"/>
        <v>VENDOR DIFFERENCE</v>
      </c>
      <c r="N1448" s="10" t="str">
        <f t="shared" si="45"/>
        <v>MEDIUM</v>
      </c>
    </row>
    <row r="1449" spans="1:14">
      <c r="A1449" s="4" t="s">
        <v>2914</v>
      </c>
      <c r="B1449" s="4" t="s">
        <v>2915</v>
      </c>
      <c r="C1449" s="4" t="s">
        <v>39</v>
      </c>
      <c r="D1449" s="4" t="s">
        <v>13</v>
      </c>
      <c r="E1449" s="5">
        <v>177.1095</v>
      </c>
      <c r="F1449" s="5">
        <v>180.31049999999999</v>
      </c>
      <c r="G1449" s="5">
        <v>179.95079999999999</v>
      </c>
      <c r="H1449" s="4">
        <v>1</v>
      </c>
      <c r="I1449" s="6">
        <v>376217</v>
      </c>
      <c r="J1449" s="7">
        <v>349.51</v>
      </c>
      <c r="K1449" s="9">
        <f>(PricingDataTable[[#This Row],[Current Price ($)]]-PricingDataTable[[#This Row],[Prior Price ($)]])/PricingDataTable[[#This Row],[Prior Price ($)]]</f>
        <v>1.8073564659151505E-2</v>
      </c>
      <c r="L1449" s="9">
        <f>(PricingDataTable[[#This Row],[Vendor Price ($)]]-PricingDataTable[[#This Row],[Current Price ($)]])/PricingDataTable[[#This Row],[Current Price ($)]]</f>
        <v>-1.9948921443842908E-3</v>
      </c>
      <c r="M1449" t="str">
        <f t="shared" si="44"/>
        <v>PASS</v>
      </c>
      <c r="N1449" s="10" t="str">
        <f t="shared" si="45"/>
        <v>NONE</v>
      </c>
    </row>
    <row r="1450" spans="1:14">
      <c r="A1450" s="4" t="s">
        <v>2916</v>
      </c>
      <c r="B1450" s="4" t="s">
        <v>2917</v>
      </c>
      <c r="C1450" s="4" t="s">
        <v>19</v>
      </c>
      <c r="D1450" s="4" t="s">
        <v>237</v>
      </c>
      <c r="E1450" s="5">
        <v>333.22660000000002</v>
      </c>
      <c r="F1450" s="5">
        <v>340.74</v>
      </c>
      <c r="G1450" s="5">
        <v>340.01839999999999</v>
      </c>
      <c r="H1450" s="4">
        <v>0</v>
      </c>
      <c r="I1450" s="6">
        <v>4945970</v>
      </c>
      <c r="J1450" s="7">
        <v>463.64</v>
      </c>
      <c r="K1450" s="9">
        <f>(PricingDataTable[[#This Row],[Current Price ($)]]-PricingDataTable[[#This Row],[Prior Price ($)]])/PricingDataTable[[#This Row],[Prior Price ($)]]</f>
        <v>2.2547419683782717E-2</v>
      </c>
      <c r="L1450" s="9">
        <f>(PricingDataTable[[#This Row],[Vendor Price ($)]]-PricingDataTable[[#This Row],[Current Price ($)]])/PricingDataTable[[#This Row],[Current Price ($)]]</f>
        <v>-2.1177437342255784E-3</v>
      </c>
      <c r="M1450" t="str">
        <f t="shared" si="44"/>
        <v>PASS</v>
      </c>
      <c r="N1450" s="10" t="str">
        <f t="shared" si="45"/>
        <v>NONE</v>
      </c>
    </row>
    <row r="1451" spans="1:14">
      <c r="A1451" s="4" t="s">
        <v>2918</v>
      </c>
      <c r="B1451" s="4" t="s">
        <v>2919</v>
      </c>
      <c r="C1451" s="4" t="s">
        <v>19</v>
      </c>
      <c r="D1451" s="4" t="s">
        <v>13</v>
      </c>
      <c r="E1451" s="5">
        <v>41.0991</v>
      </c>
      <c r="F1451" s="5">
        <v>41.720399999999998</v>
      </c>
      <c r="G1451" s="5">
        <v>41.453899999999997</v>
      </c>
      <c r="H1451" s="4">
        <v>2</v>
      </c>
      <c r="I1451" s="6">
        <v>4659160</v>
      </c>
      <c r="J1451" s="7">
        <v>581.26</v>
      </c>
      <c r="K1451" s="9">
        <f>(PricingDataTable[[#This Row],[Current Price ($)]]-PricingDataTable[[#This Row],[Prior Price ($)]])/PricingDataTable[[#This Row],[Prior Price ($)]]</f>
        <v>1.5117119352978483E-2</v>
      </c>
      <c r="L1451" s="9">
        <f>(PricingDataTable[[#This Row],[Vendor Price ($)]]-PricingDataTable[[#This Row],[Current Price ($)]])/PricingDataTable[[#This Row],[Current Price ($)]]</f>
        <v>-6.3877623416841792E-3</v>
      </c>
      <c r="M1451" t="str">
        <f t="shared" si="44"/>
        <v>PASS</v>
      </c>
      <c r="N1451" s="10" t="str">
        <f t="shared" si="45"/>
        <v>NONE</v>
      </c>
    </row>
    <row r="1452" spans="1:14">
      <c r="A1452" s="4" t="s">
        <v>2920</v>
      </c>
      <c r="B1452" s="4" t="s">
        <v>2921</v>
      </c>
      <c r="C1452" s="4" t="s">
        <v>19</v>
      </c>
      <c r="D1452" s="4" t="s">
        <v>13</v>
      </c>
      <c r="E1452" s="5">
        <v>204.07919999999999</v>
      </c>
      <c r="F1452" s="5">
        <v>242.6806</v>
      </c>
      <c r="G1452" s="5">
        <v>242.28980000000001</v>
      </c>
      <c r="H1452" s="4">
        <v>0</v>
      </c>
      <c r="I1452" s="6">
        <v>2330802</v>
      </c>
      <c r="J1452" s="7">
        <v>371.7</v>
      </c>
      <c r="K1452" s="9">
        <f>(PricingDataTable[[#This Row],[Current Price ($)]]-PricingDataTable[[#This Row],[Prior Price ($)]])/PricingDataTable[[#This Row],[Prior Price ($)]]</f>
        <v>0.1891491146574468</v>
      </c>
      <c r="L1452" s="9">
        <f>(PricingDataTable[[#This Row],[Vendor Price ($)]]-PricingDataTable[[#This Row],[Current Price ($)]])/PricingDataTable[[#This Row],[Current Price ($)]]</f>
        <v>-1.6103470982022645E-3</v>
      </c>
      <c r="M1452" t="str">
        <f t="shared" si="44"/>
        <v>LARGE MOVE</v>
      </c>
      <c r="N1452" s="10" t="str">
        <f t="shared" si="45"/>
        <v>HIGH</v>
      </c>
    </row>
    <row r="1453" spans="1:14">
      <c r="A1453" s="4" t="s">
        <v>2922</v>
      </c>
      <c r="B1453" s="4" t="s">
        <v>2923</v>
      </c>
      <c r="C1453" s="4" t="s">
        <v>19</v>
      </c>
      <c r="D1453" s="4" t="s">
        <v>36</v>
      </c>
      <c r="E1453" s="5">
        <v>215.66569999999999</v>
      </c>
      <c r="F1453" s="5">
        <v>215.6574</v>
      </c>
      <c r="G1453" s="5">
        <v>216.512</v>
      </c>
      <c r="H1453" s="4">
        <v>0</v>
      </c>
      <c r="I1453" s="6">
        <v>492238</v>
      </c>
      <c r="J1453" s="7">
        <v>495.57</v>
      </c>
      <c r="K1453" s="9">
        <f>(PricingDataTable[[#This Row],[Current Price ($)]]-PricingDataTable[[#This Row],[Prior Price ($)]])/PricingDataTable[[#This Row],[Prior Price ($)]]</f>
        <v>-3.8485489347593589E-5</v>
      </c>
      <c r="L1453" s="9">
        <f>(PricingDataTable[[#This Row],[Vendor Price ($)]]-PricingDataTable[[#This Row],[Current Price ($)]])/PricingDataTable[[#This Row],[Current Price ($)]]</f>
        <v>3.9627668700448256E-3</v>
      </c>
      <c r="M1453" t="str">
        <f t="shared" si="44"/>
        <v>PASS</v>
      </c>
      <c r="N1453" s="10" t="str">
        <f t="shared" si="45"/>
        <v>NONE</v>
      </c>
    </row>
    <row r="1454" spans="1:14">
      <c r="A1454" s="4" t="s">
        <v>2924</v>
      </c>
      <c r="B1454" s="4" t="s">
        <v>2925</v>
      </c>
      <c r="C1454" s="4" t="s">
        <v>39</v>
      </c>
      <c r="D1454" s="4" t="s">
        <v>13</v>
      </c>
      <c r="E1454" s="5">
        <v>192.36359999999999</v>
      </c>
      <c r="F1454" s="5">
        <v>194.66669999999999</v>
      </c>
      <c r="G1454" s="5">
        <v>195.04470000000001</v>
      </c>
      <c r="H1454" s="4">
        <v>0</v>
      </c>
      <c r="I1454" s="6">
        <v>10467</v>
      </c>
      <c r="J1454" s="7">
        <v>134.53</v>
      </c>
      <c r="K1454" s="9">
        <f>(PricingDataTable[[#This Row],[Current Price ($)]]-PricingDataTable[[#This Row],[Prior Price ($)]])/PricingDataTable[[#This Row],[Prior Price ($)]]</f>
        <v>1.1972639314298551E-2</v>
      </c>
      <c r="L1454" s="9">
        <f>(PricingDataTable[[#This Row],[Vendor Price ($)]]-PricingDataTable[[#This Row],[Current Price ($)]])/PricingDataTable[[#This Row],[Current Price ($)]]</f>
        <v>1.9417804894212227E-3</v>
      </c>
      <c r="M1454" t="str">
        <f t="shared" si="44"/>
        <v>PASS</v>
      </c>
      <c r="N1454" s="10" t="str">
        <f t="shared" si="45"/>
        <v>NONE</v>
      </c>
    </row>
    <row r="1455" spans="1:14">
      <c r="A1455" s="4" t="s">
        <v>2926</v>
      </c>
      <c r="B1455" s="4" t="s">
        <v>2927</v>
      </c>
      <c r="C1455" s="4" t="s">
        <v>19</v>
      </c>
      <c r="D1455" s="4" t="s">
        <v>13</v>
      </c>
      <c r="E1455" s="5">
        <v>311.43700000000001</v>
      </c>
      <c r="F1455" s="5">
        <v>305.72750000000002</v>
      </c>
      <c r="G1455" s="5">
        <v>305.755</v>
      </c>
      <c r="H1455" s="4">
        <v>1</v>
      </c>
      <c r="I1455" s="6">
        <v>3453632</v>
      </c>
      <c r="J1455" s="7">
        <v>280.55</v>
      </c>
      <c r="K1455" s="9">
        <f>(PricingDataTable[[#This Row],[Current Price ($)]]-PricingDataTable[[#This Row],[Prior Price ($)]])/PricingDataTable[[#This Row],[Prior Price ($)]]</f>
        <v>-1.8332760718861252E-2</v>
      </c>
      <c r="L1455" s="9">
        <f>(PricingDataTable[[#This Row],[Vendor Price ($)]]-PricingDataTable[[#This Row],[Current Price ($)]])/PricingDataTable[[#This Row],[Current Price ($)]]</f>
        <v>8.9949383028922777E-5</v>
      </c>
      <c r="M1455" t="str">
        <f t="shared" si="44"/>
        <v>PASS</v>
      </c>
      <c r="N1455" s="10" t="str">
        <f t="shared" si="45"/>
        <v>NONE</v>
      </c>
    </row>
    <row r="1456" spans="1:14">
      <c r="A1456" s="4" t="s">
        <v>2928</v>
      </c>
      <c r="B1456" s="4" t="s">
        <v>2929</v>
      </c>
      <c r="C1456" s="4" t="s">
        <v>35</v>
      </c>
      <c r="D1456" s="4" t="s">
        <v>13</v>
      </c>
      <c r="E1456" s="5">
        <v>54.449300000000001</v>
      </c>
      <c r="F1456" s="5">
        <v>54.606299999999997</v>
      </c>
      <c r="G1456" s="5">
        <v>54.667900000000003</v>
      </c>
      <c r="H1456" s="4">
        <v>0</v>
      </c>
      <c r="I1456" s="6">
        <v>3513082</v>
      </c>
      <c r="J1456" s="7">
        <v>844.45</v>
      </c>
      <c r="K1456" s="9">
        <f>(PricingDataTable[[#This Row],[Current Price ($)]]-PricingDataTable[[#This Row],[Prior Price ($)]])/PricingDataTable[[#This Row],[Prior Price ($)]]</f>
        <v>2.8834163157285121E-3</v>
      </c>
      <c r="L1456" s="9">
        <f>(PricingDataTable[[#This Row],[Vendor Price ($)]]-PricingDataTable[[#This Row],[Current Price ($)]])/PricingDataTable[[#This Row],[Current Price ($)]]</f>
        <v>1.1280749657091884E-3</v>
      </c>
      <c r="M1456" t="str">
        <f t="shared" si="44"/>
        <v>PASS</v>
      </c>
      <c r="N1456" s="10" t="str">
        <f t="shared" si="45"/>
        <v>NONE</v>
      </c>
    </row>
    <row r="1457" spans="1:14">
      <c r="A1457" s="4" t="s">
        <v>2930</v>
      </c>
      <c r="B1457" s="4" t="s">
        <v>2931</v>
      </c>
      <c r="C1457" s="4" t="s">
        <v>39</v>
      </c>
      <c r="D1457" s="4" t="s">
        <v>237</v>
      </c>
      <c r="E1457" s="5">
        <v>126.3154</v>
      </c>
      <c r="F1457" s="5">
        <v>128.54470000000001</v>
      </c>
      <c r="G1457" s="5">
        <v>128.6088</v>
      </c>
      <c r="H1457" s="4">
        <v>0</v>
      </c>
      <c r="I1457" s="6">
        <v>465572</v>
      </c>
      <c r="J1457" s="7">
        <v>238.2</v>
      </c>
      <c r="K1457" s="9">
        <f>(PricingDataTable[[#This Row],[Current Price ($)]]-PricingDataTable[[#This Row],[Prior Price ($)]])/PricingDataTable[[#This Row],[Prior Price ($)]]</f>
        <v>1.7648679416761608E-2</v>
      </c>
      <c r="L1457" s="9">
        <f>(PricingDataTable[[#This Row],[Vendor Price ($)]]-PricingDataTable[[#This Row],[Current Price ($)]])/PricingDataTable[[#This Row],[Current Price ($)]]</f>
        <v>4.9865922126696995E-4</v>
      </c>
      <c r="M1457" t="str">
        <f t="shared" si="44"/>
        <v>PASS</v>
      </c>
      <c r="N1457" s="10" t="str">
        <f t="shared" si="45"/>
        <v>NONE</v>
      </c>
    </row>
    <row r="1458" spans="1:14">
      <c r="A1458" s="4" t="s">
        <v>2932</v>
      </c>
      <c r="B1458" s="4" t="s">
        <v>2933</v>
      </c>
      <c r="C1458" s="4" t="s">
        <v>19</v>
      </c>
      <c r="D1458" s="4" t="s">
        <v>13</v>
      </c>
      <c r="E1458" s="5">
        <v>90.867599999999996</v>
      </c>
      <c r="F1458" s="5">
        <v>91.156000000000006</v>
      </c>
      <c r="G1458" s="5">
        <v>91.247299999999996</v>
      </c>
      <c r="H1458" s="4">
        <v>2</v>
      </c>
      <c r="I1458" s="6">
        <v>4764037</v>
      </c>
      <c r="J1458" s="7">
        <v>661.56</v>
      </c>
      <c r="K1458" s="9">
        <f>(PricingDataTable[[#This Row],[Current Price ($)]]-PricingDataTable[[#This Row],[Prior Price ($)]])/PricingDataTable[[#This Row],[Prior Price ($)]]</f>
        <v>3.1738485444758086E-3</v>
      </c>
      <c r="L1458" s="9">
        <f>(PricingDataTable[[#This Row],[Vendor Price ($)]]-PricingDataTable[[#This Row],[Current Price ($)]])/PricingDataTable[[#This Row],[Current Price ($)]]</f>
        <v>1.0015797095088608E-3</v>
      </c>
      <c r="M1458" t="str">
        <f t="shared" si="44"/>
        <v>PASS</v>
      </c>
      <c r="N1458" s="10" t="str">
        <f t="shared" si="45"/>
        <v>NONE</v>
      </c>
    </row>
    <row r="1459" spans="1:14">
      <c r="A1459" s="4" t="s">
        <v>2934</v>
      </c>
      <c r="B1459" s="4" t="s">
        <v>2935</v>
      </c>
      <c r="C1459" s="4" t="s">
        <v>19</v>
      </c>
      <c r="D1459" s="4" t="s">
        <v>13</v>
      </c>
      <c r="E1459" s="5">
        <v>18.042899999999999</v>
      </c>
      <c r="F1459" s="5">
        <v>18.475200000000001</v>
      </c>
      <c r="G1459" s="5">
        <v>19.6252</v>
      </c>
      <c r="H1459" s="4">
        <v>0</v>
      </c>
      <c r="I1459" s="6">
        <v>2169864</v>
      </c>
      <c r="J1459" s="7">
        <v>280.99</v>
      </c>
      <c r="K1459" s="9">
        <f>(PricingDataTable[[#This Row],[Current Price ($)]]-PricingDataTable[[#This Row],[Prior Price ($)]])/PricingDataTable[[#This Row],[Prior Price ($)]]</f>
        <v>2.3959563041418035E-2</v>
      </c>
      <c r="L1459" s="9">
        <f>(PricingDataTable[[#This Row],[Vendor Price ($)]]-PricingDataTable[[#This Row],[Current Price ($)]])/PricingDataTable[[#This Row],[Current Price ($)]]</f>
        <v>6.2245604919026504E-2</v>
      </c>
      <c r="M1459" t="str">
        <f t="shared" si="44"/>
        <v>VENDOR DIFFERENCE</v>
      </c>
      <c r="N1459" s="10" t="str">
        <f t="shared" si="45"/>
        <v>HIGH</v>
      </c>
    </row>
    <row r="1460" spans="1:14">
      <c r="A1460" s="4" t="s">
        <v>2936</v>
      </c>
      <c r="B1460" s="4" t="s">
        <v>2937</v>
      </c>
      <c r="C1460" s="4" t="s">
        <v>35</v>
      </c>
      <c r="D1460" s="4" t="s">
        <v>13</v>
      </c>
      <c r="E1460" s="5">
        <v>33.631399999999999</v>
      </c>
      <c r="F1460" s="5">
        <v>33.899099999999997</v>
      </c>
      <c r="G1460" s="5">
        <v>33.985300000000002</v>
      </c>
      <c r="H1460" s="4">
        <v>0</v>
      </c>
      <c r="I1460" s="6">
        <v>740141</v>
      </c>
      <c r="J1460" s="7">
        <v>299.74</v>
      </c>
      <c r="K1460" s="9">
        <f>(PricingDataTable[[#This Row],[Current Price ($)]]-PricingDataTable[[#This Row],[Prior Price ($)]])/PricingDataTable[[#This Row],[Prior Price ($)]]</f>
        <v>7.9598232604053895E-3</v>
      </c>
      <c r="L1460" s="9">
        <f>(PricingDataTable[[#This Row],[Vendor Price ($)]]-PricingDataTable[[#This Row],[Current Price ($)]])/PricingDataTable[[#This Row],[Current Price ($)]]</f>
        <v>2.5428403703934665E-3</v>
      </c>
      <c r="M1460" t="str">
        <f t="shared" si="44"/>
        <v>PASS</v>
      </c>
      <c r="N1460" s="10" t="str">
        <f t="shared" si="45"/>
        <v>NONE</v>
      </c>
    </row>
    <row r="1461" spans="1:14">
      <c r="A1461" s="4" t="s">
        <v>2938</v>
      </c>
      <c r="B1461" s="4" t="s">
        <v>2939</v>
      </c>
      <c r="C1461" s="4" t="s">
        <v>16</v>
      </c>
      <c r="D1461" s="4" t="s">
        <v>32</v>
      </c>
      <c r="E1461" s="5">
        <v>106.2961</v>
      </c>
      <c r="F1461" s="5">
        <v>106.874</v>
      </c>
      <c r="G1461" s="5">
        <v>107.3736</v>
      </c>
      <c r="H1461" s="4">
        <v>0</v>
      </c>
      <c r="I1461" s="6">
        <v>4121224</v>
      </c>
      <c r="J1461" s="7">
        <v>899.26</v>
      </c>
      <c r="K1461" s="9">
        <f>(PricingDataTable[[#This Row],[Current Price ($)]]-PricingDataTable[[#This Row],[Prior Price ($)]])/PricingDataTable[[#This Row],[Prior Price ($)]]</f>
        <v>5.4366999353692158E-3</v>
      </c>
      <c r="L1461" s="9">
        <f>(PricingDataTable[[#This Row],[Vendor Price ($)]]-PricingDataTable[[#This Row],[Current Price ($)]])/PricingDataTable[[#This Row],[Current Price ($)]]</f>
        <v>4.6746636225836122E-3</v>
      </c>
      <c r="M1461" t="str">
        <f t="shared" si="44"/>
        <v>PASS</v>
      </c>
      <c r="N1461" s="10" t="str">
        <f t="shared" si="45"/>
        <v>NONE</v>
      </c>
    </row>
    <row r="1462" spans="1:14">
      <c r="A1462" s="4" t="s">
        <v>2940</v>
      </c>
      <c r="B1462" s="4" t="s">
        <v>2941</v>
      </c>
      <c r="C1462" s="4" t="s">
        <v>19</v>
      </c>
      <c r="D1462" s="4" t="s">
        <v>13</v>
      </c>
      <c r="E1462" s="5">
        <v>42.732399999999998</v>
      </c>
      <c r="F1462" s="5"/>
      <c r="G1462" s="5">
        <v>42.106299999999997</v>
      </c>
      <c r="H1462" s="4">
        <v>0</v>
      </c>
      <c r="I1462" s="6">
        <v>3510001</v>
      </c>
      <c r="J1462" s="7">
        <v>633.29</v>
      </c>
      <c r="K1462" s="9">
        <f>(PricingDataTable[[#This Row],[Current Price ($)]]-PricingDataTable[[#This Row],[Prior Price ($)]])/PricingDataTable[[#This Row],[Prior Price ($)]]</f>
        <v>-1</v>
      </c>
      <c r="L1462" s="9" t="e">
        <f>(PricingDataTable[[#This Row],[Vendor Price ($)]]-PricingDataTable[[#This Row],[Current Price ($)]])/PricingDataTable[[#This Row],[Current Price ($)]]</f>
        <v>#DIV/0!</v>
      </c>
      <c r="M1462" t="str">
        <f t="shared" si="44"/>
        <v>MISSING</v>
      </c>
      <c r="N1462" s="10" t="str">
        <f t="shared" si="45"/>
        <v>HIGH</v>
      </c>
    </row>
    <row r="1463" spans="1:14">
      <c r="A1463" s="4" t="s">
        <v>2942</v>
      </c>
      <c r="B1463" s="4" t="s">
        <v>2943</v>
      </c>
      <c r="C1463" s="4" t="s">
        <v>35</v>
      </c>
      <c r="D1463" s="4" t="s">
        <v>32</v>
      </c>
      <c r="E1463" s="5">
        <v>171.5812</v>
      </c>
      <c r="F1463" s="5">
        <v>172.60319999999999</v>
      </c>
      <c r="G1463" s="5">
        <v>172.2758</v>
      </c>
      <c r="H1463" s="4">
        <v>2</v>
      </c>
      <c r="I1463" s="6">
        <v>4579314</v>
      </c>
      <c r="J1463" s="7">
        <v>397.91</v>
      </c>
      <c r="K1463" s="9">
        <f>(PricingDataTable[[#This Row],[Current Price ($)]]-PricingDataTable[[#This Row],[Prior Price ($)]])/PricingDataTable[[#This Row],[Prior Price ($)]]</f>
        <v>5.9563635176813744E-3</v>
      </c>
      <c r="L1463" s="9">
        <f>(PricingDataTable[[#This Row],[Vendor Price ($)]]-PricingDataTable[[#This Row],[Current Price ($)]])/PricingDataTable[[#This Row],[Current Price ($)]]</f>
        <v>-1.8968362116112741E-3</v>
      </c>
      <c r="M1463" t="str">
        <f t="shared" si="44"/>
        <v>PASS</v>
      </c>
      <c r="N1463" s="10" t="str">
        <f t="shared" si="45"/>
        <v>NONE</v>
      </c>
    </row>
    <row r="1464" spans="1:14">
      <c r="A1464" s="4" t="s">
        <v>2944</v>
      </c>
      <c r="B1464" s="4" t="s">
        <v>2945</v>
      </c>
      <c r="C1464" s="4" t="s">
        <v>19</v>
      </c>
      <c r="D1464" s="4" t="s">
        <v>13</v>
      </c>
      <c r="E1464" s="5">
        <v>35.537700000000001</v>
      </c>
      <c r="F1464" s="5">
        <v>35.618400000000001</v>
      </c>
      <c r="G1464" s="5">
        <v>39.839700000000001</v>
      </c>
      <c r="H1464" s="4">
        <v>0</v>
      </c>
      <c r="I1464" s="6">
        <v>4055823</v>
      </c>
      <c r="J1464" s="7">
        <v>894.08</v>
      </c>
      <c r="K1464" s="9">
        <f>(PricingDataTable[[#This Row],[Current Price ($)]]-PricingDataTable[[#This Row],[Prior Price ($)]])/PricingDataTable[[#This Row],[Prior Price ($)]]</f>
        <v>2.2708278813766847E-3</v>
      </c>
      <c r="L1464" s="9">
        <f>(PricingDataTable[[#This Row],[Vendor Price ($)]]-PricingDataTable[[#This Row],[Current Price ($)]])/PricingDataTable[[#This Row],[Current Price ($)]]</f>
        <v>0.11851458796577048</v>
      </c>
      <c r="M1464" t="str">
        <f t="shared" si="44"/>
        <v>VENDOR DIFFERENCE</v>
      </c>
      <c r="N1464" s="10" t="str">
        <f t="shared" si="45"/>
        <v>HIGH</v>
      </c>
    </row>
    <row r="1465" spans="1:14">
      <c r="A1465" s="4" t="s">
        <v>2946</v>
      </c>
      <c r="B1465" s="4" t="s">
        <v>2947</v>
      </c>
      <c r="C1465" s="4" t="s">
        <v>19</v>
      </c>
      <c r="D1465" s="4" t="s">
        <v>64</v>
      </c>
      <c r="E1465" s="5">
        <v>285.59969999999998</v>
      </c>
      <c r="F1465" s="5">
        <v>284.56</v>
      </c>
      <c r="G1465" s="5">
        <v>285.2441</v>
      </c>
      <c r="H1465" s="4">
        <v>0</v>
      </c>
      <c r="I1465" s="6">
        <v>729807</v>
      </c>
      <c r="J1465" s="7">
        <v>302.77999999999997</v>
      </c>
      <c r="K1465" s="9">
        <f>(PricingDataTable[[#This Row],[Current Price ($)]]-PricingDataTable[[#This Row],[Prior Price ($)]])/PricingDataTable[[#This Row],[Prior Price ($)]]</f>
        <v>-3.6404099864249932E-3</v>
      </c>
      <c r="L1465" s="9">
        <f>(PricingDataTable[[#This Row],[Vendor Price ($)]]-PricingDataTable[[#This Row],[Current Price ($)]])/PricingDataTable[[#This Row],[Current Price ($)]]</f>
        <v>2.4040624121450687E-3</v>
      </c>
      <c r="M1465" t="str">
        <f t="shared" si="44"/>
        <v>PASS</v>
      </c>
      <c r="N1465" s="10" t="str">
        <f t="shared" si="45"/>
        <v>NONE</v>
      </c>
    </row>
    <row r="1466" spans="1:14">
      <c r="A1466" s="4" t="s">
        <v>2948</v>
      </c>
      <c r="B1466" s="4" t="s">
        <v>2949</v>
      </c>
      <c r="C1466" s="4" t="s">
        <v>39</v>
      </c>
      <c r="D1466" s="4" t="s">
        <v>13</v>
      </c>
      <c r="E1466" s="5">
        <v>264.91379999999998</v>
      </c>
      <c r="F1466" s="5">
        <v>266.17860000000002</v>
      </c>
      <c r="G1466" s="5">
        <v>290.04739999999998</v>
      </c>
      <c r="H1466" s="4">
        <v>0</v>
      </c>
      <c r="I1466" s="6">
        <v>1038878</v>
      </c>
      <c r="J1466" s="7">
        <v>91.15</v>
      </c>
      <c r="K1466" s="9">
        <f>(PricingDataTable[[#This Row],[Current Price ($)]]-PricingDataTable[[#This Row],[Prior Price ($)]])/PricingDataTable[[#This Row],[Prior Price ($)]]</f>
        <v>4.7743832144646172E-3</v>
      </c>
      <c r="L1466" s="9">
        <f>(PricingDataTable[[#This Row],[Vendor Price ($)]]-PricingDataTable[[#This Row],[Current Price ($)]])/PricingDataTable[[#This Row],[Current Price ($)]]</f>
        <v>8.9672122402026169E-2</v>
      </c>
      <c r="M1466" t="str">
        <f t="shared" si="44"/>
        <v>VENDOR DIFFERENCE</v>
      </c>
      <c r="N1466" s="10" t="str">
        <f t="shared" si="45"/>
        <v>HIGH</v>
      </c>
    </row>
    <row r="1467" spans="1:14">
      <c r="A1467" s="4" t="s">
        <v>2950</v>
      </c>
      <c r="B1467" s="4" t="s">
        <v>2951</v>
      </c>
      <c r="C1467" s="4" t="s">
        <v>16</v>
      </c>
      <c r="D1467" s="4" t="s">
        <v>13</v>
      </c>
      <c r="E1467" s="5">
        <v>102.52160000000001</v>
      </c>
      <c r="F1467" s="5">
        <v>110.3704</v>
      </c>
      <c r="G1467" s="5">
        <v>110.2985</v>
      </c>
      <c r="H1467" s="4">
        <v>1</v>
      </c>
      <c r="I1467" s="6">
        <v>4217871</v>
      </c>
      <c r="J1467" s="7">
        <v>725.7</v>
      </c>
      <c r="K1467" s="9">
        <f>(PricingDataTable[[#This Row],[Current Price ($)]]-PricingDataTable[[#This Row],[Prior Price ($)]])/PricingDataTable[[#This Row],[Prior Price ($)]]</f>
        <v>7.6557525438541704E-2</v>
      </c>
      <c r="L1467" s="9">
        <f>(PricingDataTable[[#This Row],[Vendor Price ($)]]-PricingDataTable[[#This Row],[Current Price ($)]])/PricingDataTable[[#This Row],[Current Price ($)]]</f>
        <v>-6.5144277813616153E-4</v>
      </c>
      <c r="M1467" t="str">
        <f t="shared" si="44"/>
        <v>LARGE MOVE</v>
      </c>
      <c r="N1467" s="10" t="str">
        <f t="shared" si="45"/>
        <v>MEDIUM</v>
      </c>
    </row>
    <row r="1468" spans="1:14">
      <c r="A1468" s="4" t="s">
        <v>2952</v>
      </c>
      <c r="B1468" s="4" t="s">
        <v>2953</v>
      </c>
      <c r="C1468" s="4" t="s">
        <v>16</v>
      </c>
      <c r="D1468" s="4" t="s">
        <v>13</v>
      </c>
      <c r="E1468" s="5">
        <v>115.0685</v>
      </c>
      <c r="F1468" s="5">
        <v>110.83029999999999</v>
      </c>
      <c r="G1468" s="5">
        <v>110.58969999999999</v>
      </c>
      <c r="H1468" s="4">
        <v>0</v>
      </c>
      <c r="I1468" s="6">
        <v>367937</v>
      </c>
      <c r="J1468" s="7">
        <v>163.72999999999999</v>
      </c>
      <c r="K1468" s="9">
        <f>(PricingDataTable[[#This Row],[Current Price ($)]]-PricingDataTable[[#This Row],[Prior Price ($)]])/PricingDataTable[[#This Row],[Prior Price ($)]]</f>
        <v>-3.6831973998096838E-2</v>
      </c>
      <c r="L1468" s="9">
        <f>(PricingDataTable[[#This Row],[Vendor Price ($)]]-PricingDataTable[[#This Row],[Current Price ($)]])/PricingDataTable[[#This Row],[Current Price ($)]]</f>
        <v>-2.1708864814044587E-3</v>
      </c>
      <c r="M1468" t="str">
        <f t="shared" si="44"/>
        <v>PASS</v>
      </c>
      <c r="N1468" s="10" t="str">
        <f t="shared" si="45"/>
        <v>NONE</v>
      </c>
    </row>
    <row r="1469" spans="1:14">
      <c r="A1469" s="4" t="s">
        <v>2954</v>
      </c>
      <c r="B1469" s="4" t="s">
        <v>2955</v>
      </c>
      <c r="C1469" s="4" t="s">
        <v>19</v>
      </c>
      <c r="D1469" s="4" t="s">
        <v>13</v>
      </c>
      <c r="E1469" s="5">
        <v>103.4063</v>
      </c>
      <c r="F1469" s="5">
        <v>103.66289999999999</v>
      </c>
      <c r="G1469" s="5">
        <v>103.47369999999999</v>
      </c>
      <c r="H1469" s="4">
        <v>0</v>
      </c>
      <c r="I1469" s="6">
        <v>4429283</v>
      </c>
      <c r="J1469" s="7">
        <v>381.61</v>
      </c>
      <c r="K1469" s="9">
        <f>(PricingDataTable[[#This Row],[Current Price ($)]]-PricingDataTable[[#This Row],[Prior Price ($)]])/PricingDataTable[[#This Row],[Prior Price ($)]]</f>
        <v>2.481473565923853E-3</v>
      </c>
      <c r="L1469" s="9">
        <f>(PricingDataTable[[#This Row],[Vendor Price ($)]]-PricingDataTable[[#This Row],[Current Price ($)]])/PricingDataTable[[#This Row],[Current Price ($)]]</f>
        <v>-1.825146701471786E-3</v>
      </c>
      <c r="M1469" t="str">
        <f t="shared" si="44"/>
        <v>PASS</v>
      </c>
      <c r="N1469" s="10" t="str">
        <f t="shared" si="45"/>
        <v>NONE</v>
      </c>
    </row>
    <row r="1470" spans="1:14">
      <c r="A1470" s="4" t="s">
        <v>2956</v>
      </c>
      <c r="B1470" s="4" t="s">
        <v>2957</v>
      </c>
      <c r="C1470" s="4" t="s">
        <v>19</v>
      </c>
      <c r="D1470" s="4" t="s">
        <v>13</v>
      </c>
      <c r="E1470" s="5">
        <v>227.51609999999999</v>
      </c>
      <c r="F1470" s="5">
        <v>226.61670000000001</v>
      </c>
      <c r="G1470" s="5">
        <v>226.60939999999999</v>
      </c>
      <c r="H1470" s="4">
        <v>5</v>
      </c>
      <c r="I1470" s="6">
        <v>4621099</v>
      </c>
      <c r="J1470" s="7">
        <v>745.3</v>
      </c>
      <c r="K1470" s="9">
        <f>(PricingDataTable[[#This Row],[Current Price ($)]]-PricingDataTable[[#This Row],[Prior Price ($)]])/PricingDataTable[[#This Row],[Prior Price ($)]]</f>
        <v>-3.9531268336613799E-3</v>
      </c>
      <c r="L1470" s="9">
        <f>(PricingDataTable[[#This Row],[Vendor Price ($)]]-PricingDataTable[[#This Row],[Current Price ($)]])/PricingDataTable[[#This Row],[Current Price ($)]]</f>
        <v>-3.2212983420970128E-5</v>
      </c>
      <c r="M1470" t="str">
        <f t="shared" si="44"/>
        <v>STALE</v>
      </c>
      <c r="N1470" s="10" t="str">
        <f t="shared" si="45"/>
        <v>MEDIUM</v>
      </c>
    </row>
    <row r="1471" spans="1:14">
      <c r="A1471" s="4" t="s">
        <v>2958</v>
      </c>
      <c r="B1471" s="4" t="s">
        <v>2959</v>
      </c>
      <c r="C1471" s="4" t="s">
        <v>35</v>
      </c>
      <c r="D1471" s="4" t="s">
        <v>13</v>
      </c>
      <c r="E1471" s="5">
        <v>17.924800000000001</v>
      </c>
      <c r="F1471" s="5">
        <v>17.842199999999998</v>
      </c>
      <c r="G1471" s="5">
        <v>17.966899999999999</v>
      </c>
      <c r="H1471" s="4">
        <v>0</v>
      </c>
      <c r="I1471" s="6">
        <v>4164953</v>
      </c>
      <c r="J1471" s="7">
        <v>672.84</v>
      </c>
      <c r="K1471" s="9">
        <f>(PricingDataTable[[#This Row],[Current Price ($)]]-PricingDataTable[[#This Row],[Prior Price ($)]])/PricingDataTable[[#This Row],[Prior Price ($)]]</f>
        <v>-4.6081406766046423E-3</v>
      </c>
      <c r="L1471" s="9">
        <f>(PricingDataTable[[#This Row],[Vendor Price ($)]]-PricingDataTable[[#This Row],[Current Price ($)]])/PricingDataTable[[#This Row],[Current Price ($)]]</f>
        <v>6.9890484357310592E-3</v>
      </c>
      <c r="M1471" t="str">
        <f t="shared" si="44"/>
        <v>PASS</v>
      </c>
      <c r="N1471" s="10" t="str">
        <f t="shared" si="45"/>
        <v>NONE</v>
      </c>
    </row>
    <row r="1472" spans="1:14">
      <c r="A1472" s="4" t="s">
        <v>2960</v>
      </c>
      <c r="B1472" s="4" t="s">
        <v>2961</v>
      </c>
      <c r="C1472" s="4" t="s">
        <v>39</v>
      </c>
      <c r="D1472" s="4" t="s">
        <v>13</v>
      </c>
      <c r="E1472" s="5">
        <v>23.590800000000002</v>
      </c>
      <c r="F1472" s="5">
        <v>23.587900000000001</v>
      </c>
      <c r="G1472" s="5">
        <v>23.440899999999999</v>
      </c>
      <c r="H1472" s="4">
        <v>0</v>
      </c>
      <c r="I1472" s="6">
        <v>428219</v>
      </c>
      <c r="J1472" s="7">
        <v>649.64</v>
      </c>
      <c r="K1472" s="9">
        <f>(PricingDataTable[[#This Row],[Current Price ($)]]-PricingDataTable[[#This Row],[Prior Price ($)]])/PricingDataTable[[#This Row],[Prior Price ($)]]</f>
        <v>-1.2292927751497815E-4</v>
      </c>
      <c r="L1472" s="9">
        <f>(PricingDataTable[[#This Row],[Vendor Price ($)]]-PricingDataTable[[#This Row],[Current Price ($)]])/PricingDataTable[[#This Row],[Current Price ($)]]</f>
        <v>-6.2320087841648475E-3</v>
      </c>
      <c r="M1472" t="str">
        <f t="shared" si="44"/>
        <v>PASS</v>
      </c>
      <c r="N1472" s="10" t="str">
        <f t="shared" si="45"/>
        <v>NONE</v>
      </c>
    </row>
    <row r="1473" spans="1:14">
      <c r="A1473" s="4" t="s">
        <v>2962</v>
      </c>
      <c r="B1473" s="4" t="s">
        <v>2963</v>
      </c>
      <c r="C1473" s="4" t="s">
        <v>12</v>
      </c>
      <c r="D1473" s="4" t="s">
        <v>13</v>
      </c>
      <c r="E1473" s="5">
        <v>123.9091</v>
      </c>
      <c r="F1473" s="5">
        <v>122.1373</v>
      </c>
      <c r="G1473" s="5">
        <v>122.23009999999999</v>
      </c>
      <c r="H1473" s="4">
        <v>0</v>
      </c>
      <c r="I1473" s="6">
        <v>2859217</v>
      </c>
      <c r="J1473" s="7">
        <v>201.27</v>
      </c>
      <c r="K1473" s="9">
        <f>(PricingDataTable[[#This Row],[Current Price ($)]]-PricingDataTable[[#This Row],[Prior Price ($)]])/PricingDataTable[[#This Row],[Prior Price ($)]]</f>
        <v>-1.429919190761614E-2</v>
      </c>
      <c r="L1473" s="9">
        <f>(PricingDataTable[[#This Row],[Vendor Price ($)]]-PricingDataTable[[#This Row],[Current Price ($)]])/PricingDataTable[[#This Row],[Current Price ($)]]</f>
        <v>7.5980065057928156E-4</v>
      </c>
      <c r="M1473" t="str">
        <f t="shared" si="44"/>
        <v>PASS</v>
      </c>
      <c r="N1473" s="10" t="str">
        <f t="shared" si="45"/>
        <v>NONE</v>
      </c>
    </row>
    <row r="1474" spans="1:14">
      <c r="A1474" s="4" t="s">
        <v>2964</v>
      </c>
      <c r="B1474" s="4" t="s">
        <v>2965</v>
      </c>
      <c r="C1474" s="4" t="s">
        <v>12</v>
      </c>
      <c r="D1474" s="4" t="s">
        <v>13</v>
      </c>
      <c r="E1474" s="5">
        <v>121.13120000000001</v>
      </c>
      <c r="F1474" s="5">
        <v>119.0928</v>
      </c>
      <c r="G1474" s="5">
        <v>118.9012</v>
      </c>
      <c r="H1474" s="4">
        <v>0</v>
      </c>
      <c r="I1474" s="6">
        <v>472759</v>
      </c>
      <c r="J1474" s="7">
        <v>643.61</v>
      </c>
      <c r="K1474" s="9">
        <f>(PricingDataTable[[#This Row],[Current Price ($)]]-PricingDataTable[[#This Row],[Prior Price ($)]])/PricingDataTable[[#This Row],[Prior Price ($)]]</f>
        <v>-1.6828034395762692E-2</v>
      </c>
      <c r="L1474" s="9">
        <f>(PricingDataTable[[#This Row],[Vendor Price ($)]]-PricingDataTable[[#This Row],[Current Price ($)]])/PricingDataTable[[#This Row],[Current Price ($)]]</f>
        <v>-1.6088294170595872E-3</v>
      </c>
      <c r="M1474" t="str">
        <f t="shared" ref="M1474:M1537" si="46">IF(OR(F1474="",F1474=0),"MISSING",IF(H1474&gt;=3,"STALE",IF(ABS(K1474)&gt;=5%,"LARGE MOVE",IF(ABS(L1474)&gt;=2%,"VENDOR DIFFERENCE","PASS"))))</f>
        <v>PASS</v>
      </c>
      <c r="N1474" s="10" t="str">
        <f t="shared" ref="N1474:N1537" si="47">IF(M1474="PASS","NONE",IF(M1474="MISSING","HIGH",IF(OR(ABS(K1474)&gt;=10%,ABS(L1474)&gt;=5%),"HIGH",IF(OR(ABS(K1474)&gt;=7%,ABS(L1474)&gt;=3%,H1474&gt;=5),"MEDIUM","LOW"))))</f>
        <v>NONE</v>
      </c>
    </row>
    <row r="1475" spans="1:14">
      <c r="A1475" s="4" t="s">
        <v>2966</v>
      </c>
      <c r="B1475" s="4" t="s">
        <v>2967</v>
      </c>
      <c r="C1475" s="4" t="s">
        <v>35</v>
      </c>
      <c r="D1475" s="4" t="s">
        <v>13</v>
      </c>
      <c r="E1475" s="5">
        <v>6.8933</v>
      </c>
      <c r="F1475" s="5">
        <v>6.8785999999999996</v>
      </c>
      <c r="G1475" s="5">
        <v>6.8693</v>
      </c>
      <c r="H1475" s="4">
        <v>0</v>
      </c>
      <c r="I1475" s="6">
        <v>4934161</v>
      </c>
      <c r="J1475" s="7">
        <v>570.44000000000005</v>
      </c>
      <c r="K1475" s="9">
        <f>(PricingDataTable[[#This Row],[Current Price ($)]]-PricingDataTable[[#This Row],[Prior Price ($)]])/PricingDataTable[[#This Row],[Prior Price ($)]]</f>
        <v>-2.1325054763321454E-3</v>
      </c>
      <c r="L1475" s="9">
        <f>(PricingDataTable[[#This Row],[Vendor Price ($)]]-PricingDataTable[[#This Row],[Current Price ($)]])/PricingDataTable[[#This Row],[Current Price ($)]]</f>
        <v>-1.3520193062541276E-3</v>
      </c>
      <c r="M1475" t="str">
        <f t="shared" si="46"/>
        <v>PASS</v>
      </c>
      <c r="N1475" s="10" t="str">
        <f t="shared" si="47"/>
        <v>NONE</v>
      </c>
    </row>
    <row r="1476" spans="1:14">
      <c r="A1476" s="4" t="s">
        <v>2968</v>
      </c>
      <c r="B1476" s="4" t="s">
        <v>2969</v>
      </c>
      <c r="C1476" s="4" t="s">
        <v>16</v>
      </c>
      <c r="D1476" s="4" t="s">
        <v>32</v>
      </c>
      <c r="E1476" s="5">
        <v>101.77370000000001</v>
      </c>
      <c r="F1476" s="5">
        <v>99.455600000000004</v>
      </c>
      <c r="G1476" s="5">
        <v>99.508499999999998</v>
      </c>
      <c r="H1476" s="4">
        <v>0</v>
      </c>
      <c r="I1476" s="6">
        <v>1528239</v>
      </c>
      <c r="J1476" s="7">
        <v>718.48</v>
      </c>
      <c r="K1476" s="9">
        <f>(PricingDataTable[[#This Row],[Current Price ($)]]-PricingDataTable[[#This Row],[Prior Price ($)]])/PricingDataTable[[#This Row],[Prior Price ($)]]</f>
        <v>-2.2777004275171295E-2</v>
      </c>
      <c r="L1476" s="9">
        <f>(PricingDataTable[[#This Row],[Vendor Price ($)]]-PricingDataTable[[#This Row],[Current Price ($)]])/PricingDataTable[[#This Row],[Current Price ($)]]</f>
        <v>5.3189563986335555E-4</v>
      </c>
      <c r="M1476" t="str">
        <f t="shared" si="46"/>
        <v>PASS</v>
      </c>
      <c r="N1476" s="10" t="str">
        <f t="shared" si="47"/>
        <v>NONE</v>
      </c>
    </row>
    <row r="1477" spans="1:14">
      <c r="A1477" s="4" t="s">
        <v>2970</v>
      </c>
      <c r="B1477" s="4" t="s">
        <v>2971</v>
      </c>
      <c r="C1477" s="4" t="s">
        <v>12</v>
      </c>
      <c r="D1477" s="4" t="s">
        <v>13</v>
      </c>
      <c r="E1477" s="5">
        <v>93.316800000000001</v>
      </c>
      <c r="F1477" s="5">
        <v>91.972800000000007</v>
      </c>
      <c r="G1477" s="5">
        <v>100.56310000000001</v>
      </c>
      <c r="H1477" s="4">
        <v>0</v>
      </c>
      <c r="I1477" s="6">
        <v>3316692</v>
      </c>
      <c r="J1477" s="7">
        <v>867.62</v>
      </c>
      <c r="K1477" s="9">
        <f>(PricingDataTable[[#This Row],[Current Price ($)]]-PricingDataTable[[#This Row],[Prior Price ($)]])/PricingDataTable[[#This Row],[Prior Price ($)]]</f>
        <v>-1.4402551309088974E-2</v>
      </c>
      <c r="L1477" s="9">
        <f>(PricingDataTable[[#This Row],[Vendor Price ($)]]-PricingDataTable[[#This Row],[Current Price ($)]])/PricingDataTable[[#This Row],[Current Price ($)]]</f>
        <v>9.3400440130125412E-2</v>
      </c>
      <c r="M1477" t="str">
        <f t="shared" si="46"/>
        <v>VENDOR DIFFERENCE</v>
      </c>
      <c r="N1477" s="10" t="str">
        <f t="shared" si="47"/>
        <v>HIGH</v>
      </c>
    </row>
    <row r="1478" spans="1:14">
      <c r="A1478" s="4" t="s">
        <v>2972</v>
      </c>
      <c r="B1478" s="4" t="s">
        <v>2973</v>
      </c>
      <c r="C1478" s="4" t="s">
        <v>16</v>
      </c>
      <c r="D1478" s="4" t="s">
        <v>13</v>
      </c>
      <c r="E1478" s="5">
        <v>124.6657</v>
      </c>
      <c r="F1478" s="5">
        <v>122.6341</v>
      </c>
      <c r="G1478" s="5">
        <v>122.25920000000001</v>
      </c>
      <c r="H1478" s="4">
        <v>0</v>
      </c>
      <c r="I1478" s="6">
        <v>3712824</v>
      </c>
      <c r="J1478" s="7">
        <v>614.08000000000004</v>
      </c>
      <c r="K1478" s="9">
        <f>(PricingDataTable[[#This Row],[Current Price ($)]]-PricingDataTable[[#This Row],[Prior Price ($)]])/PricingDataTable[[#This Row],[Prior Price ($)]]</f>
        <v>-1.6296383046820396E-2</v>
      </c>
      <c r="L1478" s="9">
        <f>(PricingDataTable[[#This Row],[Vendor Price ($)]]-PricingDataTable[[#This Row],[Current Price ($)]])/PricingDataTable[[#This Row],[Current Price ($)]]</f>
        <v>-3.0570616166302575E-3</v>
      </c>
      <c r="M1478" t="str">
        <f t="shared" si="46"/>
        <v>PASS</v>
      </c>
      <c r="N1478" s="10" t="str">
        <f t="shared" si="47"/>
        <v>NONE</v>
      </c>
    </row>
    <row r="1479" spans="1:14">
      <c r="A1479" s="4" t="s">
        <v>2974</v>
      </c>
      <c r="B1479" s="4" t="s">
        <v>2975</v>
      </c>
      <c r="C1479" s="4" t="s">
        <v>16</v>
      </c>
      <c r="D1479" s="4" t="s">
        <v>13</v>
      </c>
      <c r="E1479" s="5">
        <v>87.295400000000001</v>
      </c>
      <c r="F1479" s="5">
        <v>88.6571</v>
      </c>
      <c r="G1479" s="5">
        <v>88.179400000000001</v>
      </c>
      <c r="H1479" s="4">
        <v>2</v>
      </c>
      <c r="I1479" s="6">
        <v>969381</v>
      </c>
      <c r="J1479" s="7">
        <v>754.89</v>
      </c>
      <c r="K1479" s="9">
        <f>(PricingDataTable[[#This Row],[Current Price ($)]]-PricingDataTable[[#This Row],[Prior Price ($)]])/PricingDataTable[[#This Row],[Prior Price ($)]]</f>
        <v>1.5598760072122918E-2</v>
      </c>
      <c r="L1479" s="9">
        <f>(PricingDataTable[[#This Row],[Vendor Price ($)]]-PricingDataTable[[#This Row],[Current Price ($)]])/PricingDataTable[[#This Row],[Current Price ($)]]</f>
        <v>-5.3881753407228374E-3</v>
      </c>
      <c r="M1479" t="str">
        <f t="shared" si="46"/>
        <v>PASS</v>
      </c>
      <c r="N1479" s="10" t="str">
        <f t="shared" si="47"/>
        <v>NONE</v>
      </c>
    </row>
    <row r="1480" spans="1:14">
      <c r="A1480" s="4" t="s">
        <v>2976</v>
      </c>
      <c r="B1480" s="4" t="s">
        <v>2977</v>
      </c>
      <c r="C1480" s="4" t="s">
        <v>16</v>
      </c>
      <c r="D1480" s="4" t="s">
        <v>13</v>
      </c>
      <c r="E1480" s="5">
        <v>121.38720000000001</v>
      </c>
      <c r="F1480" s="5">
        <v>121.6675</v>
      </c>
      <c r="G1480" s="5">
        <v>122.00749999999999</v>
      </c>
      <c r="H1480" s="4">
        <v>0</v>
      </c>
      <c r="I1480" s="6">
        <v>1314158</v>
      </c>
      <c r="J1480" s="7">
        <v>254.01</v>
      </c>
      <c r="K1480" s="9">
        <f>(PricingDataTable[[#This Row],[Current Price ($)]]-PricingDataTable[[#This Row],[Prior Price ($)]])/PricingDataTable[[#This Row],[Prior Price ($)]]</f>
        <v>2.3091396786481346E-3</v>
      </c>
      <c r="L1480" s="9">
        <f>(PricingDataTable[[#This Row],[Vendor Price ($)]]-PricingDataTable[[#This Row],[Current Price ($)]])/PricingDataTable[[#This Row],[Current Price ($)]]</f>
        <v>2.7945014075245172E-3</v>
      </c>
      <c r="M1480" t="str">
        <f t="shared" si="46"/>
        <v>PASS</v>
      </c>
      <c r="N1480" s="10" t="str">
        <f t="shared" si="47"/>
        <v>NONE</v>
      </c>
    </row>
    <row r="1481" spans="1:14">
      <c r="A1481" s="4" t="s">
        <v>2978</v>
      </c>
      <c r="B1481" s="4" t="s">
        <v>2979</v>
      </c>
      <c r="C1481" s="4" t="s">
        <v>12</v>
      </c>
      <c r="D1481" s="4" t="s">
        <v>64</v>
      </c>
      <c r="E1481" s="5">
        <v>103.8944</v>
      </c>
      <c r="F1481" s="5">
        <v>103.30629999999999</v>
      </c>
      <c r="G1481" s="5">
        <v>103.8978</v>
      </c>
      <c r="H1481" s="4">
        <v>0</v>
      </c>
      <c r="I1481" s="6">
        <v>626741</v>
      </c>
      <c r="J1481" s="7">
        <v>732.68</v>
      </c>
      <c r="K1481" s="9">
        <f>(PricingDataTable[[#This Row],[Current Price ($)]]-PricingDataTable[[#This Row],[Prior Price ($)]])/PricingDataTable[[#This Row],[Prior Price ($)]]</f>
        <v>-5.6605553331075722E-3</v>
      </c>
      <c r="L1481" s="9">
        <f>(PricingDataTable[[#This Row],[Vendor Price ($)]]-PricingDataTable[[#This Row],[Current Price ($)]])/PricingDataTable[[#This Row],[Current Price ($)]]</f>
        <v>5.7256914631538501E-3</v>
      </c>
      <c r="M1481" t="str">
        <f t="shared" si="46"/>
        <v>PASS</v>
      </c>
      <c r="N1481" s="10" t="str">
        <f t="shared" si="47"/>
        <v>NONE</v>
      </c>
    </row>
    <row r="1482" spans="1:14">
      <c r="A1482" s="4" t="s">
        <v>2980</v>
      </c>
      <c r="B1482" s="4" t="s">
        <v>2981</v>
      </c>
      <c r="C1482" s="4" t="s">
        <v>19</v>
      </c>
      <c r="D1482" s="4" t="s">
        <v>13</v>
      </c>
      <c r="E1482" s="5">
        <v>319.7645</v>
      </c>
      <c r="F1482" s="5">
        <v>315.38139999999999</v>
      </c>
      <c r="G1482" s="5">
        <v>316.43459999999999</v>
      </c>
      <c r="H1482" s="4">
        <v>5</v>
      </c>
      <c r="I1482" s="6">
        <v>2056779</v>
      </c>
      <c r="J1482" s="7">
        <v>208.13</v>
      </c>
      <c r="K1482" s="9">
        <f>(PricingDataTable[[#This Row],[Current Price ($)]]-PricingDataTable[[#This Row],[Prior Price ($)]])/PricingDataTable[[#This Row],[Prior Price ($)]]</f>
        <v>-1.3707275197840952E-2</v>
      </c>
      <c r="L1482" s="9">
        <f>(PricingDataTable[[#This Row],[Vendor Price ($)]]-PricingDataTable[[#This Row],[Current Price ($)]])/PricingDataTable[[#This Row],[Current Price ($)]]</f>
        <v>3.3394486802328987E-3</v>
      </c>
      <c r="M1482" t="str">
        <f t="shared" si="46"/>
        <v>STALE</v>
      </c>
      <c r="N1482" s="10" t="str">
        <f t="shared" si="47"/>
        <v>MEDIUM</v>
      </c>
    </row>
    <row r="1483" spans="1:14">
      <c r="A1483" s="4" t="s">
        <v>2982</v>
      </c>
      <c r="B1483" s="4" t="s">
        <v>2983</v>
      </c>
      <c r="C1483" s="4" t="s">
        <v>19</v>
      </c>
      <c r="D1483" s="4" t="s">
        <v>13</v>
      </c>
      <c r="E1483" s="5">
        <v>39.967599999999997</v>
      </c>
      <c r="F1483" s="5">
        <v>39.56</v>
      </c>
      <c r="G1483" s="5">
        <v>39.755299999999998</v>
      </c>
      <c r="H1483" s="4">
        <v>0</v>
      </c>
      <c r="I1483" s="6">
        <v>4116316</v>
      </c>
      <c r="J1483" s="7">
        <v>455.11</v>
      </c>
      <c r="K1483" s="9">
        <f>(PricingDataTable[[#This Row],[Current Price ($)]]-PricingDataTable[[#This Row],[Prior Price ($)]])/PricingDataTable[[#This Row],[Prior Price ($)]]</f>
        <v>-1.0198260591078652E-2</v>
      </c>
      <c r="L1483" s="9">
        <f>(PricingDataTable[[#This Row],[Vendor Price ($)]]-PricingDataTable[[#This Row],[Current Price ($)]])/PricingDataTable[[#This Row],[Current Price ($)]]</f>
        <v>4.936804853387159E-3</v>
      </c>
      <c r="M1483" t="str">
        <f t="shared" si="46"/>
        <v>PASS</v>
      </c>
      <c r="N1483" s="10" t="str">
        <f t="shared" si="47"/>
        <v>NONE</v>
      </c>
    </row>
    <row r="1484" spans="1:14">
      <c r="A1484" s="4" t="s">
        <v>2984</v>
      </c>
      <c r="B1484" s="4" t="s">
        <v>2985</v>
      </c>
      <c r="C1484" s="4" t="s">
        <v>39</v>
      </c>
      <c r="D1484" s="4" t="s">
        <v>13</v>
      </c>
      <c r="E1484" s="5">
        <v>169.58090000000001</v>
      </c>
      <c r="F1484" s="5">
        <v>167.8844</v>
      </c>
      <c r="G1484" s="5">
        <v>167.74270000000001</v>
      </c>
      <c r="H1484" s="4">
        <v>0</v>
      </c>
      <c r="I1484" s="6">
        <v>4133893</v>
      </c>
      <c r="J1484" s="7">
        <v>296.7</v>
      </c>
      <c r="K1484" s="9">
        <f>(PricingDataTable[[#This Row],[Current Price ($)]]-PricingDataTable[[#This Row],[Prior Price ($)]])/PricingDataTable[[#This Row],[Prior Price ($)]]</f>
        <v>-1.0004074751342955E-2</v>
      </c>
      <c r="L1484" s="9">
        <f>(PricingDataTable[[#This Row],[Vendor Price ($)]]-PricingDataTable[[#This Row],[Current Price ($)]])/PricingDataTable[[#This Row],[Current Price ($)]]</f>
        <v>-8.4403315614783717E-4</v>
      </c>
      <c r="M1484" t="str">
        <f t="shared" si="46"/>
        <v>PASS</v>
      </c>
      <c r="N1484" s="10" t="str">
        <f t="shared" si="47"/>
        <v>NONE</v>
      </c>
    </row>
    <row r="1485" spans="1:14">
      <c r="A1485" s="4" t="s">
        <v>2986</v>
      </c>
      <c r="B1485" s="4" t="s">
        <v>2987</v>
      </c>
      <c r="C1485" s="4" t="s">
        <v>19</v>
      </c>
      <c r="D1485" s="4" t="s">
        <v>13</v>
      </c>
      <c r="E1485" s="5">
        <v>200.47319999999999</v>
      </c>
      <c r="F1485" s="5">
        <v>198.27670000000001</v>
      </c>
      <c r="G1485" s="5">
        <v>198.25380000000001</v>
      </c>
      <c r="H1485" s="4">
        <v>3</v>
      </c>
      <c r="I1485" s="6">
        <v>3875360</v>
      </c>
      <c r="J1485" s="7">
        <v>144.87</v>
      </c>
      <c r="K1485" s="9">
        <f>(PricingDataTable[[#This Row],[Current Price ($)]]-PricingDataTable[[#This Row],[Prior Price ($)]])/PricingDataTable[[#This Row],[Prior Price ($)]]</f>
        <v>-1.0956576739434429E-2</v>
      </c>
      <c r="L1485" s="9">
        <f>(PricingDataTable[[#This Row],[Vendor Price ($)]]-PricingDataTable[[#This Row],[Current Price ($)]])/PricingDataTable[[#This Row],[Current Price ($)]]</f>
        <v>-1.1549516408127033E-4</v>
      </c>
      <c r="M1485" t="str">
        <f t="shared" si="46"/>
        <v>STALE</v>
      </c>
      <c r="N1485" s="10" t="str">
        <f t="shared" si="47"/>
        <v>LOW</v>
      </c>
    </row>
    <row r="1486" spans="1:14">
      <c r="A1486" s="4" t="s">
        <v>2988</v>
      </c>
      <c r="B1486" s="4" t="s">
        <v>2989</v>
      </c>
      <c r="C1486" s="4" t="s">
        <v>19</v>
      </c>
      <c r="D1486" s="4" t="s">
        <v>13</v>
      </c>
      <c r="E1486" s="5">
        <v>108.10980000000001</v>
      </c>
      <c r="F1486" s="5">
        <v>108.2411</v>
      </c>
      <c r="G1486" s="5">
        <v>107.61750000000001</v>
      </c>
      <c r="H1486" s="4">
        <v>1</v>
      </c>
      <c r="I1486" s="6">
        <v>543389</v>
      </c>
      <c r="J1486" s="7">
        <v>397.5</v>
      </c>
      <c r="K1486" s="9">
        <f>(PricingDataTable[[#This Row],[Current Price ($)]]-PricingDataTable[[#This Row],[Prior Price ($)]])/PricingDataTable[[#This Row],[Prior Price ($)]]</f>
        <v>1.2145059929811726E-3</v>
      </c>
      <c r="L1486" s="9">
        <f>(PricingDataTable[[#This Row],[Vendor Price ($)]]-PricingDataTable[[#This Row],[Current Price ($)]])/PricingDataTable[[#This Row],[Current Price ($)]]</f>
        <v>-5.7612127001665367E-3</v>
      </c>
      <c r="M1486" t="str">
        <f t="shared" si="46"/>
        <v>PASS</v>
      </c>
      <c r="N1486" s="10" t="str">
        <f t="shared" si="47"/>
        <v>NONE</v>
      </c>
    </row>
    <row r="1487" spans="1:14">
      <c r="A1487" s="4" t="s">
        <v>2990</v>
      </c>
      <c r="B1487" s="4" t="s">
        <v>2991</v>
      </c>
      <c r="C1487" s="4" t="s">
        <v>19</v>
      </c>
      <c r="D1487" s="4" t="s">
        <v>64</v>
      </c>
      <c r="E1487" s="5">
        <v>166.63509999999999</v>
      </c>
      <c r="F1487" s="5">
        <v>164.2997</v>
      </c>
      <c r="G1487" s="5">
        <v>164.98099999999999</v>
      </c>
      <c r="H1487" s="4">
        <v>5</v>
      </c>
      <c r="I1487" s="6">
        <v>514394</v>
      </c>
      <c r="J1487" s="7">
        <v>195.02</v>
      </c>
      <c r="K1487" s="9">
        <f>(PricingDataTable[[#This Row],[Current Price ($)]]-PricingDataTable[[#This Row],[Prior Price ($)]])/PricingDataTable[[#This Row],[Prior Price ($)]]</f>
        <v>-1.4015054451313036E-2</v>
      </c>
      <c r="L1487" s="9">
        <f>(PricingDataTable[[#This Row],[Vendor Price ($)]]-PricingDataTable[[#This Row],[Current Price ($)]])/PricingDataTable[[#This Row],[Current Price ($)]]</f>
        <v>4.1466904686983186E-3</v>
      </c>
      <c r="M1487" t="str">
        <f t="shared" si="46"/>
        <v>STALE</v>
      </c>
      <c r="N1487" s="10" t="str">
        <f t="shared" si="47"/>
        <v>MEDIUM</v>
      </c>
    </row>
    <row r="1488" spans="1:14">
      <c r="A1488" s="4" t="s">
        <v>2992</v>
      </c>
      <c r="B1488" s="4" t="s">
        <v>2993</v>
      </c>
      <c r="C1488" s="4" t="s">
        <v>19</v>
      </c>
      <c r="D1488" s="4" t="s">
        <v>13</v>
      </c>
      <c r="E1488" s="5">
        <v>13.4534</v>
      </c>
      <c r="F1488" s="5">
        <v>13.522</v>
      </c>
      <c r="G1488" s="5">
        <v>13.5623</v>
      </c>
      <c r="H1488" s="4">
        <v>0</v>
      </c>
      <c r="I1488" s="6">
        <v>1519907</v>
      </c>
      <c r="J1488" s="7">
        <v>345.11</v>
      </c>
      <c r="K1488" s="9">
        <f>(PricingDataTable[[#This Row],[Current Price ($)]]-PricingDataTable[[#This Row],[Prior Price ($)]])/PricingDataTable[[#This Row],[Prior Price ($)]]</f>
        <v>5.0990827597484642E-3</v>
      </c>
      <c r="L1488" s="9">
        <f>(PricingDataTable[[#This Row],[Vendor Price ($)]]-PricingDataTable[[#This Row],[Current Price ($)]])/PricingDataTable[[#This Row],[Current Price ($)]]</f>
        <v>2.980328353793834E-3</v>
      </c>
      <c r="M1488" t="str">
        <f t="shared" si="46"/>
        <v>PASS</v>
      </c>
      <c r="N1488" s="10" t="str">
        <f t="shared" si="47"/>
        <v>NONE</v>
      </c>
    </row>
    <row r="1489" spans="1:14">
      <c r="A1489" s="4" t="s">
        <v>2994</v>
      </c>
      <c r="B1489" s="4" t="s">
        <v>2995</v>
      </c>
      <c r="C1489" s="4" t="s">
        <v>19</v>
      </c>
      <c r="D1489" s="4" t="s">
        <v>13</v>
      </c>
      <c r="E1489" s="5">
        <v>265.09539999999998</v>
      </c>
      <c r="F1489" s="5">
        <v>263.81720000000001</v>
      </c>
      <c r="G1489" s="5">
        <v>263.07909999999998</v>
      </c>
      <c r="H1489" s="4">
        <v>0</v>
      </c>
      <c r="I1489" s="6">
        <v>3764925</v>
      </c>
      <c r="J1489" s="7">
        <v>375.07</v>
      </c>
      <c r="K1489" s="9">
        <f>(PricingDataTable[[#This Row],[Current Price ($)]]-PricingDataTable[[#This Row],[Prior Price ($)]])/PricingDataTable[[#This Row],[Prior Price ($)]]</f>
        <v>-4.8216604286606627E-3</v>
      </c>
      <c r="L1489" s="9">
        <f>(PricingDataTable[[#This Row],[Vendor Price ($)]]-PricingDataTable[[#This Row],[Current Price ($)]])/PricingDataTable[[#This Row],[Current Price ($)]]</f>
        <v>-2.7977705775060584E-3</v>
      </c>
      <c r="M1489" t="str">
        <f t="shared" si="46"/>
        <v>PASS</v>
      </c>
      <c r="N1489" s="10" t="str">
        <f t="shared" si="47"/>
        <v>NONE</v>
      </c>
    </row>
    <row r="1490" spans="1:14">
      <c r="A1490" s="4" t="s">
        <v>2996</v>
      </c>
      <c r="B1490" s="4" t="s">
        <v>2997</v>
      </c>
      <c r="C1490" s="4" t="s">
        <v>19</v>
      </c>
      <c r="D1490" s="4" t="s">
        <v>13</v>
      </c>
      <c r="E1490" s="5">
        <v>137.01849999999999</v>
      </c>
      <c r="F1490" s="5">
        <v>137.5205</v>
      </c>
      <c r="G1490" s="5">
        <v>137.97389999999999</v>
      </c>
      <c r="H1490" s="4">
        <v>0</v>
      </c>
      <c r="I1490" s="6">
        <v>3363881</v>
      </c>
      <c r="J1490" s="7">
        <v>428.4</v>
      </c>
      <c r="K1490" s="9">
        <f>(PricingDataTable[[#This Row],[Current Price ($)]]-PricingDataTable[[#This Row],[Prior Price ($)]])/PricingDataTable[[#This Row],[Prior Price ($)]]</f>
        <v>3.6637388381861543E-3</v>
      </c>
      <c r="L1490" s="9">
        <f>(PricingDataTable[[#This Row],[Vendor Price ($)]]-PricingDataTable[[#This Row],[Current Price ($)]])/PricingDataTable[[#This Row],[Current Price ($)]]</f>
        <v>3.2969629982438097E-3</v>
      </c>
      <c r="M1490" t="str">
        <f t="shared" si="46"/>
        <v>PASS</v>
      </c>
      <c r="N1490" s="10" t="str">
        <f t="shared" si="47"/>
        <v>NONE</v>
      </c>
    </row>
    <row r="1491" spans="1:14">
      <c r="A1491" s="4" t="s">
        <v>2998</v>
      </c>
      <c r="B1491" s="4" t="s">
        <v>2999</v>
      </c>
      <c r="C1491" s="4" t="s">
        <v>16</v>
      </c>
      <c r="D1491" s="4" t="s">
        <v>13</v>
      </c>
      <c r="E1491" s="5">
        <v>119.6558</v>
      </c>
      <c r="F1491" s="5">
        <v>118.1118</v>
      </c>
      <c r="G1491" s="5">
        <v>118.28749999999999</v>
      </c>
      <c r="H1491" s="4">
        <v>2</v>
      </c>
      <c r="I1491" s="6">
        <v>4338014</v>
      </c>
      <c r="J1491" s="7">
        <v>826.69</v>
      </c>
      <c r="K1491" s="9">
        <f>(PricingDataTable[[#This Row],[Current Price ($)]]-PricingDataTable[[#This Row],[Prior Price ($)]])/PricingDataTable[[#This Row],[Prior Price ($)]]</f>
        <v>-1.2903678718457417E-2</v>
      </c>
      <c r="L1491" s="9">
        <f>(PricingDataTable[[#This Row],[Vendor Price ($)]]-PricingDataTable[[#This Row],[Current Price ($)]])/PricingDataTable[[#This Row],[Current Price ($)]]</f>
        <v>1.4875736378583001E-3</v>
      </c>
      <c r="M1491" t="str">
        <f t="shared" si="46"/>
        <v>PASS</v>
      </c>
      <c r="N1491" s="10" t="str">
        <f t="shared" si="47"/>
        <v>NONE</v>
      </c>
    </row>
    <row r="1492" spans="1:14">
      <c r="A1492" s="4" t="s">
        <v>3000</v>
      </c>
      <c r="B1492" s="4" t="s">
        <v>3001</v>
      </c>
      <c r="C1492" s="4" t="s">
        <v>12</v>
      </c>
      <c r="D1492" s="4" t="s">
        <v>13</v>
      </c>
      <c r="E1492" s="5">
        <v>77.8767</v>
      </c>
      <c r="F1492" s="5">
        <v>77.420900000000003</v>
      </c>
      <c r="G1492" s="5">
        <v>70.622900000000001</v>
      </c>
      <c r="H1492" s="4">
        <v>3</v>
      </c>
      <c r="I1492" s="6">
        <v>1678845</v>
      </c>
      <c r="J1492" s="7">
        <v>520.02</v>
      </c>
      <c r="K1492" s="9">
        <f>(PricingDataTable[[#This Row],[Current Price ($)]]-PricingDataTable[[#This Row],[Prior Price ($)]])/PricingDataTable[[#This Row],[Prior Price ($)]]</f>
        <v>-5.8528417357180829E-3</v>
      </c>
      <c r="L1492" s="9">
        <f>(PricingDataTable[[#This Row],[Vendor Price ($)]]-PricingDataTable[[#This Row],[Current Price ($)]])/PricingDataTable[[#This Row],[Current Price ($)]]</f>
        <v>-8.7805747543621956E-2</v>
      </c>
      <c r="M1492" t="str">
        <f t="shared" si="46"/>
        <v>STALE</v>
      </c>
      <c r="N1492" s="10" t="str">
        <f t="shared" si="47"/>
        <v>HIGH</v>
      </c>
    </row>
    <row r="1493" spans="1:14">
      <c r="A1493" s="4" t="s">
        <v>3002</v>
      </c>
      <c r="B1493" s="4" t="s">
        <v>3003</v>
      </c>
      <c r="C1493" s="4" t="s">
        <v>35</v>
      </c>
      <c r="D1493" s="4" t="s">
        <v>13</v>
      </c>
      <c r="E1493" s="5">
        <v>153.9683</v>
      </c>
      <c r="F1493" s="5">
        <v>127.13760000000001</v>
      </c>
      <c r="G1493" s="5">
        <v>127.2645</v>
      </c>
      <c r="H1493" s="4">
        <v>0</v>
      </c>
      <c r="I1493" s="6">
        <v>4995398</v>
      </c>
      <c r="J1493" s="7">
        <v>793.68</v>
      </c>
      <c r="K1493" s="9">
        <f>(PricingDataTable[[#This Row],[Current Price ($)]]-PricingDataTable[[#This Row],[Prior Price ($)]])/PricingDataTable[[#This Row],[Prior Price ($)]]</f>
        <v>-0.1742611953239725</v>
      </c>
      <c r="L1493" s="9">
        <f>(PricingDataTable[[#This Row],[Vendor Price ($)]]-PricingDataTable[[#This Row],[Current Price ($)]])/PricingDataTable[[#This Row],[Current Price ($)]]</f>
        <v>9.9813115868155463E-4</v>
      </c>
      <c r="M1493" t="str">
        <f t="shared" si="46"/>
        <v>LARGE MOVE</v>
      </c>
      <c r="N1493" s="10" t="str">
        <f t="shared" si="47"/>
        <v>HIGH</v>
      </c>
    </row>
    <row r="1494" spans="1:14">
      <c r="A1494" s="4" t="s">
        <v>3004</v>
      </c>
      <c r="B1494" s="4" t="s">
        <v>3005</v>
      </c>
      <c r="C1494" s="4" t="s">
        <v>19</v>
      </c>
      <c r="D1494" s="4" t="s">
        <v>13</v>
      </c>
      <c r="E1494" s="5">
        <v>298.88409999999999</v>
      </c>
      <c r="F1494" s="5">
        <v>292.77179999999998</v>
      </c>
      <c r="G1494" s="5">
        <v>291.86489999999998</v>
      </c>
      <c r="H1494" s="4">
        <v>0</v>
      </c>
      <c r="I1494" s="6">
        <v>3376921</v>
      </c>
      <c r="J1494" s="7">
        <v>674.67</v>
      </c>
      <c r="K1494" s="9">
        <f>(PricingDataTable[[#This Row],[Current Price ($)]]-PricingDataTable[[#This Row],[Prior Price ($)]])/PricingDataTable[[#This Row],[Prior Price ($)]]</f>
        <v>-2.0450402012017383E-2</v>
      </c>
      <c r="L1494" s="9">
        <f>(PricingDataTable[[#This Row],[Vendor Price ($)]]-PricingDataTable[[#This Row],[Current Price ($)]])/PricingDataTable[[#This Row],[Current Price ($)]]</f>
        <v>-3.0976344033134592E-3</v>
      </c>
      <c r="M1494" t="str">
        <f t="shared" si="46"/>
        <v>PASS</v>
      </c>
      <c r="N1494" s="10" t="str">
        <f t="shared" si="47"/>
        <v>NONE</v>
      </c>
    </row>
    <row r="1495" spans="1:14">
      <c r="A1495" s="4" t="s">
        <v>3006</v>
      </c>
      <c r="B1495" s="4" t="s">
        <v>3007</v>
      </c>
      <c r="C1495" s="4" t="s">
        <v>12</v>
      </c>
      <c r="D1495" s="4" t="s">
        <v>13</v>
      </c>
      <c r="E1495" s="5">
        <v>110.3083</v>
      </c>
      <c r="F1495" s="5">
        <v>111.16670000000001</v>
      </c>
      <c r="G1495" s="5">
        <v>111.5941</v>
      </c>
      <c r="H1495" s="4">
        <v>0</v>
      </c>
      <c r="I1495" s="6">
        <v>4112221</v>
      </c>
      <c r="J1495" s="7">
        <v>383.45</v>
      </c>
      <c r="K1495" s="9">
        <f>(PricingDataTable[[#This Row],[Current Price ($)]]-PricingDataTable[[#This Row],[Prior Price ($)]])/PricingDataTable[[#This Row],[Prior Price ($)]]</f>
        <v>7.7818260275972261E-3</v>
      </c>
      <c r="L1495" s="9">
        <f>(PricingDataTable[[#This Row],[Vendor Price ($)]]-PricingDataTable[[#This Row],[Current Price ($)]])/PricingDataTable[[#This Row],[Current Price ($)]]</f>
        <v>3.8446765083428001E-3</v>
      </c>
      <c r="M1495" t="str">
        <f t="shared" si="46"/>
        <v>PASS</v>
      </c>
      <c r="N1495" s="10" t="str">
        <f t="shared" si="47"/>
        <v>NONE</v>
      </c>
    </row>
    <row r="1496" spans="1:14">
      <c r="A1496" s="4" t="s">
        <v>3008</v>
      </c>
      <c r="B1496" s="4" t="s">
        <v>3009</v>
      </c>
      <c r="C1496" s="4" t="s">
        <v>19</v>
      </c>
      <c r="D1496" s="4" t="s">
        <v>13</v>
      </c>
      <c r="E1496" s="5">
        <v>274.5677</v>
      </c>
      <c r="F1496" s="5">
        <v>278.31110000000001</v>
      </c>
      <c r="G1496" s="5">
        <v>279.75749999999999</v>
      </c>
      <c r="H1496" s="4">
        <v>1</v>
      </c>
      <c r="I1496" s="6">
        <v>272639</v>
      </c>
      <c r="J1496" s="7">
        <v>337.44</v>
      </c>
      <c r="K1496" s="9">
        <f>(PricingDataTable[[#This Row],[Current Price ($)]]-PricingDataTable[[#This Row],[Prior Price ($)]])/PricingDataTable[[#This Row],[Prior Price ($)]]</f>
        <v>1.3633795963618474E-2</v>
      </c>
      <c r="L1496" s="9">
        <f>(PricingDataTable[[#This Row],[Vendor Price ($)]]-PricingDataTable[[#This Row],[Current Price ($)]])/PricingDataTable[[#This Row],[Current Price ($)]]</f>
        <v>5.1970618491320782E-3</v>
      </c>
      <c r="M1496" t="str">
        <f t="shared" si="46"/>
        <v>PASS</v>
      </c>
      <c r="N1496" s="10" t="str">
        <f t="shared" si="47"/>
        <v>NONE</v>
      </c>
    </row>
    <row r="1497" spans="1:14">
      <c r="A1497" s="4" t="s">
        <v>3010</v>
      </c>
      <c r="B1497" s="4" t="s">
        <v>3011</v>
      </c>
      <c r="C1497" s="4" t="s">
        <v>35</v>
      </c>
      <c r="D1497" s="4" t="s">
        <v>13</v>
      </c>
      <c r="E1497" s="5">
        <v>106.04349999999999</v>
      </c>
      <c r="F1497" s="5">
        <v>106.32810000000001</v>
      </c>
      <c r="G1497" s="5">
        <v>106.1356</v>
      </c>
      <c r="H1497" s="4">
        <v>5</v>
      </c>
      <c r="I1497" s="6">
        <v>117720</v>
      </c>
      <c r="J1497" s="7">
        <v>86.27</v>
      </c>
      <c r="K1497" s="9">
        <f>(PricingDataTable[[#This Row],[Current Price ($)]]-PricingDataTable[[#This Row],[Prior Price ($)]])/PricingDataTable[[#This Row],[Prior Price ($)]]</f>
        <v>2.6838042878631102E-3</v>
      </c>
      <c r="L1497" s="9">
        <f>(PricingDataTable[[#This Row],[Vendor Price ($)]]-PricingDataTable[[#This Row],[Current Price ($)]])/PricingDataTable[[#This Row],[Current Price ($)]]</f>
        <v>-1.8104339304474513E-3</v>
      </c>
      <c r="M1497" t="str">
        <f t="shared" si="46"/>
        <v>STALE</v>
      </c>
      <c r="N1497" s="10" t="str">
        <f t="shared" si="47"/>
        <v>MEDIUM</v>
      </c>
    </row>
    <row r="1498" spans="1:14">
      <c r="A1498" s="4" t="s">
        <v>3012</v>
      </c>
      <c r="B1498" s="4" t="s">
        <v>3013</v>
      </c>
      <c r="C1498" s="4" t="s">
        <v>12</v>
      </c>
      <c r="D1498" s="4" t="s">
        <v>13</v>
      </c>
      <c r="E1498" s="5">
        <v>116.4413</v>
      </c>
      <c r="F1498" s="5">
        <v>118.07250000000001</v>
      </c>
      <c r="G1498" s="5">
        <v>118.2379</v>
      </c>
      <c r="H1498" s="4">
        <v>2</v>
      </c>
      <c r="I1498" s="6">
        <v>675318</v>
      </c>
      <c r="J1498" s="7">
        <v>360.18</v>
      </c>
      <c r="K1498" s="9">
        <f>(PricingDataTable[[#This Row],[Current Price ($)]]-PricingDataTable[[#This Row],[Prior Price ($)]])/PricingDataTable[[#This Row],[Prior Price ($)]]</f>
        <v>1.400877523696495E-2</v>
      </c>
      <c r="L1498" s="9">
        <f>(PricingDataTable[[#This Row],[Vendor Price ($)]]-PricingDataTable[[#This Row],[Current Price ($)]])/PricingDataTable[[#This Row],[Current Price ($)]]</f>
        <v>1.4008342332041E-3</v>
      </c>
      <c r="M1498" t="str">
        <f t="shared" si="46"/>
        <v>PASS</v>
      </c>
      <c r="N1498" s="10" t="str">
        <f t="shared" si="47"/>
        <v>NONE</v>
      </c>
    </row>
    <row r="1499" spans="1:14">
      <c r="A1499" s="4" t="s">
        <v>3014</v>
      </c>
      <c r="B1499" s="4" t="s">
        <v>3015</v>
      </c>
      <c r="C1499" s="4" t="s">
        <v>35</v>
      </c>
      <c r="D1499" s="4" t="s">
        <v>13</v>
      </c>
      <c r="E1499" s="5">
        <v>62.953099999999999</v>
      </c>
      <c r="F1499" s="5">
        <v>63.148099999999999</v>
      </c>
      <c r="G1499" s="5">
        <v>63.151400000000002</v>
      </c>
      <c r="H1499" s="4">
        <v>0</v>
      </c>
      <c r="I1499" s="6">
        <v>2346983</v>
      </c>
      <c r="J1499" s="7">
        <v>339.19</v>
      </c>
      <c r="K1499" s="9">
        <f>(PricingDataTable[[#This Row],[Current Price ($)]]-PricingDataTable[[#This Row],[Prior Price ($)]])/PricingDataTable[[#This Row],[Prior Price ($)]]</f>
        <v>3.0975440446935937E-3</v>
      </c>
      <c r="L1499" s="9">
        <f>(PricingDataTable[[#This Row],[Vendor Price ($)]]-PricingDataTable[[#This Row],[Current Price ($)]])/PricingDataTable[[#This Row],[Current Price ($)]]</f>
        <v>5.2258104361064976E-5</v>
      </c>
      <c r="M1499" t="str">
        <f t="shared" si="46"/>
        <v>PASS</v>
      </c>
      <c r="N1499" s="10" t="str">
        <f t="shared" si="47"/>
        <v>NONE</v>
      </c>
    </row>
    <row r="1500" spans="1:14">
      <c r="A1500" s="4" t="s">
        <v>3016</v>
      </c>
      <c r="B1500" s="4" t="s">
        <v>3017</v>
      </c>
      <c r="C1500" s="4" t="s">
        <v>39</v>
      </c>
      <c r="D1500" s="4" t="s">
        <v>13</v>
      </c>
      <c r="E1500" s="5">
        <v>200.61490000000001</v>
      </c>
      <c r="F1500" s="5">
        <v>201.1354</v>
      </c>
      <c r="G1500" s="5">
        <v>200.50579999999999</v>
      </c>
      <c r="H1500" s="4">
        <v>0</v>
      </c>
      <c r="I1500" s="6">
        <v>3337137</v>
      </c>
      <c r="J1500" s="7">
        <v>680.66</v>
      </c>
      <c r="K1500" s="9">
        <f>(PricingDataTable[[#This Row],[Current Price ($)]]-PricingDataTable[[#This Row],[Prior Price ($)]])/PricingDataTable[[#This Row],[Prior Price ($)]]</f>
        <v>2.5945231386103346E-3</v>
      </c>
      <c r="L1500" s="9">
        <f>(PricingDataTable[[#This Row],[Vendor Price ($)]]-PricingDataTable[[#This Row],[Current Price ($)]])/PricingDataTable[[#This Row],[Current Price ($)]]</f>
        <v>-3.1302296860722207E-3</v>
      </c>
      <c r="M1500" t="str">
        <f t="shared" si="46"/>
        <v>PASS</v>
      </c>
      <c r="N1500" s="10" t="str">
        <f t="shared" si="47"/>
        <v>NONE</v>
      </c>
    </row>
    <row r="1501" spans="1:14">
      <c r="A1501" s="4" t="s">
        <v>3018</v>
      </c>
      <c r="B1501" s="4" t="s">
        <v>3019</v>
      </c>
      <c r="C1501" s="4" t="s">
        <v>19</v>
      </c>
      <c r="D1501" s="4" t="s">
        <v>64</v>
      </c>
      <c r="E1501" s="5">
        <v>218.5975</v>
      </c>
      <c r="F1501" s="5">
        <v>212.74520000000001</v>
      </c>
      <c r="G1501" s="5">
        <v>211.52529999999999</v>
      </c>
      <c r="H1501" s="4">
        <v>0</v>
      </c>
      <c r="I1501" s="6">
        <v>1326430</v>
      </c>
      <c r="J1501" s="7">
        <v>892.18</v>
      </c>
      <c r="K1501" s="9">
        <f>(PricingDataTable[[#This Row],[Current Price ($)]]-PricingDataTable[[#This Row],[Prior Price ($)]])/PricingDataTable[[#This Row],[Prior Price ($)]]</f>
        <v>-2.6772035361795014E-2</v>
      </c>
      <c r="L1501" s="9">
        <f>(PricingDataTable[[#This Row],[Vendor Price ($)]]-PricingDataTable[[#This Row],[Current Price ($)]])/PricingDataTable[[#This Row],[Current Price ($)]]</f>
        <v>-5.7340894177637094E-3</v>
      </c>
      <c r="M1501" t="str">
        <f t="shared" si="46"/>
        <v>PASS</v>
      </c>
      <c r="N1501" s="10" t="str">
        <f t="shared" si="47"/>
        <v>NONE</v>
      </c>
    </row>
    <row r="1502" spans="1:14">
      <c r="A1502" s="4" t="s">
        <v>3020</v>
      </c>
      <c r="B1502" s="4" t="s">
        <v>3021</v>
      </c>
      <c r="C1502" s="4" t="s">
        <v>16</v>
      </c>
      <c r="D1502" s="4" t="s">
        <v>13</v>
      </c>
      <c r="E1502" s="5">
        <v>119.74039999999999</v>
      </c>
      <c r="F1502" s="5">
        <v>120.7906</v>
      </c>
      <c r="G1502" s="5">
        <v>121.03279999999999</v>
      </c>
      <c r="H1502" s="4">
        <v>4</v>
      </c>
      <c r="I1502" s="6">
        <v>1053255</v>
      </c>
      <c r="J1502" s="7">
        <v>747.43</v>
      </c>
      <c r="K1502" s="9">
        <f>(PricingDataTable[[#This Row],[Current Price ($)]]-PricingDataTable[[#This Row],[Prior Price ($)]])/PricingDataTable[[#This Row],[Prior Price ($)]]</f>
        <v>8.7706404855838454E-3</v>
      </c>
      <c r="L1502" s="9">
        <f>(PricingDataTable[[#This Row],[Vendor Price ($)]]-PricingDataTable[[#This Row],[Current Price ($)]])/PricingDataTable[[#This Row],[Current Price ($)]]</f>
        <v>2.0051229151937062E-3</v>
      </c>
      <c r="M1502" t="str">
        <f t="shared" si="46"/>
        <v>STALE</v>
      </c>
      <c r="N1502" s="10" t="str">
        <f t="shared" si="47"/>
        <v>LOW</v>
      </c>
    </row>
    <row r="1503" spans="1:14">
      <c r="A1503" s="4" t="s">
        <v>3022</v>
      </c>
      <c r="B1503" s="4" t="s">
        <v>3023</v>
      </c>
      <c r="C1503" s="4" t="s">
        <v>16</v>
      </c>
      <c r="D1503" s="4" t="s">
        <v>13</v>
      </c>
      <c r="E1503" s="5">
        <v>116.20310000000001</v>
      </c>
      <c r="F1503" s="5">
        <v>115.3978</v>
      </c>
      <c r="G1503" s="5">
        <v>115.45780000000001</v>
      </c>
      <c r="H1503" s="4">
        <v>0</v>
      </c>
      <c r="I1503" s="6">
        <v>4919946</v>
      </c>
      <c r="J1503" s="7">
        <v>336.4</v>
      </c>
      <c r="K1503" s="9">
        <f>(PricingDataTable[[#This Row],[Current Price ($)]]-PricingDataTable[[#This Row],[Prior Price ($)]])/PricingDataTable[[#This Row],[Prior Price ($)]]</f>
        <v>-6.9301077165755693E-3</v>
      </c>
      <c r="L1503" s="9">
        <f>(PricingDataTable[[#This Row],[Vendor Price ($)]]-PricingDataTable[[#This Row],[Current Price ($)]])/PricingDataTable[[#This Row],[Current Price ($)]]</f>
        <v>5.1994058812215025E-4</v>
      </c>
      <c r="M1503" t="str">
        <f t="shared" si="46"/>
        <v>PASS</v>
      </c>
      <c r="N1503" s="10" t="str">
        <f t="shared" si="47"/>
        <v>NONE</v>
      </c>
    </row>
    <row r="1504" spans="1:14">
      <c r="A1504" s="4" t="s">
        <v>3024</v>
      </c>
      <c r="B1504" s="4" t="s">
        <v>3025</v>
      </c>
      <c r="C1504" s="4" t="s">
        <v>16</v>
      </c>
      <c r="D1504" s="4" t="s">
        <v>13</v>
      </c>
      <c r="E1504" s="5">
        <v>90.067599999999999</v>
      </c>
      <c r="F1504" s="5">
        <v>91.862300000000005</v>
      </c>
      <c r="G1504" s="5">
        <v>91.8703</v>
      </c>
      <c r="H1504" s="4">
        <v>2</v>
      </c>
      <c r="I1504" s="6">
        <v>86811</v>
      </c>
      <c r="J1504" s="7">
        <v>598.66</v>
      </c>
      <c r="K1504" s="9">
        <f>(PricingDataTable[[#This Row],[Current Price ($)]]-PricingDataTable[[#This Row],[Prior Price ($)]])/PricingDataTable[[#This Row],[Prior Price ($)]]</f>
        <v>1.9926144362678765E-2</v>
      </c>
      <c r="L1504" s="9">
        <f>(PricingDataTable[[#This Row],[Vendor Price ($)]]-PricingDataTable[[#This Row],[Current Price ($)]])/PricingDataTable[[#This Row],[Current Price ($)]]</f>
        <v>8.7086868062258033E-5</v>
      </c>
      <c r="M1504" t="str">
        <f t="shared" si="46"/>
        <v>PASS</v>
      </c>
      <c r="N1504" s="10" t="str">
        <f t="shared" si="47"/>
        <v>NONE</v>
      </c>
    </row>
    <row r="1505" spans="1:14">
      <c r="A1505" s="4" t="s">
        <v>3026</v>
      </c>
      <c r="B1505" s="4" t="s">
        <v>3027</v>
      </c>
      <c r="C1505" s="4" t="s">
        <v>35</v>
      </c>
      <c r="D1505" s="4" t="s">
        <v>64</v>
      </c>
      <c r="E1505" s="5">
        <v>107.9139</v>
      </c>
      <c r="F1505" s="5">
        <v>109.0359</v>
      </c>
      <c r="G1505" s="5">
        <v>109.5214</v>
      </c>
      <c r="H1505" s="4">
        <v>3</v>
      </c>
      <c r="I1505" s="6">
        <v>274254</v>
      </c>
      <c r="J1505" s="7">
        <v>251.69</v>
      </c>
      <c r="K1505" s="9">
        <f>(PricingDataTable[[#This Row],[Current Price ($)]]-PricingDataTable[[#This Row],[Prior Price ($)]])/PricingDataTable[[#This Row],[Prior Price ($)]]</f>
        <v>1.0397177750039614E-2</v>
      </c>
      <c r="L1505" s="9">
        <f>(PricingDataTable[[#This Row],[Vendor Price ($)]]-PricingDataTable[[#This Row],[Current Price ($)]])/PricingDataTable[[#This Row],[Current Price ($)]]</f>
        <v>4.4526619214405698E-3</v>
      </c>
      <c r="M1505" t="str">
        <f t="shared" si="46"/>
        <v>STALE</v>
      </c>
      <c r="N1505" s="10" t="str">
        <f t="shared" si="47"/>
        <v>LOW</v>
      </c>
    </row>
    <row r="1506" spans="1:14">
      <c r="A1506" s="4" t="s">
        <v>3028</v>
      </c>
      <c r="B1506" s="4" t="s">
        <v>3029</v>
      </c>
      <c r="C1506" s="4" t="s">
        <v>35</v>
      </c>
      <c r="D1506" s="4" t="s">
        <v>13</v>
      </c>
      <c r="E1506" s="5">
        <v>32.8568</v>
      </c>
      <c r="F1506" s="5">
        <v>33.403300000000002</v>
      </c>
      <c r="G1506" s="5">
        <v>33.613</v>
      </c>
      <c r="H1506" s="4">
        <v>4</v>
      </c>
      <c r="I1506" s="6">
        <v>1292545</v>
      </c>
      <c r="J1506" s="7">
        <v>728.67</v>
      </c>
      <c r="K1506" s="9">
        <f>(PricingDataTable[[#This Row],[Current Price ($)]]-PricingDataTable[[#This Row],[Prior Price ($)]])/PricingDataTable[[#This Row],[Prior Price ($)]]</f>
        <v>1.6632782255119237E-2</v>
      </c>
      <c r="L1506" s="9">
        <f>(PricingDataTable[[#This Row],[Vendor Price ($)]]-PricingDataTable[[#This Row],[Current Price ($)]])/PricingDataTable[[#This Row],[Current Price ($)]]</f>
        <v>6.2778228498381293E-3</v>
      </c>
      <c r="M1506" t="str">
        <f t="shared" si="46"/>
        <v>STALE</v>
      </c>
      <c r="N1506" s="10" t="str">
        <f t="shared" si="47"/>
        <v>LOW</v>
      </c>
    </row>
    <row r="1507" spans="1:14">
      <c r="A1507" s="4" t="s">
        <v>3030</v>
      </c>
      <c r="B1507" s="4" t="s">
        <v>3031</v>
      </c>
      <c r="C1507" s="4" t="s">
        <v>19</v>
      </c>
      <c r="D1507" s="4" t="s">
        <v>237</v>
      </c>
      <c r="E1507" s="5">
        <v>46.824599999999997</v>
      </c>
      <c r="F1507" s="5">
        <v>47.125999999999998</v>
      </c>
      <c r="G1507" s="5">
        <v>47.058900000000001</v>
      </c>
      <c r="H1507" s="4">
        <v>1</v>
      </c>
      <c r="I1507" s="6">
        <v>3396877</v>
      </c>
      <c r="J1507" s="7">
        <v>522.89</v>
      </c>
      <c r="K1507" s="9">
        <f>(PricingDataTable[[#This Row],[Current Price ($)]]-PricingDataTable[[#This Row],[Prior Price ($)]])/PricingDataTable[[#This Row],[Prior Price ($)]]</f>
        <v>6.4367875005873201E-3</v>
      </c>
      <c r="L1507" s="9">
        <f>(PricingDataTable[[#This Row],[Vendor Price ($)]]-PricingDataTable[[#This Row],[Current Price ($)]])/PricingDataTable[[#This Row],[Current Price ($)]]</f>
        <v>-1.4238424648813051E-3</v>
      </c>
      <c r="M1507" t="str">
        <f t="shared" si="46"/>
        <v>PASS</v>
      </c>
      <c r="N1507" s="10" t="str">
        <f t="shared" si="47"/>
        <v>NONE</v>
      </c>
    </row>
    <row r="1508" spans="1:14">
      <c r="A1508" s="4" t="s">
        <v>3032</v>
      </c>
      <c r="B1508" s="4" t="s">
        <v>3033</v>
      </c>
      <c r="C1508" s="4" t="s">
        <v>19</v>
      </c>
      <c r="D1508" s="4" t="s">
        <v>32</v>
      </c>
      <c r="E1508" s="5">
        <v>221.33330000000001</v>
      </c>
      <c r="F1508" s="5">
        <v>221.39660000000001</v>
      </c>
      <c r="G1508" s="5">
        <v>220.8982</v>
      </c>
      <c r="H1508" s="4">
        <v>0</v>
      </c>
      <c r="I1508" s="6">
        <v>1110499</v>
      </c>
      <c r="J1508" s="7">
        <v>6.72</v>
      </c>
      <c r="K1508" s="9">
        <f>(PricingDataTable[[#This Row],[Current Price ($)]]-PricingDataTable[[#This Row],[Prior Price ($)]])/PricingDataTable[[#This Row],[Prior Price ($)]]</f>
        <v>2.859940189749944E-4</v>
      </c>
      <c r="L1508" s="9">
        <f>(PricingDataTable[[#This Row],[Vendor Price ($)]]-PricingDataTable[[#This Row],[Current Price ($)]])/PricingDataTable[[#This Row],[Current Price ($)]]</f>
        <v>-2.2511637486754706E-3</v>
      </c>
      <c r="M1508" t="str">
        <f t="shared" si="46"/>
        <v>PASS</v>
      </c>
      <c r="N1508" s="10" t="str">
        <f t="shared" si="47"/>
        <v>NONE</v>
      </c>
    </row>
    <row r="1509" spans="1:14">
      <c r="A1509" s="4" t="s">
        <v>3034</v>
      </c>
      <c r="B1509" s="4" t="s">
        <v>3035</v>
      </c>
      <c r="C1509" s="4" t="s">
        <v>19</v>
      </c>
      <c r="D1509" s="4" t="s">
        <v>32</v>
      </c>
      <c r="E1509" s="5">
        <v>192.12110000000001</v>
      </c>
      <c r="F1509" s="5">
        <v>191.39949999999999</v>
      </c>
      <c r="G1509" s="5">
        <v>191.16749999999999</v>
      </c>
      <c r="H1509" s="4">
        <v>1</v>
      </c>
      <c r="I1509" s="6">
        <v>483615</v>
      </c>
      <c r="J1509" s="7">
        <v>400.01</v>
      </c>
      <c r="K1509" s="9">
        <f>(PricingDataTable[[#This Row],[Current Price ($)]]-PricingDataTable[[#This Row],[Prior Price ($)]])/PricingDataTable[[#This Row],[Prior Price ($)]]</f>
        <v>-3.7559643370771016E-3</v>
      </c>
      <c r="L1509" s="9">
        <f>(PricingDataTable[[#This Row],[Vendor Price ($)]]-PricingDataTable[[#This Row],[Current Price ($)]])/PricingDataTable[[#This Row],[Current Price ($)]]</f>
        <v>-1.2121243785903272E-3</v>
      </c>
      <c r="M1509" t="str">
        <f t="shared" si="46"/>
        <v>PASS</v>
      </c>
      <c r="N1509" s="10" t="str">
        <f t="shared" si="47"/>
        <v>NONE</v>
      </c>
    </row>
    <row r="1510" spans="1:14">
      <c r="A1510" s="4" t="s">
        <v>3036</v>
      </c>
      <c r="B1510" s="4" t="s">
        <v>3037</v>
      </c>
      <c r="C1510" s="4" t="s">
        <v>16</v>
      </c>
      <c r="D1510" s="4" t="s">
        <v>36</v>
      </c>
      <c r="E1510" s="5">
        <v>105.5864</v>
      </c>
      <c r="F1510" s="5">
        <v>103.2465</v>
      </c>
      <c r="G1510" s="5">
        <v>102.7435</v>
      </c>
      <c r="H1510" s="4">
        <v>0</v>
      </c>
      <c r="I1510" s="6">
        <v>2592996</v>
      </c>
      <c r="J1510" s="7">
        <v>529.28</v>
      </c>
      <c r="K1510" s="9">
        <f>(PricingDataTable[[#This Row],[Current Price ($)]]-PricingDataTable[[#This Row],[Prior Price ($)]])/PricingDataTable[[#This Row],[Prior Price ($)]]</f>
        <v>-2.2160998007319126E-2</v>
      </c>
      <c r="L1510" s="9">
        <f>(PricingDataTable[[#This Row],[Vendor Price ($)]]-PricingDataTable[[#This Row],[Current Price ($)]])/PricingDataTable[[#This Row],[Current Price ($)]]</f>
        <v>-4.8718358491571159E-3</v>
      </c>
      <c r="M1510" t="str">
        <f t="shared" si="46"/>
        <v>PASS</v>
      </c>
      <c r="N1510" s="10" t="str">
        <f t="shared" si="47"/>
        <v>NONE</v>
      </c>
    </row>
    <row r="1511" spans="1:14">
      <c r="A1511" s="4" t="s">
        <v>3038</v>
      </c>
      <c r="B1511" s="4" t="s">
        <v>3039</v>
      </c>
      <c r="C1511" s="4" t="s">
        <v>19</v>
      </c>
      <c r="D1511" s="4" t="s">
        <v>13</v>
      </c>
      <c r="E1511" s="5">
        <v>70.330299999999994</v>
      </c>
      <c r="F1511" s="5">
        <v>70.434100000000001</v>
      </c>
      <c r="G1511" s="5">
        <v>70.269199999999998</v>
      </c>
      <c r="H1511" s="4">
        <v>0</v>
      </c>
      <c r="I1511" s="6">
        <v>4916362</v>
      </c>
      <c r="J1511" s="7">
        <v>119.37</v>
      </c>
      <c r="K1511" s="9">
        <f>(PricingDataTable[[#This Row],[Current Price ($)]]-PricingDataTable[[#This Row],[Prior Price ($)]])/PricingDataTable[[#This Row],[Prior Price ($)]]</f>
        <v>1.4758930361452572E-3</v>
      </c>
      <c r="L1511" s="9">
        <f>(PricingDataTable[[#This Row],[Vendor Price ($)]]-PricingDataTable[[#This Row],[Current Price ($)]])/PricingDataTable[[#This Row],[Current Price ($)]]</f>
        <v>-2.3411955288702904E-3</v>
      </c>
      <c r="M1511" t="str">
        <f t="shared" si="46"/>
        <v>PASS</v>
      </c>
      <c r="N1511" s="10" t="str">
        <f t="shared" si="47"/>
        <v>NONE</v>
      </c>
    </row>
    <row r="1512" spans="1:14">
      <c r="A1512" s="4" t="s">
        <v>3040</v>
      </c>
      <c r="B1512" s="4" t="s">
        <v>3041</v>
      </c>
      <c r="C1512" s="4" t="s">
        <v>19</v>
      </c>
      <c r="D1512" s="4" t="s">
        <v>13</v>
      </c>
      <c r="E1512" s="5">
        <v>172.7132</v>
      </c>
      <c r="F1512" s="5">
        <v>172.94839999999999</v>
      </c>
      <c r="G1512" s="5">
        <v>173.47020000000001</v>
      </c>
      <c r="H1512" s="4">
        <v>0</v>
      </c>
      <c r="I1512" s="6">
        <v>4268250</v>
      </c>
      <c r="J1512" s="7">
        <v>566.66999999999996</v>
      </c>
      <c r="K1512" s="9">
        <f>(PricingDataTable[[#This Row],[Current Price ($)]]-PricingDataTable[[#This Row],[Prior Price ($)]])/PricingDataTable[[#This Row],[Prior Price ($)]]</f>
        <v>1.3617951609951749E-3</v>
      </c>
      <c r="L1512" s="9">
        <f>(PricingDataTable[[#This Row],[Vendor Price ($)]]-PricingDataTable[[#This Row],[Current Price ($)]])/PricingDataTable[[#This Row],[Current Price ($)]]</f>
        <v>3.0170848646186559E-3</v>
      </c>
      <c r="M1512" t="str">
        <f t="shared" si="46"/>
        <v>PASS</v>
      </c>
      <c r="N1512" s="10" t="str">
        <f t="shared" si="47"/>
        <v>NONE</v>
      </c>
    </row>
    <row r="1513" spans="1:14">
      <c r="A1513" s="4" t="s">
        <v>3042</v>
      </c>
      <c r="B1513" s="4" t="s">
        <v>3043</v>
      </c>
      <c r="C1513" s="4" t="s">
        <v>16</v>
      </c>
      <c r="D1513" s="4" t="s">
        <v>36</v>
      </c>
      <c r="E1513" s="5">
        <v>82.093400000000003</v>
      </c>
      <c r="F1513" s="5"/>
      <c r="G1513" s="5">
        <v>83.503200000000007</v>
      </c>
      <c r="H1513" s="4">
        <v>0</v>
      </c>
      <c r="I1513" s="6">
        <v>4472514</v>
      </c>
      <c r="J1513" s="7">
        <v>812.17</v>
      </c>
      <c r="K1513" s="9">
        <f>(PricingDataTable[[#This Row],[Current Price ($)]]-PricingDataTable[[#This Row],[Prior Price ($)]])/PricingDataTable[[#This Row],[Prior Price ($)]]</f>
        <v>-1</v>
      </c>
      <c r="L1513" s="9" t="e">
        <f>(PricingDataTable[[#This Row],[Vendor Price ($)]]-PricingDataTable[[#This Row],[Current Price ($)]])/PricingDataTable[[#This Row],[Current Price ($)]]</f>
        <v>#DIV/0!</v>
      </c>
      <c r="M1513" t="str">
        <f t="shared" si="46"/>
        <v>MISSING</v>
      </c>
      <c r="N1513" s="10" t="str">
        <f t="shared" si="47"/>
        <v>HIGH</v>
      </c>
    </row>
    <row r="1514" spans="1:14">
      <c r="A1514" s="4" t="s">
        <v>3044</v>
      </c>
      <c r="B1514" s="4" t="s">
        <v>3045</v>
      </c>
      <c r="C1514" s="4" t="s">
        <v>19</v>
      </c>
      <c r="D1514" s="4" t="s">
        <v>13</v>
      </c>
      <c r="E1514" s="5">
        <v>249.16149999999999</v>
      </c>
      <c r="F1514" s="5">
        <v>253.39230000000001</v>
      </c>
      <c r="G1514" s="5">
        <v>253.84010000000001</v>
      </c>
      <c r="H1514" s="4">
        <v>0</v>
      </c>
      <c r="I1514" s="6">
        <v>1171831</v>
      </c>
      <c r="J1514" s="7">
        <v>90.51</v>
      </c>
      <c r="K1514" s="9">
        <f>(PricingDataTable[[#This Row],[Current Price ($)]]-PricingDataTable[[#This Row],[Prior Price ($)]])/PricingDataTable[[#This Row],[Prior Price ($)]]</f>
        <v>1.6980151427889206E-2</v>
      </c>
      <c r="L1514" s="9">
        <f>(PricingDataTable[[#This Row],[Vendor Price ($)]]-PricingDataTable[[#This Row],[Current Price ($)]])/PricingDataTable[[#This Row],[Current Price ($)]]</f>
        <v>1.7672202351847347E-3</v>
      </c>
      <c r="M1514" t="str">
        <f t="shared" si="46"/>
        <v>PASS</v>
      </c>
      <c r="N1514" s="10" t="str">
        <f t="shared" si="47"/>
        <v>NONE</v>
      </c>
    </row>
    <row r="1515" spans="1:14">
      <c r="A1515" s="4" t="s">
        <v>3046</v>
      </c>
      <c r="B1515" s="4" t="s">
        <v>3047</v>
      </c>
      <c r="C1515" s="4" t="s">
        <v>19</v>
      </c>
      <c r="D1515" s="4" t="s">
        <v>13</v>
      </c>
      <c r="E1515" s="5">
        <v>24.8843</v>
      </c>
      <c r="F1515" s="5">
        <v>25.088899999999999</v>
      </c>
      <c r="G1515" s="5">
        <v>25.019200000000001</v>
      </c>
      <c r="H1515" s="4">
        <v>0</v>
      </c>
      <c r="I1515" s="6">
        <v>2109260</v>
      </c>
      <c r="J1515" s="7">
        <v>774</v>
      </c>
      <c r="K1515" s="9">
        <f>(PricingDataTable[[#This Row],[Current Price ($)]]-PricingDataTable[[#This Row],[Prior Price ($)]])/PricingDataTable[[#This Row],[Prior Price ($)]]</f>
        <v>8.2220516550595858E-3</v>
      </c>
      <c r="L1515" s="9">
        <f>(PricingDataTable[[#This Row],[Vendor Price ($)]]-PricingDataTable[[#This Row],[Current Price ($)]])/PricingDataTable[[#This Row],[Current Price ($)]]</f>
        <v>-2.7781210017177888E-3</v>
      </c>
      <c r="M1515" t="str">
        <f t="shared" si="46"/>
        <v>PASS</v>
      </c>
      <c r="N1515" s="10" t="str">
        <f t="shared" si="47"/>
        <v>NONE</v>
      </c>
    </row>
    <row r="1516" spans="1:14">
      <c r="A1516" s="4" t="s">
        <v>3048</v>
      </c>
      <c r="B1516" s="4" t="s">
        <v>3049</v>
      </c>
      <c r="C1516" s="4" t="s">
        <v>16</v>
      </c>
      <c r="D1516" s="4" t="s">
        <v>13</v>
      </c>
      <c r="E1516" s="5">
        <v>115.9319</v>
      </c>
      <c r="F1516" s="5">
        <v>114.48699999999999</v>
      </c>
      <c r="G1516" s="5">
        <v>114.1152</v>
      </c>
      <c r="H1516" s="4">
        <v>0</v>
      </c>
      <c r="I1516" s="6">
        <v>63274</v>
      </c>
      <c r="J1516" s="7">
        <v>272.39999999999998</v>
      </c>
      <c r="K1516" s="9">
        <f>(PricingDataTable[[#This Row],[Current Price ($)]]-PricingDataTable[[#This Row],[Prior Price ($)]])/PricingDataTable[[#This Row],[Prior Price ($)]]</f>
        <v>-1.2463351329530562E-2</v>
      </c>
      <c r="L1516" s="9">
        <f>(PricingDataTable[[#This Row],[Vendor Price ($)]]-PricingDataTable[[#This Row],[Current Price ($)]])/PricingDataTable[[#This Row],[Current Price ($)]]</f>
        <v>-3.2475302872814666E-3</v>
      </c>
      <c r="M1516" t="str">
        <f t="shared" si="46"/>
        <v>PASS</v>
      </c>
      <c r="N1516" s="10" t="str">
        <f t="shared" si="47"/>
        <v>NONE</v>
      </c>
    </row>
    <row r="1517" spans="1:14">
      <c r="A1517" s="4" t="s">
        <v>3050</v>
      </c>
      <c r="B1517" s="4" t="s">
        <v>3051</v>
      </c>
      <c r="C1517" s="4" t="s">
        <v>16</v>
      </c>
      <c r="D1517" s="4" t="s">
        <v>13</v>
      </c>
      <c r="E1517" s="5">
        <v>106.7024</v>
      </c>
      <c r="F1517" s="5">
        <v>107.11020000000001</v>
      </c>
      <c r="G1517" s="5">
        <v>106.92270000000001</v>
      </c>
      <c r="H1517" s="4">
        <v>0</v>
      </c>
      <c r="I1517" s="6">
        <v>2973001</v>
      </c>
      <c r="J1517" s="7">
        <v>85.93</v>
      </c>
      <c r="K1517" s="9">
        <f>(PricingDataTable[[#This Row],[Current Price ($)]]-PricingDataTable[[#This Row],[Prior Price ($)]])/PricingDataTable[[#This Row],[Prior Price ($)]]</f>
        <v>3.8218446820316022E-3</v>
      </c>
      <c r="L1517" s="9">
        <f>(PricingDataTable[[#This Row],[Vendor Price ($)]]-PricingDataTable[[#This Row],[Current Price ($)]])/PricingDataTable[[#This Row],[Current Price ($)]]</f>
        <v>-1.7505335626298896E-3</v>
      </c>
      <c r="M1517" t="str">
        <f t="shared" si="46"/>
        <v>PASS</v>
      </c>
      <c r="N1517" s="10" t="str">
        <f t="shared" si="47"/>
        <v>NONE</v>
      </c>
    </row>
    <row r="1518" spans="1:14">
      <c r="A1518" s="4" t="s">
        <v>3052</v>
      </c>
      <c r="B1518" s="4" t="s">
        <v>3053</v>
      </c>
      <c r="C1518" s="4" t="s">
        <v>19</v>
      </c>
      <c r="D1518" s="4" t="s">
        <v>13</v>
      </c>
      <c r="E1518" s="5">
        <v>193.67240000000001</v>
      </c>
      <c r="F1518" s="5">
        <v>193.05889999999999</v>
      </c>
      <c r="G1518" s="5">
        <v>193.65690000000001</v>
      </c>
      <c r="H1518" s="4">
        <v>0</v>
      </c>
      <c r="I1518" s="6">
        <v>4424243</v>
      </c>
      <c r="J1518" s="7">
        <v>477.46</v>
      </c>
      <c r="K1518" s="9">
        <f>(PricingDataTable[[#This Row],[Current Price ($)]]-PricingDataTable[[#This Row],[Prior Price ($)]])/PricingDataTable[[#This Row],[Prior Price ($)]]</f>
        <v>-3.1677203359901365E-3</v>
      </c>
      <c r="L1518" s="9">
        <f>(PricingDataTable[[#This Row],[Vendor Price ($)]]-PricingDataTable[[#This Row],[Current Price ($)]])/PricingDataTable[[#This Row],[Current Price ($)]]</f>
        <v>3.097500296541694E-3</v>
      </c>
      <c r="M1518" t="str">
        <f t="shared" si="46"/>
        <v>PASS</v>
      </c>
      <c r="N1518" s="10" t="str">
        <f t="shared" si="47"/>
        <v>NONE</v>
      </c>
    </row>
    <row r="1519" spans="1:14">
      <c r="A1519" s="4" t="s">
        <v>3054</v>
      </c>
      <c r="B1519" s="4" t="s">
        <v>3055</v>
      </c>
      <c r="C1519" s="4" t="s">
        <v>19</v>
      </c>
      <c r="D1519" s="4" t="s">
        <v>32</v>
      </c>
      <c r="E1519" s="5">
        <v>247.21899999999999</v>
      </c>
      <c r="F1519" s="5">
        <v>246.3903</v>
      </c>
      <c r="G1519" s="5">
        <v>245.57339999999999</v>
      </c>
      <c r="H1519" s="4">
        <v>1</v>
      </c>
      <c r="I1519" s="6">
        <v>4904150</v>
      </c>
      <c r="J1519" s="7">
        <v>701.07</v>
      </c>
      <c r="K1519" s="9">
        <f>(PricingDataTable[[#This Row],[Current Price ($)]]-PricingDataTable[[#This Row],[Prior Price ($)]])/PricingDataTable[[#This Row],[Prior Price ($)]]</f>
        <v>-3.3520886339642088E-3</v>
      </c>
      <c r="L1519" s="9">
        <f>(PricingDataTable[[#This Row],[Vendor Price ($)]]-PricingDataTable[[#This Row],[Current Price ($)]])/PricingDataTable[[#This Row],[Current Price ($)]]</f>
        <v>-3.3154714288671427E-3</v>
      </c>
      <c r="M1519" t="str">
        <f t="shared" si="46"/>
        <v>PASS</v>
      </c>
      <c r="N1519" s="10" t="str">
        <f t="shared" si="47"/>
        <v>NONE</v>
      </c>
    </row>
    <row r="1520" spans="1:14">
      <c r="A1520" s="4" t="s">
        <v>3056</v>
      </c>
      <c r="B1520" s="4" t="s">
        <v>3057</v>
      </c>
      <c r="C1520" s="4" t="s">
        <v>35</v>
      </c>
      <c r="D1520" s="4" t="s">
        <v>64</v>
      </c>
      <c r="E1520" s="5">
        <v>115.5013</v>
      </c>
      <c r="F1520" s="5">
        <v>114.93940000000001</v>
      </c>
      <c r="G1520" s="5">
        <v>115.242</v>
      </c>
      <c r="H1520" s="4">
        <v>0</v>
      </c>
      <c r="I1520" s="6">
        <v>73333</v>
      </c>
      <c r="J1520" s="7">
        <v>679.53</v>
      </c>
      <c r="K1520" s="9">
        <f>(PricingDataTable[[#This Row],[Current Price ($)]]-PricingDataTable[[#This Row],[Prior Price ($)]])/PricingDataTable[[#This Row],[Prior Price ($)]]</f>
        <v>-4.8648803087064331E-3</v>
      </c>
      <c r="L1520" s="9">
        <f>(PricingDataTable[[#This Row],[Vendor Price ($)]]-PricingDataTable[[#This Row],[Current Price ($)]])/PricingDataTable[[#This Row],[Current Price ($)]]</f>
        <v>2.6326916618670203E-3</v>
      </c>
      <c r="M1520" t="str">
        <f t="shared" si="46"/>
        <v>PASS</v>
      </c>
      <c r="N1520" s="10" t="str">
        <f t="shared" si="47"/>
        <v>NONE</v>
      </c>
    </row>
    <row r="1521" spans="1:14">
      <c r="A1521" s="4" t="s">
        <v>3058</v>
      </c>
      <c r="B1521" s="4" t="s">
        <v>3059</v>
      </c>
      <c r="C1521" s="4" t="s">
        <v>16</v>
      </c>
      <c r="D1521" s="4" t="s">
        <v>32</v>
      </c>
      <c r="E1521" s="5">
        <v>121.6913</v>
      </c>
      <c r="F1521" s="5">
        <v>119.6536</v>
      </c>
      <c r="G1521" s="5">
        <v>119.9906</v>
      </c>
      <c r="H1521" s="4">
        <v>0</v>
      </c>
      <c r="I1521" s="6">
        <v>1513299</v>
      </c>
      <c r="J1521" s="7">
        <v>581.58000000000004</v>
      </c>
      <c r="K1521" s="9">
        <f>(PricingDataTable[[#This Row],[Current Price ($)]]-PricingDataTable[[#This Row],[Prior Price ($)]])/PricingDataTable[[#This Row],[Prior Price ($)]]</f>
        <v>-1.67448289236782E-2</v>
      </c>
      <c r="L1521" s="9">
        <f>(PricingDataTable[[#This Row],[Vendor Price ($)]]-PricingDataTable[[#This Row],[Current Price ($)]])/PricingDataTable[[#This Row],[Current Price ($)]]</f>
        <v>2.8164635247080179E-3</v>
      </c>
      <c r="M1521" t="str">
        <f t="shared" si="46"/>
        <v>PASS</v>
      </c>
      <c r="N1521" s="10" t="str">
        <f t="shared" si="47"/>
        <v>NONE</v>
      </c>
    </row>
    <row r="1522" spans="1:14">
      <c r="A1522" s="4" t="s">
        <v>3060</v>
      </c>
      <c r="B1522" s="4" t="s">
        <v>3061</v>
      </c>
      <c r="C1522" s="4" t="s">
        <v>39</v>
      </c>
      <c r="D1522" s="4" t="s">
        <v>13</v>
      </c>
      <c r="E1522" s="5">
        <v>101.5462</v>
      </c>
      <c r="F1522" s="5">
        <v>101.1752</v>
      </c>
      <c r="G1522" s="5">
        <v>101.5604</v>
      </c>
      <c r="H1522" s="4">
        <v>0</v>
      </c>
      <c r="I1522" s="6">
        <v>3720374</v>
      </c>
      <c r="J1522" s="7">
        <v>35.97</v>
      </c>
      <c r="K1522" s="9">
        <f>(PricingDataTable[[#This Row],[Current Price ($)]]-PricingDataTable[[#This Row],[Prior Price ($)]])/PricingDataTable[[#This Row],[Prior Price ($)]]</f>
        <v>-3.6535094370837621E-3</v>
      </c>
      <c r="L1522" s="9">
        <f>(PricingDataTable[[#This Row],[Vendor Price ($)]]-PricingDataTable[[#This Row],[Current Price ($)]])/PricingDataTable[[#This Row],[Current Price ($)]]</f>
        <v>3.8072571143916447E-3</v>
      </c>
      <c r="M1522" t="str">
        <f t="shared" si="46"/>
        <v>PASS</v>
      </c>
      <c r="N1522" s="10" t="str">
        <f t="shared" si="47"/>
        <v>NONE</v>
      </c>
    </row>
    <row r="1523" spans="1:14">
      <c r="A1523" s="4" t="s">
        <v>3062</v>
      </c>
      <c r="B1523" s="4" t="s">
        <v>3063</v>
      </c>
      <c r="C1523" s="4" t="s">
        <v>19</v>
      </c>
      <c r="D1523" s="4" t="s">
        <v>36</v>
      </c>
      <c r="E1523" s="5">
        <v>313.01440000000002</v>
      </c>
      <c r="F1523" s="5">
        <v>313.596</v>
      </c>
      <c r="G1523" s="5">
        <v>313.32310000000001</v>
      </c>
      <c r="H1523" s="4">
        <v>0</v>
      </c>
      <c r="I1523" s="6">
        <v>330992</v>
      </c>
      <c r="J1523" s="7">
        <v>17.079999999999998</v>
      </c>
      <c r="K1523" s="9">
        <f>(PricingDataTable[[#This Row],[Current Price ($)]]-PricingDataTable[[#This Row],[Prior Price ($)]])/PricingDataTable[[#This Row],[Prior Price ($)]]</f>
        <v>1.8580614821553907E-3</v>
      </c>
      <c r="L1523" s="9">
        <f>(PricingDataTable[[#This Row],[Vendor Price ($)]]-PricingDataTable[[#This Row],[Current Price ($)]])/PricingDataTable[[#This Row],[Current Price ($)]]</f>
        <v>-8.7022793658080076E-4</v>
      </c>
      <c r="M1523" t="str">
        <f t="shared" si="46"/>
        <v>PASS</v>
      </c>
      <c r="N1523" s="10" t="str">
        <f t="shared" si="47"/>
        <v>NONE</v>
      </c>
    </row>
    <row r="1524" spans="1:14">
      <c r="A1524" s="4" t="s">
        <v>3064</v>
      </c>
      <c r="B1524" s="4" t="s">
        <v>3065</v>
      </c>
      <c r="C1524" s="4" t="s">
        <v>19</v>
      </c>
      <c r="D1524" s="4" t="s">
        <v>32</v>
      </c>
      <c r="E1524" s="5">
        <v>36.865499999999997</v>
      </c>
      <c r="F1524" s="5">
        <v>36.946399999999997</v>
      </c>
      <c r="G1524" s="5">
        <v>37.051099999999998</v>
      </c>
      <c r="H1524" s="4">
        <v>0</v>
      </c>
      <c r="I1524" s="6">
        <v>729496</v>
      </c>
      <c r="J1524" s="7">
        <v>854.68</v>
      </c>
      <c r="K1524" s="9">
        <f>(PricingDataTable[[#This Row],[Current Price ($)]]-PricingDataTable[[#This Row],[Prior Price ($)]])/PricingDataTable[[#This Row],[Prior Price ($)]]</f>
        <v>2.1944636584340306E-3</v>
      </c>
      <c r="L1524" s="9">
        <f>(PricingDataTable[[#This Row],[Vendor Price ($)]]-PricingDataTable[[#This Row],[Current Price ($)]])/PricingDataTable[[#This Row],[Current Price ($)]]</f>
        <v>2.833834960916385E-3</v>
      </c>
      <c r="M1524" t="str">
        <f t="shared" si="46"/>
        <v>PASS</v>
      </c>
      <c r="N1524" s="10" t="str">
        <f t="shared" si="47"/>
        <v>NONE</v>
      </c>
    </row>
    <row r="1525" spans="1:14">
      <c r="A1525" s="4" t="s">
        <v>3066</v>
      </c>
      <c r="B1525" s="4" t="s">
        <v>3067</v>
      </c>
      <c r="C1525" s="4" t="s">
        <v>39</v>
      </c>
      <c r="D1525" s="4" t="s">
        <v>13</v>
      </c>
      <c r="E1525" s="5">
        <v>151.59620000000001</v>
      </c>
      <c r="F1525" s="5">
        <v>153.8082</v>
      </c>
      <c r="G1525" s="5">
        <v>153.8837</v>
      </c>
      <c r="H1525" s="4">
        <v>0</v>
      </c>
      <c r="I1525" s="6">
        <v>3507314</v>
      </c>
      <c r="J1525" s="7">
        <v>747.89</v>
      </c>
      <c r="K1525" s="9">
        <f>(PricingDataTable[[#This Row],[Current Price ($)]]-PricingDataTable[[#This Row],[Prior Price ($)]])/PricingDataTable[[#This Row],[Prior Price ($)]]</f>
        <v>1.4591394771108965E-2</v>
      </c>
      <c r="L1525" s="9">
        <f>(PricingDataTable[[#This Row],[Vendor Price ($)]]-PricingDataTable[[#This Row],[Current Price ($)]])/PricingDataTable[[#This Row],[Current Price ($)]]</f>
        <v>4.9087109789988594E-4</v>
      </c>
      <c r="M1525" t="str">
        <f t="shared" si="46"/>
        <v>PASS</v>
      </c>
      <c r="N1525" s="10" t="str">
        <f t="shared" si="47"/>
        <v>NONE</v>
      </c>
    </row>
    <row r="1526" spans="1:14">
      <c r="A1526" s="4" t="s">
        <v>3068</v>
      </c>
      <c r="B1526" s="4" t="s">
        <v>3069</v>
      </c>
      <c r="C1526" s="4" t="s">
        <v>35</v>
      </c>
      <c r="D1526" s="4" t="s">
        <v>64</v>
      </c>
      <c r="E1526" s="5">
        <v>71.584199999999996</v>
      </c>
      <c r="F1526" s="5">
        <v>71.791200000000003</v>
      </c>
      <c r="G1526" s="5">
        <v>75.400700000000001</v>
      </c>
      <c r="H1526" s="4">
        <v>0</v>
      </c>
      <c r="I1526" s="6">
        <v>3571281</v>
      </c>
      <c r="J1526" s="7">
        <v>593.20000000000005</v>
      </c>
      <c r="K1526" s="9">
        <f>(PricingDataTable[[#This Row],[Current Price ($)]]-PricingDataTable[[#This Row],[Prior Price ($)]])/PricingDataTable[[#This Row],[Prior Price ($)]]</f>
        <v>2.8916995649879143E-3</v>
      </c>
      <c r="L1526" s="9">
        <f>(PricingDataTable[[#This Row],[Vendor Price ($)]]-PricingDataTable[[#This Row],[Current Price ($)]])/PricingDataTable[[#This Row],[Current Price ($)]]</f>
        <v>5.0277749919210107E-2</v>
      </c>
      <c r="M1526" t="str">
        <f t="shared" si="46"/>
        <v>VENDOR DIFFERENCE</v>
      </c>
      <c r="N1526" s="10" t="str">
        <f t="shared" si="47"/>
        <v>HIGH</v>
      </c>
    </row>
    <row r="1527" spans="1:14">
      <c r="A1527" s="4" t="s">
        <v>3070</v>
      </c>
      <c r="B1527" s="4" t="s">
        <v>3071</v>
      </c>
      <c r="C1527" s="4" t="s">
        <v>19</v>
      </c>
      <c r="D1527" s="4" t="s">
        <v>64</v>
      </c>
      <c r="E1527" s="5">
        <v>75.793800000000005</v>
      </c>
      <c r="F1527" s="5">
        <v>75.6721</v>
      </c>
      <c r="G1527" s="5">
        <v>75.691299999999998</v>
      </c>
      <c r="H1527" s="4">
        <v>0</v>
      </c>
      <c r="I1527" s="6">
        <v>1152058</v>
      </c>
      <c r="J1527" s="7">
        <v>844.83</v>
      </c>
      <c r="K1527" s="9">
        <f>(PricingDataTable[[#This Row],[Current Price ($)]]-PricingDataTable[[#This Row],[Prior Price ($)]])/PricingDataTable[[#This Row],[Prior Price ($)]]</f>
        <v>-1.6056722317657134E-3</v>
      </c>
      <c r="L1527" s="9">
        <f>(PricingDataTable[[#This Row],[Vendor Price ($)]]-PricingDataTable[[#This Row],[Current Price ($)]])/PricingDataTable[[#This Row],[Current Price ($)]]</f>
        <v>2.5372627428071751E-4</v>
      </c>
      <c r="M1527" t="str">
        <f t="shared" si="46"/>
        <v>PASS</v>
      </c>
      <c r="N1527" s="10" t="str">
        <f t="shared" si="47"/>
        <v>NONE</v>
      </c>
    </row>
    <row r="1528" spans="1:14">
      <c r="A1528" s="4" t="s">
        <v>3072</v>
      </c>
      <c r="B1528" s="4" t="s">
        <v>3073</v>
      </c>
      <c r="C1528" s="4" t="s">
        <v>16</v>
      </c>
      <c r="D1528" s="4" t="s">
        <v>13</v>
      </c>
      <c r="E1528" s="5">
        <v>115.85639999999999</v>
      </c>
      <c r="F1528" s="5">
        <v>117.5774</v>
      </c>
      <c r="G1528" s="5">
        <v>117.9688</v>
      </c>
      <c r="H1528" s="4">
        <v>0</v>
      </c>
      <c r="I1528" s="6">
        <v>3526088</v>
      </c>
      <c r="J1528" s="7">
        <v>804.89</v>
      </c>
      <c r="K1528" s="9">
        <f>(PricingDataTable[[#This Row],[Current Price ($)]]-PricingDataTable[[#This Row],[Prior Price ($)]])/PricingDataTable[[#This Row],[Prior Price ($)]]</f>
        <v>1.4854595861773744E-2</v>
      </c>
      <c r="L1528" s="9">
        <f>(PricingDataTable[[#This Row],[Vendor Price ($)]]-PricingDataTable[[#This Row],[Current Price ($)]])/PricingDataTable[[#This Row],[Current Price ($)]]</f>
        <v>3.3288710245336639E-3</v>
      </c>
      <c r="M1528" t="str">
        <f t="shared" si="46"/>
        <v>PASS</v>
      </c>
      <c r="N1528" s="10" t="str">
        <f t="shared" si="47"/>
        <v>NONE</v>
      </c>
    </row>
    <row r="1529" spans="1:14">
      <c r="A1529" s="4" t="s">
        <v>3074</v>
      </c>
      <c r="B1529" s="4" t="s">
        <v>3075</v>
      </c>
      <c r="C1529" s="4" t="s">
        <v>39</v>
      </c>
      <c r="D1529" s="4" t="s">
        <v>13</v>
      </c>
      <c r="E1529" s="5">
        <v>93.844700000000003</v>
      </c>
      <c r="F1529" s="5">
        <v>93.430999999999997</v>
      </c>
      <c r="G1529" s="5">
        <v>93.809100000000001</v>
      </c>
      <c r="H1529" s="4">
        <v>0</v>
      </c>
      <c r="I1529" s="6">
        <v>2854644</v>
      </c>
      <c r="J1529" s="7">
        <v>90.26</v>
      </c>
      <c r="K1529" s="9">
        <f>(PricingDataTable[[#This Row],[Current Price ($)]]-PricingDataTable[[#This Row],[Prior Price ($)]])/PricingDataTable[[#This Row],[Prior Price ($)]]</f>
        <v>-4.4083469817688768E-3</v>
      </c>
      <c r="L1529" s="9">
        <f>(PricingDataTable[[#This Row],[Vendor Price ($)]]-PricingDataTable[[#This Row],[Current Price ($)]])/PricingDataTable[[#This Row],[Current Price ($)]]</f>
        <v>4.0468367030215176E-3</v>
      </c>
      <c r="M1529" t="str">
        <f t="shared" si="46"/>
        <v>PASS</v>
      </c>
      <c r="N1529" s="10" t="str">
        <f t="shared" si="47"/>
        <v>NONE</v>
      </c>
    </row>
    <row r="1530" spans="1:14">
      <c r="A1530" s="4" t="s">
        <v>3076</v>
      </c>
      <c r="B1530" s="4" t="s">
        <v>3077</v>
      </c>
      <c r="C1530" s="4" t="s">
        <v>19</v>
      </c>
      <c r="D1530" s="4" t="s">
        <v>13</v>
      </c>
      <c r="E1530" s="5">
        <v>297.411</v>
      </c>
      <c r="F1530" s="5">
        <v>294.05029999999999</v>
      </c>
      <c r="G1530" s="5">
        <v>293.27300000000002</v>
      </c>
      <c r="H1530" s="4">
        <v>0</v>
      </c>
      <c r="I1530" s="6">
        <v>3736416</v>
      </c>
      <c r="J1530" s="7">
        <v>277.02999999999997</v>
      </c>
      <c r="K1530" s="9">
        <f>(PricingDataTable[[#This Row],[Current Price ($)]]-PricingDataTable[[#This Row],[Prior Price ($)]])/PricingDataTable[[#This Row],[Prior Price ($)]]</f>
        <v>-1.1299851047876536E-2</v>
      </c>
      <c r="L1530" s="9">
        <f>(PricingDataTable[[#This Row],[Vendor Price ($)]]-PricingDataTable[[#This Row],[Current Price ($)]])/PricingDataTable[[#This Row],[Current Price ($)]]</f>
        <v>-2.6434252915231455E-3</v>
      </c>
      <c r="M1530" t="str">
        <f t="shared" si="46"/>
        <v>PASS</v>
      </c>
      <c r="N1530" s="10" t="str">
        <f t="shared" si="47"/>
        <v>NONE</v>
      </c>
    </row>
    <row r="1531" spans="1:14">
      <c r="A1531" s="4" t="s">
        <v>3078</v>
      </c>
      <c r="B1531" s="4" t="s">
        <v>3079</v>
      </c>
      <c r="C1531" s="4" t="s">
        <v>39</v>
      </c>
      <c r="D1531" s="4" t="s">
        <v>13</v>
      </c>
      <c r="E1531" s="5">
        <v>99.884500000000003</v>
      </c>
      <c r="F1531" s="5">
        <v>98.909099999999995</v>
      </c>
      <c r="G1531" s="5">
        <v>99.025700000000001</v>
      </c>
      <c r="H1531" s="4">
        <v>0</v>
      </c>
      <c r="I1531" s="6">
        <v>91431</v>
      </c>
      <c r="J1531" s="7">
        <v>149.12</v>
      </c>
      <c r="K1531" s="9">
        <f>(PricingDataTable[[#This Row],[Current Price ($)]]-PricingDataTable[[#This Row],[Prior Price ($)]])/PricingDataTable[[#This Row],[Prior Price ($)]]</f>
        <v>-9.7652788971262557E-3</v>
      </c>
      <c r="L1531" s="9">
        <f>(PricingDataTable[[#This Row],[Vendor Price ($)]]-PricingDataTable[[#This Row],[Current Price ($)]])/PricingDataTable[[#This Row],[Current Price ($)]]</f>
        <v>1.1788601857665813E-3</v>
      </c>
      <c r="M1531" t="str">
        <f t="shared" si="46"/>
        <v>PASS</v>
      </c>
      <c r="N1531" s="10" t="str">
        <f t="shared" si="47"/>
        <v>NONE</v>
      </c>
    </row>
    <row r="1532" spans="1:14">
      <c r="A1532" s="4" t="s">
        <v>3080</v>
      </c>
      <c r="B1532" s="4" t="s">
        <v>3081</v>
      </c>
      <c r="C1532" s="4" t="s">
        <v>16</v>
      </c>
      <c r="D1532" s="4" t="s">
        <v>13</v>
      </c>
      <c r="E1532" s="5">
        <v>117.1033</v>
      </c>
      <c r="F1532" s="5">
        <v>118.2777</v>
      </c>
      <c r="G1532" s="5">
        <v>118.6219</v>
      </c>
      <c r="H1532" s="4">
        <v>0</v>
      </c>
      <c r="I1532" s="6">
        <v>2234218</v>
      </c>
      <c r="J1532" s="7">
        <v>57.08</v>
      </c>
      <c r="K1532" s="9">
        <f>(PricingDataTable[[#This Row],[Current Price ($)]]-PricingDataTable[[#This Row],[Prior Price ($)]])/PricingDataTable[[#This Row],[Prior Price ($)]]</f>
        <v>1.002875239211868E-2</v>
      </c>
      <c r="L1532" s="9">
        <f>(PricingDataTable[[#This Row],[Vendor Price ($)]]-PricingDataTable[[#This Row],[Current Price ($)]])/PricingDataTable[[#This Row],[Current Price ($)]]</f>
        <v>2.9101005514987248E-3</v>
      </c>
      <c r="M1532" t="str">
        <f t="shared" si="46"/>
        <v>PASS</v>
      </c>
      <c r="N1532" s="10" t="str">
        <f t="shared" si="47"/>
        <v>NONE</v>
      </c>
    </row>
    <row r="1533" spans="1:14">
      <c r="A1533" s="4" t="s">
        <v>3082</v>
      </c>
      <c r="B1533" s="4" t="s">
        <v>3083</v>
      </c>
      <c r="C1533" s="4" t="s">
        <v>12</v>
      </c>
      <c r="D1533" s="4" t="s">
        <v>13</v>
      </c>
      <c r="E1533" s="5">
        <v>118.71980000000001</v>
      </c>
      <c r="F1533" s="5">
        <v>117.8515</v>
      </c>
      <c r="G1533" s="5">
        <v>117.63379999999999</v>
      </c>
      <c r="H1533" s="4">
        <v>0</v>
      </c>
      <c r="I1533" s="6">
        <v>4949996</v>
      </c>
      <c r="J1533" s="7">
        <v>543.14</v>
      </c>
      <c r="K1533" s="9">
        <f>(PricingDataTable[[#This Row],[Current Price ($)]]-PricingDataTable[[#This Row],[Prior Price ($)]])/PricingDataTable[[#This Row],[Prior Price ($)]]</f>
        <v>-7.3138600300876929E-3</v>
      </c>
      <c r="L1533" s="9">
        <f>(PricingDataTable[[#This Row],[Vendor Price ($)]]-PricingDataTable[[#This Row],[Current Price ($)]])/PricingDataTable[[#This Row],[Current Price ($)]]</f>
        <v>-1.8472399587617279E-3</v>
      </c>
      <c r="M1533" t="str">
        <f t="shared" si="46"/>
        <v>PASS</v>
      </c>
      <c r="N1533" s="10" t="str">
        <f t="shared" si="47"/>
        <v>NONE</v>
      </c>
    </row>
    <row r="1534" spans="1:14">
      <c r="A1534" s="4" t="s">
        <v>3084</v>
      </c>
      <c r="B1534" s="4" t="s">
        <v>3085</v>
      </c>
      <c r="C1534" s="4" t="s">
        <v>39</v>
      </c>
      <c r="D1534" s="4" t="s">
        <v>13</v>
      </c>
      <c r="E1534" s="5">
        <v>34.557200000000002</v>
      </c>
      <c r="F1534" s="5">
        <v>34.494700000000002</v>
      </c>
      <c r="G1534" s="5">
        <v>34.465499999999999</v>
      </c>
      <c r="H1534" s="4">
        <v>0</v>
      </c>
      <c r="I1534" s="6">
        <v>4238831</v>
      </c>
      <c r="J1534" s="7">
        <v>860.58</v>
      </c>
      <c r="K1534" s="9">
        <f>(PricingDataTable[[#This Row],[Current Price ($)]]-PricingDataTable[[#This Row],[Prior Price ($)]])/PricingDataTable[[#This Row],[Prior Price ($)]]</f>
        <v>-1.8085956038104939E-3</v>
      </c>
      <c r="L1534" s="9">
        <f>(PricingDataTable[[#This Row],[Vendor Price ($)]]-PricingDataTable[[#This Row],[Current Price ($)]])/PricingDataTable[[#This Row],[Current Price ($)]]</f>
        <v>-8.4650685467631259E-4</v>
      </c>
      <c r="M1534" t="str">
        <f t="shared" si="46"/>
        <v>PASS</v>
      </c>
      <c r="N1534" s="10" t="str">
        <f t="shared" si="47"/>
        <v>NONE</v>
      </c>
    </row>
    <row r="1535" spans="1:14">
      <c r="A1535" s="4" t="s">
        <v>3086</v>
      </c>
      <c r="B1535" s="4" t="s">
        <v>3087</v>
      </c>
      <c r="C1535" s="4" t="s">
        <v>19</v>
      </c>
      <c r="D1535" s="4" t="s">
        <v>13</v>
      </c>
      <c r="E1535" s="5">
        <v>143.4933</v>
      </c>
      <c r="F1535" s="5">
        <v>141.96950000000001</v>
      </c>
      <c r="G1535" s="5">
        <v>142.34559999999999</v>
      </c>
      <c r="H1535" s="4">
        <v>2</v>
      </c>
      <c r="I1535" s="6">
        <v>3474670</v>
      </c>
      <c r="J1535" s="7">
        <v>764.2</v>
      </c>
      <c r="K1535" s="9">
        <f>(PricingDataTable[[#This Row],[Current Price ($)]]-PricingDataTable[[#This Row],[Prior Price ($)]])/PricingDataTable[[#This Row],[Prior Price ($)]]</f>
        <v>-1.0619311145537765E-2</v>
      </c>
      <c r="L1535" s="9">
        <f>(PricingDataTable[[#This Row],[Vendor Price ($)]]-PricingDataTable[[#This Row],[Current Price ($)]])/PricingDataTable[[#This Row],[Current Price ($)]]</f>
        <v>2.649160559134037E-3</v>
      </c>
      <c r="M1535" t="str">
        <f t="shared" si="46"/>
        <v>PASS</v>
      </c>
      <c r="N1535" s="10" t="str">
        <f t="shared" si="47"/>
        <v>NONE</v>
      </c>
    </row>
    <row r="1536" spans="1:14">
      <c r="A1536" s="4" t="s">
        <v>3088</v>
      </c>
      <c r="B1536" s="4" t="s">
        <v>3089</v>
      </c>
      <c r="C1536" s="4" t="s">
        <v>39</v>
      </c>
      <c r="D1536" s="4" t="s">
        <v>13</v>
      </c>
      <c r="E1536" s="5">
        <v>324.21879999999999</v>
      </c>
      <c r="F1536" s="5">
        <v>329.74700000000001</v>
      </c>
      <c r="G1536" s="5">
        <v>328.74360000000001</v>
      </c>
      <c r="H1536" s="4">
        <v>1</v>
      </c>
      <c r="I1536" s="6">
        <v>4793020</v>
      </c>
      <c r="J1536" s="7">
        <v>30.4</v>
      </c>
      <c r="K1536" s="9">
        <f>(PricingDataTable[[#This Row],[Current Price ($)]]-PricingDataTable[[#This Row],[Prior Price ($)]])/PricingDataTable[[#This Row],[Prior Price ($)]]</f>
        <v>1.7050831105414083E-2</v>
      </c>
      <c r="L1536" s="9">
        <f>(PricingDataTable[[#This Row],[Vendor Price ($)]]-PricingDataTable[[#This Row],[Current Price ($)]])/PricingDataTable[[#This Row],[Current Price ($)]]</f>
        <v>-3.0429389804911013E-3</v>
      </c>
      <c r="M1536" t="str">
        <f t="shared" si="46"/>
        <v>PASS</v>
      </c>
      <c r="N1536" s="10" t="str">
        <f t="shared" si="47"/>
        <v>NONE</v>
      </c>
    </row>
    <row r="1537" spans="1:14">
      <c r="A1537" s="4" t="s">
        <v>3090</v>
      </c>
      <c r="B1537" s="4" t="s">
        <v>3091</v>
      </c>
      <c r="C1537" s="4" t="s">
        <v>16</v>
      </c>
      <c r="D1537" s="4" t="s">
        <v>36</v>
      </c>
      <c r="E1537" s="5">
        <v>83.346900000000005</v>
      </c>
      <c r="F1537" s="5">
        <v>83.429400000000001</v>
      </c>
      <c r="G1537" s="5">
        <v>83.398200000000003</v>
      </c>
      <c r="H1537" s="4">
        <v>1</v>
      </c>
      <c r="I1537" s="6">
        <v>3231106</v>
      </c>
      <c r="J1537" s="7">
        <v>18.59</v>
      </c>
      <c r="K1537" s="9">
        <f>(PricingDataTable[[#This Row],[Current Price ($)]]-PricingDataTable[[#This Row],[Prior Price ($)]])/PricingDataTable[[#This Row],[Prior Price ($)]]</f>
        <v>9.8983885423448289E-4</v>
      </c>
      <c r="L1537" s="9">
        <f>(PricingDataTable[[#This Row],[Vendor Price ($)]]-PricingDataTable[[#This Row],[Current Price ($)]])/PricingDataTable[[#This Row],[Current Price ($)]]</f>
        <v>-3.7396888866512691E-4</v>
      </c>
      <c r="M1537" t="str">
        <f t="shared" si="46"/>
        <v>PASS</v>
      </c>
      <c r="N1537" s="10" t="str">
        <f t="shared" si="47"/>
        <v>NONE</v>
      </c>
    </row>
    <row r="1538" spans="1:14">
      <c r="A1538" s="4" t="s">
        <v>3092</v>
      </c>
      <c r="B1538" s="4" t="s">
        <v>3093</v>
      </c>
      <c r="C1538" s="4" t="s">
        <v>16</v>
      </c>
      <c r="D1538" s="4" t="s">
        <v>64</v>
      </c>
      <c r="E1538" s="5">
        <v>76.663300000000007</v>
      </c>
      <c r="F1538" s="5">
        <v>77.197199999999995</v>
      </c>
      <c r="G1538" s="5">
        <v>77.098799999999997</v>
      </c>
      <c r="H1538" s="4">
        <v>0</v>
      </c>
      <c r="I1538" s="6">
        <v>3325892</v>
      </c>
      <c r="J1538" s="7">
        <v>434.85</v>
      </c>
      <c r="K1538" s="9">
        <f>(PricingDataTable[[#This Row],[Current Price ($)]]-PricingDataTable[[#This Row],[Prior Price ($)]])/PricingDataTable[[#This Row],[Prior Price ($)]]</f>
        <v>6.964218863523856E-3</v>
      </c>
      <c r="L1538" s="9">
        <f>(PricingDataTable[[#This Row],[Vendor Price ($)]]-PricingDataTable[[#This Row],[Current Price ($)]])/PricingDataTable[[#This Row],[Current Price ($)]]</f>
        <v>-1.2746576300694591E-3</v>
      </c>
      <c r="M1538" t="str">
        <f t="shared" ref="M1538:M1601" si="48">IF(OR(F1538="",F1538=0),"MISSING",IF(H1538&gt;=3,"STALE",IF(ABS(K1538)&gt;=5%,"LARGE MOVE",IF(ABS(L1538)&gt;=2%,"VENDOR DIFFERENCE","PASS"))))</f>
        <v>PASS</v>
      </c>
      <c r="N1538" s="10" t="str">
        <f t="shared" ref="N1538:N1601" si="49">IF(M1538="PASS","NONE",IF(M1538="MISSING","HIGH",IF(OR(ABS(K1538)&gt;=10%,ABS(L1538)&gt;=5%),"HIGH",IF(OR(ABS(K1538)&gt;=7%,ABS(L1538)&gt;=3%,H1538&gt;=5),"MEDIUM","LOW"))))</f>
        <v>NONE</v>
      </c>
    </row>
    <row r="1539" spans="1:14">
      <c r="A1539" s="4" t="s">
        <v>3094</v>
      </c>
      <c r="B1539" s="4" t="s">
        <v>3095</v>
      </c>
      <c r="C1539" s="4" t="s">
        <v>19</v>
      </c>
      <c r="D1539" s="4" t="s">
        <v>13</v>
      </c>
      <c r="E1539" s="5">
        <v>247.6883</v>
      </c>
      <c r="F1539" s="5">
        <v>248.83340000000001</v>
      </c>
      <c r="G1539" s="5">
        <v>248.5883</v>
      </c>
      <c r="H1539" s="4">
        <v>0</v>
      </c>
      <c r="I1539" s="6">
        <v>4821396</v>
      </c>
      <c r="J1539" s="7">
        <v>578.21</v>
      </c>
      <c r="K1539" s="9">
        <f>(PricingDataTable[[#This Row],[Current Price ($)]]-PricingDataTable[[#This Row],[Prior Price ($)]])/PricingDataTable[[#This Row],[Prior Price ($)]]</f>
        <v>4.6231493372921274E-3</v>
      </c>
      <c r="L1539" s="9">
        <f>(PricingDataTable[[#This Row],[Vendor Price ($)]]-PricingDataTable[[#This Row],[Current Price ($)]])/PricingDataTable[[#This Row],[Current Price ($)]]</f>
        <v>-9.8499638714098607E-4</v>
      </c>
      <c r="M1539" t="str">
        <f t="shared" si="48"/>
        <v>PASS</v>
      </c>
      <c r="N1539" s="10" t="str">
        <f t="shared" si="49"/>
        <v>NONE</v>
      </c>
    </row>
    <row r="1540" spans="1:14">
      <c r="A1540" s="4" t="s">
        <v>3096</v>
      </c>
      <c r="B1540" s="4" t="s">
        <v>3097</v>
      </c>
      <c r="C1540" s="4" t="s">
        <v>19</v>
      </c>
      <c r="D1540" s="4" t="s">
        <v>13</v>
      </c>
      <c r="E1540" s="5">
        <v>181.76519999999999</v>
      </c>
      <c r="F1540" s="5">
        <v>179.81829999999999</v>
      </c>
      <c r="G1540" s="5">
        <v>179.79689999999999</v>
      </c>
      <c r="H1540" s="4">
        <v>0</v>
      </c>
      <c r="I1540" s="6">
        <v>1722729</v>
      </c>
      <c r="J1540" s="7">
        <v>515.46</v>
      </c>
      <c r="K1540" s="9">
        <f>(PricingDataTable[[#This Row],[Current Price ($)]]-PricingDataTable[[#This Row],[Prior Price ($)]])/PricingDataTable[[#This Row],[Prior Price ($)]]</f>
        <v>-1.071107120614947E-2</v>
      </c>
      <c r="L1540" s="9">
        <f>(PricingDataTable[[#This Row],[Vendor Price ($)]]-PricingDataTable[[#This Row],[Current Price ($)]])/PricingDataTable[[#This Row],[Current Price ($)]]</f>
        <v>-1.1900902188486858E-4</v>
      </c>
      <c r="M1540" t="str">
        <f t="shared" si="48"/>
        <v>PASS</v>
      </c>
      <c r="N1540" s="10" t="str">
        <f t="shared" si="49"/>
        <v>NONE</v>
      </c>
    </row>
    <row r="1541" spans="1:14">
      <c r="A1541" s="4" t="s">
        <v>3098</v>
      </c>
      <c r="B1541" s="4" t="s">
        <v>3099</v>
      </c>
      <c r="C1541" s="4" t="s">
        <v>12</v>
      </c>
      <c r="D1541" s="4" t="s">
        <v>13</v>
      </c>
      <c r="E1541" s="5">
        <v>100.75190000000001</v>
      </c>
      <c r="F1541" s="5">
        <v>99.020799999999994</v>
      </c>
      <c r="G1541" s="5">
        <v>98.631699999999995</v>
      </c>
      <c r="H1541" s="4">
        <v>0</v>
      </c>
      <c r="I1541" s="6">
        <v>2707608</v>
      </c>
      <c r="J1541" s="7">
        <v>763.37</v>
      </c>
      <c r="K1541" s="9">
        <f>(PricingDataTable[[#This Row],[Current Price ($)]]-PricingDataTable[[#This Row],[Prior Price ($)]])/PricingDataTable[[#This Row],[Prior Price ($)]]</f>
        <v>-1.7181809970829454E-2</v>
      </c>
      <c r="L1541" s="9">
        <f>(PricingDataTable[[#This Row],[Vendor Price ($)]]-PricingDataTable[[#This Row],[Current Price ($)]])/PricingDataTable[[#This Row],[Current Price ($)]]</f>
        <v>-3.9294774431230519E-3</v>
      </c>
      <c r="M1541" t="str">
        <f t="shared" si="48"/>
        <v>PASS</v>
      </c>
      <c r="N1541" s="10" t="str">
        <f t="shared" si="49"/>
        <v>NONE</v>
      </c>
    </row>
    <row r="1542" spans="1:14">
      <c r="A1542" s="4" t="s">
        <v>3100</v>
      </c>
      <c r="B1542" s="4" t="s">
        <v>3101</v>
      </c>
      <c r="C1542" s="4" t="s">
        <v>12</v>
      </c>
      <c r="D1542" s="4" t="s">
        <v>13</v>
      </c>
      <c r="E1542" s="5">
        <v>80.897400000000005</v>
      </c>
      <c r="F1542" s="5">
        <v>80.169600000000003</v>
      </c>
      <c r="G1542" s="5">
        <v>80.221500000000006</v>
      </c>
      <c r="H1542" s="4">
        <v>1</v>
      </c>
      <c r="I1542" s="6">
        <v>3715323</v>
      </c>
      <c r="J1542" s="7">
        <v>26.96</v>
      </c>
      <c r="K1542" s="9">
        <f>(PricingDataTable[[#This Row],[Current Price ($)]]-PricingDataTable[[#This Row],[Prior Price ($)]])/PricingDataTable[[#This Row],[Prior Price ($)]]</f>
        <v>-8.9965808542672807E-3</v>
      </c>
      <c r="L1542" s="9">
        <f>(PricingDataTable[[#This Row],[Vendor Price ($)]]-PricingDataTable[[#This Row],[Current Price ($)]])/PricingDataTable[[#This Row],[Current Price ($)]]</f>
        <v>6.4737755957374593E-4</v>
      </c>
      <c r="M1542" t="str">
        <f t="shared" si="48"/>
        <v>PASS</v>
      </c>
      <c r="N1542" s="10" t="str">
        <f t="shared" si="49"/>
        <v>NONE</v>
      </c>
    </row>
    <row r="1543" spans="1:14">
      <c r="A1543" s="4" t="s">
        <v>3102</v>
      </c>
      <c r="B1543" s="4" t="s">
        <v>3103</v>
      </c>
      <c r="C1543" s="4" t="s">
        <v>19</v>
      </c>
      <c r="D1543" s="4" t="s">
        <v>13</v>
      </c>
      <c r="E1543" s="5">
        <v>31.847000000000001</v>
      </c>
      <c r="F1543" s="5">
        <v>31.888000000000002</v>
      </c>
      <c r="G1543" s="5">
        <v>31.762799999999999</v>
      </c>
      <c r="H1543" s="4">
        <v>0</v>
      </c>
      <c r="I1543" s="6">
        <v>4877753</v>
      </c>
      <c r="J1543" s="7">
        <v>159.74</v>
      </c>
      <c r="K1543" s="9">
        <f>(PricingDataTable[[#This Row],[Current Price ($)]]-PricingDataTable[[#This Row],[Prior Price ($)]])/PricingDataTable[[#This Row],[Prior Price ($)]]</f>
        <v>1.2874054071027215E-3</v>
      </c>
      <c r="L1543" s="9">
        <f>(PricingDataTable[[#This Row],[Vendor Price ($)]]-PricingDataTable[[#This Row],[Current Price ($)]])/PricingDataTable[[#This Row],[Current Price ($)]]</f>
        <v>-3.9262418464627155E-3</v>
      </c>
      <c r="M1543" t="str">
        <f t="shared" si="48"/>
        <v>PASS</v>
      </c>
      <c r="N1543" s="10" t="str">
        <f t="shared" si="49"/>
        <v>NONE</v>
      </c>
    </row>
    <row r="1544" spans="1:14">
      <c r="A1544" s="4" t="s">
        <v>3104</v>
      </c>
      <c r="B1544" s="4" t="s">
        <v>3105</v>
      </c>
      <c r="C1544" s="4" t="s">
        <v>19</v>
      </c>
      <c r="D1544" s="4" t="s">
        <v>237</v>
      </c>
      <c r="E1544" s="5">
        <v>287.20920000000001</v>
      </c>
      <c r="F1544" s="5">
        <v>290.83609999999999</v>
      </c>
      <c r="G1544" s="5">
        <v>290.40750000000003</v>
      </c>
      <c r="H1544" s="4">
        <v>0</v>
      </c>
      <c r="I1544" s="6">
        <v>1958736</v>
      </c>
      <c r="J1544" s="7">
        <v>417.39</v>
      </c>
      <c r="K1544" s="9">
        <f>(PricingDataTable[[#This Row],[Current Price ($)]]-PricingDataTable[[#This Row],[Prior Price ($)]])/PricingDataTable[[#This Row],[Prior Price ($)]]</f>
        <v>1.262807737356595E-2</v>
      </c>
      <c r="L1544" s="9">
        <f>(PricingDataTable[[#This Row],[Vendor Price ($)]]-PricingDataTable[[#This Row],[Current Price ($)]])/PricingDataTable[[#This Row],[Current Price ($)]]</f>
        <v>-1.4736822560884304E-3</v>
      </c>
      <c r="M1544" t="str">
        <f t="shared" si="48"/>
        <v>PASS</v>
      </c>
      <c r="N1544" s="10" t="str">
        <f t="shared" si="49"/>
        <v>NONE</v>
      </c>
    </row>
    <row r="1545" spans="1:14">
      <c r="A1545" s="4" t="s">
        <v>3106</v>
      </c>
      <c r="B1545" s="4" t="s">
        <v>3107</v>
      </c>
      <c r="C1545" s="4" t="s">
        <v>16</v>
      </c>
      <c r="D1545" s="4" t="s">
        <v>64</v>
      </c>
      <c r="E1545" s="5">
        <v>90.397999999999996</v>
      </c>
      <c r="F1545" s="5">
        <v>90.311899999999994</v>
      </c>
      <c r="G1545" s="5">
        <v>90.587199999999996</v>
      </c>
      <c r="H1545" s="4">
        <v>1</v>
      </c>
      <c r="I1545" s="6">
        <v>1967436</v>
      </c>
      <c r="J1545" s="7">
        <v>875.23</v>
      </c>
      <c r="K1545" s="9">
        <f>(PricingDataTable[[#This Row],[Current Price ($)]]-PricingDataTable[[#This Row],[Prior Price ($)]])/PricingDataTable[[#This Row],[Prior Price ($)]]</f>
        <v>-9.524547003252489E-4</v>
      </c>
      <c r="L1545" s="9">
        <f>(PricingDataTable[[#This Row],[Vendor Price ($)]]-PricingDataTable[[#This Row],[Current Price ($)]])/PricingDataTable[[#This Row],[Current Price ($)]]</f>
        <v>3.048324750116003E-3</v>
      </c>
      <c r="M1545" t="str">
        <f t="shared" si="48"/>
        <v>PASS</v>
      </c>
      <c r="N1545" s="10" t="str">
        <f t="shared" si="49"/>
        <v>NONE</v>
      </c>
    </row>
    <row r="1546" spans="1:14">
      <c r="A1546" s="4" t="s">
        <v>3108</v>
      </c>
      <c r="B1546" s="4" t="s">
        <v>3109</v>
      </c>
      <c r="C1546" s="4" t="s">
        <v>35</v>
      </c>
      <c r="D1546" s="4" t="s">
        <v>13</v>
      </c>
      <c r="E1546" s="5">
        <v>178.1429</v>
      </c>
      <c r="F1546" s="5">
        <v>177.80410000000001</v>
      </c>
      <c r="G1546" s="5">
        <v>177.7414</v>
      </c>
      <c r="H1546" s="4">
        <v>0</v>
      </c>
      <c r="I1546" s="6">
        <v>3191870</v>
      </c>
      <c r="J1546" s="7">
        <v>539.01</v>
      </c>
      <c r="K1546" s="9">
        <f>(PricingDataTable[[#This Row],[Current Price ($)]]-PricingDataTable[[#This Row],[Prior Price ($)]])/PricingDataTable[[#This Row],[Prior Price ($)]]</f>
        <v>-1.9018439690832022E-3</v>
      </c>
      <c r="L1546" s="9">
        <f>(PricingDataTable[[#This Row],[Vendor Price ($)]]-PricingDataTable[[#This Row],[Current Price ($)]])/PricingDataTable[[#This Row],[Current Price ($)]]</f>
        <v>-3.5263528793771703E-4</v>
      </c>
      <c r="M1546" t="str">
        <f t="shared" si="48"/>
        <v>PASS</v>
      </c>
      <c r="N1546" s="10" t="str">
        <f t="shared" si="49"/>
        <v>NONE</v>
      </c>
    </row>
    <row r="1547" spans="1:14">
      <c r="A1547" s="4" t="s">
        <v>3110</v>
      </c>
      <c r="B1547" s="4" t="s">
        <v>3111</v>
      </c>
      <c r="C1547" s="4" t="s">
        <v>19</v>
      </c>
      <c r="D1547" s="4" t="s">
        <v>13</v>
      </c>
      <c r="E1547" s="5">
        <v>72.929000000000002</v>
      </c>
      <c r="F1547" s="5">
        <v>70.956199999999995</v>
      </c>
      <c r="G1547" s="5">
        <v>71.481099999999998</v>
      </c>
      <c r="H1547" s="4">
        <v>0</v>
      </c>
      <c r="I1547" s="6">
        <v>2332496</v>
      </c>
      <c r="J1547" s="7">
        <v>592.89</v>
      </c>
      <c r="K1547" s="9">
        <f>(PricingDataTable[[#This Row],[Current Price ($)]]-PricingDataTable[[#This Row],[Prior Price ($)]])/PricingDataTable[[#This Row],[Prior Price ($)]]</f>
        <v>-2.7050967379231943E-2</v>
      </c>
      <c r="L1547" s="9">
        <f>(PricingDataTable[[#This Row],[Vendor Price ($)]]-PricingDataTable[[#This Row],[Current Price ($)]])/PricingDataTable[[#This Row],[Current Price ($)]]</f>
        <v>7.3975212877803826E-3</v>
      </c>
      <c r="M1547" t="str">
        <f t="shared" si="48"/>
        <v>PASS</v>
      </c>
      <c r="N1547" s="10" t="str">
        <f t="shared" si="49"/>
        <v>NONE</v>
      </c>
    </row>
    <row r="1548" spans="1:14">
      <c r="A1548" s="4" t="s">
        <v>3112</v>
      </c>
      <c r="B1548" s="4" t="s">
        <v>3113</v>
      </c>
      <c r="C1548" s="4" t="s">
        <v>12</v>
      </c>
      <c r="D1548" s="4" t="s">
        <v>32</v>
      </c>
      <c r="E1548" s="5">
        <v>109.68689999999999</v>
      </c>
      <c r="F1548" s="5">
        <v>109.9147</v>
      </c>
      <c r="G1548" s="5"/>
      <c r="H1548" s="4">
        <v>0</v>
      </c>
      <c r="I1548" s="6">
        <v>3162709</v>
      </c>
      <c r="J1548" s="7">
        <v>858.47</v>
      </c>
      <c r="K1548" s="9">
        <f>(PricingDataTable[[#This Row],[Current Price ($)]]-PricingDataTable[[#This Row],[Prior Price ($)]])/PricingDataTable[[#This Row],[Prior Price ($)]]</f>
        <v>2.0768204771946515E-3</v>
      </c>
      <c r="L1548" s="9">
        <f>(PricingDataTable[[#This Row],[Vendor Price ($)]]-PricingDataTable[[#This Row],[Current Price ($)]])/PricingDataTable[[#This Row],[Current Price ($)]]</f>
        <v>-1</v>
      </c>
      <c r="M1548" t="str">
        <f t="shared" si="48"/>
        <v>VENDOR DIFFERENCE</v>
      </c>
      <c r="N1548" s="10" t="str">
        <f t="shared" si="49"/>
        <v>HIGH</v>
      </c>
    </row>
    <row r="1549" spans="1:14">
      <c r="A1549" s="4" t="s">
        <v>3114</v>
      </c>
      <c r="B1549" s="4" t="s">
        <v>3115</v>
      </c>
      <c r="C1549" s="4" t="s">
        <v>12</v>
      </c>
      <c r="D1549" s="4" t="s">
        <v>13</v>
      </c>
      <c r="E1549" s="5">
        <v>107.26</v>
      </c>
      <c r="F1549" s="5">
        <v>105.3659</v>
      </c>
      <c r="G1549" s="5">
        <v>105.11060000000001</v>
      </c>
      <c r="H1549" s="4">
        <v>0</v>
      </c>
      <c r="I1549" s="6">
        <v>4874099</v>
      </c>
      <c r="J1549" s="7">
        <v>828.92</v>
      </c>
      <c r="K1549" s="9">
        <f>(PricingDataTable[[#This Row],[Current Price ($)]]-PricingDataTable[[#This Row],[Prior Price ($)]])/PricingDataTable[[#This Row],[Prior Price ($)]]</f>
        <v>-1.7658959537572336E-2</v>
      </c>
      <c r="L1549" s="9">
        <f>(PricingDataTable[[#This Row],[Vendor Price ($)]]-PricingDataTable[[#This Row],[Current Price ($)]])/PricingDataTable[[#This Row],[Current Price ($)]]</f>
        <v>-2.4229850454463085E-3</v>
      </c>
      <c r="M1549" t="str">
        <f t="shared" si="48"/>
        <v>PASS</v>
      </c>
      <c r="N1549" s="10" t="str">
        <f t="shared" si="49"/>
        <v>NONE</v>
      </c>
    </row>
    <row r="1550" spans="1:14">
      <c r="A1550" s="4" t="s">
        <v>3116</v>
      </c>
      <c r="B1550" s="4" t="s">
        <v>3117</v>
      </c>
      <c r="C1550" s="4" t="s">
        <v>35</v>
      </c>
      <c r="D1550" s="4" t="s">
        <v>13</v>
      </c>
      <c r="E1550" s="5">
        <v>18.581299999999999</v>
      </c>
      <c r="F1550" s="5">
        <v>19.109400000000001</v>
      </c>
      <c r="G1550" s="5">
        <v>19.110700000000001</v>
      </c>
      <c r="H1550" s="4">
        <v>0</v>
      </c>
      <c r="I1550" s="6">
        <v>2503689</v>
      </c>
      <c r="J1550" s="7">
        <v>38.47</v>
      </c>
      <c r="K1550" s="9">
        <f>(PricingDataTable[[#This Row],[Current Price ($)]]-PricingDataTable[[#This Row],[Prior Price ($)]])/PricingDataTable[[#This Row],[Prior Price ($)]]</f>
        <v>2.8421046966574031E-2</v>
      </c>
      <c r="L1550" s="9">
        <f>(PricingDataTable[[#This Row],[Vendor Price ($)]]-PricingDataTable[[#This Row],[Current Price ($)]])/PricingDataTable[[#This Row],[Current Price ($)]]</f>
        <v>6.8029346813637415E-5</v>
      </c>
      <c r="M1550" t="str">
        <f t="shared" si="48"/>
        <v>PASS</v>
      </c>
      <c r="N1550" s="10" t="str">
        <f t="shared" si="49"/>
        <v>NONE</v>
      </c>
    </row>
    <row r="1551" spans="1:14">
      <c r="A1551" s="4" t="s">
        <v>3118</v>
      </c>
      <c r="B1551" s="4" t="s">
        <v>3119</v>
      </c>
      <c r="C1551" s="4" t="s">
        <v>19</v>
      </c>
      <c r="D1551" s="4" t="s">
        <v>13</v>
      </c>
      <c r="E1551" s="5">
        <v>18.7544</v>
      </c>
      <c r="F1551" s="5">
        <v>18.468</v>
      </c>
      <c r="G1551" s="5">
        <v>18.382100000000001</v>
      </c>
      <c r="H1551" s="4">
        <v>0</v>
      </c>
      <c r="I1551" s="6">
        <v>3479077</v>
      </c>
      <c r="J1551" s="7">
        <v>495.33</v>
      </c>
      <c r="K1551" s="9">
        <f>(PricingDataTable[[#This Row],[Current Price ($)]]-PricingDataTable[[#This Row],[Prior Price ($)]])/PricingDataTable[[#This Row],[Prior Price ($)]]</f>
        <v>-1.5271083052510367E-2</v>
      </c>
      <c r="L1551" s="9">
        <f>(PricingDataTable[[#This Row],[Vendor Price ($)]]-PricingDataTable[[#This Row],[Current Price ($)]])/PricingDataTable[[#This Row],[Current Price ($)]]</f>
        <v>-4.651288715616134E-3</v>
      </c>
      <c r="M1551" t="str">
        <f t="shared" si="48"/>
        <v>PASS</v>
      </c>
      <c r="N1551" s="10" t="str">
        <f t="shared" si="49"/>
        <v>NONE</v>
      </c>
    </row>
    <row r="1552" spans="1:14">
      <c r="A1552" s="4" t="s">
        <v>3120</v>
      </c>
      <c r="B1552" s="4" t="s">
        <v>3121</v>
      </c>
      <c r="C1552" s="4" t="s">
        <v>39</v>
      </c>
      <c r="D1552" s="4" t="s">
        <v>64</v>
      </c>
      <c r="E1552" s="5">
        <v>119.5772</v>
      </c>
      <c r="F1552" s="5">
        <v>105.0934</v>
      </c>
      <c r="G1552" s="5">
        <v>104.9406</v>
      </c>
      <c r="H1552" s="4">
        <v>4</v>
      </c>
      <c r="I1552" s="6">
        <v>3917864</v>
      </c>
      <c r="J1552" s="7">
        <v>568.29</v>
      </c>
      <c r="K1552" s="9">
        <f>(PricingDataTable[[#This Row],[Current Price ($)]]-PricingDataTable[[#This Row],[Prior Price ($)]])/PricingDataTable[[#This Row],[Prior Price ($)]]</f>
        <v>-0.12112509742659973</v>
      </c>
      <c r="L1552" s="9">
        <f>(PricingDataTable[[#This Row],[Vendor Price ($)]]-PricingDataTable[[#This Row],[Current Price ($)]])/PricingDataTable[[#This Row],[Current Price ($)]]</f>
        <v>-1.4539447767414428E-3</v>
      </c>
      <c r="M1552" t="str">
        <f t="shared" si="48"/>
        <v>STALE</v>
      </c>
      <c r="N1552" s="10" t="str">
        <f t="shared" si="49"/>
        <v>HIGH</v>
      </c>
    </row>
    <row r="1553" spans="1:14">
      <c r="A1553" s="4" t="s">
        <v>3122</v>
      </c>
      <c r="B1553" s="4" t="s">
        <v>3123</v>
      </c>
      <c r="C1553" s="4" t="s">
        <v>16</v>
      </c>
      <c r="D1553" s="4" t="s">
        <v>13</v>
      </c>
      <c r="E1553" s="5">
        <v>121.85299999999999</v>
      </c>
      <c r="F1553" s="5">
        <v>120.93300000000001</v>
      </c>
      <c r="G1553" s="5">
        <v>120.40170000000001</v>
      </c>
      <c r="H1553" s="4">
        <v>0</v>
      </c>
      <c r="I1553" s="6">
        <v>1111917</v>
      </c>
      <c r="J1553" s="7">
        <v>14.2</v>
      </c>
      <c r="K1553" s="9">
        <f>(PricingDataTable[[#This Row],[Current Price ($)]]-PricingDataTable[[#This Row],[Prior Price ($)]])/PricingDataTable[[#This Row],[Prior Price ($)]]</f>
        <v>-7.5500808351044906E-3</v>
      </c>
      <c r="L1553" s="9">
        <f>(PricingDataTable[[#This Row],[Vendor Price ($)]]-PricingDataTable[[#This Row],[Current Price ($)]])/PricingDataTable[[#This Row],[Current Price ($)]]</f>
        <v>-4.3933417677557126E-3</v>
      </c>
      <c r="M1553" t="str">
        <f t="shared" si="48"/>
        <v>PASS</v>
      </c>
      <c r="N1553" s="10" t="str">
        <f t="shared" si="49"/>
        <v>NONE</v>
      </c>
    </row>
    <row r="1554" spans="1:14">
      <c r="A1554" s="4" t="s">
        <v>3124</v>
      </c>
      <c r="B1554" s="4" t="s">
        <v>3125</v>
      </c>
      <c r="C1554" s="4" t="s">
        <v>19</v>
      </c>
      <c r="D1554" s="4" t="s">
        <v>13</v>
      </c>
      <c r="E1554" s="5">
        <v>221.71600000000001</v>
      </c>
      <c r="F1554" s="5">
        <v>218.0771</v>
      </c>
      <c r="G1554" s="5">
        <v>218.32929999999999</v>
      </c>
      <c r="H1554" s="4">
        <v>0</v>
      </c>
      <c r="I1554" s="6">
        <v>2354935</v>
      </c>
      <c r="J1554" s="7">
        <v>242.54</v>
      </c>
      <c r="K1554" s="9">
        <f>(PricingDataTable[[#This Row],[Current Price ($)]]-PricingDataTable[[#This Row],[Prior Price ($)]])/PricingDataTable[[#This Row],[Prior Price ($)]]</f>
        <v>-1.6412437532699518E-2</v>
      </c>
      <c r="L1554" s="9">
        <f>(PricingDataTable[[#This Row],[Vendor Price ($)]]-PricingDataTable[[#This Row],[Current Price ($)]])/PricingDataTable[[#This Row],[Current Price ($)]]</f>
        <v>1.1564717249082446E-3</v>
      </c>
      <c r="M1554" t="str">
        <f t="shared" si="48"/>
        <v>PASS</v>
      </c>
      <c r="N1554" s="10" t="str">
        <f t="shared" si="49"/>
        <v>NONE</v>
      </c>
    </row>
    <row r="1555" spans="1:14">
      <c r="A1555" s="4" t="s">
        <v>3126</v>
      </c>
      <c r="B1555" s="4" t="s">
        <v>3127</v>
      </c>
      <c r="C1555" s="4" t="s">
        <v>16</v>
      </c>
      <c r="D1555" s="4" t="s">
        <v>13</v>
      </c>
      <c r="E1555" s="5">
        <v>107.0963</v>
      </c>
      <c r="F1555" s="5">
        <v>106.3099</v>
      </c>
      <c r="G1555" s="5">
        <v>106.6446</v>
      </c>
      <c r="H1555" s="4">
        <v>0</v>
      </c>
      <c r="I1555" s="6">
        <v>2477611</v>
      </c>
      <c r="J1555" s="7">
        <v>729.49</v>
      </c>
      <c r="K1555" s="9">
        <f>(PricingDataTable[[#This Row],[Current Price ($)]]-PricingDataTable[[#This Row],[Prior Price ($)]])/PricingDataTable[[#This Row],[Prior Price ($)]]</f>
        <v>-7.342924078609629E-3</v>
      </c>
      <c r="L1555" s="9">
        <f>(PricingDataTable[[#This Row],[Vendor Price ($)]]-PricingDataTable[[#This Row],[Current Price ($)]])/PricingDataTable[[#This Row],[Current Price ($)]]</f>
        <v>3.1483427225498096E-3</v>
      </c>
      <c r="M1555" t="str">
        <f t="shared" si="48"/>
        <v>PASS</v>
      </c>
      <c r="N1555" s="10" t="str">
        <f t="shared" si="49"/>
        <v>NONE</v>
      </c>
    </row>
    <row r="1556" spans="1:14">
      <c r="A1556" s="4" t="s">
        <v>3128</v>
      </c>
      <c r="B1556" s="4" t="s">
        <v>3129</v>
      </c>
      <c r="C1556" s="4" t="s">
        <v>19</v>
      </c>
      <c r="D1556" s="4" t="s">
        <v>13</v>
      </c>
      <c r="E1556" s="5">
        <v>135.88579999999999</v>
      </c>
      <c r="F1556" s="5">
        <v>135.6216</v>
      </c>
      <c r="G1556" s="5">
        <v>135.66470000000001</v>
      </c>
      <c r="H1556" s="4">
        <v>4</v>
      </c>
      <c r="I1556" s="6">
        <v>1533092</v>
      </c>
      <c r="J1556" s="7">
        <v>496.28</v>
      </c>
      <c r="K1556" s="9">
        <f>(PricingDataTable[[#This Row],[Current Price ($)]]-PricingDataTable[[#This Row],[Prior Price ($)]])/PricingDataTable[[#This Row],[Prior Price ($)]]</f>
        <v>-1.9442796819092816E-3</v>
      </c>
      <c r="L1556" s="9">
        <f>(PricingDataTable[[#This Row],[Vendor Price ($)]]-PricingDataTable[[#This Row],[Current Price ($)]])/PricingDataTable[[#This Row],[Current Price ($)]]</f>
        <v>3.1779598530034809E-4</v>
      </c>
      <c r="M1556" t="str">
        <f t="shared" si="48"/>
        <v>STALE</v>
      </c>
      <c r="N1556" s="10" t="str">
        <f t="shared" si="49"/>
        <v>LOW</v>
      </c>
    </row>
    <row r="1557" spans="1:14">
      <c r="A1557" s="4" t="s">
        <v>3130</v>
      </c>
      <c r="B1557" s="4" t="s">
        <v>3131</v>
      </c>
      <c r="C1557" s="4" t="s">
        <v>16</v>
      </c>
      <c r="D1557" s="4" t="s">
        <v>64</v>
      </c>
      <c r="E1557" s="5">
        <v>121.34220000000001</v>
      </c>
      <c r="F1557" s="5">
        <v>123.2058</v>
      </c>
      <c r="G1557" s="5">
        <v>123.38890000000001</v>
      </c>
      <c r="H1557" s="4">
        <v>0</v>
      </c>
      <c r="I1557" s="6">
        <v>2670633</v>
      </c>
      <c r="J1557" s="7">
        <v>119.84</v>
      </c>
      <c r="K1557" s="9">
        <f>(PricingDataTable[[#This Row],[Current Price ($)]]-PricingDataTable[[#This Row],[Prior Price ($)]])/PricingDataTable[[#This Row],[Prior Price ($)]]</f>
        <v>1.535821832800123E-2</v>
      </c>
      <c r="L1557" s="9">
        <f>(PricingDataTable[[#This Row],[Vendor Price ($)]]-PricingDataTable[[#This Row],[Current Price ($)]])/PricingDataTable[[#This Row],[Current Price ($)]]</f>
        <v>1.4861313347262082E-3</v>
      </c>
      <c r="M1557" t="str">
        <f t="shared" si="48"/>
        <v>PASS</v>
      </c>
      <c r="N1557" s="10" t="str">
        <f t="shared" si="49"/>
        <v>NONE</v>
      </c>
    </row>
    <row r="1558" spans="1:14">
      <c r="A1558" s="4" t="s">
        <v>3132</v>
      </c>
      <c r="B1558" s="4" t="s">
        <v>3133</v>
      </c>
      <c r="C1558" s="4" t="s">
        <v>19</v>
      </c>
      <c r="D1558" s="4" t="s">
        <v>13</v>
      </c>
      <c r="E1558" s="5">
        <v>246.85319999999999</v>
      </c>
      <c r="F1558" s="5">
        <v>243.74090000000001</v>
      </c>
      <c r="G1558" s="5">
        <v>244.13290000000001</v>
      </c>
      <c r="H1558" s="4">
        <v>0</v>
      </c>
      <c r="I1558" s="6">
        <v>137468</v>
      </c>
      <c r="J1558" s="7">
        <v>873.81</v>
      </c>
      <c r="K1558" s="9">
        <f>(PricingDataTable[[#This Row],[Current Price ($)]]-PricingDataTable[[#This Row],[Prior Price ($)]])/PricingDataTable[[#This Row],[Prior Price ($)]]</f>
        <v>-1.2607898135409938E-2</v>
      </c>
      <c r="L1558" s="9">
        <f>(PricingDataTable[[#This Row],[Vendor Price ($)]]-PricingDataTable[[#This Row],[Current Price ($)]])/PricingDataTable[[#This Row],[Current Price ($)]]</f>
        <v>1.6082651701047953E-3</v>
      </c>
      <c r="M1558" t="str">
        <f t="shared" si="48"/>
        <v>PASS</v>
      </c>
      <c r="N1558" s="10" t="str">
        <f t="shared" si="49"/>
        <v>NONE</v>
      </c>
    </row>
    <row r="1559" spans="1:14">
      <c r="A1559" s="4" t="s">
        <v>3134</v>
      </c>
      <c r="B1559" s="4" t="s">
        <v>3135</v>
      </c>
      <c r="C1559" s="4" t="s">
        <v>39</v>
      </c>
      <c r="D1559" s="4" t="s">
        <v>36</v>
      </c>
      <c r="E1559" s="5">
        <v>195.00020000000001</v>
      </c>
      <c r="F1559" s="5">
        <v>198.4975</v>
      </c>
      <c r="G1559" s="5">
        <v>199.3212</v>
      </c>
      <c r="H1559" s="4">
        <v>0</v>
      </c>
      <c r="I1559" s="6">
        <v>3356994</v>
      </c>
      <c r="J1559" s="7">
        <v>370.12</v>
      </c>
      <c r="K1559" s="9">
        <f>(PricingDataTable[[#This Row],[Current Price ($)]]-PricingDataTable[[#This Row],[Prior Price ($)]])/PricingDataTable[[#This Row],[Prior Price ($)]]</f>
        <v>1.7934853400150337E-2</v>
      </c>
      <c r="L1559" s="9">
        <f>(PricingDataTable[[#This Row],[Vendor Price ($)]]-PricingDataTable[[#This Row],[Current Price ($)]])/PricingDataTable[[#This Row],[Current Price ($)]]</f>
        <v>4.1496744291489931E-3</v>
      </c>
      <c r="M1559" t="str">
        <f t="shared" si="48"/>
        <v>PASS</v>
      </c>
      <c r="N1559" s="10" t="str">
        <f t="shared" si="49"/>
        <v>NONE</v>
      </c>
    </row>
    <row r="1560" spans="1:14">
      <c r="A1560" s="4" t="s">
        <v>3136</v>
      </c>
      <c r="B1560" s="4" t="s">
        <v>3137</v>
      </c>
      <c r="C1560" s="4" t="s">
        <v>19</v>
      </c>
      <c r="D1560" s="4" t="s">
        <v>13</v>
      </c>
      <c r="E1560" s="5">
        <v>145.90539999999999</v>
      </c>
      <c r="F1560" s="5">
        <v>142.958</v>
      </c>
      <c r="G1560" s="5">
        <v>143.12610000000001</v>
      </c>
      <c r="H1560" s="4">
        <v>0</v>
      </c>
      <c r="I1560" s="6">
        <v>4756901</v>
      </c>
      <c r="J1560" s="7">
        <v>734.97</v>
      </c>
      <c r="K1560" s="9">
        <f>(PricingDataTable[[#This Row],[Current Price ($)]]-PricingDataTable[[#This Row],[Prior Price ($)]])/PricingDataTable[[#This Row],[Prior Price ($)]]</f>
        <v>-2.0200760218607314E-2</v>
      </c>
      <c r="L1560" s="9">
        <f>(PricingDataTable[[#This Row],[Vendor Price ($)]]-PricingDataTable[[#This Row],[Current Price ($)]])/PricingDataTable[[#This Row],[Current Price ($)]]</f>
        <v>1.1758698358959254E-3</v>
      </c>
      <c r="M1560" t="str">
        <f t="shared" si="48"/>
        <v>PASS</v>
      </c>
      <c r="N1560" s="10" t="str">
        <f t="shared" si="49"/>
        <v>NONE</v>
      </c>
    </row>
    <row r="1561" spans="1:14">
      <c r="A1561" s="4" t="s">
        <v>3138</v>
      </c>
      <c r="B1561" s="4" t="s">
        <v>3139</v>
      </c>
      <c r="C1561" s="4" t="s">
        <v>19</v>
      </c>
      <c r="D1561" s="4" t="s">
        <v>13</v>
      </c>
      <c r="E1561" s="5">
        <v>95.747699999999995</v>
      </c>
      <c r="F1561" s="5">
        <v>0</v>
      </c>
      <c r="G1561" s="5">
        <v>94.676599999999993</v>
      </c>
      <c r="H1561" s="4">
        <v>0</v>
      </c>
      <c r="I1561" s="6">
        <v>610612</v>
      </c>
      <c r="J1561" s="7">
        <v>869.86</v>
      </c>
      <c r="K1561" s="9">
        <f>(PricingDataTable[[#This Row],[Current Price ($)]]-PricingDataTable[[#This Row],[Prior Price ($)]])/PricingDataTable[[#This Row],[Prior Price ($)]]</f>
        <v>-1</v>
      </c>
      <c r="L1561" s="9" t="e">
        <f>(PricingDataTable[[#This Row],[Vendor Price ($)]]-PricingDataTable[[#This Row],[Current Price ($)]])/PricingDataTable[[#This Row],[Current Price ($)]]</f>
        <v>#DIV/0!</v>
      </c>
      <c r="M1561" t="str">
        <f t="shared" si="48"/>
        <v>MISSING</v>
      </c>
      <c r="N1561" s="10" t="str">
        <f t="shared" si="49"/>
        <v>HIGH</v>
      </c>
    </row>
    <row r="1562" spans="1:14">
      <c r="A1562" s="4" t="s">
        <v>3140</v>
      </c>
      <c r="B1562" s="4" t="s">
        <v>3141</v>
      </c>
      <c r="C1562" s="4" t="s">
        <v>16</v>
      </c>
      <c r="D1562" s="4" t="s">
        <v>13</v>
      </c>
      <c r="E1562" s="5">
        <v>92.2376</v>
      </c>
      <c r="F1562" s="5">
        <v>91.100399999999993</v>
      </c>
      <c r="G1562" s="5">
        <v>90.8673</v>
      </c>
      <c r="H1562" s="4">
        <v>1</v>
      </c>
      <c r="I1562" s="6">
        <v>4599312</v>
      </c>
      <c r="J1562" s="7">
        <v>223.3</v>
      </c>
      <c r="K1562" s="9">
        <f>(PricingDataTable[[#This Row],[Current Price ($)]]-PricingDataTable[[#This Row],[Prior Price ($)]])/PricingDataTable[[#This Row],[Prior Price ($)]]</f>
        <v>-1.2329028508981229E-2</v>
      </c>
      <c r="L1562" s="9">
        <f>(PricingDataTable[[#This Row],[Vendor Price ($)]]-PricingDataTable[[#This Row],[Current Price ($)]])/PricingDataTable[[#This Row],[Current Price ($)]]</f>
        <v>-2.5587154392296106E-3</v>
      </c>
      <c r="M1562" t="str">
        <f t="shared" si="48"/>
        <v>PASS</v>
      </c>
      <c r="N1562" s="10" t="str">
        <f t="shared" si="49"/>
        <v>NONE</v>
      </c>
    </row>
    <row r="1563" spans="1:14">
      <c r="A1563" s="4" t="s">
        <v>3142</v>
      </c>
      <c r="B1563" s="4" t="s">
        <v>3143</v>
      </c>
      <c r="C1563" s="4" t="s">
        <v>39</v>
      </c>
      <c r="D1563" s="4" t="s">
        <v>64</v>
      </c>
      <c r="E1563" s="5">
        <v>144.73750000000001</v>
      </c>
      <c r="F1563" s="5">
        <v>142.01599999999999</v>
      </c>
      <c r="G1563" s="5">
        <v>141.9538</v>
      </c>
      <c r="H1563" s="4">
        <v>3</v>
      </c>
      <c r="I1563" s="6">
        <v>2073481</v>
      </c>
      <c r="J1563" s="7">
        <v>229.48</v>
      </c>
      <c r="K1563" s="9">
        <f>(PricingDataTable[[#This Row],[Current Price ($)]]-PricingDataTable[[#This Row],[Prior Price ($)]])/PricingDataTable[[#This Row],[Prior Price ($)]]</f>
        <v>-1.8803005440884497E-2</v>
      </c>
      <c r="L1563" s="9">
        <f>(PricingDataTable[[#This Row],[Vendor Price ($)]]-PricingDataTable[[#This Row],[Current Price ($)]])/PricingDataTable[[#This Row],[Current Price ($)]]</f>
        <v>-4.3797881928789745E-4</v>
      </c>
      <c r="M1563" t="str">
        <f t="shared" si="48"/>
        <v>STALE</v>
      </c>
      <c r="N1563" s="10" t="str">
        <f t="shared" si="49"/>
        <v>LOW</v>
      </c>
    </row>
    <row r="1564" spans="1:14">
      <c r="A1564" s="4" t="s">
        <v>3144</v>
      </c>
      <c r="B1564" s="4" t="s">
        <v>3145</v>
      </c>
      <c r="C1564" s="4" t="s">
        <v>16</v>
      </c>
      <c r="D1564" s="4" t="s">
        <v>64</v>
      </c>
      <c r="E1564" s="5">
        <v>87.573400000000007</v>
      </c>
      <c r="F1564" s="5">
        <v>86.9572</v>
      </c>
      <c r="G1564" s="5">
        <v>86.8339</v>
      </c>
      <c r="H1564" s="4">
        <v>1</v>
      </c>
      <c r="I1564" s="6">
        <v>1299203</v>
      </c>
      <c r="J1564" s="7">
        <v>891.94</v>
      </c>
      <c r="K1564" s="9">
        <f>(PricingDataTable[[#This Row],[Current Price ($)]]-PricingDataTable[[#This Row],[Prior Price ($)]])/PricingDataTable[[#This Row],[Prior Price ($)]]</f>
        <v>-7.0363831939836323E-3</v>
      </c>
      <c r="L1564" s="9">
        <f>(PricingDataTable[[#This Row],[Vendor Price ($)]]-PricingDataTable[[#This Row],[Current Price ($)]])/PricingDataTable[[#This Row],[Current Price ($)]]</f>
        <v>-1.4179389400762721E-3</v>
      </c>
      <c r="M1564" t="str">
        <f t="shared" si="48"/>
        <v>PASS</v>
      </c>
      <c r="N1564" s="10" t="str">
        <f t="shared" si="49"/>
        <v>NONE</v>
      </c>
    </row>
    <row r="1565" spans="1:14">
      <c r="A1565" s="4" t="s">
        <v>3146</v>
      </c>
      <c r="B1565" s="4" t="s">
        <v>3147</v>
      </c>
      <c r="C1565" s="4" t="s">
        <v>19</v>
      </c>
      <c r="D1565" s="4" t="s">
        <v>36</v>
      </c>
      <c r="E1565" s="5">
        <v>107.0408</v>
      </c>
      <c r="F1565" s="5">
        <v>110.43640000000001</v>
      </c>
      <c r="G1565" s="5">
        <v>110.71899999999999</v>
      </c>
      <c r="H1565" s="4">
        <v>0</v>
      </c>
      <c r="I1565" s="6">
        <v>565878</v>
      </c>
      <c r="J1565" s="7">
        <v>860.93</v>
      </c>
      <c r="K1565" s="9">
        <f>(PricingDataTable[[#This Row],[Current Price ($)]]-PricingDataTable[[#This Row],[Prior Price ($)]])/PricingDataTable[[#This Row],[Prior Price ($)]]</f>
        <v>3.1722483389511301E-2</v>
      </c>
      <c r="L1565" s="9">
        <f>(PricingDataTable[[#This Row],[Vendor Price ($)]]-PricingDataTable[[#This Row],[Current Price ($)]])/PricingDataTable[[#This Row],[Current Price ($)]]</f>
        <v>2.5589389005797724E-3</v>
      </c>
      <c r="M1565" t="str">
        <f t="shared" si="48"/>
        <v>PASS</v>
      </c>
      <c r="N1565" s="10" t="str">
        <f t="shared" si="49"/>
        <v>NONE</v>
      </c>
    </row>
    <row r="1566" spans="1:14">
      <c r="A1566" s="4" t="s">
        <v>3148</v>
      </c>
      <c r="B1566" s="4" t="s">
        <v>3149</v>
      </c>
      <c r="C1566" s="4" t="s">
        <v>39</v>
      </c>
      <c r="D1566" s="4" t="s">
        <v>64</v>
      </c>
      <c r="E1566" s="5">
        <v>258.03250000000003</v>
      </c>
      <c r="F1566" s="5">
        <v>256.03579999999999</v>
      </c>
      <c r="G1566" s="5">
        <v>255.82509999999999</v>
      </c>
      <c r="H1566" s="4">
        <v>1</v>
      </c>
      <c r="I1566" s="6">
        <v>4560745</v>
      </c>
      <c r="J1566" s="7">
        <v>423.18</v>
      </c>
      <c r="K1566" s="9">
        <f>(PricingDataTable[[#This Row],[Current Price ($)]]-PricingDataTable[[#This Row],[Prior Price ($)]])/PricingDataTable[[#This Row],[Prior Price ($)]]</f>
        <v>-7.7381725170280191E-3</v>
      </c>
      <c r="L1566" s="9">
        <f>(PricingDataTable[[#This Row],[Vendor Price ($)]]-PricingDataTable[[#This Row],[Current Price ($)]])/PricingDataTable[[#This Row],[Current Price ($)]]</f>
        <v>-8.2293179313206507E-4</v>
      </c>
      <c r="M1566" t="str">
        <f t="shared" si="48"/>
        <v>PASS</v>
      </c>
      <c r="N1566" s="10" t="str">
        <f t="shared" si="49"/>
        <v>NONE</v>
      </c>
    </row>
    <row r="1567" spans="1:14">
      <c r="A1567" s="4" t="s">
        <v>3150</v>
      </c>
      <c r="B1567" s="4" t="s">
        <v>3151</v>
      </c>
      <c r="C1567" s="4" t="s">
        <v>12</v>
      </c>
      <c r="D1567" s="4" t="s">
        <v>13</v>
      </c>
      <c r="E1567" s="5">
        <v>91.361199999999997</v>
      </c>
      <c r="F1567" s="5">
        <v>90.924700000000001</v>
      </c>
      <c r="G1567" s="5">
        <v>90.722999999999999</v>
      </c>
      <c r="H1567" s="4">
        <v>1</v>
      </c>
      <c r="I1567" s="6">
        <v>1270462</v>
      </c>
      <c r="J1567" s="7">
        <v>50.24</v>
      </c>
      <c r="K1567" s="9">
        <f>(PricingDataTable[[#This Row],[Current Price ($)]]-PricingDataTable[[#This Row],[Prior Price ($)]])/PricingDataTable[[#This Row],[Prior Price ($)]]</f>
        <v>-4.7777393466810333E-3</v>
      </c>
      <c r="L1567" s="9">
        <f>(PricingDataTable[[#This Row],[Vendor Price ($)]]-PricingDataTable[[#This Row],[Current Price ($)]])/PricingDataTable[[#This Row],[Current Price ($)]]</f>
        <v>-2.2183191146080486E-3</v>
      </c>
      <c r="M1567" t="str">
        <f t="shared" si="48"/>
        <v>PASS</v>
      </c>
      <c r="N1567" s="10" t="str">
        <f t="shared" si="49"/>
        <v>NONE</v>
      </c>
    </row>
    <row r="1568" spans="1:14">
      <c r="A1568" s="4" t="s">
        <v>3152</v>
      </c>
      <c r="B1568" s="4" t="s">
        <v>3153</v>
      </c>
      <c r="C1568" s="4" t="s">
        <v>19</v>
      </c>
      <c r="D1568" s="4" t="s">
        <v>13</v>
      </c>
      <c r="E1568" s="5">
        <v>203.0179</v>
      </c>
      <c r="F1568" s="5">
        <v>200.4606</v>
      </c>
      <c r="G1568" s="5">
        <v>200.5223</v>
      </c>
      <c r="H1568" s="4">
        <v>0</v>
      </c>
      <c r="I1568" s="6">
        <v>3362137</v>
      </c>
      <c r="J1568" s="7">
        <v>112.77</v>
      </c>
      <c r="K1568" s="9">
        <f>(PricingDataTable[[#This Row],[Current Price ($)]]-PricingDataTable[[#This Row],[Prior Price ($)]])/PricingDataTable[[#This Row],[Prior Price ($)]]</f>
        <v>-1.2596426226455884E-2</v>
      </c>
      <c r="L1568" s="9">
        <f>(PricingDataTable[[#This Row],[Vendor Price ($)]]-PricingDataTable[[#This Row],[Current Price ($)]])/PricingDataTable[[#This Row],[Current Price ($)]]</f>
        <v>3.0779115696551775E-4</v>
      </c>
      <c r="M1568" t="str">
        <f t="shared" si="48"/>
        <v>PASS</v>
      </c>
      <c r="N1568" s="10" t="str">
        <f t="shared" si="49"/>
        <v>NONE</v>
      </c>
    </row>
    <row r="1569" spans="1:14">
      <c r="A1569" s="4" t="s">
        <v>3154</v>
      </c>
      <c r="B1569" s="4" t="s">
        <v>3155</v>
      </c>
      <c r="C1569" s="4" t="s">
        <v>35</v>
      </c>
      <c r="D1569" s="4" t="s">
        <v>237</v>
      </c>
      <c r="E1569" s="5">
        <v>8.0440000000000005</v>
      </c>
      <c r="F1569" s="5">
        <v>8.1365999999999996</v>
      </c>
      <c r="G1569" s="5">
        <v>8.1347000000000005</v>
      </c>
      <c r="H1569" s="4">
        <v>0</v>
      </c>
      <c r="I1569" s="6">
        <v>24304</v>
      </c>
      <c r="J1569" s="7">
        <v>403.82</v>
      </c>
      <c r="K1569" s="9">
        <f>(PricingDataTable[[#This Row],[Current Price ($)]]-PricingDataTable[[#This Row],[Prior Price ($)]])/PricingDataTable[[#This Row],[Prior Price ($)]]</f>
        <v>1.1511685728493178E-2</v>
      </c>
      <c r="L1569" s="9">
        <f>(PricingDataTable[[#This Row],[Vendor Price ($)]]-PricingDataTable[[#This Row],[Current Price ($)]])/PricingDataTable[[#This Row],[Current Price ($)]]</f>
        <v>-2.3351276946133824E-4</v>
      </c>
      <c r="M1569" t="str">
        <f t="shared" si="48"/>
        <v>PASS</v>
      </c>
      <c r="N1569" s="10" t="str">
        <f t="shared" si="49"/>
        <v>NONE</v>
      </c>
    </row>
    <row r="1570" spans="1:14">
      <c r="A1570" s="4" t="s">
        <v>3156</v>
      </c>
      <c r="B1570" s="4" t="s">
        <v>3157</v>
      </c>
      <c r="C1570" s="4" t="s">
        <v>19</v>
      </c>
      <c r="D1570" s="4" t="s">
        <v>13</v>
      </c>
      <c r="E1570" s="5">
        <v>203.57990000000001</v>
      </c>
      <c r="F1570" s="5">
        <v>204.9742</v>
      </c>
      <c r="G1570" s="5">
        <v>204.92570000000001</v>
      </c>
      <c r="H1570" s="4">
        <v>0</v>
      </c>
      <c r="I1570" s="6">
        <v>57434</v>
      </c>
      <c r="J1570" s="7">
        <v>278.8</v>
      </c>
      <c r="K1570" s="9">
        <f>(PricingDataTable[[#This Row],[Current Price ($)]]-PricingDataTable[[#This Row],[Prior Price ($)]])/PricingDataTable[[#This Row],[Prior Price ($)]]</f>
        <v>6.8489079717594268E-3</v>
      </c>
      <c r="L1570" s="9">
        <f>(PricingDataTable[[#This Row],[Vendor Price ($)]]-PricingDataTable[[#This Row],[Current Price ($)]])/PricingDataTable[[#This Row],[Current Price ($)]]</f>
        <v>-2.3661514473523982E-4</v>
      </c>
      <c r="M1570" t="str">
        <f t="shared" si="48"/>
        <v>PASS</v>
      </c>
      <c r="N1570" s="10" t="str">
        <f t="shared" si="49"/>
        <v>NONE</v>
      </c>
    </row>
    <row r="1571" spans="1:14">
      <c r="A1571" s="4" t="s">
        <v>3158</v>
      </c>
      <c r="B1571" s="4" t="s">
        <v>3159</v>
      </c>
      <c r="C1571" s="4" t="s">
        <v>19</v>
      </c>
      <c r="D1571" s="4" t="s">
        <v>13</v>
      </c>
      <c r="E1571" s="5">
        <v>116.7518</v>
      </c>
      <c r="F1571" s="5">
        <v>118.7492</v>
      </c>
      <c r="G1571" s="5">
        <v>118.6335</v>
      </c>
      <c r="H1571" s="4">
        <v>2</v>
      </c>
      <c r="I1571" s="6">
        <v>4113028</v>
      </c>
      <c r="J1571" s="7">
        <v>446.38</v>
      </c>
      <c r="K1571" s="9">
        <f>(PricingDataTable[[#This Row],[Current Price ($)]]-PricingDataTable[[#This Row],[Prior Price ($)]])/PricingDataTable[[#This Row],[Prior Price ($)]]</f>
        <v>1.7108087412785061E-2</v>
      </c>
      <c r="L1571" s="9">
        <f>(PricingDataTable[[#This Row],[Vendor Price ($)]]-PricingDataTable[[#This Row],[Current Price ($)]])/PricingDataTable[[#This Row],[Current Price ($)]]</f>
        <v>-9.7432235332957113E-4</v>
      </c>
      <c r="M1571" t="str">
        <f t="shared" si="48"/>
        <v>PASS</v>
      </c>
      <c r="N1571" s="10" t="str">
        <f t="shared" si="49"/>
        <v>NONE</v>
      </c>
    </row>
    <row r="1572" spans="1:14">
      <c r="A1572" s="4" t="s">
        <v>3160</v>
      </c>
      <c r="B1572" s="4" t="s">
        <v>3161</v>
      </c>
      <c r="C1572" s="4" t="s">
        <v>19</v>
      </c>
      <c r="D1572" s="4" t="s">
        <v>237</v>
      </c>
      <c r="E1572" s="5">
        <v>127.5673</v>
      </c>
      <c r="F1572" s="5">
        <v>127.66589999999999</v>
      </c>
      <c r="G1572" s="5">
        <v>127.8266</v>
      </c>
      <c r="H1572" s="4">
        <v>4</v>
      </c>
      <c r="I1572" s="6">
        <v>4898509</v>
      </c>
      <c r="J1572" s="7">
        <v>537.94000000000005</v>
      </c>
      <c r="K1572" s="9">
        <f>(PricingDataTable[[#This Row],[Current Price ($)]]-PricingDataTable[[#This Row],[Prior Price ($)]])/PricingDataTable[[#This Row],[Prior Price ($)]]</f>
        <v>7.7292534999165517E-4</v>
      </c>
      <c r="L1572" s="9">
        <f>(PricingDataTable[[#This Row],[Vendor Price ($)]]-PricingDataTable[[#This Row],[Current Price ($)]])/PricingDataTable[[#This Row],[Current Price ($)]]</f>
        <v>1.2587542953913741E-3</v>
      </c>
      <c r="M1572" t="str">
        <f t="shared" si="48"/>
        <v>STALE</v>
      </c>
      <c r="N1572" s="10" t="str">
        <f t="shared" si="49"/>
        <v>LOW</v>
      </c>
    </row>
    <row r="1573" spans="1:14">
      <c r="A1573" s="4" t="s">
        <v>3162</v>
      </c>
      <c r="B1573" s="4" t="s">
        <v>3163</v>
      </c>
      <c r="C1573" s="4" t="s">
        <v>19</v>
      </c>
      <c r="D1573" s="4" t="s">
        <v>13</v>
      </c>
      <c r="E1573" s="5">
        <v>79.808800000000005</v>
      </c>
      <c r="F1573" s="5">
        <v>80.589100000000002</v>
      </c>
      <c r="G1573" s="5">
        <v>80.640100000000004</v>
      </c>
      <c r="H1573" s="4">
        <v>5</v>
      </c>
      <c r="I1573" s="6">
        <v>4614316</v>
      </c>
      <c r="J1573" s="7">
        <v>548.12</v>
      </c>
      <c r="K1573" s="9">
        <f>(PricingDataTable[[#This Row],[Current Price ($)]]-PricingDataTable[[#This Row],[Prior Price ($)]])/PricingDataTable[[#This Row],[Prior Price ($)]]</f>
        <v>9.7771173103717492E-3</v>
      </c>
      <c r="L1573" s="9">
        <f>(PricingDataTable[[#This Row],[Vendor Price ($)]]-PricingDataTable[[#This Row],[Current Price ($)]])/PricingDataTable[[#This Row],[Current Price ($)]]</f>
        <v>6.3283992500228858E-4</v>
      </c>
      <c r="M1573" t="str">
        <f t="shared" si="48"/>
        <v>STALE</v>
      </c>
      <c r="N1573" s="10" t="str">
        <f t="shared" si="49"/>
        <v>MEDIUM</v>
      </c>
    </row>
    <row r="1574" spans="1:14">
      <c r="A1574" s="4" t="s">
        <v>3164</v>
      </c>
      <c r="B1574" s="4" t="s">
        <v>3165</v>
      </c>
      <c r="C1574" s="4" t="s">
        <v>16</v>
      </c>
      <c r="D1574" s="4" t="s">
        <v>13</v>
      </c>
      <c r="E1574" s="5">
        <v>122.9384</v>
      </c>
      <c r="F1574" s="5">
        <v>122.2696</v>
      </c>
      <c r="G1574" s="5">
        <v>122.3665</v>
      </c>
      <c r="H1574" s="4">
        <v>3</v>
      </c>
      <c r="I1574" s="6">
        <v>3947303</v>
      </c>
      <c r="J1574" s="7">
        <v>372.3</v>
      </c>
      <c r="K1574" s="9">
        <f>(PricingDataTable[[#This Row],[Current Price ($)]]-PricingDataTable[[#This Row],[Prior Price ($)]])/PricingDataTable[[#This Row],[Prior Price ($)]]</f>
        <v>-5.4401228582770271E-3</v>
      </c>
      <c r="L1574" s="9">
        <f>(PricingDataTable[[#This Row],[Vendor Price ($)]]-PricingDataTable[[#This Row],[Current Price ($)]])/PricingDataTable[[#This Row],[Current Price ($)]]</f>
        <v>7.925109757454436E-4</v>
      </c>
      <c r="M1574" t="str">
        <f t="shared" si="48"/>
        <v>STALE</v>
      </c>
      <c r="N1574" s="10" t="str">
        <f t="shared" si="49"/>
        <v>LOW</v>
      </c>
    </row>
    <row r="1575" spans="1:14">
      <c r="A1575" s="4" t="s">
        <v>3166</v>
      </c>
      <c r="B1575" s="4" t="s">
        <v>3167</v>
      </c>
      <c r="C1575" s="4" t="s">
        <v>19</v>
      </c>
      <c r="D1575" s="4" t="s">
        <v>13</v>
      </c>
      <c r="E1575" s="5">
        <v>19.6677</v>
      </c>
      <c r="F1575" s="5">
        <v>19.930700000000002</v>
      </c>
      <c r="G1575" s="5">
        <v>19.8935</v>
      </c>
      <c r="H1575" s="4">
        <v>0</v>
      </c>
      <c r="I1575" s="6">
        <v>4515857</v>
      </c>
      <c r="J1575" s="7">
        <v>533.86</v>
      </c>
      <c r="K1575" s="9">
        <f>(PricingDataTable[[#This Row],[Current Price ($)]]-PricingDataTable[[#This Row],[Prior Price ($)]])/PricingDataTable[[#This Row],[Prior Price ($)]]</f>
        <v>1.3372178749930174E-2</v>
      </c>
      <c r="L1575" s="9">
        <f>(PricingDataTable[[#This Row],[Vendor Price ($)]]-PricingDataTable[[#This Row],[Current Price ($)]])/PricingDataTable[[#This Row],[Current Price ($)]]</f>
        <v>-1.8664673092265759E-3</v>
      </c>
      <c r="M1575" t="str">
        <f t="shared" si="48"/>
        <v>PASS</v>
      </c>
      <c r="N1575" s="10" t="str">
        <f t="shared" si="49"/>
        <v>NONE</v>
      </c>
    </row>
    <row r="1576" spans="1:14">
      <c r="A1576" s="4" t="s">
        <v>3168</v>
      </c>
      <c r="B1576" s="4" t="s">
        <v>3169</v>
      </c>
      <c r="C1576" s="4" t="s">
        <v>16</v>
      </c>
      <c r="D1576" s="4" t="s">
        <v>13</v>
      </c>
      <c r="E1576" s="5">
        <v>87.789699999999996</v>
      </c>
      <c r="F1576" s="5">
        <v>87.464699999999993</v>
      </c>
      <c r="G1576" s="5">
        <v>87.401899999999998</v>
      </c>
      <c r="H1576" s="4">
        <v>0</v>
      </c>
      <c r="I1576" s="6">
        <v>801576</v>
      </c>
      <c r="J1576" s="7">
        <v>289</v>
      </c>
      <c r="K1576" s="9">
        <f>(PricingDataTable[[#This Row],[Current Price ($)]]-PricingDataTable[[#This Row],[Prior Price ($)]])/PricingDataTable[[#This Row],[Prior Price ($)]]</f>
        <v>-3.702028825705098E-3</v>
      </c>
      <c r="L1576" s="9">
        <f>(PricingDataTable[[#This Row],[Vendor Price ($)]]-PricingDataTable[[#This Row],[Current Price ($)]])/PricingDataTable[[#This Row],[Current Price ($)]]</f>
        <v>-7.1800394902167108E-4</v>
      </c>
      <c r="M1576" t="str">
        <f t="shared" si="48"/>
        <v>PASS</v>
      </c>
      <c r="N1576" s="10" t="str">
        <f t="shared" si="49"/>
        <v>NONE</v>
      </c>
    </row>
    <row r="1577" spans="1:14">
      <c r="A1577" s="4" t="s">
        <v>3170</v>
      </c>
      <c r="B1577" s="4" t="s">
        <v>3171</v>
      </c>
      <c r="C1577" s="4" t="s">
        <v>19</v>
      </c>
      <c r="D1577" s="4" t="s">
        <v>32</v>
      </c>
      <c r="E1577" s="5">
        <v>142.20099999999999</v>
      </c>
      <c r="F1577" s="5">
        <v>140.66050000000001</v>
      </c>
      <c r="G1577" s="5"/>
      <c r="H1577" s="4">
        <v>0</v>
      </c>
      <c r="I1577" s="6">
        <v>2392226</v>
      </c>
      <c r="J1577" s="7">
        <v>10.37</v>
      </c>
      <c r="K1577" s="9">
        <f>(PricingDataTable[[#This Row],[Current Price ($)]]-PricingDataTable[[#This Row],[Prior Price ($)]])/PricingDataTable[[#This Row],[Prior Price ($)]]</f>
        <v>-1.0833257150090226E-2</v>
      </c>
      <c r="L1577" s="9">
        <f>(PricingDataTable[[#This Row],[Vendor Price ($)]]-PricingDataTable[[#This Row],[Current Price ($)]])/PricingDataTable[[#This Row],[Current Price ($)]]</f>
        <v>-1</v>
      </c>
      <c r="M1577" t="str">
        <f t="shared" si="48"/>
        <v>VENDOR DIFFERENCE</v>
      </c>
      <c r="N1577" s="10" t="str">
        <f t="shared" si="49"/>
        <v>HIGH</v>
      </c>
    </row>
    <row r="1578" spans="1:14">
      <c r="A1578" s="4" t="s">
        <v>3172</v>
      </c>
      <c r="B1578" s="4" t="s">
        <v>3173</v>
      </c>
      <c r="C1578" s="4" t="s">
        <v>12</v>
      </c>
      <c r="D1578" s="4" t="s">
        <v>13</v>
      </c>
      <c r="E1578" s="5">
        <v>90.587900000000005</v>
      </c>
      <c r="F1578" s="5">
        <v>87.541300000000007</v>
      </c>
      <c r="G1578" s="5">
        <v>87.354399999999998</v>
      </c>
      <c r="H1578" s="4">
        <v>3</v>
      </c>
      <c r="I1578" s="6">
        <v>684125</v>
      </c>
      <c r="J1578" s="7">
        <v>723.88</v>
      </c>
      <c r="K1578" s="9">
        <f>(PricingDataTable[[#This Row],[Current Price ($)]]-PricingDataTable[[#This Row],[Prior Price ($)]])/PricingDataTable[[#This Row],[Prior Price ($)]]</f>
        <v>-3.363142318124162E-2</v>
      </c>
      <c r="L1578" s="9">
        <f>(PricingDataTable[[#This Row],[Vendor Price ($)]]-PricingDataTable[[#This Row],[Current Price ($)]])/PricingDataTable[[#This Row],[Current Price ($)]]</f>
        <v>-2.1349922836422178E-3</v>
      </c>
      <c r="M1578" t="str">
        <f t="shared" si="48"/>
        <v>STALE</v>
      </c>
      <c r="N1578" s="10" t="str">
        <f t="shared" si="49"/>
        <v>LOW</v>
      </c>
    </row>
    <row r="1579" spans="1:14">
      <c r="A1579" s="4" t="s">
        <v>3174</v>
      </c>
      <c r="B1579" s="4" t="s">
        <v>3175</v>
      </c>
      <c r="C1579" s="4" t="s">
        <v>12</v>
      </c>
      <c r="D1579" s="4" t="s">
        <v>13</v>
      </c>
      <c r="E1579" s="5">
        <v>83.015900000000002</v>
      </c>
      <c r="F1579" s="5">
        <v>84.516900000000007</v>
      </c>
      <c r="G1579" s="5">
        <v>84.364999999999995</v>
      </c>
      <c r="H1579" s="4">
        <v>1</v>
      </c>
      <c r="I1579" s="6">
        <v>2338915</v>
      </c>
      <c r="J1579" s="7">
        <v>565.58000000000004</v>
      </c>
      <c r="K1579" s="9">
        <f>(PricingDataTable[[#This Row],[Current Price ($)]]-PricingDataTable[[#This Row],[Prior Price ($)]])/PricingDataTable[[#This Row],[Prior Price ($)]]</f>
        <v>1.8080873663960818E-2</v>
      </c>
      <c r="L1579" s="9">
        <f>(PricingDataTable[[#This Row],[Vendor Price ($)]]-PricingDataTable[[#This Row],[Current Price ($)]])/PricingDataTable[[#This Row],[Current Price ($)]]</f>
        <v>-1.7972736813585436E-3</v>
      </c>
      <c r="M1579" t="str">
        <f t="shared" si="48"/>
        <v>PASS</v>
      </c>
      <c r="N1579" s="10" t="str">
        <f t="shared" si="49"/>
        <v>NONE</v>
      </c>
    </row>
    <row r="1580" spans="1:14">
      <c r="A1580" s="4" t="s">
        <v>3176</v>
      </c>
      <c r="B1580" s="4" t="s">
        <v>3177</v>
      </c>
      <c r="C1580" s="4" t="s">
        <v>12</v>
      </c>
      <c r="D1580" s="4" t="s">
        <v>13</v>
      </c>
      <c r="E1580" s="5">
        <v>75.622399999999999</v>
      </c>
      <c r="F1580" s="5">
        <v>75.209400000000002</v>
      </c>
      <c r="G1580" s="5">
        <v>75.292500000000004</v>
      </c>
      <c r="H1580" s="4">
        <v>2</v>
      </c>
      <c r="I1580" s="6">
        <v>1734477</v>
      </c>
      <c r="J1580" s="7">
        <v>780.28</v>
      </c>
      <c r="K1580" s="9">
        <f>(PricingDataTable[[#This Row],[Current Price ($)]]-PricingDataTable[[#This Row],[Prior Price ($)]])/PricingDataTable[[#This Row],[Prior Price ($)]]</f>
        <v>-5.461344786729814E-3</v>
      </c>
      <c r="L1580" s="9">
        <f>(PricingDataTable[[#This Row],[Vendor Price ($)]]-PricingDataTable[[#This Row],[Current Price ($)]])/PricingDataTable[[#This Row],[Current Price ($)]]</f>
        <v>1.1049150771047466E-3</v>
      </c>
      <c r="M1580" t="str">
        <f t="shared" si="48"/>
        <v>PASS</v>
      </c>
      <c r="N1580" s="10" t="str">
        <f t="shared" si="49"/>
        <v>NONE</v>
      </c>
    </row>
    <row r="1581" spans="1:14">
      <c r="A1581" s="4" t="s">
        <v>3178</v>
      </c>
      <c r="B1581" s="4" t="s">
        <v>3179</v>
      </c>
      <c r="C1581" s="4" t="s">
        <v>19</v>
      </c>
      <c r="D1581" s="4" t="s">
        <v>13</v>
      </c>
      <c r="E1581" s="5">
        <v>76.429900000000004</v>
      </c>
      <c r="F1581" s="5">
        <v>77.569199999999995</v>
      </c>
      <c r="G1581" s="5">
        <v>77.438800000000001</v>
      </c>
      <c r="H1581" s="4">
        <v>0</v>
      </c>
      <c r="I1581" s="6">
        <v>3624900</v>
      </c>
      <c r="J1581" s="7">
        <v>438.75</v>
      </c>
      <c r="K1581" s="9">
        <f>(PricingDataTable[[#This Row],[Current Price ($)]]-PricingDataTable[[#This Row],[Prior Price ($)]])/PricingDataTable[[#This Row],[Prior Price ($)]]</f>
        <v>1.4906469850150157E-2</v>
      </c>
      <c r="L1581" s="9">
        <f>(PricingDataTable[[#This Row],[Vendor Price ($)]]-PricingDataTable[[#This Row],[Current Price ($)]])/PricingDataTable[[#This Row],[Current Price ($)]]</f>
        <v>-1.6810796037601849E-3</v>
      </c>
      <c r="M1581" t="str">
        <f t="shared" si="48"/>
        <v>PASS</v>
      </c>
      <c r="N1581" s="10" t="str">
        <f t="shared" si="49"/>
        <v>NONE</v>
      </c>
    </row>
    <row r="1582" spans="1:14">
      <c r="A1582" s="4" t="s">
        <v>3180</v>
      </c>
      <c r="B1582" s="4" t="s">
        <v>3181</v>
      </c>
      <c r="C1582" s="4" t="s">
        <v>16</v>
      </c>
      <c r="D1582" s="4" t="s">
        <v>237</v>
      </c>
      <c r="E1582" s="5">
        <v>77.128</v>
      </c>
      <c r="F1582" s="5">
        <v>78.3934</v>
      </c>
      <c r="G1582" s="5">
        <v>78.962800000000001</v>
      </c>
      <c r="H1582" s="4">
        <v>0</v>
      </c>
      <c r="I1582" s="6">
        <v>2367824</v>
      </c>
      <c r="J1582" s="7">
        <v>779.11</v>
      </c>
      <c r="K1582" s="9">
        <f>(PricingDataTable[[#This Row],[Current Price ($)]]-PricingDataTable[[#This Row],[Prior Price ($)]])/PricingDataTable[[#This Row],[Prior Price ($)]]</f>
        <v>1.6406493102375269E-2</v>
      </c>
      <c r="L1582" s="9">
        <f>(PricingDataTable[[#This Row],[Vendor Price ($)]]-PricingDataTable[[#This Row],[Current Price ($)]])/PricingDataTable[[#This Row],[Current Price ($)]]</f>
        <v>7.263366558919522E-3</v>
      </c>
      <c r="M1582" t="str">
        <f t="shared" si="48"/>
        <v>PASS</v>
      </c>
      <c r="N1582" s="10" t="str">
        <f t="shared" si="49"/>
        <v>NONE</v>
      </c>
    </row>
    <row r="1583" spans="1:14">
      <c r="A1583" s="4" t="s">
        <v>3182</v>
      </c>
      <c r="B1583" s="4" t="s">
        <v>3183</v>
      </c>
      <c r="C1583" s="4" t="s">
        <v>19</v>
      </c>
      <c r="D1583" s="4" t="s">
        <v>64</v>
      </c>
      <c r="E1583" s="5">
        <v>57.678699999999999</v>
      </c>
      <c r="F1583" s="5">
        <v>57.433799999999998</v>
      </c>
      <c r="G1583" s="5">
        <v>57.484400000000001</v>
      </c>
      <c r="H1583" s="4">
        <v>0</v>
      </c>
      <c r="I1583" s="6">
        <v>3350912</v>
      </c>
      <c r="J1583" s="7">
        <v>217.02</v>
      </c>
      <c r="K1583" s="9">
        <f>(PricingDataTable[[#This Row],[Current Price ($)]]-PricingDataTable[[#This Row],[Prior Price ($)]])/PricingDataTable[[#This Row],[Prior Price ($)]]</f>
        <v>-4.2459348078233601E-3</v>
      </c>
      <c r="L1583" s="9">
        <f>(PricingDataTable[[#This Row],[Vendor Price ($)]]-PricingDataTable[[#This Row],[Current Price ($)]])/PricingDataTable[[#This Row],[Current Price ($)]]</f>
        <v>8.8101431561211105E-4</v>
      </c>
      <c r="M1583" t="str">
        <f t="shared" si="48"/>
        <v>PASS</v>
      </c>
      <c r="N1583" s="10" t="str">
        <f t="shared" si="49"/>
        <v>NONE</v>
      </c>
    </row>
    <row r="1584" spans="1:14">
      <c r="A1584" s="4" t="s">
        <v>3184</v>
      </c>
      <c r="B1584" s="4" t="s">
        <v>3185</v>
      </c>
      <c r="C1584" s="4" t="s">
        <v>19</v>
      </c>
      <c r="D1584" s="4" t="s">
        <v>13</v>
      </c>
      <c r="E1584" s="5">
        <v>19.063199999999998</v>
      </c>
      <c r="F1584" s="5">
        <v>19.4725</v>
      </c>
      <c r="G1584" s="5">
        <v>19.468699999999998</v>
      </c>
      <c r="H1584" s="4">
        <v>0</v>
      </c>
      <c r="I1584" s="6">
        <v>59807</v>
      </c>
      <c r="J1584" s="7">
        <v>428.55</v>
      </c>
      <c r="K1584" s="9">
        <f>(PricingDataTable[[#This Row],[Current Price ($)]]-PricingDataTable[[#This Row],[Prior Price ($)]])/PricingDataTable[[#This Row],[Prior Price ($)]]</f>
        <v>2.1470686978052048E-2</v>
      </c>
      <c r="L1584" s="9">
        <f>(PricingDataTable[[#This Row],[Vendor Price ($)]]-PricingDataTable[[#This Row],[Current Price ($)]])/PricingDataTable[[#This Row],[Current Price ($)]]</f>
        <v>-1.9514700218265768E-4</v>
      </c>
      <c r="M1584" t="str">
        <f t="shared" si="48"/>
        <v>PASS</v>
      </c>
      <c r="N1584" s="10" t="str">
        <f t="shared" si="49"/>
        <v>NONE</v>
      </c>
    </row>
    <row r="1585" spans="1:14">
      <c r="A1585" s="4" t="s">
        <v>3186</v>
      </c>
      <c r="B1585" s="4" t="s">
        <v>3187</v>
      </c>
      <c r="C1585" s="4" t="s">
        <v>12</v>
      </c>
      <c r="D1585" s="4" t="s">
        <v>13</v>
      </c>
      <c r="E1585" s="5">
        <v>111.3205</v>
      </c>
      <c r="F1585" s="5">
        <v>111.7616</v>
      </c>
      <c r="G1585" s="5">
        <v>111.7321</v>
      </c>
      <c r="H1585" s="4">
        <v>1</v>
      </c>
      <c r="I1585" s="6">
        <v>671486</v>
      </c>
      <c r="J1585" s="7">
        <v>399.52</v>
      </c>
      <c r="K1585" s="9">
        <f>(PricingDataTable[[#This Row],[Current Price ($)]]-PricingDataTable[[#This Row],[Prior Price ($)]])/PricingDataTable[[#This Row],[Prior Price ($)]]</f>
        <v>3.9624327953971267E-3</v>
      </c>
      <c r="L1585" s="9">
        <f>(PricingDataTable[[#This Row],[Vendor Price ($)]]-PricingDataTable[[#This Row],[Current Price ($)]])/PricingDataTable[[#This Row],[Current Price ($)]]</f>
        <v>-2.6395470358333049E-4</v>
      </c>
      <c r="M1585" t="str">
        <f t="shared" si="48"/>
        <v>PASS</v>
      </c>
      <c r="N1585" s="10" t="str">
        <f t="shared" si="49"/>
        <v>NONE</v>
      </c>
    </row>
    <row r="1586" spans="1:14">
      <c r="A1586" s="4" t="s">
        <v>3188</v>
      </c>
      <c r="B1586" s="4" t="s">
        <v>3189</v>
      </c>
      <c r="C1586" s="4" t="s">
        <v>16</v>
      </c>
      <c r="D1586" s="4" t="s">
        <v>13</v>
      </c>
      <c r="E1586" s="5">
        <v>105.8793</v>
      </c>
      <c r="F1586" s="5">
        <v>105.3755</v>
      </c>
      <c r="G1586" s="5">
        <v>105.5759</v>
      </c>
      <c r="H1586" s="4">
        <v>0</v>
      </c>
      <c r="I1586" s="6">
        <v>3418897</v>
      </c>
      <c r="J1586" s="7">
        <v>161.99</v>
      </c>
      <c r="K1586" s="9">
        <f>(PricingDataTable[[#This Row],[Current Price ($)]]-PricingDataTable[[#This Row],[Prior Price ($)]])/PricingDataTable[[#This Row],[Prior Price ($)]]</f>
        <v>-4.7582483072706209E-3</v>
      </c>
      <c r="L1586" s="9">
        <f>(PricingDataTable[[#This Row],[Vendor Price ($)]]-PricingDataTable[[#This Row],[Current Price ($)]])/PricingDataTable[[#This Row],[Current Price ($)]]</f>
        <v>1.901770335609339E-3</v>
      </c>
      <c r="M1586" t="str">
        <f t="shared" si="48"/>
        <v>PASS</v>
      </c>
      <c r="N1586" s="10" t="str">
        <f t="shared" si="49"/>
        <v>NONE</v>
      </c>
    </row>
    <row r="1587" spans="1:14">
      <c r="A1587" s="4" t="s">
        <v>3190</v>
      </c>
      <c r="B1587" s="4" t="s">
        <v>3191</v>
      </c>
      <c r="C1587" s="4" t="s">
        <v>16</v>
      </c>
      <c r="D1587" s="4" t="s">
        <v>13</v>
      </c>
      <c r="E1587" s="5">
        <v>86.604500000000002</v>
      </c>
      <c r="F1587" s="5">
        <v>88.3262</v>
      </c>
      <c r="G1587" s="5">
        <v>88.363900000000001</v>
      </c>
      <c r="H1587" s="4">
        <v>0</v>
      </c>
      <c r="I1587" s="6">
        <v>3762656</v>
      </c>
      <c r="J1587" s="7">
        <v>5.54</v>
      </c>
      <c r="K1587" s="9">
        <f>(PricingDataTable[[#This Row],[Current Price ($)]]-PricingDataTable[[#This Row],[Prior Price ($)]])/PricingDataTable[[#This Row],[Prior Price ($)]]</f>
        <v>1.9880029328730012E-2</v>
      </c>
      <c r="L1587" s="9">
        <f>(PricingDataTable[[#This Row],[Vendor Price ($)]]-PricingDataTable[[#This Row],[Current Price ($)]])/PricingDataTable[[#This Row],[Current Price ($)]]</f>
        <v>4.2682692111741427E-4</v>
      </c>
      <c r="M1587" t="str">
        <f t="shared" si="48"/>
        <v>PASS</v>
      </c>
      <c r="N1587" s="10" t="str">
        <f t="shared" si="49"/>
        <v>NONE</v>
      </c>
    </row>
    <row r="1588" spans="1:14">
      <c r="A1588" s="4" t="s">
        <v>3192</v>
      </c>
      <c r="B1588" s="4" t="s">
        <v>3193</v>
      </c>
      <c r="C1588" s="4" t="s">
        <v>16</v>
      </c>
      <c r="D1588" s="4" t="s">
        <v>13</v>
      </c>
      <c r="E1588" s="5">
        <v>115.63</v>
      </c>
      <c r="F1588" s="5">
        <v>115.3133</v>
      </c>
      <c r="G1588" s="5">
        <v>115.3758</v>
      </c>
      <c r="H1588" s="4">
        <v>0</v>
      </c>
      <c r="I1588" s="6">
        <v>736932</v>
      </c>
      <c r="J1588" s="7">
        <v>582.35</v>
      </c>
      <c r="K1588" s="9">
        <f>(PricingDataTable[[#This Row],[Current Price ($)]]-PricingDataTable[[#This Row],[Prior Price ($)]])/PricingDataTable[[#This Row],[Prior Price ($)]]</f>
        <v>-2.7389085877367234E-3</v>
      </c>
      <c r="L1588" s="9">
        <f>(PricingDataTable[[#This Row],[Vendor Price ($)]]-PricingDataTable[[#This Row],[Current Price ($)]])/PricingDataTable[[#This Row],[Current Price ($)]]</f>
        <v>5.4200165982588302E-4</v>
      </c>
      <c r="M1588" t="str">
        <f t="shared" si="48"/>
        <v>PASS</v>
      </c>
      <c r="N1588" s="10" t="str">
        <f t="shared" si="49"/>
        <v>NONE</v>
      </c>
    </row>
    <row r="1589" spans="1:14">
      <c r="A1589" s="4" t="s">
        <v>3194</v>
      </c>
      <c r="B1589" s="4" t="s">
        <v>3195</v>
      </c>
      <c r="C1589" s="4" t="s">
        <v>39</v>
      </c>
      <c r="D1589" s="4" t="s">
        <v>13</v>
      </c>
      <c r="E1589" s="5">
        <v>209.01679999999999</v>
      </c>
      <c r="F1589" s="5">
        <v>210.76410000000001</v>
      </c>
      <c r="G1589" s="5">
        <v>210.7944</v>
      </c>
      <c r="H1589" s="4">
        <v>0</v>
      </c>
      <c r="I1589" s="6">
        <v>242696</v>
      </c>
      <c r="J1589" s="7">
        <v>129.02000000000001</v>
      </c>
      <c r="K1589" s="9">
        <f>(PricingDataTable[[#This Row],[Current Price ($)]]-PricingDataTable[[#This Row],[Prior Price ($)]])/PricingDataTable[[#This Row],[Prior Price ($)]]</f>
        <v>8.3596151122781719E-3</v>
      </c>
      <c r="L1589" s="9">
        <f>(PricingDataTable[[#This Row],[Vendor Price ($)]]-PricingDataTable[[#This Row],[Current Price ($)]])/PricingDataTable[[#This Row],[Current Price ($)]]</f>
        <v>1.4376262371050227E-4</v>
      </c>
      <c r="M1589" t="str">
        <f t="shared" si="48"/>
        <v>PASS</v>
      </c>
      <c r="N1589" s="10" t="str">
        <f t="shared" si="49"/>
        <v>NONE</v>
      </c>
    </row>
    <row r="1590" spans="1:14">
      <c r="A1590" s="4" t="s">
        <v>3196</v>
      </c>
      <c r="B1590" s="4" t="s">
        <v>3197</v>
      </c>
      <c r="C1590" s="4" t="s">
        <v>12</v>
      </c>
      <c r="D1590" s="4" t="s">
        <v>13</v>
      </c>
      <c r="E1590" s="5">
        <v>109.428</v>
      </c>
      <c r="F1590" s="5">
        <v>109.587</v>
      </c>
      <c r="G1590" s="5">
        <v>109.2242</v>
      </c>
      <c r="H1590" s="4">
        <v>0</v>
      </c>
      <c r="I1590" s="6">
        <v>1566926</v>
      </c>
      <c r="J1590" s="7">
        <v>872.26</v>
      </c>
      <c r="K1590" s="9">
        <f>(PricingDataTable[[#This Row],[Current Price ($)]]-PricingDataTable[[#This Row],[Prior Price ($)]])/PricingDataTable[[#This Row],[Prior Price ($)]]</f>
        <v>1.4530101984867312E-3</v>
      </c>
      <c r="L1590" s="9">
        <f>(PricingDataTable[[#This Row],[Vendor Price ($)]]-PricingDataTable[[#This Row],[Current Price ($)]])/PricingDataTable[[#This Row],[Current Price ($)]]</f>
        <v>-3.3106116601422349E-3</v>
      </c>
      <c r="M1590" t="str">
        <f t="shared" si="48"/>
        <v>PASS</v>
      </c>
      <c r="N1590" s="10" t="str">
        <f t="shared" si="49"/>
        <v>NONE</v>
      </c>
    </row>
    <row r="1591" spans="1:14">
      <c r="A1591" s="4" t="s">
        <v>3198</v>
      </c>
      <c r="B1591" s="4" t="s">
        <v>3199</v>
      </c>
      <c r="C1591" s="4" t="s">
        <v>12</v>
      </c>
      <c r="D1591" s="4" t="s">
        <v>13</v>
      </c>
      <c r="E1591" s="5">
        <v>77.149900000000002</v>
      </c>
      <c r="F1591" s="5">
        <v>77.823499999999996</v>
      </c>
      <c r="G1591" s="5">
        <v>77.626000000000005</v>
      </c>
      <c r="H1591" s="4">
        <v>3</v>
      </c>
      <c r="I1591" s="6">
        <v>2294062</v>
      </c>
      <c r="J1591" s="7">
        <v>883.34</v>
      </c>
      <c r="K1591" s="9">
        <f>(PricingDataTable[[#This Row],[Current Price ($)]]-PricingDataTable[[#This Row],[Prior Price ($)]])/PricingDataTable[[#This Row],[Prior Price ($)]]</f>
        <v>8.7310547388913442E-3</v>
      </c>
      <c r="L1591" s="9">
        <f>(PricingDataTable[[#This Row],[Vendor Price ($)]]-PricingDataTable[[#This Row],[Current Price ($)]])/PricingDataTable[[#This Row],[Current Price ($)]]</f>
        <v>-2.5377938540414001E-3</v>
      </c>
      <c r="M1591" t="str">
        <f t="shared" si="48"/>
        <v>STALE</v>
      </c>
      <c r="N1591" s="10" t="str">
        <f t="shared" si="49"/>
        <v>LOW</v>
      </c>
    </row>
    <row r="1592" spans="1:14">
      <c r="A1592" s="4" t="s">
        <v>3200</v>
      </c>
      <c r="B1592" s="4" t="s">
        <v>3201</v>
      </c>
      <c r="C1592" s="4" t="s">
        <v>19</v>
      </c>
      <c r="D1592" s="4" t="s">
        <v>13</v>
      </c>
      <c r="E1592" s="5">
        <v>198.43819999999999</v>
      </c>
      <c r="F1592" s="5">
        <v>195.54429999999999</v>
      </c>
      <c r="G1592" s="5">
        <v>194.9915</v>
      </c>
      <c r="H1592" s="4">
        <v>0</v>
      </c>
      <c r="I1592" s="6">
        <v>1014139</v>
      </c>
      <c r="J1592" s="7">
        <v>646.59</v>
      </c>
      <c r="K1592" s="9">
        <f>(PricingDataTable[[#This Row],[Current Price ($)]]-PricingDataTable[[#This Row],[Prior Price ($)]])/PricingDataTable[[#This Row],[Prior Price ($)]]</f>
        <v>-1.4583381627126239E-2</v>
      </c>
      <c r="L1592" s="9">
        <f>(PricingDataTable[[#This Row],[Vendor Price ($)]]-PricingDataTable[[#This Row],[Current Price ($)]])/PricingDataTable[[#This Row],[Current Price ($)]]</f>
        <v>-2.8269808938434443E-3</v>
      </c>
      <c r="M1592" t="str">
        <f t="shared" si="48"/>
        <v>PASS</v>
      </c>
      <c r="N1592" s="10" t="str">
        <f t="shared" si="49"/>
        <v>NONE</v>
      </c>
    </row>
    <row r="1593" spans="1:14">
      <c r="A1593" s="4" t="s">
        <v>3202</v>
      </c>
      <c r="B1593" s="4" t="s">
        <v>3203</v>
      </c>
      <c r="C1593" s="4" t="s">
        <v>19</v>
      </c>
      <c r="D1593" s="4" t="s">
        <v>13</v>
      </c>
      <c r="E1593" s="5">
        <v>80.285600000000002</v>
      </c>
      <c r="F1593" s="5">
        <v>81.691800000000001</v>
      </c>
      <c r="G1593" s="5">
        <v>81.381699999999995</v>
      </c>
      <c r="H1593" s="4">
        <v>0</v>
      </c>
      <c r="I1593" s="6">
        <v>3113128</v>
      </c>
      <c r="J1593" s="7">
        <v>134.63999999999999</v>
      </c>
      <c r="K1593" s="9">
        <f>(PricingDataTable[[#This Row],[Current Price ($)]]-PricingDataTable[[#This Row],[Prior Price ($)]])/PricingDataTable[[#This Row],[Prior Price ($)]]</f>
        <v>1.7514971551560905E-2</v>
      </c>
      <c r="L1593" s="9">
        <f>(PricingDataTable[[#This Row],[Vendor Price ($)]]-PricingDataTable[[#This Row],[Current Price ($)]])/PricingDataTable[[#This Row],[Current Price ($)]]</f>
        <v>-3.795974626584377E-3</v>
      </c>
      <c r="M1593" t="str">
        <f t="shared" si="48"/>
        <v>PASS</v>
      </c>
      <c r="N1593" s="10" t="str">
        <f t="shared" si="49"/>
        <v>NONE</v>
      </c>
    </row>
    <row r="1594" spans="1:14">
      <c r="A1594" s="4" t="s">
        <v>3204</v>
      </c>
      <c r="B1594" s="4" t="s">
        <v>3205</v>
      </c>
      <c r="C1594" s="4" t="s">
        <v>16</v>
      </c>
      <c r="D1594" s="4" t="s">
        <v>13</v>
      </c>
      <c r="E1594" s="5">
        <v>95.370099999999994</v>
      </c>
      <c r="F1594" s="5">
        <v>98.385099999999994</v>
      </c>
      <c r="G1594" s="5">
        <v>98.444199999999995</v>
      </c>
      <c r="H1594" s="4">
        <v>2</v>
      </c>
      <c r="I1594" s="6">
        <v>3756118</v>
      </c>
      <c r="J1594" s="7">
        <v>9.6300000000000008</v>
      </c>
      <c r="K1594" s="9">
        <f>(PricingDataTable[[#This Row],[Current Price ($)]]-PricingDataTable[[#This Row],[Prior Price ($)]])/PricingDataTable[[#This Row],[Prior Price ($)]]</f>
        <v>3.1613681856263134E-2</v>
      </c>
      <c r="L1594" s="9">
        <f>(PricingDataTable[[#This Row],[Vendor Price ($)]]-PricingDataTable[[#This Row],[Current Price ($)]])/PricingDataTable[[#This Row],[Current Price ($)]]</f>
        <v>6.0070071586043844E-4</v>
      </c>
      <c r="M1594" t="str">
        <f t="shared" si="48"/>
        <v>PASS</v>
      </c>
      <c r="N1594" s="10" t="str">
        <f t="shared" si="49"/>
        <v>NONE</v>
      </c>
    </row>
    <row r="1595" spans="1:14">
      <c r="A1595" s="4" t="s">
        <v>3206</v>
      </c>
      <c r="B1595" s="4" t="s">
        <v>3207</v>
      </c>
      <c r="C1595" s="4" t="s">
        <v>39</v>
      </c>
      <c r="D1595" s="4" t="s">
        <v>36</v>
      </c>
      <c r="E1595" s="5">
        <v>146.8879</v>
      </c>
      <c r="F1595" s="5">
        <v>148.00640000000001</v>
      </c>
      <c r="G1595" s="5">
        <v>148.31049999999999</v>
      </c>
      <c r="H1595" s="4">
        <v>0</v>
      </c>
      <c r="I1595" s="6">
        <v>37641</v>
      </c>
      <c r="J1595" s="7">
        <v>61.25</v>
      </c>
      <c r="K1595" s="9">
        <f>(PricingDataTable[[#This Row],[Current Price ($)]]-PricingDataTable[[#This Row],[Prior Price ($)]])/PricingDataTable[[#This Row],[Prior Price ($)]]</f>
        <v>7.6146503558156362E-3</v>
      </c>
      <c r="L1595" s="9">
        <f>(PricingDataTable[[#This Row],[Vendor Price ($)]]-PricingDataTable[[#This Row],[Current Price ($)]])/PricingDataTable[[#This Row],[Current Price ($)]]</f>
        <v>2.0546408803942054E-3</v>
      </c>
      <c r="M1595" t="str">
        <f t="shared" si="48"/>
        <v>PASS</v>
      </c>
      <c r="N1595" s="10" t="str">
        <f t="shared" si="49"/>
        <v>NONE</v>
      </c>
    </row>
    <row r="1596" spans="1:14">
      <c r="A1596" s="4" t="s">
        <v>3208</v>
      </c>
      <c r="B1596" s="4" t="s">
        <v>3209</v>
      </c>
      <c r="C1596" s="4" t="s">
        <v>16</v>
      </c>
      <c r="D1596" s="4" t="s">
        <v>32</v>
      </c>
      <c r="E1596" s="5">
        <v>90.801699999999997</v>
      </c>
      <c r="F1596" s="5">
        <v>92.058300000000003</v>
      </c>
      <c r="G1596" s="5">
        <v>92.170599999999993</v>
      </c>
      <c r="H1596" s="4">
        <v>0</v>
      </c>
      <c r="I1596" s="6">
        <v>4956407</v>
      </c>
      <c r="J1596" s="7">
        <v>293.89</v>
      </c>
      <c r="K1596" s="9">
        <f>(PricingDataTable[[#This Row],[Current Price ($)]]-PricingDataTable[[#This Row],[Prior Price ($)]])/PricingDataTable[[#This Row],[Prior Price ($)]]</f>
        <v>1.383894794921247E-2</v>
      </c>
      <c r="L1596" s="9">
        <f>(PricingDataTable[[#This Row],[Vendor Price ($)]]-PricingDataTable[[#This Row],[Current Price ($)]])/PricingDataTable[[#This Row],[Current Price ($)]]</f>
        <v>1.2198791418046011E-3</v>
      </c>
      <c r="M1596" t="str">
        <f t="shared" si="48"/>
        <v>PASS</v>
      </c>
      <c r="N1596" s="10" t="str">
        <f t="shared" si="49"/>
        <v>NONE</v>
      </c>
    </row>
    <row r="1597" spans="1:14">
      <c r="A1597" s="4" t="s">
        <v>3210</v>
      </c>
      <c r="B1597" s="4" t="s">
        <v>3211</v>
      </c>
      <c r="C1597" s="4" t="s">
        <v>19</v>
      </c>
      <c r="D1597" s="4" t="s">
        <v>13</v>
      </c>
      <c r="E1597" s="5">
        <v>339.27120000000002</v>
      </c>
      <c r="F1597" s="5">
        <v>338.83109999999999</v>
      </c>
      <c r="G1597" s="5">
        <v>337.86799999999999</v>
      </c>
      <c r="H1597" s="4">
        <v>1</v>
      </c>
      <c r="I1597" s="6">
        <v>457459</v>
      </c>
      <c r="J1597" s="7">
        <v>287.52</v>
      </c>
      <c r="K1597" s="9">
        <f>(PricingDataTable[[#This Row],[Current Price ($)]]-PricingDataTable[[#This Row],[Prior Price ($)]])/PricingDataTable[[#This Row],[Prior Price ($)]]</f>
        <v>-1.2971923346279596E-3</v>
      </c>
      <c r="L1597" s="9">
        <f>(PricingDataTable[[#This Row],[Vendor Price ($)]]-PricingDataTable[[#This Row],[Current Price ($)]])/PricingDataTable[[#This Row],[Current Price ($)]]</f>
        <v>-2.8424191285864762E-3</v>
      </c>
      <c r="M1597" t="str">
        <f t="shared" si="48"/>
        <v>PASS</v>
      </c>
      <c r="N1597" s="10" t="str">
        <f t="shared" si="49"/>
        <v>NONE</v>
      </c>
    </row>
    <row r="1598" spans="1:14">
      <c r="A1598" s="4" t="s">
        <v>3212</v>
      </c>
      <c r="B1598" s="4" t="s">
        <v>3213</v>
      </c>
      <c r="C1598" s="4" t="s">
        <v>12</v>
      </c>
      <c r="D1598" s="4" t="s">
        <v>32</v>
      </c>
      <c r="E1598" s="5">
        <v>112.92359999999999</v>
      </c>
      <c r="F1598" s="5">
        <v>114.6818</v>
      </c>
      <c r="G1598" s="5">
        <v>114.48</v>
      </c>
      <c r="H1598" s="4">
        <v>1</v>
      </c>
      <c r="I1598" s="6">
        <v>4872570</v>
      </c>
      <c r="J1598" s="7">
        <v>193.48</v>
      </c>
      <c r="K1598" s="9">
        <f>(PricingDataTable[[#This Row],[Current Price ($)]]-PricingDataTable[[#This Row],[Prior Price ($)]])/PricingDataTable[[#This Row],[Prior Price ($)]]</f>
        <v>1.556981888639755E-2</v>
      </c>
      <c r="L1598" s="9">
        <f>(PricingDataTable[[#This Row],[Vendor Price ($)]]-PricingDataTable[[#This Row],[Current Price ($)]])/PricingDataTable[[#This Row],[Current Price ($)]]</f>
        <v>-1.7596514878558895E-3</v>
      </c>
      <c r="M1598" t="str">
        <f t="shared" si="48"/>
        <v>PASS</v>
      </c>
      <c r="N1598" s="10" t="str">
        <f t="shared" si="49"/>
        <v>NONE</v>
      </c>
    </row>
    <row r="1599" spans="1:14">
      <c r="A1599" s="4" t="s">
        <v>3214</v>
      </c>
      <c r="B1599" s="4" t="s">
        <v>3215</v>
      </c>
      <c r="C1599" s="4" t="s">
        <v>35</v>
      </c>
      <c r="D1599" s="4" t="s">
        <v>13</v>
      </c>
      <c r="E1599" s="5">
        <v>36.675899999999999</v>
      </c>
      <c r="F1599" s="5">
        <v>36.411900000000003</v>
      </c>
      <c r="G1599" s="5">
        <v>36.546199999999999</v>
      </c>
      <c r="H1599" s="4">
        <v>0</v>
      </c>
      <c r="I1599" s="6">
        <v>3932802</v>
      </c>
      <c r="J1599" s="7">
        <v>44.45</v>
      </c>
      <c r="K1599" s="9">
        <f>(PricingDataTable[[#This Row],[Current Price ($)]]-PricingDataTable[[#This Row],[Prior Price ($)]])/PricingDataTable[[#This Row],[Prior Price ($)]]</f>
        <v>-7.1981873655451072E-3</v>
      </c>
      <c r="L1599" s="9">
        <f>(PricingDataTable[[#This Row],[Vendor Price ($)]]-PricingDataTable[[#This Row],[Current Price ($)]])/PricingDataTable[[#This Row],[Current Price ($)]]</f>
        <v>3.6883546313154787E-3</v>
      </c>
      <c r="M1599" t="str">
        <f t="shared" si="48"/>
        <v>PASS</v>
      </c>
      <c r="N1599" s="10" t="str">
        <f t="shared" si="49"/>
        <v>NONE</v>
      </c>
    </row>
    <row r="1600" spans="1:14">
      <c r="A1600" s="4" t="s">
        <v>3216</v>
      </c>
      <c r="B1600" s="4" t="s">
        <v>3217</v>
      </c>
      <c r="C1600" s="4" t="s">
        <v>35</v>
      </c>
      <c r="D1600" s="4" t="s">
        <v>13</v>
      </c>
      <c r="E1600" s="5">
        <v>152.86660000000001</v>
      </c>
      <c r="F1600" s="5">
        <v>153.11699999999999</v>
      </c>
      <c r="G1600" s="5">
        <v>152.92920000000001</v>
      </c>
      <c r="H1600" s="4">
        <v>1</v>
      </c>
      <c r="I1600" s="6">
        <v>215189</v>
      </c>
      <c r="J1600" s="7">
        <v>543.20000000000005</v>
      </c>
      <c r="K1600" s="9">
        <f>(PricingDataTable[[#This Row],[Current Price ($)]]-PricingDataTable[[#This Row],[Prior Price ($)]])/PricingDataTable[[#This Row],[Prior Price ($)]]</f>
        <v>1.6380294976141606E-3</v>
      </c>
      <c r="L1600" s="9">
        <f>(PricingDataTable[[#This Row],[Vendor Price ($)]]-PricingDataTable[[#This Row],[Current Price ($)]])/PricingDataTable[[#This Row],[Current Price ($)]]</f>
        <v>-1.2265130586413106E-3</v>
      </c>
      <c r="M1600" t="str">
        <f t="shared" si="48"/>
        <v>PASS</v>
      </c>
      <c r="N1600" s="10" t="str">
        <f t="shared" si="49"/>
        <v>NONE</v>
      </c>
    </row>
    <row r="1601" spans="1:14">
      <c r="A1601" s="4" t="s">
        <v>3218</v>
      </c>
      <c r="B1601" s="4" t="s">
        <v>3219</v>
      </c>
      <c r="C1601" s="4" t="s">
        <v>19</v>
      </c>
      <c r="D1601" s="4" t="s">
        <v>13</v>
      </c>
      <c r="E1601" s="5">
        <v>287.54390000000001</v>
      </c>
      <c r="F1601" s="5">
        <v>285.82119999999998</v>
      </c>
      <c r="G1601" s="5">
        <v>284.73590000000002</v>
      </c>
      <c r="H1601" s="4">
        <v>0</v>
      </c>
      <c r="I1601" s="6">
        <v>2426111</v>
      </c>
      <c r="J1601" s="7">
        <v>233.32</v>
      </c>
      <c r="K1601" s="9">
        <f>(PricingDataTable[[#This Row],[Current Price ($)]]-PricingDataTable[[#This Row],[Prior Price ($)]])/PricingDataTable[[#This Row],[Prior Price ($)]]</f>
        <v>-5.9910851873401999E-3</v>
      </c>
      <c r="L1601" s="9">
        <f>(PricingDataTable[[#This Row],[Vendor Price ($)]]-PricingDataTable[[#This Row],[Current Price ($)]])/PricingDataTable[[#This Row],[Current Price ($)]]</f>
        <v>-3.7971291142852985E-3</v>
      </c>
      <c r="M1601" t="str">
        <f t="shared" si="48"/>
        <v>PASS</v>
      </c>
      <c r="N1601" s="10" t="str">
        <f t="shared" si="49"/>
        <v>NONE</v>
      </c>
    </row>
    <row r="1602" spans="1:14">
      <c r="A1602" s="4" t="s">
        <v>3220</v>
      </c>
      <c r="B1602" s="4" t="s">
        <v>3221</v>
      </c>
      <c r="C1602" s="4" t="s">
        <v>35</v>
      </c>
      <c r="D1602" s="4" t="s">
        <v>13</v>
      </c>
      <c r="E1602" s="5">
        <v>137.82939999999999</v>
      </c>
      <c r="F1602" s="5">
        <v>139.3749</v>
      </c>
      <c r="G1602" s="5">
        <v>138.4794</v>
      </c>
      <c r="H1602" s="4">
        <v>0</v>
      </c>
      <c r="I1602" s="6">
        <v>1387954</v>
      </c>
      <c r="J1602" s="7">
        <v>395.48</v>
      </c>
      <c r="K1602" s="9">
        <f>(PricingDataTable[[#This Row],[Current Price ($)]]-PricingDataTable[[#This Row],[Prior Price ($)]])/PricingDataTable[[#This Row],[Prior Price ($)]]</f>
        <v>1.1213137400293437E-2</v>
      </c>
      <c r="L1602" s="9">
        <f>(PricingDataTable[[#This Row],[Vendor Price ($)]]-PricingDataTable[[#This Row],[Current Price ($)]])/PricingDataTable[[#This Row],[Current Price ($)]]</f>
        <v>-6.4251167175725212E-3</v>
      </c>
      <c r="M1602" t="str">
        <f t="shared" ref="M1602:M1665" si="50">IF(OR(F1602="",F1602=0),"MISSING",IF(H1602&gt;=3,"STALE",IF(ABS(K1602)&gt;=5%,"LARGE MOVE",IF(ABS(L1602)&gt;=2%,"VENDOR DIFFERENCE","PASS"))))</f>
        <v>PASS</v>
      </c>
      <c r="N1602" s="10" t="str">
        <f t="shared" ref="N1602:N1665" si="51">IF(M1602="PASS","NONE",IF(M1602="MISSING","HIGH",IF(OR(ABS(K1602)&gt;=10%,ABS(L1602)&gt;=5%),"HIGH",IF(OR(ABS(K1602)&gt;=7%,ABS(L1602)&gt;=3%,H1602&gt;=5),"MEDIUM","LOW"))))</f>
        <v>NONE</v>
      </c>
    </row>
    <row r="1603" spans="1:14">
      <c r="A1603" s="4" t="s">
        <v>3222</v>
      </c>
      <c r="B1603" s="4" t="s">
        <v>3223</v>
      </c>
      <c r="C1603" s="4" t="s">
        <v>35</v>
      </c>
      <c r="D1603" s="4" t="s">
        <v>13</v>
      </c>
      <c r="E1603" s="5">
        <v>130.32550000000001</v>
      </c>
      <c r="F1603" s="5">
        <v>131.85390000000001</v>
      </c>
      <c r="G1603" s="5">
        <v>131.4289</v>
      </c>
      <c r="H1603" s="4">
        <v>0</v>
      </c>
      <c r="I1603" s="6">
        <v>2115</v>
      </c>
      <c r="J1603" s="7">
        <v>58.92</v>
      </c>
      <c r="K1603" s="9">
        <f>(PricingDataTable[[#This Row],[Current Price ($)]]-PricingDataTable[[#This Row],[Prior Price ($)]])/PricingDataTable[[#This Row],[Prior Price ($)]]</f>
        <v>1.1727559073243569E-2</v>
      </c>
      <c r="L1603" s="9">
        <f>(PricingDataTable[[#This Row],[Vendor Price ($)]]-PricingDataTable[[#This Row],[Current Price ($)]])/PricingDataTable[[#This Row],[Current Price ($)]]</f>
        <v>-3.2232645374919615E-3</v>
      </c>
      <c r="M1603" t="str">
        <f t="shared" si="50"/>
        <v>PASS</v>
      </c>
      <c r="N1603" s="10" t="str">
        <f t="shared" si="51"/>
        <v>NONE</v>
      </c>
    </row>
    <row r="1604" spans="1:14">
      <c r="A1604" s="4" t="s">
        <v>3224</v>
      </c>
      <c r="B1604" s="4" t="s">
        <v>3225</v>
      </c>
      <c r="C1604" s="4" t="s">
        <v>19</v>
      </c>
      <c r="D1604" s="4" t="s">
        <v>32</v>
      </c>
      <c r="E1604" s="5">
        <v>184.56290000000001</v>
      </c>
      <c r="F1604" s="5">
        <v>184.15129999999999</v>
      </c>
      <c r="G1604" s="5">
        <v>184.51900000000001</v>
      </c>
      <c r="H1604" s="4">
        <v>0</v>
      </c>
      <c r="I1604" s="6">
        <v>77275</v>
      </c>
      <c r="J1604" s="7">
        <v>719.77</v>
      </c>
      <c r="K1604" s="9">
        <f>(PricingDataTable[[#This Row],[Current Price ($)]]-PricingDataTable[[#This Row],[Prior Price ($)]])/PricingDataTable[[#This Row],[Prior Price ($)]]</f>
        <v>-2.2301340085142856E-3</v>
      </c>
      <c r="L1604" s="9">
        <f>(PricingDataTable[[#This Row],[Vendor Price ($)]]-PricingDataTable[[#This Row],[Current Price ($)]])/PricingDataTable[[#This Row],[Current Price ($)]]</f>
        <v>1.996727690763049E-3</v>
      </c>
      <c r="M1604" t="str">
        <f t="shared" si="50"/>
        <v>PASS</v>
      </c>
      <c r="N1604" s="10" t="str">
        <f t="shared" si="51"/>
        <v>NONE</v>
      </c>
    </row>
    <row r="1605" spans="1:14">
      <c r="A1605" s="4" t="s">
        <v>3226</v>
      </c>
      <c r="B1605" s="4" t="s">
        <v>3227</v>
      </c>
      <c r="C1605" s="4" t="s">
        <v>39</v>
      </c>
      <c r="D1605" s="4" t="s">
        <v>64</v>
      </c>
      <c r="E1605" s="5">
        <v>120.2634</v>
      </c>
      <c r="F1605" s="5">
        <v>120.1084</v>
      </c>
      <c r="G1605" s="5">
        <v>120.4358</v>
      </c>
      <c r="H1605" s="4">
        <v>3</v>
      </c>
      <c r="I1605" s="6">
        <v>583505</v>
      </c>
      <c r="J1605" s="7">
        <v>181.73</v>
      </c>
      <c r="K1605" s="9">
        <f>(PricingDataTable[[#This Row],[Current Price ($)]]-PricingDataTable[[#This Row],[Prior Price ($)]])/PricingDataTable[[#This Row],[Prior Price ($)]]</f>
        <v>-1.2888376679854481E-3</v>
      </c>
      <c r="L1605" s="9">
        <f>(PricingDataTable[[#This Row],[Vendor Price ($)]]-PricingDataTable[[#This Row],[Current Price ($)]])/PricingDataTable[[#This Row],[Current Price ($)]]</f>
        <v>2.7258709632298592E-3</v>
      </c>
      <c r="M1605" t="str">
        <f t="shared" si="50"/>
        <v>STALE</v>
      </c>
      <c r="N1605" s="10" t="str">
        <f t="shared" si="51"/>
        <v>LOW</v>
      </c>
    </row>
    <row r="1606" spans="1:14">
      <c r="A1606" s="4" t="s">
        <v>3228</v>
      </c>
      <c r="B1606" s="4" t="s">
        <v>3229</v>
      </c>
      <c r="C1606" s="4" t="s">
        <v>19</v>
      </c>
      <c r="D1606" s="4" t="s">
        <v>13</v>
      </c>
      <c r="E1606" s="5">
        <v>142.5249</v>
      </c>
      <c r="F1606" s="5">
        <v>142.24979999999999</v>
      </c>
      <c r="G1606" s="5">
        <v>142.56290000000001</v>
      </c>
      <c r="H1606" s="4">
        <v>1</v>
      </c>
      <c r="I1606" s="6">
        <v>1263886</v>
      </c>
      <c r="J1606" s="7">
        <v>822.27</v>
      </c>
      <c r="K1606" s="9">
        <f>(PricingDataTable[[#This Row],[Current Price ($)]]-PricingDataTable[[#This Row],[Prior Price ($)]])/PricingDataTable[[#This Row],[Prior Price ($)]]</f>
        <v>-1.9301890406519071E-3</v>
      </c>
      <c r="L1606" s="9">
        <f>(PricingDataTable[[#This Row],[Vendor Price ($)]]-PricingDataTable[[#This Row],[Current Price ($)]])/PricingDataTable[[#This Row],[Current Price ($)]]</f>
        <v>2.2010575761795092E-3</v>
      </c>
      <c r="M1606" t="str">
        <f t="shared" si="50"/>
        <v>PASS</v>
      </c>
      <c r="N1606" s="10" t="str">
        <f t="shared" si="51"/>
        <v>NONE</v>
      </c>
    </row>
    <row r="1607" spans="1:14">
      <c r="A1607" s="4" t="s">
        <v>3230</v>
      </c>
      <c r="B1607" s="4" t="s">
        <v>3231</v>
      </c>
      <c r="C1607" s="4" t="s">
        <v>16</v>
      </c>
      <c r="D1607" s="4" t="s">
        <v>13</v>
      </c>
      <c r="E1607" s="5">
        <v>121.96169999999999</v>
      </c>
      <c r="F1607" s="5">
        <v>119.941</v>
      </c>
      <c r="G1607" s="5">
        <v>120.2383</v>
      </c>
      <c r="H1607" s="4">
        <v>0</v>
      </c>
      <c r="I1607" s="6">
        <v>238205</v>
      </c>
      <c r="J1607" s="7">
        <v>832.98</v>
      </c>
      <c r="K1607" s="9">
        <f>(PricingDataTable[[#This Row],[Current Price ($)]]-PricingDataTable[[#This Row],[Prior Price ($)]])/PricingDataTable[[#This Row],[Prior Price ($)]]</f>
        <v>-1.6568316118912668E-2</v>
      </c>
      <c r="L1607" s="9">
        <f>(PricingDataTable[[#This Row],[Vendor Price ($)]]-PricingDataTable[[#This Row],[Current Price ($)]])/PricingDataTable[[#This Row],[Current Price ($)]]</f>
        <v>2.4787187033624264E-3</v>
      </c>
      <c r="M1607" t="str">
        <f t="shared" si="50"/>
        <v>PASS</v>
      </c>
      <c r="N1607" s="10" t="str">
        <f t="shared" si="51"/>
        <v>NONE</v>
      </c>
    </row>
    <row r="1608" spans="1:14">
      <c r="A1608" s="4" t="s">
        <v>3232</v>
      </c>
      <c r="B1608" s="4" t="s">
        <v>3233</v>
      </c>
      <c r="C1608" s="4" t="s">
        <v>19</v>
      </c>
      <c r="D1608" s="4" t="s">
        <v>13</v>
      </c>
      <c r="E1608" s="5">
        <v>89.409700000000001</v>
      </c>
      <c r="F1608" s="5">
        <v>89.6952</v>
      </c>
      <c r="G1608" s="5">
        <v>89.462900000000005</v>
      </c>
      <c r="H1608" s="4">
        <v>1</v>
      </c>
      <c r="I1608" s="6">
        <v>316357</v>
      </c>
      <c r="J1608" s="7">
        <v>576.35</v>
      </c>
      <c r="K1608" s="9">
        <f>(PricingDataTable[[#This Row],[Current Price ($)]]-PricingDataTable[[#This Row],[Prior Price ($)]])/PricingDataTable[[#This Row],[Prior Price ($)]]</f>
        <v>3.1931658421848969E-3</v>
      </c>
      <c r="L1608" s="9">
        <f>(PricingDataTable[[#This Row],[Vendor Price ($)]]-PricingDataTable[[#This Row],[Current Price ($)]])/PricingDataTable[[#This Row],[Current Price ($)]]</f>
        <v>-2.5898821787564449E-3</v>
      </c>
      <c r="M1608" t="str">
        <f t="shared" si="50"/>
        <v>PASS</v>
      </c>
      <c r="N1608" s="10" t="str">
        <f t="shared" si="51"/>
        <v>NONE</v>
      </c>
    </row>
    <row r="1609" spans="1:14">
      <c r="A1609" s="4" t="s">
        <v>3234</v>
      </c>
      <c r="B1609" s="4" t="s">
        <v>3235</v>
      </c>
      <c r="C1609" s="4" t="s">
        <v>12</v>
      </c>
      <c r="D1609" s="4" t="s">
        <v>13</v>
      </c>
      <c r="E1609" s="5">
        <v>99.802899999999994</v>
      </c>
      <c r="F1609" s="5">
        <v>101.52200000000001</v>
      </c>
      <c r="G1609" s="5">
        <v>101.57299999999999</v>
      </c>
      <c r="H1609" s="4">
        <v>0</v>
      </c>
      <c r="I1609" s="6">
        <v>1156279</v>
      </c>
      <c r="J1609" s="7">
        <v>334.25</v>
      </c>
      <c r="K1609" s="9">
        <f>(PricingDataTable[[#This Row],[Current Price ($)]]-PricingDataTable[[#This Row],[Prior Price ($)]])/PricingDataTable[[#This Row],[Prior Price ($)]]</f>
        <v>1.7224950377193567E-2</v>
      </c>
      <c r="L1609" s="9">
        <f>(PricingDataTable[[#This Row],[Vendor Price ($)]]-PricingDataTable[[#This Row],[Current Price ($)]])/PricingDataTable[[#This Row],[Current Price ($)]]</f>
        <v>5.0235416953948618E-4</v>
      </c>
      <c r="M1609" t="str">
        <f t="shared" si="50"/>
        <v>PASS</v>
      </c>
      <c r="N1609" s="10" t="str">
        <f t="shared" si="51"/>
        <v>NONE</v>
      </c>
    </row>
    <row r="1610" spans="1:14">
      <c r="A1610" s="4" t="s">
        <v>3236</v>
      </c>
      <c r="B1610" s="4" t="s">
        <v>3237</v>
      </c>
      <c r="C1610" s="4" t="s">
        <v>39</v>
      </c>
      <c r="D1610" s="4" t="s">
        <v>13</v>
      </c>
      <c r="E1610" s="5">
        <v>21.683399999999999</v>
      </c>
      <c r="F1610" s="5">
        <v>21.637699999999999</v>
      </c>
      <c r="G1610" s="5">
        <v>21.597000000000001</v>
      </c>
      <c r="H1610" s="4">
        <v>0</v>
      </c>
      <c r="I1610" s="6">
        <v>2201937</v>
      </c>
      <c r="J1610" s="7">
        <v>851.29</v>
      </c>
      <c r="K1610" s="9">
        <f>(PricingDataTable[[#This Row],[Current Price ($)]]-PricingDataTable[[#This Row],[Prior Price ($)]])/PricingDataTable[[#This Row],[Prior Price ($)]]</f>
        <v>-2.1076030511820139E-3</v>
      </c>
      <c r="L1610" s="9">
        <f>(PricingDataTable[[#This Row],[Vendor Price ($)]]-PricingDataTable[[#This Row],[Current Price ($)]])/PricingDataTable[[#This Row],[Current Price ($)]]</f>
        <v>-1.8809762590292645E-3</v>
      </c>
      <c r="M1610" t="str">
        <f t="shared" si="50"/>
        <v>PASS</v>
      </c>
      <c r="N1610" s="10" t="str">
        <f t="shared" si="51"/>
        <v>NONE</v>
      </c>
    </row>
    <row r="1611" spans="1:14">
      <c r="A1611" s="4" t="s">
        <v>3238</v>
      </c>
      <c r="B1611" s="4" t="s">
        <v>3239</v>
      </c>
      <c r="C1611" s="4" t="s">
        <v>19</v>
      </c>
      <c r="D1611" s="4" t="s">
        <v>13</v>
      </c>
      <c r="E1611" s="5">
        <v>115.751</v>
      </c>
      <c r="F1611" s="5">
        <v>113.9132</v>
      </c>
      <c r="G1611" s="5">
        <v>113.9539</v>
      </c>
      <c r="H1611" s="4">
        <v>5</v>
      </c>
      <c r="I1611" s="6">
        <v>4064485</v>
      </c>
      <c r="J1611" s="7">
        <v>673.76</v>
      </c>
      <c r="K1611" s="9">
        <f>(PricingDataTable[[#This Row],[Current Price ($)]]-PricingDataTable[[#This Row],[Prior Price ($)]])/PricingDataTable[[#This Row],[Prior Price ($)]]</f>
        <v>-1.587718464635296E-2</v>
      </c>
      <c r="L1611" s="9">
        <f>(PricingDataTable[[#This Row],[Vendor Price ($)]]-PricingDataTable[[#This Row],[Current Price ($)]])/PricingDataTable[[#This Row],[Current Price ($)]]</f>
        <v>3.5728958540363247E-4</v>
      </c>
      <c r="M1611" t="str">
        <f t="shared" si="50"/>
        <v>STALE</v>
      </c>
      <c r="N1611" s="10" t="str">
        <f t="shared" si="51"/>
        <v>MEDIUM</v>
      </c>
    </row>
    <row r="1612" spans="1:14">
      <c r="A1612" s="4" t="s">
        <v>3240</v>
      </c>
      <c r="B1612" s="4" t="s">
        <v>3241</v>
      </c>
      <c r="C1612" s="4" t="s">
        <v>39</v>
      </c>
      <c r="D1612" s="4" t="s">
        <v>13</v>
      </c>
      <c r="E1612" s="5">
        <v>34.466299999999997</v>
      </c>
      <c r="F1612" s="5">
        <v>33.939700000000002</v>
      </c>
      <c r="G1612" s="5">
        <v>33.847099999999998</v>
      </c>
      <c r="H1612" s="4">
        <v>0</v>
      </c>
      <c r="I1612" s="6">
        <v>2367389</v>
      </c>
      <c r="J1612" s="7">
        <v>537.57000000000005</v>
      </c>
      <c r="K1612" s="9">
        <f>(PricingDataTable[[#This Row],[Current Price ($)]]-PricingDataTable[[#This Row],[Prior Price ($)]])/PricingDataTable[[#This Row],[Prior Price ($)]]</f>
        <v>-1.5278692519939619E-2</v>
      </c>
      <c r="L1612" s="9">
        <f>(PricingDataTable[[#This Row],[Vendor Price ($)]]-PricingDataTable[[#This Row],[Current Price ($)]])/PricingDataTable[[#This Row],[Current Price ($)]]</f>
        <v>-2.7283682531078486E-3</v>
      </c>
      <c r="M1612" t="str">
        <f t="shared" si="50"/>
        <v>PASS</v>
      </c>
      <c r="N1612" s="10" t="str">
        <f t="shared" si="51"/>
        <v>NONE</v>
      </c>
    </row>
    <row r="1613" spans="1:14">
      <c r="A1613" s="4" t="s">
        <v>3242</v>
      </c>
      <c r="B1613" s="4" t="s">
        <v>3243</v>
      </c>
      <c r="C1613" s="4" t="s">
        <v>19</v>
      </c>
      <c r="D1613" s="4" t="s">
        <v>13</v>
      </c>
      <c r="E1613" s="5">
        <v>306.35849999999999</v>
      </c>
      <c r="F1613" s="5">
        <v>305.80419999999998</v>
      </c>
      <c r="G1613" s="5">
        <v>306.26310000000001</v>
      </c>
      <c r="H1613" s="4">
        <v>0</v>
      </c>
      <c r="I1613" s="6">
        <v>1317579</v>
      </c>
      <c r="J1613" s="7">
        <v>646.79999999999995</v>
      </c>
      <c r="K1613" s="9">
        <f>(PricingDataTable[[#This Row],[Current Price ($)]]-PricingDataTable[[#This Row],[Prior Price ($)]])/PricingDataTable[[#This Row],[Prior Price ($)]]</f>
        <v>-1.8093181680939553E-3</v>
      </c>
      <c r="L1613" s="9">
        <f>(PricingDataTable[[#This Row],[Vendor Price ($)]]-PricingDataTable[[#This Row],[Current Price ($)]])/PricingDataTable[[#This Row],[Current Price ($)]]</f>
        <v>1.500633411836817E-3</v>
      </c>
      <c r="M1613" t="str">
        <f t="shared" si="50"/>
        <v>PASS</v>
      </c>
      <c r="N1613" s="10" t="str">
        <f t="shared" si="51"/>
        <v>NONE</v>
      </c>
    </row>
    <row r="1614" spans="1:14">
      <c r="A1614" s="4" t="s">
        <v>3244</v>
      </c>
      <c r="B1614" s="4" t="s">
        <v>3245</v>
      </c>
      <c r="C1614" s="4" t="s">
        <v>39</v>
      </c>
      <c r="D1614" s="4" t="s">
        <v>13</v>
      </c>
      <c r="E1614" s="5">
        <v>304.5222</v>
      </c>
      <c r="F1614" s="5"/>
      <c r="G1614" s="5">
        <v>309.31020000000001</v>
      </c>
      <c r="H1614" s="4">
        <v>0</v>
      </c>
      <c r="I1614" s="6">
        <v>3779480</v>
      </c>
      <c r="J1614" s="7">
        <v>393.36</v>
      </c>
      <c r="K1614" s="9">
        <f>(PricingDataTable[[#This Row],[Current Price ($)]]-PricingDataTable[[#This Row],[Prior Price ($)]])/PricingDataTable[[#This Row],[Prior Price ($)]]</f>
        <v>-1</v>
      </c>
      <c r="L1614" s="9" t="e">
        <f>(PricingDataTable[[#This Row],[Vendor Price ($)]]-PricingDataTable[[#This Row],[Current Price ($)]])/PricingDataTable[[#This Row],[Current Price ($)]]</f>
        <v>#DIV/0!</v>
      </c>
      <c r="M1614" t="str">
        <f t="shared" si="50"/>
        <v>MISSING</v>
      </c>
      <c r="N1614" s="10" t="str">
        <f t="shared" si="51"/>
        <v>HIGH</v>
      </c>
    </row>
    <row r="1615" spans="1:14">
      <c r="A1615" s="4" t="s">
        <v>3246</v>
      </c>
      <c r="B1615" s="4" t="s">
        <v>3247</v>
      </c>
      <c r="C1615" s="4" t="s">
        <v>19</v>
      </c>
      <c r="D1615" s="4" t="s">
        <v>13</v>
      </c>
      <c r="E1615" s="5">
        <v>210.31979999999999</v>
      </c>
      <c r="F1615" s="5">
        <v>204.8167</v>
      </c>
      <c r="G1615" s="5">
        <v>204.55189999999999</v>
      </c>
      <c r="H1615" s="4">
        <v>1</v>
      </c>
      <c r="I1615" s="6">
        <v>3337079</v>
      </c>
      <c r="J1615" s="7">
        <v>643.67999999999995</v>
      </c>
      <c r="K1615" s="9">
        <f>(PricingDataTable[[#This Row],[Current Price ($)]]-PricingDataTable[[#This Row],[Prior Price ($)]])/PricingDataTable[[#This Row],[Prior Price ($)]]</f>
        <v>-2.6165391941224695E-2</v>
      </c>
      <c r="L1615" s="9">
        <f>(PricingDataTable[[#This Row],[Vendor Price ($)]]-PricingDataTable[[#This Row],[Current Price ($)]])/PricingDataTable[[#This Row],[Current Price ($)]]</f>
        <v>-1.2928633260862426E-3</v>
      </c>
      <c r="M1615" t="str">
        <f t="shared" si="50"/>
        <v>PASS</v>
      </c>
      <c r="N1615" s="10" t="str">
        <f t="shared" si="51"/>
        <v>NONE</v>
      </c>
    </row>
    <row r="1616" spans="1:14">
      <c r="A1616" s="4" t="s">
        <v>3248</v>
      </c>
      <c r="B1616" s="4" t="s">
        <v>3249</v>
      </c>
      <c r="C1616" s="4" t="s">
        <v>12</v>
      </c>
      <c r="D1616" s="4" t="s">
        <v>13</v>
      </c>
      <c r="E1616" s="5">
        <v>100.6696</v>
      </c>
      <c r="F1616" s="5">
        <v>100.0027</v>
      </c>
      <c r="G1616" s="5">
        <v>100.00149999999999</v>
      </c>
      <c r="H1616" s="4">
        <v>0</v>
      </c>
      <c r="I1616" s="6">
        <v>2767795</v>
      </c>
      <c r="J1616" s="7">
        <v>591.61</v>
      </c>
      <c r="K1616" s="9">
        <f>(PricingDataTable[[#This Row],[Current Price ($)]]-PricingDataTable[[#This Row],[Prior Price ($)]])/PricingDataTable[[#This Row],[Prior Price ($)]]</f>
        <v>-6.6246414011776967E-3</v>
      </c>
      <c r="L1616" s="9">
        <f>(PricingDataTable[[#This Row],[Vendor Price ($)]]-PricingDataTable[[#This Row],[Current Price ($)]])/PricingDataTable[[#This Row],[Current Price ($)]]</f>
        <v>-1.1999676008861902E-5</v>
      </c>
      <c r="M1616" t="str">
        <f t="shared" si="50"/>
        <v>PASS</v>
      </c>
      <c r="N1616" s="10" t="str">
        <f t="shared" si="51"/>
        <v>NONE</v>
      </c>
    </row>
    <row r="1617" spans="1:14">
      <c r="A1617" s="4" t="s">
        <v>3250</v>
      </c>
      <c r="B1617" s="4" t="s">
        <v>3251</v>
      </c>
      <c r="C1617" s="4" t="s">
        <v>16</v>
      </c>
      <c r="D1617" s="4" t="s">
        <v>13</v>
      </c>
      <c r="E1617" s="5">
        <v>109.8764</v>
      </c>
      <c r="F1617" s="5">
        <v>110.7543</v>
      </c>
      <c r="G1617" s="5">
        <v>110.73690000000001</v>
      </c>
      <c r="H1617" s="4">
        <v>0</v>
      </c>
      <c r="I1617" s="6">
        <v>4824067</v>
      </c>
      <c r="J1617" s="7">
        <v>539.59</v>
      </c>
      <c r="K1617" s="9">
        <f>(PricingDataTable[[#This Row],[Current Price ($)]]-PricingDataTable[[#This Row],[Prior Price ($)]])/PricingDataTable[[#This Row],[Prior Price ($)]]</f>
        <v>7.9898868182794198E-3</v>
      </c>
      <c r="L1617" s="9">
        <f>(PricingDataTable[[#This Row],[Vendor Price ($)]]-PricingDataTable[[#This Row],[Current Price ($)]])/PricingDataTable[[#This Row],[Current Price ($)]]</f>
        <v>-1.5710450971199289E-4</v>
      </c>
      <c r="M1617" t="str">
        <f t="shared" si="50"/>
        <v>PASS</v>
      </c>
      <c r="N1617" s="10" t="str">
        <f t="shared" si="51"/>
        <v>NONE</v>
      </c>
    </row>
    <row r="1618" spans="1:14">
      <c r="A1618" s="4" t="s">
        <v>3252</v>
      </c>
      <c r="B1618" s="4" t="s">
        <v>3253</v>
      </c>
      <c r="C1618" s="4" t="s">
        <v>19</v>
      </c>
      <c r="D1618" s="4" t="s">
        <v>13</v>
      </c>
      <c r="E1618" s="5">
        <v>184.23740000000001</v>
      </c>
      <c r="F1618" s="5">
        <v>183.04040000000001</v>
      </c>
      <c r="G1618" s="5">
        <v>182.33269999999999</v>
      </c>
      <c r="H1618" s="4">
        <v>0</v>
      </c>
      <c r="I1618" s="6">
        <v>32099</v>
      </c>
      <c r="J1618" s="7">
        <v>770.71</v>
      </c>
      <c r="K1618" s="9">
        <f>(PricingDataTable[[#This Row],[Current Price ($)]]-PricingDataTable[[#This Row],[Prior Price ($)]])/PricingDataTable[[#This Row],[Prior Price ($)]]</f>
        <v>-6.4970521729030188E-3</v>
      </c>
      <c r="L1618" s="9">
        <f>(PricingDataTable[[#This Row],[Vendor Price ($)]]-PricingDataTable[[#This Row],[Current Price ($)]])/PricingDataTable[[#This Row],[Current Price ($)]]</f>
        <v>-3.8663595577807788E-3</v>
      </c>
      <c r="M1618" t="str">
        <f t="shared" si="50"/>
        <v>PASS</v>
      </c>
      <c r="N1618" s="10" t="str">
        <f t="shared" si="51"/>
        <v>NONE</v>
      </c>
    </row>
    <row r="1619" spans="1:14">
      <c r="A1619" s="4" t="s">
        <v>3254</v>
      </c>
      <c r="B1619" s="4" t="s">
        <v>3255</v>
      </c>
      <c r="C1619" s="4" t="s">
        <v>19</v>
      </c>
      <c r="D1619" s="4" t="s">
        <v>32</v>
      </c>
      <c r="E1619" s="5">
        <v>25.337800000000001</v>
      </c>
      <c r="F1619" s="5"/>
      <c r="G1619" s="5">
        <v>24.928899999999999</v>
      </c>
      <c r="H1619" s="4">
        <v>0</v>
      </c>
      <c r="I1619" s="6">
        <v>2990101</v>
      </c>
      <c r="J1619" s="7">
        <v>810.8</v>
      </c>
      <c r="K1619" s="9">
        <f>(PricingDataTable[[#This Row],[Current Price ($)]]-PricingDataTable[[#This Row],[Prior Price ($)]])/PricingDataTable[[#This Row],[Prior Price ($)]]</f>
        <v>-1</v>
      </c>
      <c r="L1619" s="9" t="e">
        <f>(PricingDataTable[[#This Row],[Vendor Price ($)]]-PricingDataTable[[#This Row],[Current Price ($)]])/PricingDataTable[[#This Row],[Current Price ($)]]</f>
        <v>#DIV/0!</v>
      </c>
      <c r="M1619" t="str">
        <f t="shared" si="50"/>
        <v>MISSING</v>
      </c>
      <c r="N1619" s="10" t="str">
        <f t="shared" si="51"/>
        <v>HIGH</v>
      </c>
    </row>
    <row r="1620" spans="1:14">
      <c r="A1620" s="4" t="s">
        <v>3256</v>
      </c>
      <c r="B1620" s="4" t="s">
        <v>3257</v>
      </c>
      <c r="C1620" s="4" t="s">
        <v>12</v>
      </c>
      <c r="D1620" s="4" t="s">
        <v>13</v>
      </c>
      <c r="E1620" s="5">
        <v>88.889200000000002</v>
      </c>
      <c r="F1620" s="5">
        <v>86.450100000000006</v>
      </c>
      <c r="G1620" s="5">
        <v>86.452799999999996</v>
      </c>
      <c r="H1620" s="4">
        <v>1</v>
      </c>
      <c r="I1620" s="6">
        <v>838821</v>
      </c>
      <c r="J1620" s="7">
        <v>892.08</v>
      </c>
      <c r="K1620" s="9">
        <f>(PricingDataTable[[#This Row],[Current Price ($)]]-PricingDataTable[[#This Row],[Prior Price ($)]])/PricingDataTable[[#This Row],[Prior Price ($)]]</f>
        <v>-2.7439778960773594E-2</v>
      </c>
      <c r="L1620" s="9">
        <f>(PricingDataTable[[#This Row],[Vendor Price ($)]]-PricingDataTable[[#This Row],[Current Price ($)]])/PricingDataTable[[#This Row],[Current Price ($)]]</f>
        <v>3.1231889841540431E-5</v>
      </c>
      <c r="M1620" t="str">
        <f t="shared" si="50"/>
        <v>PASS</v>
      </c>
      <c r="N1620" s="10" t="str">
        <f t="shared" si="51"/>
        <v>NONE</v>
      </c>
    </row>
    <row r="1621" spans="1:14">
      <c r="A1621" s="4" t="s">
        <v>3258</v>
      </c>
      <c r="B1621" s="4" t="s">
        <v>3259</v>
      </c>
      <c r="C1621" s="4" t="s">
        <v>16</v>
      </c>
      <c r="D1621" s="4" t="s">
        <v>13</v>
      </c>
      <c r="E1621" s="5">
        <v>75.342399999999998</v>
      </c>
      <c r="F1621" s="5">
        <v>74.599199999999996</v>
      </c>
      <c r="G1621" s="5">
        <v>74.758499999999998</v>
      </c>
      <c r="H1621" s="4">
        <v>1</v>
      </c>
      <c r="I1621" s="6">
        <v>483259</v>
      </c>
      <c r="J1621" s="7">
        <v>321.8</v>
      </c>
      <c r="K1621" s="9">
        <f>(PricingDataTable[[#This Row],[Current Price ($)]]-PricingDataTable[[#This Row],[Prior Price ($)]])/PricingDataTable[[#This Row],[Prior Price ($)]]</f>
        <v>-9.8642995179341469E-3</v>
      </c>
      <c r="L1621" s="9">
        <f>(PricingDataTable[[#This Row],[Vendor Price ($)]]-PricingDataTable[[#This Row],[Current Price ($)]])/PricingDataTable[[#This Row],[Current Price ($)]]</f>
        <v>2.1354116398031317E-3</v>
      </c>
      <c r="M1621" t="str">
        <f t="shared" si="50"/>
        <v>PASS</v>
      </c>
      <c r="N1621" s="10" t="str">
        <f t="shared" si="51"/>
        <v>NONE</v>
      </c>
    </row>
    <row r="1622" spans="1:14">
      <c r="A1622" s="4" t="s">
        <v>3260</v>
      </c>
      <c r="B1622" s="4" t="s">
        <v>3261</v>
      </c>
      <c r="C1622" s="4" t="s">
        <v>16</v>
      </c>
      <c r="D1622" s="4" t="s">
        <v>13</v>
      </c>
      <c r="E1622" s="5">
        <v>82.695300000000003</v>
      </c>
      <c r="F1622" s="5">
        <v>84.229799999999997</v>
      </c>
      <c r="G1622" s="5">
        <v>83.913799999999995</v>
      </c>
      <c r="H1622" s="4">
        <v>0</v>
      </c>
      <c r="I1622" s="6">
        <v>1206613</v>
      </c>
      <c r="J1622" s="7">
        <v>721.55</v>
      </c>
      <c r="K1622" s="9">
        <f>(PricingDataTable[[#This Row],[Current Price ($)]]-PricingDataTable[[#This Row],[Prior Price ($)]])/PricingDataTable[[#This Row],[Prior Price ($)]]</f>
        <v>1.8556072715136096E-2</v>
      </c>
      <c r="L1622" s="9">
        <f>(PricingDataTable[[#This Row],[Vendor Price ($)]]-PricingDataTable[[#This Row],[Current Price ($)]])/PricingDataTable[[#This Row],[Current Price ($)]]</f>
        <v>-3.7516413430876308E-3</v>
      </c>
      <c r="M1622" t="str">
        <f t="shared" si="50"/>
        <v>PASS</v>
      </c>
      <c r="N1622" s="10" t="str">
        <f t="shared" si="51"/>
        <v>NONE</v>
      </c>
    </row>
    <row r="1623" spans="1:14">
      <c r="A1623" s="4" t="s">
        <v>3262</v>
      </c>
      <c r="B1623" s="4" t="s">
        <v>3263</v>
      </c>
      <c r="C1623" s="4" t="s">
        <v>16</v>
      </c>
      <c r="D1623" s="4" t="s">
        <v>36</v>
      </c>
      <c r="E1623" s="5">
        <v>124.90560000000001</v>
      </c>
      <c r="F1623" s="5">
        <v>127.48180000000001</v>
      </c>
      <c r="G1623" s="5">
        <v>127.5522</v>
      </c>
      <c r="H1623" s="4">
        <v>2</v>
      </c>
      <c r="I1623" s="6">
        <v>2057470</v>
      </c>
      <c r="J1623" s="7">
        <v>367.51</v>
      </c>
      <c r="K1623" s="9">
        <f>(PricingDataTable[[#This Row],[Current Price ($)]]-PricingDataTable[[#This Row],[Prior Price ($)]])/PricingDataTable[[#This Row],[Prior Price ($)]]</f>
        <v>2.0625176133015653E-2</v>
      </c>
      <c r="L1623" s="9">
        <f>(PricingDataTable[[#This Row],[Vendor Price ($)]]-PricingDataTable[[#This Row],[Current Price ($)]])/PricingDataTable[[#This Row],[Current Price ($)]]</f>
        <v>5.5223569168298724E-4</v>
      </c>
      <c r="M1623" t="str">
        <f t="shared" si="50"/>
        <v>PASS</v>
      </c>
      <c r="N1623" s="10" t="str">
        <f t="shared" si="51"/>
        <v>NONE</v>
      </c>
    </row>
    <row r="1624" spans="1:14">
      <c r="A1624" s="4" t="s">
        <v>3264</v>
      </c>
      <c r="B1624" s="4" t="s">
        <v>3265</v>
      </c>
      <c r="C1624" s="4" t="s">
        <v>19</v>
      </c>
      <c r="D1624" s="4" t="s">
        <v>36</v>
      </c>
      <c r="E1624" s="5">
        <v>60.628</v>
      </c>
      <c r="F1624" s="5">
        <v>60.873899999999999</v>
      </c>
      <c r="G1624" s="5">
        <v>61.128599999999999</v>
      </c>
      <c r="H1624" s="4">
        <v>1</v>
      </c>
      <c r="I1624" s="6">
        <v>4486171</v>
      </c>
      <c r="J1624" s="7">
        <v>201.16</v>
      </c>
      <c r="K1624" s="9">
        <f>(PricingDataTable[[#This Row],[Current Price ($)]]-PricingDataTable[[#This Row],[Prior Price ($)]])/PricingDataTable[[#This Row],[Prior Price ($)]]</f>
        <v>4.0558817707989523E-3</v>
      </c>
      <c r="L1624" s="9">
        <f>(PricingDataTable[[#This Row],[Vendor Price ($)]]-PricingDataTable[[#This Row],[Current Price ($)]])/PricingDataTable[[#This Row],[Current Price ($)]]</f>
        <v>4.1840591780713853E-3</v>
      </c>
      <c r="M1624" t="str">
        <f t="shared" si="50"/>
        <v>PASS</v>
      </c>
      <c r="N1624" s="10" t="str">
        <f t="shared" si="51"/>
        <v>NONE</v>
      </c>
    </row>
    <row r="1625" spans="1:14">
      <c r="A1625" s="4" t="s">
        <v>3266</v>
      </c>
      <c r="B1625" s="4" t="s">
        <v>3267</v>
      </c>
      <c r="C1625" s="4" t="s">
        <v>39</v>
      </c>
      <c r="D1625" s="4" t="s">
        <v>13</v>
      </c>
      <c r="E1625" s="5">
        <v>236.4469</v>
      </c>
      <c r="F1625" s="5">
        <v>241.29849999999999</v>
      </c>
      <c r="G1625" s="5">
        <v>241.3929</v>
      </c>
      <c r="H1625" s="4">
        <v>0</v>
      </c>
      <c r="I1625" s="6">
        <v>4831633</v>
      </c>
      <c r="J1625" s="7">
        <v>789.9</v>
      </c>
      <c r="K1625" s="9">
        <f>(PricingDataTable[[#This Row],[Current Price ($)]]-PricingDataTable[[#This Row],[Prior Price ($)]])/PricingDataTable[[#This Row],[Prior Price ($)]]</f>
        <v>2.0518771868017684E-2</v>
      </c>
      <c r="L1625" s="9">
        <f>(PricingDataTable[[#This Row],[Vendor Price ($)]]-PricingDataTable[[#This Row],[Current Price ($)]])/PricingDataTable[[#This Row],[Current Price ($)]]</f>
        <v>3.9121668804409214E-4</v>
      </c>
      <c r="M1625" t="str">
        <f t="shared" si="50"/>
        <v>PASS</v>
      </c>
      <c r="N1625" s="10" t="str">
        <f t="shared" si="51"/>
        <v>NONE</v>
      </c>
    </row>
    <row r="1626" spans="1:14">
      <c r="A1626" s="4" t="s">
        <v>3268</v>
      </c>
      <c r="B1626" s="4" t="s">
        <v>3269</v>
      </c>
      <c r="C1626" s="4" t="s">
        <v>19</v>
      </c>
      <c r="D1626" s="4" t="s">
        <v>13</v>
      </c>
      <c r="E1626" s="5">
        <v>99.904300000000006</v>
      </c>
      <c r="F1626" s="5">
        <v>100.20229999999999</v>
      </c>
      <c r="G1626" s="5">
        <v>111.7004</v>
      </c>
      <c r="H1626" s="4">
        <v>0</v>
      </c>
      <c r="I1626" s="6">
        <v>4129394</v>
      </c>
      <c r="J1626" s="7">
        <v>269.38</v>
      </c>
      <c r="K1626" s="9">
        <f>(PricingDataTable[[#This Row],[Current Price ($)]]-PricingDataTable[[#This Row],[Prior Price ($)]])/PricingDataTable[[#This Row],[Prior Price ($)]]</f>
        <v>2.9828545918442707E-3</v>
      </c>
      <c r="L1626" s="9">
        <f>(PricingDataTable[[#This Row],[Vendor Price ($)]]-PricingDataTable[[#This Row],[Current Price ($)]])/PricingDataTable[[#This Row],[Current Price ($)]]</f>
        <v>0.11474886305004983</v>
      </c>
      <c r="M1626" t="str">
        <f t="shared" si="50"/>
        <v>VENDOR DIFFERENCE</v>
      </c>
      <c r="N1626" s="10" t="str">
        <f t="shared" si="51"/>
        <v>HIGH</v>
      </c>
    </row>
    <row r="1627" spans="1:14">
      <c r="A1627" s="4" t="s">
        <v>3270</v>
      </c>
      <c r="B1627" s="4" t="s">
        <v>3271</v>
      </c>
      <c r="C1627" s="4" t="s">
        <v>12</v>
      </c>
      <c r="D1627" s="4" t="s">
        <v>13</v>
      </c>
      <c r="E1627" s="5">
        <v>106.9579</v>
      </c>
      <c r="F1627" s="5">
        <v>123.09950000000001</v>
      </c>
      <c r="G1627" s="5">
        <v>123.3763</v>
      </c>
      <c r="H1627" s="4">
        <v>0</v>
      </c>
      <c r="I1627" s="6">
        <v>10141</v>
      </c>
      <c r="J1627" s="7">
        <v>151.88999999999999</v>
      </c>
      <c r="K1627" s="9">
        <f>(PricingDataTable[[#This Row],[Current Price ($)]]-PricingDataTable[[#This Row],[Prior Price ($)]])/PricingDataTable[[#This Row],[Prior Price ($)]]</f>
        <v>0.15091545365045511</v>
      </c>
      <c r="L1627" s="9">
        <f>(PricingDataTable[[#This Row],[Vendor Price ($)]]-PricingDataTable[[#This Row],[Current Price ($)]])/PricingDataTable[[#This Row],[Current Price ($)]]</f>
        <v>2.2485875247258875E-3</v>
      </c>
      <c r="M1627" t="str">
        <f t="shared" si="50"/>
        <v>LARGE MOVE</v>
      </c>
      <c r="N1627" s="10" t="str">
        <f t="shared" si="51"/>
        <v>HIGH</v>
      </c>
    </row>
    <row r="1628" spans="1:14">
      <c r="A1628" s="4" t="s">
        <v>3272</v>
      </c>
      <c r="B1628" s="4" t="s">
        <v>3273</v>
      </c>
      <c r="C1628" s="4" t="s">
        <v>19</v>
      </c>
      <c r="D1628" s="4" t="s">
        <v>13</v>
      </c>
      <c r="E1628" s="5">
        <v>284.58980000000003</v>
      </c>
      <c r="F1628" s="5">
        <v>286.98320000000001</v>
      </c>
      <c r="G1628" s="5">
        <v>287.15559999999999</v>
      </c>
      <c r="H1628" s="4">
        <v>0</v>
      </c>
      <c r="I1628" s="6">
        <v>2352886</v>
      </c>
      <c r="J1628" s="7">
        <v>549.54999999999995</v>
      </c>
      <c r="K1628" s="9">
        <f>(PricingDataTable[[#This Row],[Current Price ($)]]-PricingDataTable[[#This Row],[Prior Price ($)]])/PricingDataTable[[#This Row],[Prior Price ($)]]</f>
        <v>8.4099992339851434E-3</v>
      </c>
      <c r="L1628" s="9">
        <f>(PricingDataTable[[#This Row],[Vendor Price ($)]]-PricingDataTable[[#This Row],[Current Price ($)]])/PricingDataTable[[#This Row],[Current Price ($)]]</f>
        <v>6.0073202891312762E-4</v>
      </c>
      <c r="M1628" t="str">
        <f t="shared" si="50"/>
        <v>PASS</v>
      </c>
      <c r="N1628" s="10" t="str">
        <f t="shared" si="51"/>
        <v>NONE</v>
      </c>
    </row>
    <row r="1629" spans="1:14">
      <c r="A1629" s="4" t="s">
        <v>3274</v>
      </c>
      <c r="B1629" s="4" t="s">
        <v>3275</v>
      </c>
      <c r="C1629" s="4" t="s">
        <v>19</v>
      </c>
      <c r="D1629" s="4" t="s">
        <v>13</v>
      </c>
      <c r="E1629" s="5">
        <v>21.9772</v>
      </c>
      <c r="F1629" s="5">
        <v>22.3352</v>
      </c>
      <c r="G1629" s="5">
        <v>22.398199999999999</v>
      </c>
      <c r="H1629" s="4">
        <v>0</v>
      </c>
      <c r="I1629" s="6">
        <v>954606</v>
      </c>
      <c r="J1629" s="7">
        <v>590.74</v>
      </c>
      <c r="K1629" s="9">
        <f>(PricingDataTable[[#This Row],[Current Price ($)]]-PricingDataTable[[#This Row],[Prior Price ($)]])/PricingDataTable[[#This Row],[Prior Price ($)]]</f>
        <v>1.6289609231385279E-2</v>
      </c>
      <c r="L1629" s="9">
        <f>(PricingDataTable[[#This Row],[Vendor Price ($)]]-PricingDataTable[[#This Row],[Current Price ($)]])/PricingDataTable[[#This Row],[Current Price ($)]]</f>
        <v>2.8206597657508699E-3</v>
      </c>
      <c r="M1629" t="str">
        <f t="shared" si="50"/>
        <v>PASS</v>
      </c>
      <c r="N1629" s="10" t="str">
        <f t="shared" si="51"/>
        <v>NONE</v>
      </c>
    </row>
    <row r="1630" spans="1:14">
      <c r="A1630" s="4" t="s">
        <v>3276</v>
      </c>
      <c r="B1630" s="4" t="s">
        <v>3277</v>
      </c>
      <c r="C1630" s="4" t="s">
        <v>35</v>
      </c>
      <c r="D1630" s="4" t="s">
        <v>32</v>
      </c>
      <c r="E1630" s="5">
        <v>178.8305</v>
      </c>
      <c r="F1630" s="5">
        <v>177.50190000000001</v>
      </c>
      <c r="G1630" s="5">
        <v>176.7167</v>
      </c>
      <c r="H1630" s="4">
        <v>1</v>
      </c>
      <c r="I1630" s="6">
        <v>4363073</v>
      </c>
      <c r="J1630" s="7">
        <v>786.44</v>
      </c>
      <c r="K1630" s="9">
        <f>(PricingDataTable[[#This Row],[Current Price ($)]]-PricingDataTable[[#This Row],[Prior Price ($)]])/PricingDataTable[[#This Row],[Prior Price ($)]]</f>
        <v>-7.4293814533873941E-3</v>
      </c>
      <c r="L1630" s="9">
        <f>(PricingDataTable[[#This Row],[Vendor Price ($)]]-PricingDataTable[[#This Row],[Current Price ($)]])/PricingDataTable[[#This Row],[Current Price ($)]]</f>
        <v>-4.4236146204632357E-3</v>
      </c>
      <c r="M1630" t="str">
        <f t="shared" si="50"/>
        <v>PASS</v>
      </c>
      <c r="N1630" s="10" t="str">
        <f t="shared" si="51"/>
        <v>NONE</v>
      </c>
    </row>
    <row r="1631" spans="1:14">
      <c r="A1631" s="4" t="s">
        <v>3278</v>
      </c>
      <c r="B1631" s="4" t="s">
        <v>3279</v>
      </c>
      <c r="C1631" s="4" t="s">
        <v>39</v>
      </c>
      <c r="D1631" s="4" t="s">
        <v>13</v>
      </c>
      <c r="E1631" s="5">
        <v>203.12860000000001</v>
      </c>
      <c r="F1631" s="5">
        <v>205.02809999999999</v>
      </c>
      <c r="G1631" s="5">
        <v>205.7748</v>
      </c>
      <c r="H1631" s="4">
        <v>0</v>
      </c>
      <c r="I1631" s="6">
        <v>4603293</v>
      </c>
      <c r="J1631" s="7">
        <v>339.19</v>
      </c>
      <c r="K1631" s="9">
        <f>(PricingDataTable[[#This Row],[Current Price ($)]]-PricingDataTable[[#This Row],[Prior Price ($)]])/PricingDataTable[[#This Row],[Prior Price ($)]]</f>
        <v>9.3512188830129732E-3</v>
      </c>
      <c r="L1631" s="9">
        <f>(PricingDataTable[[#This Row],[Vendor Price ($)]]-PricingDataTable[[#This Row],[Current Price ($)]])/PricingDataTable[[#This Row],[Current Price ($)]]</f>
        <v>3.6419398121525985E-3</v>
      </c>
      <c r="M1631" t="str">
        <f t="shared" si="50"/>
        <v>PASS</v>
      </c>
      <c r="N1631" s="10" t="str">
        <f t="shared" si="51"/>
        <v>NONE</v>
      </c>
    </row>
    <row r="1632" spans="1:14">
      <c r="A1632" s="4" t="s">
        <v>3280</v>
      </c>
      <c r="B1632" s="4" t="s">
        <v>3281</v>
      </c>
      <c r="C1632" s="4" t="s">
        <v>19</v>
      </c>
      <c r="D1632" s="4" t="s">
        <v>13</v>
      </c>
      <c r="E1632" s="5">
        <v>172.35339999999999</v>
      </c>
      <c r="F1632" s="5">
        <v>173.63030000000001</v>
      </c>
      <c r="G1632" s="5">
        <v>173.4742</v>
      </c>
      <c r="H1632" s="4">
        <v>1</v>
      </c>
      <c r="I1632" s="6">
        <v>4953260</v>
      </c>
      <c r="J1632" s="7">
        <v>192.43</v>
      </c>
      <c r="K1632" s="9">
        <f>(PricingDataTable[[#This Row],[Current Price ($)]]-PricingDataTable[[#This Row],[Prior Price ($)]])/PricingDataTable[[#This Row],[Prior Price ($)]]</f>
        <v>7.4086150896936877E-3</v>
      </c>
      <c r="L1632" s="9">
        <f>(PricingDataTable[[#This Row],[Vendor Price ($)]]-PricingDataTable[[#This Row],[Current Price ($)]])/PricingDataTable[[#This Row],[Current Price ($)]]</f>
        <v>-8.9903663127927113E-4</v>
      </c>
      <c r="M1632" t="str">
        <f t="shared" si="50"/>
        <v>PASS</v>
      </c>
      <c r="N1632" s="10" t="str">
        <f t="shared" si="51"/>
        <v>NONE</v>
      </c>
    </row>
    <row r="1633" spans="1:14">
      <c r="A1633" s="4" t="s">
        <v>3282</v>
      </c>
      <c r="B1633" s="4" t="s">
        <v>3283</v>
      </c>
      <c r="C1633" s="4" t="s">
        <v>16</v>
      </c>
      <c r="D1633" s="4" t="s">
        <v>237</v>
      </c>
      <c r="E1633" s="5">
        <v>101.4816</v>
      </c>
      <c r="F1633" s="5">
        <v>103.1057</v>
      </c>
      <c r="G1633" s="5">
        <v>102.7796</v>
      </c>
      <c r="H1633" s="4">
        <v>0</v>
      </c>
      <c r="I1633" s="6">
        <v>3036114</v>
      </c>
      <c r="J1633" s="7">
        <v>739.57</v>
      </c>
      <c r="K1633" s="9">
        <f>(PricingDataTable[[#This Row],[Current Price ($)]]-PricingDataTable[[#This Row],[Prior Price ($)]])/PricingDataTable[[#This Row],[Prior Price ($)]]</f>
        <v>1.6003886418818766E-2</v>
      </c>
      <c r="L1633" s="9">
        <f>(PricingDataTable[[#This Row],[Vendor Price ($)]]-PricingDataTable[[#This Row],[Current Price ($)]])/PricingDataTable[[#This Row],[Current Price ($)]]</f>
        <v>-3.1627737360785751E-3</v>
      </c>
      <c r="M1633" t="str">
        <f t="shared" si="50"/>
        <v>PASS</v>
      </c>
      <c r="N1633" s="10" t="str">
        <f t="shared" si="51"/>
        <v>NONE</v>
      </c>
    </row>
    <row r="1634" spans="1:14">
      <c r="A1634" s="4" t="s">
        <v>3284</v>
      </c>
      <c r="B1634" s="4" t="s">
        <v>3285</v>
      </c>
      <c r="C1634" s="4" t="s">
        <v>16</v>
      </c>
      <c r="D1634" s="4" t="s">
        <v>13</v>
      </c>
      <c r="E1634" s="5">
        <v>116.7988</v>
      </c>
      <c r="F1634" s="5">
        <v>119.7367</v>
      </c>
      <c r="G1634" s="5">
        <v>119.4028</v>
      </c>
      <c r="H1634" s="4">
        <v>0</v>
      </c>
      <c r="I1634" s="6">
        <v>4217004</v>
      </c>
      <c r="J1634" s="7">
        <v>851.27</v>
      </c>
      <c r="K1634" s="9">
        <f>(PricingDataTable[[#This Row],[Current Price ($)]]-PricingDataTable[[#This Row],[Prior Price ($)]])/PricingDataTable[[#This Row],[Prior Price ($)]]</f>
        <v>2.5153511851149148E-2</v>
      </c>
      <c r="L1634" s="9">
        <f>(PricingDataTable[[#This Row],[Vendor Price ($)]]-PricingDataTable[[#This Row],[Current Price ($)]])/PricingDataTable[[#This Row],[Current Price ($)]]</f>
        <v>-2.7886186941848226E-3</v>
      </c>
      <c r="M1634" t="str">
        <f t="shared" si="50"/>
        <v>PASS</v>
      </c>
      <c r="N1634" s="10" t="str">
        <f t="shared" si="51"/>
        <v>NONE</v>
      </c>
    </row>
    <row r="1635" spans="1:14">
      <c r="A1635" s="4" t="s">
        <v>3286</v>
      </c>
      <c r="B1635" s="4" t="s">
        <v>3287</v>
      </c>
      <c r="C1635" s="4" t="s">
        <v>35</v>
      </c>
      <c r="D1635" s="4" t="s">
        <v>13</v>
      </c>
      <c r="E1635" s="5">
        <v>122.9171</v>
      </c>
      <c r="F1635" s="5">
        <v>122.55970000000001</v>
      </c>
      <c r="G1635" s="5">
        <v>122.5155</v>
      </c>
      <c r="H1635" s="4">
        <v>0</v>
      </c>
      <c r="I1635" s="6">
        <v>4548907</v>
      </c>
      <c r="J1635" s="7">
        <v>564.99</v>
      </c>
      <c r="K1635" s="9">
        <f>(PricingDataTable[[#This Row],[Current Price ($)]]-PricingDataTable[[#This Row],[Prior Price ($)]])/PricingDataTable[[#This Row],[Prior Price ($)]]</f>
        <v>-2.907650766248133E-3</v>
      </c>
      <c r="L1635" s="9">
        <f>(PricingDataTable[[#This Row],[Vendor Price ($)]]-PricingDataTable[[#This Row],[Current Price ($)]])/PricingDataTable[[#This Row],[Current Price ($)]]</f>
        <v>-3.6064056945312015E-4</v>
      </c>
      <c r="M1635" t="str">
        <f t="shared" si="50"/>
        <v>PASS</v>
      </c>
      <c r="N1635" s="10" t="str">
        <f t="shared" si="51"/>
        <v>NONE</v>
      </c>
    </row>
    <row r="1636" spans="1:14">
      <c r="A1636" s="4" t="s">
        <v>3288</v>
      </c>
      <c r="B1636" s="4" t="s">
        <v>3289</v>
      </c>
      <c r="C1636" s="4" t="s">
        <v>12</v>
      </c>
      <c r="D1636" s="4" t="s">
        <v>13</v>
      </c>
      <c r="E1636" s="5">
        <v>115.496</v>
      </c>
      <c r="F1636" s="5">
        <v>117.3151</v>
      </c>
      <c r="G1636" s="5">
        <v>117.2698</v>
      </c>
      <c r="H1636" s="4">
        <v>1</v>
      </c>
      <c r="I1636" s="6">
        <v>1699903</v>
      </c>
      <c r="J1636" s="7">
        <v>534.09</v>
      </c>
      <c r="K1636" s="9">
        <f>(PricingDataTable[[#This Row],[Current Price ($)]]-PricingDataTable[[#This Row],[Prior Price ($)]])/PricingDataTable[[#This Row],[Prior Price ($)]]</f>
        <v>1.5750329015723541E-2</v>
      </c>
      <c r="L1636" s="9">
        <f>(PricingDataTable[[#This Row],[Vendor Price ($)]]-PricingDataTable[[#This Row],[Current Price ($)]])/PricingDataTable[[#This Row],[Current Price ($)]]</f>
        <v>-3.8613955066310688E-4</v>
      </c>
      <c r="M1636" t="str">
        <f t="shared" si="50"/>
        <v>PASS</v>
      </c>
      <c r="N1636" s="10" t="str">
        <f t="shared" si="51"/>
        <v>NONE</v>
      </c>
    </row>
    <row r="1637" spans="1:14">
      <c r="A1637" s="4" t="s">
        <v>3290</v>
      </c>
      <c r="B1637" s="4" t="s">
        <v>3291</v>
      </c>
      <c r="C1637" s="4" t="s">
        <v>16</v>
      </c>
      <c r="D1637" s="4" t="s">
        <v>13</v>
      </c>
      <c r="E1637" s="5">
        <v>117.14960000000001</v>
      </c>
      <c r="F1637" s="5">
        <v>117.13930000000001</v>
      </c>
      <c r="G1637" s="5">
        <v>116.7475</v>
      </c>
      <c r="H1637" s="4">
        <v>0</v>
      </c>
      <c r="I1637" s="6">
        <v>2538553</v>
      </c>
      <c r="J1637" s="7">
        <v>332.76</v>
      </c>
      <c r="K1637" s="9">
        <f>(PricingDataTable[[#This Row],[Current Price ($)]]-PricingDataTable[[#This Row],[Prior Price ($)]])/PricingDataTable[[#This Row],[Prior Price ($)]]</f>
        <v>-8.7921768405533295E-5</v>
      </c>
      <c r="L1637" s="9">
        <f>(PricingDataTable[[#This Row],[Vendor Price ($)]]-PricingDataTable[[#This Row],[Current Price ($)]])/PricingDataTable[[#This Row],[Current Price ($)]]</f>
        <v>-3.3447357120966531E-3</v>
      </c>
      <c r="M1637" t="str">
        <f t="shared" si="50"/>
        <v>PASS</v>
      </c>
      <c r="N1637" s="10" t="str">
        <f t="shared" si="51"/>
        <v>NONE</v>
      </c>
    </row>
    <row r="1638" spans="1:14">
      <c r="A1638" s="4" t="s">
        <v>3292</v>
      </c>
      <c r="B1638" s="4" t="s">
        <v>3293</v>
      </c>
      <c r="C1638" s="4" t="s">
        <v>19</v>
      </c>
      <c r="D1638" s="4" t="s">
        <v>64</v>
      </c>
      <c r="E1638" s="5">
        <v>79.853499999999997</v>
      </c>
      <c r="F1638" s="5">
        <v>79.755700000000004</v>
      </c>
      <c r="G1638" s="5">
        <v>80.041200000000003</v>
      </c>
      <c r="H1638" s="4">
        <v>2</v>
      </c>
      <c r="I1638" s="6">
        <v>3344646</v>
      </c>
      <c r="J1638" s="7">
        <v>71.53</v>
      </c>
      <c r="K1638" s="9">
        <f>(PricingDataTable[[#This Row],[Current Price ($)]]-PricingDataTable[[#This Row],[Prior Price ($)]])/PricingDataTable[[#This Row],[Prior Price ($)]]</f>
        <v>-1.2247428102712134E-3</v>
      </c>
      <c r="L1638" s="9">
        <f>(PricingDataTable[[#This Row],[Vendor Price ($)]]-PricingDataTable[[#This Row],[Current Price ($)]])/PricingDataTable[[#This Row],[Current Price ($)]]</f>
        <v>3.5796814522347487E-3</v>
      </c>
      <c r="M1638" t="str">
        <f t="shared" si="50"/>
        <v>PASS</v>
      </c>
      <c r="N1638" s="10" t="str">
        <f t="shared" si="51"/>
        <v>NONE</v>
      </c>
    </row>
    <row r="1639" spans="1:14">
      <c r="A1639" s="4" t="s">
        <v>3294</v>
      </c>
      <c r="B1639" s="4" t="s">
        <v>3295</v>
      </c>
      <c r="C1639" s="4" t="s">
        <v>16</v>
      </c>
      <c r="D1639" s="4" t="s">
        <v>13</v>
      </c>
      <c r="E1639" s="5">
        <v>80.725800000000007</v>
      </c>
      <c r="F1639" s="5">
        <v>93.918999999999997</v>
      </c>
      <c r="G1639" s="5">
        <v>93.611199999999997</v>
      </c>
      <c r="H1639" s="4">
        <v>1</v>
      </c>
      <c r="I1639" s="6">
        <v>4531019</v>
      </c>
      <c r="J1639" s="7">
        <v>470.79</v>
      </c>
      <c r="K1639" s="9">
        <f>(PricingDataTable[[#This Row],[Current Price ($)]]-PricingDataTable[[#This Row],[Prior Price ($)]])/PricingDataTable[[#This Row],[Prior Price ($)]]</f>
        <v>0.16343226081376697</v>
      </c>
      <c r="L1639" s="9">
        <f>(PricingDataTable[[#This Row],[Vendor Price ($)]]-PricingDataTable[[#This Row],[Current Price ($)]])/PricingDataTable[[#This Row],[Current Price ($)]]</f>
        <v>-3.2772921347118296E-3</v>
      </c>
      <c r="M1639" t="str">
        <f t="shared" si="50"/>
        <v>LARGE MOVE</v>
      </c>
      <c r="N1639" s="10" t="str">
        <f t="shared" si="51"/>
        <v>HIGH</v>
      </c>
    </row>
    <row r="1640" spans="1:14">
      <c r="A1640" s="4" t="s">
        <v>3296</v>
      </c>
      <c r="B1640" s="4" t="s">
        <v>3297</v>
      </c>
      <c r="C1640" s="4" t="s">
        <v>16</v>
      </c>
      <c r="D1640" s="4" t="s">
        <v>13</v>
      </c>
      <c r="E1640" s="5">
        <v>115.4211</v>
      </c>
      <c r="F1640" s="5">
        <v>114.4691</v>
      </c>
      <c r="G1640" s="5">
        <v>114.14919999999999</v>
      </c>
      <c r="H1640" s="4">
        <v>1</v>
      </c>
      <c r="I1640" s="6">
        <v>994393</v>
      </c>
      <c r="J1640" s="7">
        <v>42.56</v>
      </c>
      <c r="K1640" s="9">
        <f>(PricingDataTable[[#This Row],[Current Price ($)]]-PricingDataTable[[#This Row],[Prior Price ($)]])/PricingDataTable[[#This Row],[Prior Price ($)]]</f>
        <v>-8.2480586305276778E-3</v>
      </c>
      <c r="L1640" s="9">
        <f>(PricingDataTable[[#This Row],[Vendor Price ($)]]-PricingDataTable[[#This Row],[Current Price ($)]])/PricingDataTable[[#This Row],[Current Price ($)]]</f>
        <v>-2.7946406497474348E-3</v>
      </c>
      <c r="M1640" t="str">
        <f t="shared" si="50"/>
        <v>PASS</v>
      </c>
      <c r="N1640" s="10" t="str">
        <f t="shared" si="51"/>
        <v>NONE</v>
      </c>
    </row>
    <row r="1641" spans="1:14">
      <c r="A1641" s="4" t="s">
        <v>3298</v>
      </c>
      <c r="B1641" s="4" t="s">
        <v>3299</v>
      </c>
      <c r="C1641" s="4" t="s">
        <v>19</v>
      </c>
      <c r="D1641" s="4" t="s">
        <v>32</v>
      </c>
      <c r="E1641" s="5">
        <v>209.60210000000001</v>
      </c>
      <c r="F1641" s="5">
        <v>211.5753</v>
      </c>
      <c r="G1641" s="5">
        <v>212.2088</v>
      </c>
      <c r="H1641" s="4">
        <v>2</v>
      </c>
      <c r="I1641" s="6">
        <v>3663960</v>
      </c>
      <c r="J1641" s="7">
        <v>595.29</v>
      </c>
      <c r="K1641" s="9">
        <f>(PricingDataTable[[#This Row],[Current Price ($)]]-PricingDataTable[[#This Row],[Prior Price ($)]])/PricingDataTable[[#This Row],[Prior Price ($)]]</f>
        <v>9.4140278174693441E-3</v>
      </c>
      <c r="L1641" s="9">
        <f>(PricingDataTable[[#This Row],[Vendor Price ($)]]-PricingDataTable[[#This Row],[Current Price ($)]])/PricingDataTable[[#This Row],[Current Price ($)]]</f>
        <v>2.9942058453893152E-3</v>
      </c>
      <c r="M1641" t="str">
        <f t="shared" si="50"/>
        <v>PASS</v>
      </c>
      <c r="N1641" s="10" t="str">
        <f t="shared" si="51"/>
        <v>NONE</v>
      </c>
    </row>
    <row r="1642" spans="1:14">
      <c r="A1642" s="4" t="s">
        <v>3300</v>
      </c>
      <c r="B1642" s="4" t="s">
        <v>3301</v>
      </c>
      <c r="C1642" s="4" t="s">
        <v>35</v>
      </c>
      <c r="D1642" s="4" t="s">
        <v>13</v>
      </c>
      <c r="E1642" s="5">
        <v>58.280500000000004</v>
      </c>
      <c r="F1642" s="5">
        <v>57.732799999999997</v>
      </c>
      <c r="G1642" s="5">
        <v>57.806600000000003</v>
      </c>
      <c r="H1642" s="4">
        <v>0</v>
      </c>
      <c r="I1642" s="6">
        <v>1603298</v>
      </c>
      <c r="J1642" s="7">
        <v>304.62</v>
      </c>
      <c r="K1642" s="9">
        <f>(PricingDataTable[[#This Row],[Current Price ($)]]-PricingDataTable[[#This Row],[Prior Price ($)]])/PricingDataTable[[#This Row],[Prior Price ($)]]</f>
        <v>-9.3976544470278402E-3</v>
      </c>
      <c r="L1642" s="9">
        <f>(PricingDataTable[[#This Row],[Vendor Price ($)]]-PricingDataTable[[#This Row],[Current Price ($)]])/PricingDataTable[[#This Row],[Current Price ($)]]</f>
        <v>1.2783028018735561E-3</v>
      </c>
      <c r="M1642" t="str">
        <f t="shared" si="50"/>
        <v>PASS</v>
      </c>
      <c r="N1642" s="10" t="str">
        <f t="shared" si="51"/>
        <v>NONE</v>
      </c>
    </row>
    <row r="1643" spans="1:14">
      <c r="A1643" s="4" t="s">
        <v>3302</v>
      </c>
      <c r="B1643" s="4" t="s">
        <v>3303</v>
      </c>
      <c r="C1643" s="4" t="s">
        <v>19</v>
      </c>
      <c r="D1643" s="4" t="s">
        <v>13</v>
      </c>
      <c r="E1643" s="5">
        <v>88.754999999999995</v>
      </c>
      <c r="F1643" s="5">
        <v>89.278599999999997</v>
      </c>
      <c r="G1643" s="5">
        <v>89.376199999999997</v>
      </c>
      <c r="H1643" s="4">
        <v>0</v>
      </c>
      <c r="I1643" s="6">
        <v>359261</v>
      </c>
      <c r="J1643" s="7">
        <v>613.27</v>
      </c>
      <c r="K1643" s="9">
        <f>(PricingDataTable[[#This Row],[Current Price ($)]]-PricingDataTable[[#This Row],[Prior Price ($)]])/PricingDataTable[[#This Row],[Prior Price ($)]]</f>
        <v>5.8993859500873404E-3</v>
      </c>
      <c r="L1643" s="9">
        <f>(PricingDataTable[[#This Row],[Vendor Price ($)]]-PricingDataTable[[#This Row],[Current Price ($)]])/PricingDataTable[[#This Row],[Current Price ($)]]</f>
        <v>1.0932071067422642E-3</v>
      </c>
      <c r="M1643" t="str">
        <f t="shared" si="50"/>
        <v>PASS</v>
      </c>
      <c r="N1643" s="10" t="str">
        <f t="shared" si="51"/>
        <v>NONE</v>
      </c>
    </row>
    <row r="1644" spans="1:14">
      <c r="A1644" s="4" t="s">
        <v>3304</v>
      </c>
      <c r="B1644" s="4" t="s">
        <v>3305</v>
      </c>
      <c r="C1644" s="4" t="s">
        <v>12</v>
      </c>
      <c r="D1644" s="4" t="s">
        <v>13</v>
      </c>
      <c r="E1644" s="5">
        <v>81.3489</v>
      </c>
      <c r="F1644" s="5">
        <v>82.275599999999997</v>
      </c>
      <c r="G1644" s="5">
        <v>82.431799999999996</v>
      </c>
      <c r="H1644" s="4">
        <v>0</v>
      </c>
      <c r="I1644" s="6">
        <v>2210622</v>
      </c>
      <c r="J1644" s="7">
        <v>40.43</v>
      </c>
      <c r="K1644" s="9">
        <f>(PricingDataTable[[#This Row],[Current Price ($)]]-PricingDataTable[[#This Row],[Prior Price ($)]])/PricingDataTable[[#This Row],[Prior Price ($)]]</f>
        <v>1.1391672167662951E-2</v>
      </c>
      <c r="L1644" s="9">
        <f>(PricingDataTable[[#This Row],[Vendor Price ($)]]-PricingDataTable[[#This Row],[Current Price ($)]])/PricingDataTable[[#This Row],[Current Price ($)]]</f>
        <v>1.8984972458420035E-3</v>
      </c>
      <c r="M1644" t="str">
        <f t="shared" si="50"/>
        <v>PASS</v>
      </c>
      <c r="N1644" s="10" t="str">
        <f t="shared" si="51"/>
        <v>NONE</v>
      </c>
    </row>
    <row r="1645" spans="1:14">
      <c r="A1645" s="4" t="s">
        <v>3306</v>
      </c>
      <c r="B1645" s="4" t="s">
        <v>3307</v>
      </c>
      <c r="C1645" s="4" t="s">
        <v>16</v>
      </c>
      <c r="D1645" s="4" t="s">
        <v>13</v>
      </c>
      <c r="E1645" s="5">
        <v>78.817499999999995</v>
      </c>
      <c r="F1645" s="5">
        <v>80.638400000000004</v>
      </c>
      <c r="G1645" s="5">
        <v>80.836100000000002</v>
      </c>
      <c r="H1645" s="4">
        <v>1</v>
      </c>
      <c r="I1645" s="6">
        <v>2708038</v>
      </c>
      <c r="J1645" s="7">
        <v>765.78</v>
      </c>
      <c r="K1645" s="9">
        <f>(PricingDataTable[[#This Row],[Current Price ($)]]-PricingDataTable[[#This Row],[Prior Price ($)]])/PricingDataTable[[#This Row],[Prior Price ($)]]</f>
        <v>2.310273733625158E-2</v>
      </c>
      <c r="L1645" s="9">
        <f>(PricingDataTable[[#This Row],[Vendor Price ($)]]-PricingDataTable[[#This Row],[Current Price ($)]])/PricingDataTable[[#This Row],[Current Price ($)]]</f>
        <v>2.4516855493164243E-3</v>
      </c>
      <c r="M1645" t="str">
        <f t="shared" si="50"/>
        <v>PASS</v>
      </c>
      <c r="N1645" s="10" t="str">
        <f t="shared" si="51"/>
        <v>NONE</v>
      </c>
    </row>
    <row r="1646" spans="1:14">
      <c r="A1646" s="4" t="s">
        <v>3308</v>
      </c>
      <c r="B1646" s="4" t="s">
        <v>3309</v>
      </c>
      <c r="C1646" s="4" t="s">
        <v>16</v>
      </c>
      <c r="D1646" s="4" t="s">
        <v>13</v>
      </c>
      <c r="E1646" s="5">
        <v>91.215000000000003</v>
      </c>
      <c r="F1646" s="5">
        <v>91.215599999999995</v>
      </c>
      <c r="G1646" s="5">
        <v>90.709599999999995</v>
      </c>
      <c r="H1646" s="4">
        <v>1</v>
      </c>
      <c r="I1646" s="6">
        <v>3778677</v>
      </c>
      <c r="J1646" s="7">
        <v>556.20000000000005</v>
      </c>
      <c r="K1646" s="9">
        <f>(PricingDataTable[[#This Row],[Current Price ($)]]-PricingDataTable[[#This Row],[Prior Price ($)]])/PricingDataTable[[#This Row],[Prior Price ($)]]</f>
        <v>6.5778654825576519E-6</v>
      </c>
      <c r="L1646" s="9">
        <f>(PricingDataTable[[#This Row],[Vendor Price ($)]]-PricingDataTable[[#This Row],[Current Price ($)]])/PricingDataTable[[#This Row],[Current Price ($)]]</f>
        <v>-5.5472967343305341E-3</v>
      </c>
      <c r="M1646" t="str">
        <f t="shared" si="50"/>
        <v>PASS</v>
      </c>
      <c r="N1646" s="10" t="str">
        <f t="shared" si="51"/>
        <v>NONE</v>
      </c>
    </row>
    <row r="1647" spans="1:14">
      <c r="A1647" s="4" t="s">
        <v>3310</v>
      </c>
      <c r="B1647" s="4" t="s">
        <v>3311</v>
      </c>
      <c r="C1647" s="4" t="s">
        <v>39</v>
      </c>
      <c r="D1647" s="4" t="s">
        <v>13</v>
      </c>
      <c r="E1647" s="5">
        <v>226.47290000000001</v>
      </c>
      <c r="F1647" s="5">
        <v>224.94409999999999</v>
      </c>
      <c r="G1647" s="5">
        <v>226.05170000000001</v>
      </c>
      <c r="H1647" s="4">
        <v>0</v>
      </c>
      <c r="I1647" s="6">
        <v>2462590</v>
      </c>
      <c r="J1647" s="7">
        <v>22.46</v>
      </c>
      <c r="K1647" s="9">
        <f>(PricingDataTable[[#This Row],[Current Price ($)]]-PricingDataTable[[#This Row],[Prior Price ($)]])/PricingDataTable[[#This Row],[Prior Price ($)]]</f>
        <v>-6.750476547083638E-3</v>
      </c>
      <c r="L1647" s="9">
        <f>(PricingDataTable[[#This Row],[Vendor Price ($)]]-PricingDataTable[[#This Row],[Current Price ($)]])/PricingDataTable[[#This Row],[Current Price ($)]]</f>
        <v>4.9238899797772835E-3</v>
      </c>
      <c r="M1647" t="str">
        <f t="shared" si="50"/>
        <v>PASS</v>
      </c>
      <c r="N1647" s="10" t="str">
        <f t="shared" si="51"/>
        <v>NONE</v>
      </c>
    </row>
    <row r="1648" spans="1:14">
      <c r="A1648" s="4" t="s">
        <v>3312</v>
      </c>
      <c r="B1648" s="4" t="s">
        <v>3313</v>
      </c>
      <c r="C1648" s="4" t="s">
        <v>12</v>
      </c>
      <c r="D1648" s="4" t="s">
        <v>13</v>
      </c>
      <c r="E1648" s="5">
        <v>89.908199999999994</v>
      </c>
      <c r="F1648" s="5">
        <v>91.045100000000005</v>
      </c>
      <c r="G1648" s="5">
        <v>91.084500000000006</v>
      </c>
      <c r="H1648" s="4">
        <v>0</v>
      </c>
      <c r="I1648" s="6">
        <v>1748452</v>
      </c>
      <c r="J1648" s="7">
        <v>781.77</v>
      </c>
      <c r="K1648" s="9">
        <f>(PricingDataTable[[#This Row],[Current Price ($)]]-PricingDataTable[[#This Row],[Prior Price ($)]])/PricingDataTable[[#This Row],[Prior Price ($)]]</f>
        <v>1.2645120244872118E-2</v>
      </c>
      <c r="L1648" s="9">
        <f>(PricingDataTable[[#This Row],[Vendor Price ($)]]-PricingDataTable[[#This Row],[Current Price ($)]])/PricingDataTable[[#This Row],[Current Price ($)]]</f>
        <v>4.3275255889664073E-4</v>
      </c>
      <c r="M1648" t="str">
        <f t="shared" si="50"/>
        <v>PASS</v>
      </c>
      <c r="N1648" s="10" t="str">
        <f t="shared" si="51"/>
        <v>NONE</v>
      </c>
    </row>
    <row r="1649" spans="1:14">
      <c r="A1649" s="4" t="s">
        <v>3314</v>
      </c>
      <c r="B1649" s="4" t="s">
        <v>3315</v>
      </c>
      <c r="C1649" s="4" t="s">
        <v>35</v>
      </c>
      <c r="D1649" s="4" t="s">
        <v>13</v>
      </c>
      <c r="E1649" s="5">
        <v>127.74250000000001</v>
      </c>
      <c r="F1649" s="5">
        <v>129.5421</v>
      </c>
      <c r="G1649" s="5">
        <v>130.2627</v>
      </c>
      <c r="H1649" s="4">
        <v>0</v>
      </c>
      <c r="I1649" s="6">
        <v>1748995</v>
      </c>
      <c r="J1649" s="7">
        <v>639.66</v>
      </c>
      <c r="K1649" s="9">
        <f>(PricingDataTable[[#This Row],[Current Price ($)]]-PricingDataTable[[#This Row],[Prior Price ($)]])/PricingDataTable[[#This Row],[Prior Price ($)]]</f>
        <v>1.408771552145917E-2</v>
      </c>
      <c r="L1649" s="9">
        <f>(PricingDataTable[[#This Row],[Vendor Price ($)]]-PricingDataTable[[#This Row],[Current Price ($)]])/PricingDataTable[[#This Row],[Current Price ($)]]</f>
        <v>5.5626703596745024E-3</v>
      </c>
      <c r="M1649" t="str">
        <f t="shared" si="50"/>
        <v>PASS</v>
      </c>
      <c r="N1649" s="10" t="str">
        <f t="shared" si="51"/>
        <v>NONE</v>
      </c>
    </row>
    <row r="1650" spans="1:14">
      <c r="A1650" s="4" t="s">
        <v>3316</v>
      </c>
      <c r="B1650" s="4" t="s">
        <v>3317</v>
      </c>
      <c r="C1650" s="4" t="s">
        <v>39</v>
      </c>
      <c r="D1650" s="4" t="s">
        <v>13</v>
      </c>
      <c r="E1650" s="5">
        <v>133.95480000000001</v>
      </c>
      <c r="F1650" s="5">
        <v>133.5745</v>
      </c>
      <c r="G1650" s="5">
        <v>133.2466</v>
      </c>
      <c r="H1650" s="4">
        <v>0</v>
      </c>
      <c r="I1650" s="6">
        <v>3128678</v>
      </c>
      <c r="J1650" s="7">
        <v>62.26</v>
      </c>
      <c r="K1650" s="9">
        <f>(PricingDataTable[[#This Row],[Current Price ($)]]-PricingDataTable[[#This Row],[Prior Price ($)]])/PricingDataTable[[#This Row],[Prior Price ($)]]</f>
        <v>-2.8390173401774731E-3</v>
      </c>
      <c r="L1650" s="9">
        <f>(PricingDataTable[[#This Row],[Vendor Price ($)]]-PricingDataTable[[#This Row],[Current Price ($)]])/PricingDataTable[[#This Row],[Current Price ($)]]</f>
        <v>-2.4548098626609094E-3</v>
      </c>
      <c r="M1650" t="str">
        <f t="shared" si="50"/>
        <v>PASS</v>
      </c>
      <c r="N1650" s="10" t="str">
        <f t="shared" si="51"/>
        <v>NONE</v>
      </c>
    </row>
    <row r="1651" spans="1:14">
      <c r="A1651" s="4" t="s">
        <v>3318</v>
      </c>
      <c r="B1651" s="4" t="s">
        <v>3319</v>
      </c>
      <c r="C1651" s="4" t="s">
        <v>16</v>
      </c>
      <c r="D1651" s="4" t="s">
        <v>13</v>
      </c>
      <c r="E1651" s="5">
        <v>114.8548</v>
      </c>
      <c r="F1651" s="5">
        <v>116.38249999999999</v>
      </c>
      <c r="G1651" s="5">
        <v>116.44119999999999</v>
      </c>
      <c r="H1651" s="4">
        <v>0</v>
      </c>
      <c r="I1651" s="6">
        <v>1483149</v>
      </c>
      <c r="J1651" s="7">
        <v>654.49</v>
      </c>
      <c r="K1651" s="9">
        <f>(PricingDataTable[[#This Row],[Current Price ($)]]-PricingDataTable[[#This Row],[Prior Price ($)]])/PricingDataTable[[#This Row],[Prior Price ($)]]</f>
        <v>1.3301141963592257E-2</v>
      </c>
      <c r="L1651" s="9">
        <f>(PricingDataTable[[#This Row],[Vendor Price ($)]]-PricingDataTable[[#This Row],[Current Price ($)]])/PricingDataTable[[#This Row],[Current Price ($)]]</f>
        <v>5.0437136167380623E-4</v>
      </c>
      <c r="M1651" t="str">
        <f t="shared" si="50"/>
        <v>PASS</v>
      </c>
      <c r="N1651" s="10" t="str">
        <f t="shared" si="51"/>
        <v>NONE</v>
      </c>
    </row>
    <row r="1652" spans="1:14">
      <c r="A1652" s="4" t="s">
        <v>3320</v>
      </c>
      <c r="B1652" s="4" t="s">
        <v>3321</v>
      </c>
      <c r="C1652" s="4" t="s">
        <v>16</v>
      </c>
      <c r="D1652" s="4" t="s">
        <v>13</v>
      </c>
      <c r="E1652" s="5">
        <v>79.116600000000005</v>
      </c>
      <c r="F1652" s="5">
        <v>78.593699999999998</v>
      </c>
      <c r="G1652" s="5"/>
      <c r="H1652" s="4">
        <v>0</v>
      </c>
      <c r="I1652" s="6">
        <v>111125</v>
      </c>
      <c r="J1652" s="7">
        <v>853.48</v>
      </c>
      <c r="K1652" s="9">
        <f>(PricingDataTable[[#This Row],[Current Price ($)]]-PricingDataTable[[#This Row],[Prior Price ($)]])/PricingDataTable[[#This Row],[Prior Price ($)]]</f>
        <v>-6.6092324493217227E-3</v>
      </c>
      <c r="L1652" s="9">
        <f>(PricingDataTable[[#This Row],[Vendor Price ($)]]-PricingDataTable[[#This Row],[Current Price ($)]])/PricingDataTable[[#This Row],[Current Price ($)]]</f>
        <v>-1</v>
      </c>
      <c r="M1652" t="str">
        <f t="shared" si="50"/>
        <v>VENDOR DIFFERENCE</v>
      </c>
      <c r="N1652" s="10" t="str">
        <f t="shared" si="51"/>
        <v>HIGH</v>
      </c>
    </row>
    <row r="1653" spans="1:14">
      <c r="A1653" s="4" t="s">
        <v>3322</v>
      </c>
      <c r="B1653" s="4" t="s">
        <v>3323</v>
      </c>
      <c r="C1653" s="4" t="s">
        <v>16</v>
      </c>
      <c r="D1653" s="4" t="s">
        <v>13</v>
      </c>
      <c r="E1653" s="5">
        <v>103.2272</v>
      </c>
      <c r="F1653" s="5">
        <v>105.3403</v>
      </c>
      <c r="G1653" s="5">
        <v>105.6015</v>
      </c>
      <c r="H1653" s="4">
        <v>0</v>
      </c>
      <c r="I1653" s="6">
        <v>4023444</v>
      </c>
      <c r="J1653" s="7">
        <v>348.07</v>
      </c>
      <c r="K1653" s="9">
        <f>(PricingDataTable[[#This Row],[Current Price ($)]]-PricingDataTable[[#This Row],[Prior Price ($)]])/PricingDataTable[[#This Row],[Prior Price ($)]]</f>
        <v>2.0470379899871379E-2</v>
      </c>
      <c r="L1653" s="9">
        <f>(PricingDataTable[[#This Row],[Vendor Price ($)]]-PricingDataTable[[#This Row],[Current Price ($)]])/PricingDataTable[[#This Row],[Current Price ($)]]</f>
        <v>2.4795828377174008E-3</v>
      </c>
      <c r="M1653" t="str">
        <f t="shared" si="50"/>
        <v>PASS</v>
      </c>
      <c r="N1653" s="10" t="str">
        <f t="shared" si="51"/>
        <v>NONE</v>
      </c>
    </row>
    <row r="1654" spans="1:14">
      <c r="A1654" s="4" t="s">
        <v>3324</v>
      </c>
      <c r="B1654" s="4" t="s">
        <v>3325</v>
      </c>
      <c r="C1654" s="4" t="s">
        <v>19</v>
      </c>
      <c r="D1654" s="4" t="s">
        <v>13</v>
      </c>
      <c r="E1654" s="5">
        <v>245.34620000000001</v>
      </c>
      <c r="F1654" s="5">
        <v>246.25139999999999</v>
      </c>
      <c r="G1654" s="5">
        <v>245.6867</v>
      </c>
      <c r="H1654" s="4">
        <v>1</v>
      </c>
      <c r="I1654" s="6">
        <v>2422082</v>
      </c>
      <c r="J1654" s="7">
        <v>598.05999999999995</v>
      </c>
      <c r="K1654" s="9">
        <f>(PricingDataTable[[#This Row],[Current Price ($)]]-PricingDataTable[[#This Row],[Prior Price ($)]])/PricingDataTable[[#This Row],[Prior Price ($)]]</f>
        <v>3.6894804158368027E-3</v>
      </c>
      <c r="L1654" s="9">
        <f>(PricingDataTable[[#This Row],[Vendor Price ($)]]-PricingDataTable[[#This Row],[Current Price ($)]])/PricingDataTable[[#This Row],[Current Price ($)]]</f>
        <v>-2.293184932146529E-3</v>
      </c>
      <c r="M1654" t="str">
        <f t="shared" si="50"/>
        <v>PASS</v>
      </c>
      <c r="N1654" s="10" t="str">
        <f t="shared" si="51"/>
        <v>NONE</v>
      </c>
    </row>
    <row r="1655" spans="1:14">
      <c r="A1655" s="4" t="s">
        <v>3326</v>
      </c>
      <c r="B1655" s="4" t="s">
        <v>3327</v>
      </c>
      <c r="C1655" s="4" t="s">
        <v>39</v>
      </c>
      <c r="D1655" s="4" t="s">
        <v>13</v>
      </c>
      <c r="E1655" s="5">
        <v>59.834400000000002</v>
      </c>
      <c r="F1655" s="5">
        <v>60.823700000000002</v>
      </c>
      <c r="G1655" s="5">
        <v>60.762099999999997</v>
      </c>
      <c r="H1655" s="4">
        <v>0</v>
      </c>
      <c r="I1655" s="6">
        <v>1571050</v>
      </c>
      <c r="J1655" s="7">
        <v>105.09</v>
      </c>
      <c r="K1655" s="9">
        <f>(PricingDataTable[[#This Row],[Current Price ($)]]-PricingDataTable[[#This Row],[Prior Price ($)]])/PricingDataTable[[#This Row],[Prior Price ($)]]</f>
        <v>1.653396708248098E-2</v>
      </c>
      <c r="L1655" s="9">
        <f>(PricingDataTable[[#This Row],[Vendor Price ($)]]-PricingDataTable[[#This Row],[Current Price ($)]])/PricingDataTable[[#This Row],[Current Price ($)]]</f>
        <v>-1.0127631170087589E-3</v>
      </c>
      <c r="M1655" t="str">
        <f t="shared" si="50"/>
        <v>PASS</v>
      </c>
      <c r="N1655" s="10" t="str">
        <f t="shared" si="51"/>
        <v>NONE</v>
      </c>
    </row>
    <row r="1656" spans="1:14">
      <c r="A1656" s="4" t="s">
        <v>3328</v>
      </c>
      <c r="B1656" s="4" t="s">
        <v>3329</v>
      </c>
      <c r="C1656" s="4" t="s">
        <v>16</v>
      </c>
      <c r="D1656" s="4" t="s">
        <v>13</v>
      </c>
      <c r="E1656" s="5">
        <v>104.9892</v>
      </c>
      <c r="F1656" s="5">
        <v>104.05119999999999</v>
      </c>
      <c r="G1656" s="5">
        <v>104.27630000000001</v>
      </c>
      <c r="H1656" s="4">
        <v>0</v>
      </c>
      <c r="I1656" s="6">
        <v>2018546</v>
      </c>
      <c r="J1656" s="7">
        <v>250.24</v>
      </c>
      <c r="K1656" s="9">
        <f>(PricingDataTable[[#This Row],[Current Price ($)]]-PricingDataTable[[#This Row],[Prior Price ($)]])/PricingDataTable[[#This Row],[Prior Price ($)]]</f>
        <v>-8.9342522849969568E-3</v>
      </c>
      <c r="L1656" s="9">
        <f>(PricingDataTable[[#This Row],[Vendor Price ($)]]-PricingDataTable[[#This Row],[Current Price ($)]])/PricingDataTable[[#This Row],[Current Price ($)]]</f>
        <v>2.1633580391193169E-3</v>
      </c>
      <c r="M1656" t="str">
        <f t="shared" si="50"/>
        <v>PASS</v>
      </c>
      <c r="N1656" s="10" t="str">
        <f t="shared" si="51"/>
        <v>NONE</v>
      </c>
    </row>
    <row r="1657" spans="1:14">
      <c r="A1657" s="4" t="s">
        <v>3330</v>
      </c>
      <c r="B1657" s="4" t="s">
        <v>3331</v>
      </c>
      <c r="C1657" s="4" t="s">
        <v>39</v>
      </c>
      <c r="D1657" s="4" t="s">
        <v>64</v>
      </c>
      <c r="E1657" s="5">
        <v>53.704700000000003</v>
      </c>
      <c r="F1657" s="5">
        <v>53.561399999999999</v>
      </c>
      <c r="G1657" s="5">
        <v>53.453899999999997</v>
      </c>
      <c r="H1657" s="4">
        <v>0</v>
      </c>
      <c r="I1657" s="6">
        <v>3552541</v>
      </c>
      <c r="J1657" s="7">
        <v>498.44</v>
      </c>
      <c r="K1657" s="9">
        <f>(PricingDataTable[[#This Row],[Current Price ($)]]-PricingDataTable[[#This Row],[Prior Price ($)]])/PricingDataTable[[#This Row],[Prior Price ($)]]</f>
        <v>-2.6682953261074642E-3</v>
      </c>
      <c r="L1657" s="9">
        <f>(PricingDataTable[[#This Row],[Vendor Price ($)]]-PricingDataTable[[#This Row],[Current Price ($)]])/PricingDataTable[[#This Row],[Current Price ($)]]</f>
        <v>-2.0070423850011708E-3</v>
      </c>
      <c r="M1657" t="str">
        <f t="shared" si="50"/>
        <v>PASS</v>
      </c>
      <c r="N1657" s="10" t="str">
        <f t="shared" si="51"/>
        <v>NONE</v>
      </c>
    </row>
    <row r="1658" spans="1:14">
      <c r="A1658" s="4" t="s">
        <v>3332</v>
      </c>
      <c r="B1658" s="4" t="s">
        <v>3333</v>
      </c>
      <c r="C1658" s="4" t="s">
        <v>16</v>
      </c>
      <c r="D1658" s="4" t="s">
        <v>32</v>
      </c>
      <c r="E1658" s="5">
        <v>79.689400000000006</v>
      </c>
      <c r="F1658" s="5">
        <v>80.557500000000005</v>
      </c>
      <c r="G1658" s="5">
        <v>80.306299999999993</v>
      </c>
      <c r="H1658" s="4">
        <v>0</v>
      </c>
      <c r="I1658" s="6">
        <v>226668</v>
      </c>
      <c r="J1658" s="7">
        <v>555.17999999999995</v>
      </c>
      <c r="K1658" s="9">
        <f>(PricingDataTable[[#This Row],[Current Price ($)]]-PricingDataTable[[#This Row],[Prior Price ($)]])/PricingDataTable[[#This Row],[Prior Price ($)]]</f>
        <v>1.0893544185299402E-2</v>
      </c>
      <c r="L1658" s="9">
        <f>(PricingDataTable[[#This Row],[Vendor Price ($)]]-PricingDataTable[[#This Row],[Current Price ($)]])/PricingDataTable[[#This Row],[Current Price ($)]]</f>
        <v>-3.1182695590107859E-3</v>
      </c>
      <c r="M1658" t="str">
        <f t="shared" si="50"/>
        <v>PASS</v>
      </c>
      <c r="N1658" s="10" t="str">
        <f t="shared" si="51"/>
        <v>NONE</v>
      </c>
    </row>
    <row r="1659" spans="1:14">
      <c r="A1659" s="4" t="s">
        <v>3334</v>
      </c>
      <c r="B1659" s="4" t="s">
        <v>3335</v>
      </c>
      <c r="C1659" s="4" t="s">
        <v>39</v>
      </c>
      <c r="D1659" s="4" t="s">
        <v>13</v>
      </c>
      <c r="E1659" s="5">
        <v>164.60910000000001</v>
      </c>
      <c r="F1659" s="5">
        <v>167.1772</v>
      </c>
      <c r="G1659" s="5">
        <v>166.29689999999999</v>
      </c>
      <c r="H1659" s="4">
        <v>2</v>
      </c>
      <c r="I1659" s="6">
        <v>4611257</v>
      </c>
      <c r="J1659" s="7">
        <v>345.48</v>
      </c>
      <c r="K1659" s="9">
        <f>(PricingDataTable[[#This Row],[Current Price ($)]]-PricingDataTable[[#This Row],[Prior Price ($)]])/PricingDataTable[[#This Row],[Prior Price ($)]]</f>
        <v>1.5601203092660046E-2</v>
      </c>
      <c r="L1659" s="9">
        <f>(PricingDataTable[[#This Row],[Vendor Price ($)]]-PricingDataTable[[#This Row],[Current Price ($)]])/PricingDataTable[[#This Row],[Current Price ($)]]</f>
        <v>-5.2656701990463142E-3</v>
      </c>
      <c r="M1659" t="str">
        <f t="shared" si="50"/>
        <v>PASS</v>
      </c>
      <c r="N1659" s="10" t="str">
        <f t="shared" si="51"/>
        <v>NONE</v>
      </c>
    </row>
    <row r="1660" spans="1:14">
      <c r="A1660" s="4" t="s">
        <v>3336</v>
      </c>
      <c r="B1660" s="4" t="s">
        <v>3337</v>
      </c>
      <c r="C1660" s="4" t="s">
        <v>16</v>
      </c>
      <c r="D1660" s="4" t="s">
        <v>13</v>
      </c>
      <c r="E1660" s="5">
        <v>104.2278</v>
      </c>
      <c r="F1660" s="5">
        <v>104.2334</v>
      </c>
      <c r="G1660" s="5">
        <v>103.7238</v>
      </c>
      <c r="H1660" s="4">
        <v>0</v>
      </c>
      <c r="I1660" s="6">
        <v>1533663</v>
      </c>
      <c r="J1660" s="7">
        <v>437.47</v>
      </c>
      <c r="K1660" s="9">
        <f>(PricingDataTable[[#This Row],[Current Price ($)]]-PricingDataTable[[#This Row],[Prior Price ($)]])/PricingDataTable[[#This Row],[Prior Price ($)]]</f>
        <v>5.3728467836807066E-5</v>
      </c>
      <c r="L1660" s="9">
        <f>(PricingDataTable[[#This Row],[Vendor Price ($)]]-PricingDataTable[[#This Row],[Current Price ($)]])/PricingDataTable[[#This Row],[Current Price ($)]]</f>
        <v>-4.8890278931705772E-3</v>
      </c>
      <c r="M1660" t="str">
        <f t="shared" si="50"/>
        <v>PASS</v>
      </c>
      <c r="N1660" s="10" t="str">
        <f t="shared" si="51"/>
        <v>NONE</v>
      </c>
    </row>
    <row r="1661" spans="1:14">
      <c r="A1661" s="4" t="s">
        <v>3338</v>
      </c>
      <c r="B1661" s="4" t="s">
        <v>3339</v>
      </c>
      <c r="C1661" s="4" t="s">
        <v>39</v>
      </c>
      <c r="D1661" s="4" t="s">
        <v>13</v>
      </c>
      <c r="E1661" s="5">
        <v>39.697099999999999</v>
      </c>
      <c r="F1661" s="5">
        <v>39.611400000000003</v>
      </c>
      <c r="G1661" s="5"/>
      <c r="H1661" s="4">
        <v>3</v>
      </c>
      <c r="I1661" s="6">
        <v>1501727</v>
      </c>
      <c r="J1661" s="7">
        <v>668.71</v>
      </c>
      <c r="K1661" s="9">
        <f>(PricingDataTable[[#This Row],[Current Price ($)]]-PricingDataTable[[#This Row],[Prior Price ($)]])/PricingDataTable[[#This Row],[Prior Price ($)]]</f>
        <v>-2.1588478755373989E-3</v>
      </c>
      <c r="L1661" s="9">
        <f>(PricingDataTable[[#This Row],[Vendor Price ($)]]-PricingDataTable[[#This Row],[Current Price ($)]])/PricingDataTable[[#This Row],[Current Price ($)]]</f>
        <v>-1</v>
      </c>
      <c r="M1661" t="str">
        <f t="shared" si="50"/>
        <v>STALE</v>
      </c>
      <c r="N1661" s="10" t="str">
        <f t="shared" si="51"/>
        <v>HIGH</v>
      </c>
    </row>
    <row r="1662" spans="1:14">
      <c r="A1662" s="4" t="s">
        <v>3340</v>
      </c>
      <c r="B1662" s="4" t="s">
        <v>3341</v>
      </c>
      <c r="C1662" s="4" t="s">
        <v>19</v>
      </c>
      <c r="D1662" s="4" t="s">
        <v>32</v>
      </c>
      <c r="E1662" s="5">
        <v>79.233900000000006</v>
      </c>
      <c r="F1662" s="5">
        <v>81.540099999999995</v>
      </c>
      <c r="G1662" s="5">
        <v>81.291300000000007</v>
      </c>
      <c r="H1662" s="4">
        <v>0</v>
      </c>
      <c r="I1662" s="6">
        <v>1515713</v>
      </c>
      <c r="J1662" s="7">
        <v>480.19</v>
      </c>
      <c r="K1662" s="9">
        <f>(PricingDataTable[[#This Row],[Current Price ($)]]-PricingDataTable[[#This Row],[Prior Price ($)]])/PricingDataTable[[#This Row],[Prior Price ($)]]</f>
        <v>2.9106228520872881E-2</v>
      </c>
      <c r="L1662" s="9">
        <f>(PricingDataTable[[#This Row],[Vendor Price ($)]]-PricingDataTable[[#This Row],[Current Price ($)]])/PricingDataTable[[#This Row],[Current Price ($)]]</f>
        <v>-3.0512594416733435E-3</v>
      </c>
      <c r="M1662" t="str">
        <f t="shared" si="50"/>
        <v>PASS</v>
      </c>
      <c r="N1662" s="10" t="str">
        <f t="shared" si="51"/>
        <v>NONE</v>
      </c>
    </row>
    <row r="1663" spans="1:14">
      <c r="A1663" s="4" t="s">
        <v>3342</v>
      </c>
      <c r="B1663" s="4" t="s">
        <v>3343</v>
      </c>
      <c r="C1663" s="4" t="s">
        <v>12</v>
      </c>
      <c r="D1663" s="4" t="s">
        <v>13</v>
      </c>
      <c r="E1663" s="5">
        <v>112.7514</v>
      </c>
      <c r="F1663" s="5">
        <v>113.2334</v>
      </c>
      <c r="G1663" s="5">
        <v>113.19970000000001</v>
      </c>
      <c r="H1663" s="4">
        <v>1</v>
      </c>
      <c r="I1663" s="6">
        <v>4046001</v>
      </c>
      <c r="J1663" s="7">
        <v>263.31</v>
      </c>
      <c r="K1663" s="9">
        <f>(PricingDataTable[[#This Row],[Current Price ($)]]-PricingDataTable[[#This Row],[Prior Price ($)]])/PricingDataTable[[#This Row],[Prior Price ($)]]</f>
        <v>4.2748914869349675E-3</v>
      </c>
      <c r="L1663" s="9">
        <f>(PricingDataTable[[#This Row],[Vendor Price ($)]]-PricingDataTable[[#This Row],[Current Price ($)]])/PricingDataTable[[#This Row],[Current Price ($)]]</f>
        <v>-2.9761536790378159E-4</v>
      </c>
      <c r="M1663" t="str">
        <f t="shared" si="50"/>
        <v>PASS</v>
      </c>
      <c r="N1663" s="10" t="str">
        <f t="shared" si="51"/>
        <v>NONE</v>
      </c>
    </row>
    <row r="1664" spans="1:14">
      <c r="A1664" s="4" t="s">
        <v>3344</v>
      </c>
      <c r="B1664" s="4" t="s">
        <v>3345</v>
      </c>
      <c r="C1664" s="4" t="s">
        <v>16</v>
      </c>
      <c r="D1664" s="4" t="s">
        <v>13</v>
      </c>
      <c r="E1664" s="5">
        <v>109.83410000000001</v>
      </c>
      <c r="F1664" s="5">
        <v>108.46550000000001</v>
      </c>
      <c r="G1664" s="5">
        <v>108.256</v>
      </c>
      <c r="H1664" s="4">
        <v>0</v>
      </c>
      <c r="I1664" s="6">
        <v>2429613</v>
      </c>
      <c r="J1664" s="7">
        <v>12.76</v>
      </c>
      <c r="K1664" s="9">
        <f>(PricingDataTable[[#This Row],[Current Price ($)]]-PricingDataTable[[#This Row],[Prior Price ($)]])/PricingDataTable[[#This Row],[Prior Price ($)]]</f>
        <v>-1.2460611048845492E-2</v>
      </c>
      <c r="L1664" s="9">
        <f>(PricingDataTable[[#This Row],[Vendor Price ($)]]-PricingDataTable[[#This Row],[Current Price ($)]])/PricingDataTable[[#This Row],[Current Price ($)]]</f>
        <v>-1.9314897363678365E-3</v>
      </c>
      <c r="M1664" t="str">
        <f t="shared" si="50"/>
        <v>PASS</v>
      </c>
      <c r="N1664" s="10" t="str">
        <f t="shared" si="51"/>
        <v>NONE</v>
      </c>
    </row>
    <row r="1665" spans="1:14">
      <c r="A1665" s="4" t="s">
        <v>3346</v>
      </c>
      <c r="B1665" s="4" t="s">
        <v>3347</v>
      </c>
      <c r="C1665" s="4" t="s">
        <v>19</v>
      </c>
      <c r="D1665" s="4" t="s">
        <v>13</v>
      </c>
      <c r="E1665" s="5">
        <v>156.9228</v>
      </c>
      <c r="F1665" s="5">
        <v>157.9477</v>
      </c>
      <c r="G1665" s="5">
        <v>158.1224</v>
      </c>
      <c r="H1665" s="4">
        <v>0</v>
      </c>
      <c r="I1665" s="6">
        <v>4496568</v>
      </c>
      <c r="J1665" s="7">
        <v>432.48</v>
      </c>
      <c r="K1665" s="9">
        <f>(PricingDataTable[[#This Row],[Current Price ($)]]-PricingDataTable[[#This Row],[Prior Price ($)]])/PricingDataTable[[#This Row],[Prior Price ($)]]</f>
        <v>6.5312370159084747E-3</v>
      </c>
      <c r="L1665" s="9">
        <f>(PricingDataTable[[#This Row],[Vendor Price ($)]]-PricingDataTable[[#This Row],[Current Price ($)]])/PricingDataTable[[#This Row],[Current Price ($)]]</f>
        <v>1.1060623231614098E-3</v>
      </c>
      <c r="M1665" t="str">
        <f t="shared" si="50"/>
        <v>PASS</v>
      </c>
      <c r="N1665" s="10" t="str">
        <f t="shared" si="51"/>
        <v>NONE</v>
      </c>
    </row>
    <row r="1666" spans="1:14">
      <c r="A1666" s="4" t="s">
        <v>3348</v>
      </c>
      <c r="B1666" s="4" t="s">
        <v>3349</v>
      </c>
      <c r="C1666" s="4" t="s">
        <v>19</v>
      </c>
      <c r="D1666" s="4" t="s">
        <v>13</v>
      </c>
      <c r="E1666" s="5">
        <v>119.0038</v>
      </c>
      <c r="F1666" s="5">
        <v>120.00709999999999</v>
      </c>
      <c r="G1666" s="5">
        <v>119.9038</v>
      </c>
      <c r="H1666" s="4">
        <v>0</v>
      </c>
      <c r="I1666" s="6">
        <v>4076900</v>
      </c>
      <c r="J1666" s="7">
        <v>718.63</v>
      </c>
      <c r="K1666" s="9">
        <f>(PricingDataTable[[#This Row],[Current Price ($)]]-PricingDataTable[[#This Row],[Prior Price ($)]])/PricingDataTable[[#This Row],[Prior Price ($)]]</f>
        <v>8.4308232174098302E-3</v>
      </c>
      <c r="L1666" s="9">
        <f>(PricingDataTable[[#This Row],[Vendor Price ($)]]-PricingDataTable[[#This Row],[Current Price ($)]])/PricingDataTable[[#This Row],[Current Price ($)]]</f>
        <v>-8.6078240370769882E-4</v>
      </c>
      <c r="M1666" t="str">
        <f t="shared" ref="M1666:M1729" si="52">IF(OR(F1666="",F1666=0),"MISSING",IF(H1666&gt;=3,"STALE",IF(ABS(K1666)&gt;=5%,"LARGE MOVE",IF(ABS(L1666)&gt;=2%,"VENDOR DIFFERENCE","PASS"))))</f>
        <v>PASS</v>
      </c>
      <c r="N1666" s="10" t="str">
        <f t="shared" ref="N1666:N1729" si="53">IF(M1666="PASS","NONE",IF(M1666="MISSING","HIGH",IF(OR(ABS(K1666)&gt;=10%,ABS(L1666)&gt;=5%),"HIGH",IF(OR(ABS(K1666)&gt;=7%,ABS(L1666)&gt;=3%,H1666&gt;=5),"MEDIUM","LOW"))))</f>
        <v>NONE</v>
      </c>
    </row>
    <row r="1667" spans="1:14">
      <c r="A1667" s="4" t="s">
        <v>3350</v>
      </c>
      <c r="B1667" s="4" t="s">
        <v>3351</v>
      </c>
      <c r="C1667" s="4" t="s">
        <v>16</v>
      </c>
      <c r="D1667" s="4" t="s">
        <v>13</v>
      </c>
      <c r="E1667" s="5">
        <v>108.5694</v>
      </c>
      <c r="F1667" s="5">
        <v>107.79049999999999</v>
      </c>
      <c r="G1667" s="5">
        <v>107.58240000000001</v>
      </c>
      <c r="H1667" s="4">
        <v>0</v>
      </c>
      <c r="I1667" s="6">
        <v>20290</v>
      </c>
      <c r="J1667" s="7">
        <v>128.68</v>
      </c>
      <c r="K1667" s="9">
        <f>(PricingDataTable[[#This Row],[Current Price ($)]]-PricingDataTable[[#This Row],[Prior Price ($)]])/PricingDataTable[[#This Row],[Prior Price ($)]]</f>
        <v>-7.1742129918743883E-3</v>
      </c>
      <c r="L1667" s="9">
        <f>(PricingDataTable[[#This Row],[Vendor Price ($)]]-PricingDataTable[[#This Row],[Current Price ($)]])/PricingDataTable[[#This Row],[Current Price ($)]]</f>
        <v>-1.9305968522271215E-3</v>
      </c>
      <c r="M1667" t="str">
        <f t="shared" si="52"/>
        <v>PASS</v>
      </c>
      <c r="N1667" s="10" t="str">
        <f t="shared" si="53"/>
        <v>NONE</v>
      </c>
    </row>
    <row r="1668" spans="1:14">
      <c r="A1668" s="4" t="s">
        <v>3352</v>
      </c>
      <c r="B1668" s="4" t="s">
        <v>3353</v>
      </c>
      <c r="C1668" s="4" t="s">
        <v>12</v>
      </c>
      <c r="D1668" s="4" t="s">
        <v>13</v>
      </c>
      <c r="E1668" s="5">
        <v>115.4318</v>
      </c>
      <c r="F1668" s="5">
        <v>118.4044</v>
      </c>
      <c r="G1668" s="5">
        <v>118.77549999999999</v>
      </c>
      <c r="H1668" s="4">
        <v>0</v>
      </c>
      <c r="I1668" s="6">
        <v>455912</v>
      </c>
      <c r="J1668" s="7">
        <v>166.68</v>
      </c>
      <c r="K1668" s="9">
        <f>(PricingDataTable[[#This Row],[Current Price ($)]]-PricingDataTable[[#This Row],[Prior Price ($)]])/PricingDataTable[[#This Row],[Prior Price ($)]]</f>
        <v>2.5752002481118721E-2</v>
      </c>
      <c r="L1668" s="9">
        <f>(PricingDataTable[[#This Row],[Vendor Price ($)]]-PricingDataTable[[#This Row],[Current Price ($)]])/PricingDataTable[[#This Row],[Current Price ($)]]</f>
        <v>3.1341740678555731E-3</v>
      </c>
      <c r="M1668" t="str">
        <f t="shared" si="52"/>
        <v>PASS</v>
      </c>
      <c r="N1668" s="10" t="str">
        <f t="shared" si="53"/>
        <v>NONE</v>
      </c>
    </row>
    <row r="1669" spans="1:14">
      <c r="A1669" s="4" t="s">
        <v>3354</v>
      </c>
      <c r="B1669" s="4" t="s">
        <v>3355</v>
      </c>
      <c r="C1669" s="4" t="s">
        <v>39</v>
      </c>
      <c r="D1669" s="4" t="s">
        <v>237</v>
      </c>
      <c r="E1669" s="5">
        <v>244.4528</v>
      </c>
      <c r="F1669" s="5">
        <v>242.14709999999999</v>
      </c>
      <c r="G1669" s="5">
        <v>243.11070000000001</v>
      </c>
      <c r="H1669" s="4">
        <v>0</v>
      </c>
      <c r="I1669" s="6">
        <v>2427623</v>
      </c>
      <c r="J1669" s="7">
        <v>709.48</v>
      </c>
      <c r="K1669" s="9">
        <f>(PricingDataTable[[#This Row],[Current Price ($)]]-PricingDataTable[[#This Row],[Prior Price ($)]])/PricingDataTable[[#This Row],[Prior Price ($)]]</f>
        <v>-9.4320866850369552E-3</v>
      </c>
      <c r="L1669" s="9">
        <f>(PricingDataTable[[#This Row],[Vendor Price ($)]]-PricingDataTable[[#This Row],[Current Price ($)]])/PricingDataTable[[#This Row],[Current Price ($)]]</f>
        <v>3.9793992990211895E-3</v>
      </c>
      <c r="M1669" t="str">
        <f t="shared" si="52"/>
        <v>PASS</v>
      </c>
      <c r="N1669" s="10" t="str">
        <f t="shared" si="53"/>
        <v>NONE</v>
      </c>
    </row>
    <row r="1670" spans="1:14">
      <c r="A1670" s="4" t="s">
        <v>3356</v>
      </c>
      <c r="B1670" s="4" t="s">
        <v>3357</v>
      </c>
      <c r="C1670" s="4" t="s">
        <v>16</v>
      </c>
      <c r="D1670" s="4" t="s">
        <v>13</v>
      </c>
      <c r="E1670" s="5">
        <v>90.751900000000006</v>
      </c>
      <c r="F1670" s="5">
        <v>90.683599999999998</v>
      </c>
      <c r="G1670" s="5">
        <v>97.052199999999999</v>
      </c>
      <c r="H1670" s="4">
        <v>0</v>
      </c>
      <c r="I1670" s="6">
        <v>1080823</v>
      </c>
      <c r="J1670" s="7">
        <v>122.29</v>
      </c>
      <c r="K1670" s="9">
        <f>(PricingDataTable[[#This Row],[Current Price ($)]]-PricingDataTable[[#This Row],[Prior Price ($)]])/PricingDataTable[[#This Row],[Prior Price ($)]]</f>
        <v>-7.5260132294759443E-4</v>
      </c>
      <c r="L1670" s="9">
        <f>(PricingDataTable[[#This Row],[Vendor Price ($)]]-PricingDataTable[[#This Row],[Current Price ($)]])/PricingDataTable[[#This Row],[Current Price ($)]]</f>
        <v>7.0228795504369043E-2</v>
      </c>
      <c r="M1670" t="str">
        <f t="shared" si="52"/>
        <v>VENDOR DIFFERENCE</v>
      </c>
      <c r="N1670" s="10" t="str">
        <f t="shared" si="53"/>
        <v>HIGH</v>
      </c>
    </row>
    <row r="1671" spans="1:14">
      <c r="A1671" s="4" t="s">
        <v>3358</v>
      </c>
      <c r="B1671" s="4" t="s">
        <v>3359</v>
      </c>
      <c r="C1671" s="4" t="s">
        <v>19</v>
      </c>
      <c r="D1671" s="4" t="s">
        <v>237</v>
      </c>
      <c r="E1671" s="5">
        <v>87.380700000000004</v>
      </c>
      <c r="F1671" s="5">
        <v>87.929500000000004</v>
      </c>
      <c r="G1671" s="5">
        <v>87.909700000000001</v>
      </c>
      <c r="H1671" s="4">
        <v>0</v>
      </c>
      <c r="I1671" s="6">
        <v>389871</v>
      </c>
      <c r="J1671" s="7">
        <v>765.33</v>
      </c>
      <c r="K1671" s="9">
        <f>(PricingDataTable[[#This Row],[Current Price ($)]]-PricingDataTable[[#This Row],[Prior Price ($)]])/PricingDataTable[[#This Row],[Prior Price ($)]]</f>
        <v>6.2805630991740729E-3</v>
      </c>
      <c r="L1671" s="9">
        <f>(PricingDataTable[[#This Row],[Vendor Price ($)]]-PricingDataTable[[#This Row],[Current Price ($)]])/PricingDataTable[[#This Row],[Current Price ($)]]</f>
        <v>-2.2518040020702484E-4</v>
      </c>
      <c r="M1671" t="str">
        <f t="shared" si="52"/>
        <v>PASS</v>
      </c>
      <c r="N1671" s="10" t="str">
        <f t="shared" si="53"/>
        <v>NONE</v>
      </c>
    </row>
    <row r="1672" spans="1:14">
      <c r="A1672" s="4" t="s">
        <v>3360</v>
      </c>
      <c r="B1672" s="4" t="s">
        <v>3361</v>
      </c>
      <c r="C1672" s="4" t="s">
        <v>19</v>
      </c>
      <c r="D1672" s="4" t="s">
        <v>13</v>
      </c>
      <c r="E1672" s="5">
        <v>84.480500000000006</v>
      </c>
      <c r="F1672" s="5">
        <v>85.067499999999995</v>
      </c>
      <c r="G1672" s="5">
        <v>85.176299999999998</v>
      </c>
      <c r="H1672" s="4">
        <v>0</v>
      </c>
      <c r="I1672" s="6">
        <v>1329116</v>
      </c>
      <c r="J1672" s="7">
        <v>219.08</v>
      </c>
      <c r="K1672" s="9">
        <f>(PricingDataTable[[#This Row],[Current Price ($)]]-PricingDataTable[[#This Row],[Prior Price ($)]])/PricingDataTable[[#This Row],[Prior Price ($)]]</f>
        <v>6.9483490272901913E-3</v>
      </c>
      <c r="L1672" s="9">
        <f>(PricingDataTable[[#This Row],[Vendor Price ($)]]-PricingDataTable[[#This Row],[Current Price ($)]])/PricingDataTable[[#This Row],[Current Price ($)]]</f>
        <v>1.2789843359685218E-3</v>
      </c>
      <c r="M1672" t="str">
        <f t="shared" si="52"/>
        <v>PASS</v>
      </c>
      <c r="N1672" s="10" t="str">
        <f t="shared" si="53"/>
        <v>NONE</v>
      </c>
    </row>
    <row r="1673" spans="1:14">
      <c r="A1673" s="4" t="s">
        <v>3362</v>
      </c>
      <c r="B1673" s="4" t="s">
        <v>3363</v>
      </c>
      <c r="C1673" s="4" t="s">
        <v>19</v>
      </c>
      <c r="D1673" s="4" t="s">
        <v>64</v>
      </c>
      <c r="E1673" s="5">
        <v>240.31200000000001</v>
      </c>
      <c r="F1673" s="5">
        <v>239.30539999999999</v>
      </c>
      <c r="G1673" s="5">
        <v>239.74</v>
      </c>
      <c r="H1673" s="4">
        <v>1</v>
      </c>
      <c r="I1673" s="6">
        <v>42746</v>
      </c>
      <c r="J1673" s="7">
        <v>156.1</v>
      </c>
      <c r="K1673" s="9">
        <f>(PricingDataTable[[#This Row],[Current Price ($)]]-PricingDataTable[[#This Row],[Prior Price ($)]])/PricingDataTable[[#This Row],[Prior Price ($)]]</f>
        <v>-4.1887213289391297E-3</v>
      </c>
      <c r="L1673" s="9">
        <f>(PricingDataTable[[#This Row],[Vendor Price ($)]]-PricingDataTable[[#This Row],[Current Price ($)]])/PricingDataTable[[#This Row],[Current Price ($)]]</f>
        <v>1.8160893987349113E-3</v>
      </c>
      <c r="M1673" t="str">
        <f t="shared" si="52"/>
        <v>PASS</v>
      </c>
      <c r="N1673" s="10" t="str">
        <f t="shared" si="53"/>
        <v>NONE</v>
      </c>
    </row>
    <row r="1674" spans="1:14">
      <c r="A1674" s="4" t="s">
        <v>3364</v>
      </c>
      <c r="B1674" s="4" t="s">
        <v>3365</v>
      </c>
      <c r="C1674" s="4" t="s">
        <v>16</v>
      </c>
      <c r="D1674" s="4" t="s">
        <v>13</v>
      </c>
      <c r="E1674" s="5">
        <v>83.693399999999997</v>
      </c>
      <c r="F1674" s="5">
        <v>85.418099999999995</v>
      </c>
      <c r="G1674" s="5">
        <v>85.575000000000003</v>
      </c>
      <c r="H1674" s="4">
        <v>1</v>
      </c>
      <c r="I1674" s="6">
        <v>2035262</v>
      </c>
      <c r="J1674" s="7">
        <v>249.2</v>
      </c>
      <c r="K1674" s="9">
        <f>(PricingDataTable[[#This Row],[Current Price ($)]]-PricingDataTable[[#This Row],[Prior Price ($)]])/PricingDataTable[[#This Row],[Prior Price ($)]]</f>
        <v>2.0607359720121284E-2</v>
      </c>
      <c r="L1674" s="9">
        <f>(PricingDataTable[[#This Row],[Vendor Price ($)]]-PricingDataTable[[#This Row],[Current Price ($)]])/PricingDataTable[[#This Row],[Current Price ($)]]</f>
        <v>1.8368472255881057E-3</v>
      </c>
      <c r="M1674" t="str">
        <f t="shared" si="52"/>
        <v>PASS</v>
      </c>
      <c r="N1674" s="10" t="str">
        <f t="shared" si="53"/>
        <v>NONE</v>
      </c>
    </row>
    <row r="1675" spans="1:14">
      <c r="A1675" s="4" t="s">
        <v>3366</v>
      </c>
      <c r="B1675" s="4" t="s">
        <v>3367</v>
      </c>
      <c r="C1675" s="4" t="s">
        <v>12</v>
      </c>
      <c r="D1675" s="4" t="s">
        <v>13</v>
      </c>
      <c r="E1675" s="5">
        <v>106.0915</v>
      </c>
      <c r="F1675" s="5">
        <v>106.6696</v>
      </c>
      <c r="G1675" s="5">
        <v>106.4068</v>
      </c>
      <c r="H1675" s="4">
        <v>1</v>
      </c>
      <c r="I1675" s="6">
        <v>3392381</v>
      </c>
      <c r="J1675" s="7">
        <v>333.96</v>
      </c>
      <c r="K1675" s="9">
        <f>(PricingDataTable[[#This Row],[Current Price ($)]]-PricingDataTable[[#This Row],[Prior Price ($)]])/PricingDataTable[[#This Row],[Prior Price ($)]]</f>
        <v>5.4490699066372548E-3</v>
      </c>
      <c r="L1675" s="9">
        <f>(PricingDataTable[[#This Row],[Vendor Price ($)]]-PricingDataTable[[#This Row],[Current Price ($)]])/PricingDataTable[[#This Row],[Current Price ($)]]</f>
        <v>-2.4636822487381464E-3</v>
      </c>
      <c r="M1675" t="str">
        <f t="shared" si="52"/>
        <v>PASS</v>
      </c>
      <c r="N1675" s="10" t="str">
        <f t="shared" si="53"/>
        <v>NONE</v>
      </c>
    </row>
    <row r="1676" spans="1:14">
      <c r="A1676" s="4" t="s">
        <v>3368</v>
      </c>
      <c r="B1676" s="4" t="s">
        <v>3369</v>
      </c>
      <c r="C1676" s="4" t="s">
        <v>39</v>
      </c>
      <c r="D1676" s="4" t="s">
        <v>13</v>
      </c>
      <c r="E1676" s="5">
        <v>269.29849999999999</v>
      </c>
      <c r="F1676" s="5">
        <v>267.839</v>
      </c>
      <c r="G1676" s="5">
        <v>268.13889999999998</v>
      </c>
      <c r="H1676" s="4">
        <v>0</v>
      </c>
      <c r="I1676" s="6">
        <v>2518809</v>
      </c>
      <c r="J1676" s="7">
        <v>94.88</v>
      </c>
      <c r="K1676" s="9">
        <f>(PricingDataTable[[#This Row],[Current Price ($)]]-PricingDataTable[[#This Row],[Prior Price ($)]])/PricingDataTable[[#This Row],[Prior Price ($)]]</f>
        <v>-5.4196365742846375E-3</v>
      </c>
      <c r="L1676" s="9">
        <f>(PricingDataTable[[#This Row],[Vendor Price ($)]]-PricingDataTable[[#This Row],[Current Price ($)]])/PricingDataTable[[#This Row],[Current Price ($)]]</f>
        <v>1.1197025078497889E-3</v>
      </c>
      <c r="M1676" t="str">
        <f t="shared" si="52"/>
        <v>PASS</v>
      </c>
      <c r="N1676" s="10" t="str">
        <f t="shared" si="53"/>
        <v>NONE</v>
      </c>
    </row>
    <row r="1677" spans="1:14">
      <c r="A1677" s="4" t="s">
        <v>3370</v>
      </c>
      <c r="B1677" s="4" t="s">
        <v>3371</v>
      </c>
      <c r="C1677" s="4" t="s">
        <v>19</v>
      </c>
      <c r="D1677" s="4" t="s">
        <v>13</v>
      </c>
      <c r="E1677" s="5">
        <v>206.90889999999999</v>
      </c>
      <c r="F1677" s="5">
        <v>205.4982</v>
      </c>
      <c r="G1677" s="5">
        <v>205.8672</v>
      </c>
      <c r="H1677" s="4">
        <v>0</v>
      </c>
      <c r="I1677" s="6">
        <v>2666738</v>
      </c>
      <c r="J1677" s="7">
        <v>600.29999999999995</v>
      </c>
      <c r="K1677" s="9">
        <f>(PricingDataTable[[#This Row],[Current Price ($)]]-PricingDataTable[[#This Row],[Prior Price ($)]])/PricingDataTable[[#This Row],[Prior Price ($)]]</f>
        <v>-6.8179764137743298E-3</v>
      </c>
      <c r="L1677" s="9">
        <f>(PricingDataTable[[#This Row],[Vendor Price ($)]]-PricingDataTable[[#This Row],[Current Price ($)]])/PricingDataTable[[#This Row],[Current Price ($)]]</f>
        <v>1.7956361661561988E-3</v>
      </c>
      <c r="M1677" t="str">
        <f t="shared" si="52"/>
        <v>PASS</v>
      </c>
      <c r="N1677" s="10" t="str">
        <f t="shared" si="53"/>
        <v>NONE</v>
      </c>
    </row>
    <row r="1678" spans="1:14">
      <c r="A1678" s="4" t="s">
        <v>3372</v>
      </c>
      <c r="B1678" s="4" t="s">
        <v>3373</v>
      </c>
      <c r="C1678" s="4" t="s">
        <v>16</v>
      </c>
      <c r="D1678" s="4" t="s">
        <v>13</v>
      </c>
      <c r="E1678" s="5">
        <v>109.9855</v>
      </c>
      <c r="F1678" s="5">
        <v>108.11499999999999</v>
      </c>
      <c r="G1678" s="5">
        <v>108.416</v>
      </c>
      <c r="H1678" s="4">
        <v>2</v>
      </c>
      <c r="I1678" s="6">
        <v>1700095</v>
      </c>
      <c r="J1678" s="7">
        <v>789.71</v>
      </c>
      <c r="K1678" s="9">
        <f>(PricingDataTable[[#This Row],[Current Price ($)]]-PricingDataTable[[#This Row],[Prior Price ($)]])/PricingDataTable[[#This Row],[Prior Price ($)]]</f>
        <v>-1.7006787258320478E-2</v>
      </c>
      <c r="L1678" s="9">
        <f>(PricingDataTable[[#This Row],[Vendor Price ($)]]-PricingDataTable[[#This Row],[Current Price ($)]])/PricingDataTable[[#This Row],[Current Price ($)]]</f>
        <v>2.7840725153771627E-3</v>
      </c>
      <c r="M1678" t="str">
        <f t="shared" si="52"/>
        <v>PASS</v>
      </c>
      <c r="N1678" s="10" t="str">
        <f t="shared" si="53"/>
        <v>NONE</v>
      </c>
    </row>
    <row r="1679" spans="1:14">
      <c r="A1679" s="4" t="s">
        <v>3374</v>
      </c>
      <c r="B1679" s="4" t="s">
        <v>3375</v>
      </c>
      <c r="C1679" s="4" t="s">
        <v>16</v>
      </c>
      <c r="D1679" s="4" t="s">
        <v>13</v>
      </c>
      <c r="E1679" s="5">
        <v>89.890500000000003</v>
      </c>
      <c r="F1679" s="5">
        <v>89.654700000000005</v>
      </c>
      <c r="G1679" s="5">
        <v>89.748999999999995</v>
      </c>
      <c r="H1679" s="4">
        <v>1</v>
      </c>
      <c r="I1679" s="6">
        <v>4590007</v>
      </c>
      <c r="J1679" s="7">
        <v>838.11</v>
      </c>
      <c r="K1679" s="9">
        <f>(PricingDataTable[[#This Row],[Current Price ($)]]-PricingDataTable[[#This Row],[Prior Price ($)]])/PricingDataTable[[#This Row],[Prior Price ($)]]</f>
        <v>-2.6231915497187974E-3</v>
      </c>
      <c r="L1679" s="9">
        <f>(PricingDataTable[[#This Row],[Vendor Price ($)]]-PricingDataTable[[#This Row],[Current Price ($)]])/PricingDataTable[[#This Row],[Current Price ($)]]</f>
        <v>1.051813234554238E-3</v>
      </c>
      <c r="M1679" t="str">
        <f t="shared" si="52"/>
        <v>PASS</v>
      </c>
      <c r="N1679" s="10" t="str">
        <f t="shared" si="53"/>
        <v>NONE</v>
      </c>
    </row>
    <row r="1680" spans="1:14">
      <c r="A1680" s="4" t="s">
        <v>3376</v>
      </c>
      <c r="B1680" s="4" t="s">
        <v>3377</v>
      </c>
      <c r="C1680" s="4" t="s">
        <v>19</v>
      </c>
      <c r="D1680" s="4" t="s">
        <v>13</v>
      </c>
      <c r="E1680" s="5">
        <v>148.50190000000001</v>
      </c>
      <c r="F1680" s="5">
        <v>147.0985</v>
      </c>
      <c r="G1680" s="5">
        <v>147.7448</v>
      </c>
      <c r="H1680" s="4">
        <v>0</v>
      </c>
      <c r="I1680" s="6">
        <v>1235089</v>
      </c>
      <c r="J1680" s="7">
        <v>266.57</v>
      </c>
      <c r="K1680" s="9">
        <f>(PricingDataTable[[#This Row],[Current Price ($)]]-PricingDataTable[[#This Row],[Prior Price ($)]])/PricingDataTable[[#This Row],[Prior Price ($)]]</f>
        <v>-9.4503841364992954E-3</v>
      </c>
      <c r="L1680" s="9">
        <f>(PricingDataTable[[#This Row],[Vendor Price ($)]]-PricingDataTable[[#This Row],[Current Price ($)]])/PricingDataTable[[#This Row],[Current Price ($)]]</f>
        <v>4.3936545919910572E-3</v>
      </c>
      <c r="M1680" t="str">
        <f t="shared" si="52"/>
        <v>PASS</v>
      </c>
      <c r="N1680" s="10" t="str">
        <f t="shared" si="53"/>
        <v>NONE</v>
      </c>
    </row>
    <row r="1681" spans="1:14">
      <c r="A1681" s="4" t="s">
        <v>3378</v>
      </c>
      <c r="B1681" s="4" t="s">
        <v>3379</v>
      </c>
      <c r="C1681" s="4" t="s">
        <v>12</v>
      </c>
      <c r="D1681" s="4" t="s">
        <v>13</v>
      </c>
      <c r="E1681" s="5">
        <v>112.60250000000001</v>
      </c>
      <c r="F1681" s="5">
        <v>112.73569999999999</v>
      </c>
      <c r="G1681" s="5">
        <v>112.14149999999999</v>
      </c>
      <c r="H1681" s="4">
        <v>2</v>
      </c>
      <c r="I1681" s="6">
        <v>852494</v>
      </c>
      <c r="J1681" s="7">
        <v>354.41</v>
      </c>
      <c r="K1681" s="9">
        <f>(PricingDataTable[[#This Row],[Current Price ($)]]-PricingDataTable[[#This Row],[Prior Price ($)]])/PricingDataTable[[#This Row],[Prior Price ($)]]</f>
        <v>1.1829222264158254E-3</v>
      </c>
      <c r="L1681" s="9">
        <f>(PricingDataTable[[#This Row],[Vendor Price ($)]]-PricingDataTable[[#This Row],[Current Price ($)]])/PricingDataTable[[#This Row],[Current Price ($)]]</f>
        <v>-5.2707350023107214E-3</v>
      </c>
      <c r="M1681" t="str">
        <f t="shared" si="52"/>
        <v>PASS</v>
      </c>
      <c r="N1681" s="10" t="str">
        <f t="shared" si="53"/>
        <v>NONE</v>
      </c>
    </row>
    <row r="1682" spans="1:14">
      <c r="A1682" s="4" t="s">
        <v>3380</v>
      </c>
      <c r="B1682" s="4" t="s">
        <v>3381</v>
      </c>
      <c r="C1682" s="4" t="s">
        <v>12</v>
      </c>
      <c r="D1682" s="4" t="s">
        <v>13</v>
      </c>
      <c r="E1682" s="5">
        <v>87.242199999999997</v>
      </c>
      <c r="F1682" s="5">
        <v>86.526899999999998</v>
      </c>
      <c r="G1682" s="5">
        <v>86.530100000000004</v>
      </c>
      <c r="H1682" s="4">
        <v>1</v>
      </c>
      <c r="I1682" s="6">
        <v>801431</v>
      </c>
      <c r="J1682" s="7">
        <v>246.63</v>
      </c>
      <c r="K1682" s="9">
        <f>(PricingDataTable[[#This Row],[Current Price ($)]]-PricingDataTable[[#This Row],[Prior Price ($)]])/PricingDataTable[[#This Row],[Prior Price ($)]]</f>
        <v>-8.1990137800284635E-3</v>
      </c>
      <c r="L1682" s="9">
        <f>(PricingDataTable[[#This Row],[Vendor Price ($)]]-PricingDataTable[[#This Row],[Current Price ($)]])/PricingDataTable[[#This Row],[Current Price ($)]]</f>
        <v>3.698271866907E-5</v>
      </c>
      <c r="M1682" t="str">
        <f t="shared" si="52"/>
        <v>PASS</v>
      </c>
      <c r="N1682" s="10" t="str">
        <f t="shared" si="53"/>
        <v>NONE</v>
      </c>
    </row>
    <row r="1683" spans="1:14">
      <c r="A1683" s="4" t="s">
        <v>3382</v>
      </c>
      <c r="B1683" s="4" t="s">
        <v>3383</v>
      </c>
      <c r="C1683" s="4" t="s">
        <v>39</v>
      </c>
      <c r="D1683" s="4" t="s">
        <v>237</v>
      </c>
      <c r="E1683" s="5">
        <v>317.11189999999999</v>
      </c>
      <c r="F1683" s="5">
        <v>325.154</v>
      </c>
      <c r="G1683" s="5">
        <v>325.40260000000001</v>
      </c>
      <c r="H1683" s="4">
        <v>0</v>
      </c>
      <c r="I1683" s="6">
        <v>2395737</v>
      </c>
      <c r="J1683" s="7">
        <v>358.53</v>
      </c>
      <c r="K1683" s="9">
        <f>(PricingDataTable[[#This Row],[Current Price ($)]]-PricingDataTable[[#This Row],[Prior Price ($)]])/PricingDataTable[[#This Row],[Prior Price ($)]]</f>
        <v>2.5360448472605428E-2</v>
      </c>
      <c r="L1683" s="9">
        <f>(PricingDataTable[[#This Row],[Vendor Price ($)]]-PricingDataTable[[#This Row],[Current Price ($)]])/PricingDataTable[[#This Row],[Current Price ($)]]</f>
        <v>7.6456079273209119E-4</v>
      </c>
      <c r="M1683" t="str">
        <f t="shared" si="52"/>
        <v>PASS</v>
      </c>
      <c r="N1683" s="10" t="str">
        <f t="shared" si="53"/>
        <v>NONE</v>
      </c>
    </row>
    <row r="1684" spans="1:14">
      <c r="A1684" s="4" t="s">
        <v>3384</v>
      </c>
      <c r="B1684" s="4" t="s">
        <v>3385</v>
      </c>
      <c r="C1684" s="4" t="s">
        <v>39</v>
      </c>
      <c r="D1684" s="4" t="s">
        <v>32</v>
      </c>
      <c r="E1684" s="5">
        <v>159.17140000000001</v>
      </c>
      <c r="F1684" s="5">
        <v>160.27600000000001</v>
      </c>
      <c r="G1684" s="5">
        <v>160.90700000000001</v>
      </c>
      <c r="H1684" s="4">
        <v>5</v>
      </c>
      <c r="I1684" s="6">
        <v>2488538</v>
      </c>
      <c r="J1684" s="7">
        <v>310.16000000000003</v>
      </c>
      <c r="K1684" s="9">
        <f>(PricingDataTable[[#This Row],[Current Price ($)]]-PricingDataTable[[#This Row],[Prior Price ($)]])/PricingDataTable[[#This Row],[Prior Price ($)]]</f>
        <v>6.9396889139632179E-3</v>
      </c>
      <c r="L1684" s="9">
        <f>(PricingDataTable[[#This Row],[Vendor Price ($)]]-PricingDataTable[[#This Row],[Current Price ($)]])/PricingDataTable[[#This Row],[Current Price ($)]]</f>
        <v>3.9369587461628702E-3</v>
      </c>
      <c r="M1684" t="str">
        <f t="shared" si="52"/>
        <v>STALE</v>
      </c>
      <c r="N1684" s="10" t="str">
        <f t="shared" si="53"/>
        <v>MEDIUM</v>
      </c>
    </row>
    <row r="1685" spans="1:14">
      <c r="A1685" s="4" t="s">
        <v>3386</v>
      </c>
      <c r="B1685" s="4" t="s">
        <v>3387</v>
      </c>
      <c r="C1685" s="4" t="s">
        <v>35</v>
      </c>
      <c r="D1685" s="4" t="s">
        <v>13</v>
      </c>
      <c r="E1685" s="5">
        <v>21.381499999999999</v>
      </c>
      <c r="F1685" s="5">
        <v>0</v>
      </c>
      <c r="G1685" s="5">
        <v>21.878599999999999</v>
      </c>
      <c r="H1685" s="4">
        <v>2</v>
      </c>
      <c r="I1685" s="6">
        <v>4804798</v>
      </c>
      <c r="J1685" s="7">
        <v>236.19</v>
      </c>
      <c r="K1685" s="9">
        <f>(PricingDataTable[[#This Row],[Current Price ($)]]-PricingDataTable[[#This Row],[Prior Price ($)]])/PricingDataTable[[#This Row],[Prior Price ($)]]</f>
        <v>-1</v>
      </c>
      <c r="L1685" s="9" t="e">
        <f>(PricingDataTable[[#This Row],[Vendor Price ($)]]-PricingDataTable[[#This Row],[Current Price ($)]])/PricingDataTable[[#This Row],[Current Price ($)]]</f>
        <v>#DIV/0!</v>
      </c>
      <c r="M1685" t="str">
        <f t="shared" si="52"/>
        <v>MISSING</v>
      </c>
      <c r="N1685" s="10" t="str">
        <f t="shared" si="53"/>
        <v>HIGH</v>
      </c>
    </row>
    <row r="1686" spans="1:14">
      <c r="A1686" s="4" t="s">
        <v>3388</v>
      </c>
      <c r="B1686" s="4" t="s">
        <v>3389</v>
      </c>
      <c r="C1686" s="4" t="s">
        <v>35</v>
      </c>
      <c r="D1686" s="4" t="s">
        <v>13</v>
      </c>
      <c r="E1686" s="5">
        <v>116.28149999999999</v>
      </c>
      <c r="F1686" s="5">
        <v>115.8783</v>
      </c>
      <c r="G1686" s="5">
        <v>115.55159999999999</v>
      </c>
      <c r="H1686" s="4">
        <v>0</v>
      </c>
      <c r="I1686" s="6">
        <v>3454538</v>
      </c>
      <c r="J1686" s="7">
        <v>613.79999999999995</v>
      </c>
      <c r="K1686" s="9">
        <f>(PricingDataTable[[#This Row],[Current Price ($)]]-PricingDataTable[[#This Row],[Prior Price ($)]])/PricingDataTable[[#This Row],[Prior Price ($)]]</f>
        <v>-3.4674475303466006E-3</v>
      </c>
      <c r="L1686" s="9">
        <f>(PricingDataTable[[#This Row],[Vendor Price ($)]]-PricingDataTable[[#This Row],[Current Price ($)]])/PricingDataTable[[#This Row],[Current Price ($)]]</f>
        <v>-2.81933718392488E-3</v>
      </c>
      <c r="M1686" t="str">
        <f t="shared" si="52"/>
        <v>PASS</v>
      </c>
      <c r="N1686" s="10" t="str">
        <f t="shared" si="53"/>
        <v>NONE</v>
      </c>
    </row>
    <row r="1687" spans="1:14">
      <c r="A1687" s="4" t="s">
        <v>3390</v>
      </c>
      <c r="B1687" s="4" t="s">
        <v>3391</v>
      </c>
      <c r="C1687" s="4" t="s">
        <v>19</v>
      </c>
      <c r="D1687" s="4" t="s">
        <v>13</v>
      </c>
      <c r="E1687" s="5">
        <v>45.940600000000003</v>
      </c>
      <c r="F1687" s="5">
        <v>46.373699999999999</v>
      </c>
      <c r="G1687" s="5">
        <v>46.458399999999997</v>
      </c>
      <c r="H1687" s="4">
        <v>0</v>
      </c>
      <c r="I1687" s="6">
        <v>2072134</v>
      </c>
      <c r="J1687" s="7">
        <v>511</v>
      </c>
      <c r="K1687" s="9">
        <f>(PricingDataTable[[#This Row],[Current Price ($)]]-PricingDataTable[[#This Row],[Prior Price ($)]])/PricingDataTable[[#This Row],[Prior Price ($)]]</f>
        <v>9.4273910223200402E-3</v>
      </c>
      <c r="L1687" s="9">
        <f>(PricingDataTable[[#This Row],[Vendor Price ($)]]-PricingDataTable[[#This Row],[Current Price ($)]])/PricingDataTable[[#This Row],[Current Price ($)]]</f>
        <v>1.8264662944729017E-3</v>
      </c>
      <c r="M1687" t="str">
        <f t="shared" si="52"/>
        <v>PASS</v>
      </c>
      <c r="N1687" s="10" t="str">
        <f t="shared" si="53"/>
        <v>NONE</v>
      </c>
    </row>
    <row r="1688" spans="1:14">
      <c r="A1688" s="4" t="s">
        <v>3392</v>
      </c>
      <c r="B1688" s="4" t="s">
        <v>3393</v>
      </c>
      <c r="C1688" s="4" t="s">
        <v>19</v>
      </c>
      <c r="D1688" s="4" t="s">
        <v>32</v>
      </c>
      <c r="E1688" s="5">
        <v>74.583100000000002</v>
      </c>
      <c r="F1688" s="5">
        <v>74.858900000000006</v>
      </c>
      <c r="G1688" s="5">
        <v>75.455699999999993</v>
      </c>
      <c r="H1688" s="4">
        <v>0</v>
      </c>
      <c r="I1688" s="6">
        <v>2296391</v>
      </c>
      <c r="J1688" s="7">
        <v>480.22</v>
      </c>
      <c r="K1688" s="9">
        <f>(PricingDataTable[[#This Row],[Current Price ($)]]-PricingDataTable[[#This Row],[Prior Price ($)]])/PricingDataTable[[#This Row],[Prior Price ($)]]</f>
        <v>3.6978886637858148E-3</v>
      </c>
      <c r="L1688" s="9">
        <f>(PricingDataTable[[#This Row],[Vendor Price ($)]]-PricingDataTable[[#This Row],[Current Price ($)]])/PricingDataTable[[#This Row],[Current Price ($)]]</f>
        <v>7.9723319471697758E-3</v>
      </c>
      <c r="M1688" t="str">
        <f t="shared" si="52"/>
        <v>PASS</v>
      </c>
      <c r="N1688" s="10" t="str">
        <f t="shared" si="53"/>
        <v>NONE</v>
      </c>
    </row>
    <row r="1689" spans="1:14">
      <c r="A1689" s="4" t="s">
        <v>3394</v>
      </c>
      <c r="B1689" s="4" t="s">
        <v>3395</v>
      </c>
      <c r="C1689" s="4" t="s">
        <v>19</v>
      </c>
      <c r="D1689" s="4" t="s">
        <v>13</v>
      </c>
      <c r="E1689" s="5">
        <v>280.62270000000001</v>
      </c>
      <c r="F1689" s="5">
        <v>280.10079999999999</v>
      </c>
      <c r="G1689" s="5">
        <v>281.45119999999997</v>
      </c>
      <c r="H1689" s="4">
        <v>0</v>
      </c>
      <c r="I1689" s="6">
        <v>2106921</v>
      </c>
      <c r="J1689" s="7">
        <v>817.86</v>
      </c>
      <c r="K1689" s="9">
        <f>(PricingDataTable[[#This Row],[Current Price ($)]]-PricingDataTable[[#This Row],[Prior Price ($)]])/PricingDataTable[[#This Row],[Prior Price ($)]]</f>
        <v>-1.8597925256938104E-3</v>
      </c>
      <c r="L1689" s="9">
        <f>(PricingDataTable[[#This Row],[Vendor Price ($)]]-PricingDataTable[[#This Row],[Current Price ($)]])/PricingDataTable[[#This Row],[Current Price ($)]]</f>
        <v>4.8211215391029917E-3</v>
      </c>
      <c r="M1689" t="str">
        <f t="shared" si="52"/>
        <v>PASS</v>
      </c>
      <c r="N1689" s="10" t="str">
        <f t="shared" si="53"/>
        <v>NONE</v>
      </c>
    </row>
    <row r="1690" spans="1:14">
      <c r="A1690" s="4" t="s">
        <v>3396</v>
      </c>
      <c r="B1690" s="4" t="s">
        <v>3397</v>
      </c>
      <c r="C1690" s="4" t="s">
        <v>16</v>
      </c>
      <c r="D1690" s="4" t="s">
        <v>237</v>
      </c>
      <c r="E1690" s="5">
        <v>103.9171</v>
      </c>
      <c r="F1690" s="5">
        <v>103.464</v>
      </c>
      <c r="G1690" s="5">
        <v>112.0564</v>
      </c>
      <c r="H1690" s="4">
        <v>3</v>
      </c>
      <c r="I1690" s="6">
        <v>4443915</v>
      </c>
      <c r="J1690" s="7">
        <v>505.73</v>
      </c>
      <c r="K1690" s="9">
        <f>(PricingDataTable[[#This Row],[Current Price ($)]]-PricingDataTable[[#This Row],[Prior Price ($)]])/PricingDataTable[[#This Row],[Prior Price ($)]]</f>
        <v>-4.3602063567979308E-3</v>
      </c>
      <c r="L1690" s="9">
        <f>(PricingDataTable[[#This Row],[Vendor Price ($)]]-PricingDataTable[[#This Row],[Current Price ($)]])/PricingDataTable[[#This Row],[Current Price ($)]]</f>
        <v>8.3047243485656827E-2</v>
      </c>
      <c r="M1690" t="str">
        <f t="shared" si="52"/>
        <v>STALE</v>
      </c>
      <c r="N1690" s="10" t="str">
        <f t="shared" si="53"/>
        <v>HIGH</v>
      </c>
    </row>
    <row r="1691" spans="1:14">
      <c r="A1691" s="4" t="s">
        <v>3398</v>
      </c>
      <c r="B1691" s="4" t="s">
        <v>3399</v>
      </c>
      <c r="C1691" s="4" t="s">
        <v>35</v>
      </c>
      <c r="D1691" s="4" t="s">
        <v>13</v>
      </c>
      <c r="E1691" s="5">
        <v>98.883799999999994</v>
      </c>
      <c r="F1691" s="5">
        <v>101.8883</v>
      </c>
      <c r="G1691" s="5">
        <v>102.051</v>
      </c>
      <c r="H1691" s="4">
        <v>0</v>
      </c>
      <c r="I1691" s="6">
        <v>1683521</v>
      </c>
      <c r="J1691" s="7">
        <v>232.18</v>
      </c>
      <c r="K1691" s="9">
        <f>(PricingDataTable[[#This Row],[Current Price ($)]]-PricingDataTable[[#This Row],[Prior Price ($)]])/PricingDataTable[[#This Row],[Prior Price ($)]]</f>
        <v>3.0384147858395483E-2</v>
      </c>
      <c r="L1691" s="9">
        <f>(PricingDataTable[[#This Row],[Vendor Price ($)]]-PricingDataTable[[#This Row],[Current Price ($)]])/PricingDataTable[[#This Row],[Current Price ($)]]</f>
        <v>1.5968467429528313E-3</v>
      </c>
      <c r="M1691" t="str">
        <f t="shared" si="52"/>
        <v>PASS</v>
      </c>
      <c r="N1691" s="10" t="str">
        <f t="shared" si="53"/>
        <v>NONE</v>
      </c>
    </row>
    <row r="1692" spans="1:14">
      <c r="A1692" s="4" t="s">
        <v>3400</v>
      </c>
      <c r="B1692" s="4" t="s">
        <v>3401</v>
      </c>
      <c r="C1692" s="4" t="s">
        <v>19</v>
      </c>
      <c r="D1692" s="4" t="s">
        <v>13</v>
      </c>
      <c r="E1692" s="5">
        <v>61.330199999999998</v>
      </c>
      <c r="F1692" s="5">
        <v>61.930500000000002</v>
      </c>
      <c r="G1692" s="5">
        <v>61.990400000000001</v>
      </c>
      <c r="H1692" s="4">
        <v>0</v>
      </c>
      <c r="I1692" s="6">
        <v>4964357</v>
      </c>
      <c r="J1692" s="7">
        <v>89.9</v>
      </c>
      <c r="K1692" s="9">
        <f>(PricingDataTable[[#This Row],[Current Price ($)]]-PricingDataTable[[#This Row],[Prior Price ($)]])/PricingDataTable[[#This Row],[Prior Price ($)]]</f>
        <v>9.7880000391325044E-3</v>
      </c>
      <c r="L1692" s="9">
        <f>(PricingDataTable[[#This Row],[Vendor Price ($)]]-PricingDataTable[[#This Row],[Current Price ($)]])/PricingDataTable[[#This Row],[Current Price ($)]]</f>
        <v>9.6721324710762795E-4</v>
      </c>
      <c r="M1692" t="str">
        <f t="shared" si="52"/>
        <v>PASS</v>
      </c>
      <c r="N1692" s="10" t="str">
        <f t="shared" si="53"/>
        <v>NONE</v>
      </c>
    </row>
    <row r="1693" spans="1:14">
      <c r="A1693" s="4" t="s">
        <v>3402</v>
      </c>
      <c r="B1693" s="4" t="s">
        <v>3403</v>
      </c>
      <c r="C1693" s="4" t="s">
        <v>19</v>
      </c>
      <c r="D1693" s="4" t="s">
        <v>13</v>
      </c>
      <c r="E1693" s="5">
        <v>172.34889999999999</v>
      </c>
      <c r="F1693" s="5">
        <v>174.98330000000001</v>
      </c>
      <c r="G1693" s="5">
        <v>174.12360000000001</v>
      </c>
      <c r="H1693" s="4">
        <v>2</v>
      </c>
      <c r="I1693" s="6">
        <v>2596746</v>
      </c>
      <c r="J1693" s="7">
        <v>833.62</v>
      </c>
      <c r="K1693" s="9">
        <f>(PricingDataTable[[#This Row],[Current Price ($)]]-PricingDataTable[[#This Row],[Prior Price ($)]])/PricingDataTable[[#This Row],[Prior Price ($)]]</f>
        <v>1.5285273071078655E-2</v>
      </c>
      <c r="L1693" s="9">
        <f>(PricingDataTable[[#This Row],[Vendor Price ($)]]-PricingDataTable[[#This Row],[Current Price ($)]])/PricingDataTable[[#This Row],[Current Price ($)]]</f>
        <v>-4.9130402729860717E-3</v>
      </c>
      <c r="M1693" t="str">
        <f t="shared" si="52"/>
        <v>PASS</v>
      </c>
      <c r="N1693" s="10" t="str">
        <f t="shared" si="53"/>
        <v>NONE</v>
      </c>
    </row>
    <row r="1694" spans="1:14">
      <c r="A1694" s="4" t="s">
        <v>3404</v>
      </c>
      <c r="B1694" s="4" t="s">
        <v>3405</v>
      </c>
      <c r="C1694" s="4" t="s">
        <v>19</v>
      </c>
      <c r="D1694" s="4" t="s">
        <v>13</v>
      </c>
      <c r="E1694" s="5">
        <v>304.66160000000002</v>
      </c>
      <c r="F1694" s="5">
        <v>309.14350000000002</v>
      </c>
      <c r="G1694" s="5">
        <v>310.97469999999998</v>
      </c>
      <c r="H1694" s="4">
        <v>0</v>
      </c>
      <c r="I1694" s="6">
        <v>3854529</v>
      </c>
      <c r="J1694" s="7">
        <v>766.01</v>
      </c>
      <c r="K1694" s="9">
        <f>(PricingDataTable[[#This Row],[Current Price ($)]]-PricingDataTable[[#This Row],[Prior Price ($)]])/PricingDataTable[[#This Row],[Prior Price ($)]]</f>
        <v>1.4711076157940468E-2</v>
      </c>
      <c r="L1694" s="9">
        <f>(PricingDataTable[[#This Row],[Vendor Price ($)]]-PricingDataTable[[#This Row],[Current Price ($)]])/PricingDataTable[[#This Row],[Current Price ($)]]</f>
        <v>5.9234627284738862E-3</v>
      </c>
      <c r="M1694" t="str">
        <f t="shared" si="52"/>
        <v>PASS</v>
      </c>
      <c r="N1694" s="10" t="str">
        <f t="shared" si="53"/>
        <v>NONE</v>
      </c>
    </row>
    <row r="1695" spans="1:14">
      <c r="A1695" s="4" t="s">
        <v>3406</v>
      </c>
      <c r="B1695" s="4" t="s">
        <v>3407</v>
      </c>
      <c r="C1695" s="4" t="s">
        <v>19</v>
      </c>
      <c r="D1695" s="4" t="s">
        <v>13</v>
      </c>
      <c r="E1695" s="5">
        <v>246.4425</v>
      </c>
      <c r="F1695" s="5">
        <v>247.01519999999999</v>
      </c>
      <c r="G1695" s="5">
        <v>246.01179999999999</v>
      </c>
      <c r="H1695" s="4">
        <v>0</v>
      </c>
      <c r="I1695" s="6">
        <v>3597223</v>
      </c>
      <c r="J1695" s="7">
        <v>168.93</v>
      </c>
      <c r="K1695" s="9">
        <f>(PricingDataTable[[#This Row],[Current Price ($)]]-PricingDataTable[[#This Row],[Prior Price ($)]])/PricingDataTable[[#This Row],[Prior Price ($)]]</f>
        <v>2.3238686509023305E-3</v>
      </c>
      <c r="L1695" s="9">
        <f>(PricingDataTable[[#This Row],[Vendor Price ($)]]-PricingDataTable[[#This Row],[Current Price ($)]])/PricingDataTable[[#This Row],[Current Price ($)]]</f>
        <v>-4.0620982028636262E-3</v>
      </c>
      <c r="M1695" t="str">
        <f t="shared" si="52"/>
        <v>PASS</v>
      </c>
      <c r="N1695" s="10" t="str">
        <f t="shared" si="53"/>
        <v>NONE</v>
      </c>
    </row>
    <row r="1696" spans="1:14">
      <c r="A1696" s="4" t="s">
        <v>3408</v>
      </c>
      <c r="B1696" s="4" t="s">
        <v>3409</v>
      </c>
      <c r="C1696" s="4" t="s">
        <v>16</v>
      </c>
      <c r="D1696" s="4" t="s">
        <v>237</v>
      </c>
      <c r="E1696" s="5">
        <v>76.875500000000002</v>
      </c>
      <c r="F1696" s="5">
        <v>76.366500000000002</v>
      </c>
      <c r="G1696" s="5">
        <v>76.219099999999997</v>
      </c>
      <c r="H1696" s="4">
        <v>0</v>
      </c>
      <c r="I1696" s="6">
        <v>1421352</v>
      </c>
      <c r="J1696" s="7">
        <v>224.7</v>
      </c>
      <c r="K1696" s="9">
        <f>(PricingDataTable[[#This Row],[Current Price ($)]]-PricingDataTable[[#This Row],[Prior Price ($)]])/PricingDataTable[[#This Row],[Prior Price ($)]]</f>
        <v>-6.621095147348639E-3</v>
      </c>
      <c r="L1696" s="9">
        <f>(PricingDataTable[[#This Row],[Vendor Price ($)]]-PricingDataTable[[#This Row],[Current Price ($)]])/PricingDataTable[[#This Row],[Current Price ($)]]</f>
        <v>-1.9301657140238801E-3</v>
      </c>
      <c r="M1696" t="str">
        <f t="shared" si="52"/>
        <v>PASS</v>
      </c>
      <c r="N1696" s="10" t="str">
        <f t="shared" si="53"/>
        <v>NONE</v>
      </c>
    </row>
    <row r="1697" spans="1:14">
      <c r="A1697" s="4" t="s">
        <v>3410</v>
      </c>
      <c r="B1697" s="4" t="s">
        <v>3411</v>
      </c>
      <c r="C1697" s="4" t="s">
        <v>19</v>
      </c>
      <c r="D1697" s="4" t="s">
        <v>64</v>
      </c>
      <c r="E1697" s="5">
        <v>34.038200000000003</v>
      </c>
      <c r="F1697" s="5">
        <v>34.110399999999998</v>
      </c>
      <c r="G1697" s="5">
        <v>34.339799999999997</v>
      </c>
      <c r="H1697" s="4">
        <v>0</v>
      </c>
      <c r="I1697" s="6">
        <v>3260276</v>
      </c>
      <c r="J1697" s="7">
        <v>59.97</v>
      </c>
      <c r="K1697" s="9">
        <f>(PricingDataTable[[#This Row],[Current Price ($)]]-PricingDataTable[[#This Row],[Prior Price ($)]])/PricingDataTable[[#This Row],[Prior Price ($)]]</f>
        <v>2.1211462415754992E-3</v>
      </c>
      <c r="L1697" s="9">
        <f>(PricingDataTable[[#This Row],[Vendor Price ($)]]-PricingDataTable[[#This Row],[Current Price ($)]])/PricingDataTable[[#This Row],[Current Price ($)]]</f>
        <v>6.7252216332848126E-3</v>
      </c>
      <c r="M1697" t="str">
        <f t="shared" si="52"/>
        <v>PASS</v>
      </c>
      <c r="N1697" s="10" t="str">
        <f t="shared" si="53"/>
        <v>NONE</v>
      </c>
    </row>
    <row r="1698" spans="1:14">
      <c r="A1698" s="4" t="s">
        <v>3412</v>
      </c>
      <c r="B1698" s="4" t="s">
        <v>3413</v>
      </c>
      <c r="C1698" s="4" t="s">
        <v>39</v>
      </c>
      <c r="D1698" s="4" t="s">
        <v>13</v>
      </c>
      <c r="E1698" s="5">
        <v>349.43239999999997</v>
      </c>
      <c r="F1698" s="5">
        <v>352.19619999999998</v>
      </c>
      <c r="G1698" s="5">
        <v>353.57369999999997</v>
      </c>
      <c r="H1698" s="4">
        <v>0</v>
      </c>
      <c r="I1698" s="6">
        <v>546297</v>
      </c>
      <c r="J1698" s="7">
        <v>840.83</v>
      </c>
      <c r="K1698" s="9">
        <f>(PricingDataTable[[#This Row],[Current Price ($)]]-PricingDataTable[[#This Row],[Prior Price ($)]])/PricingDataTable[[#This Row],[Prior Price ($)]]</f>
        <v>7.9093982126442874E-3</v>
      </c>
      <c r="L1698" s="9">
        <f>(PricingDataTable[[#This Row],[Vendor Price ($)]]-PricingDataTable[[#This Row],[Current Price ($)]])/PricingDataTable[[#This Row],[Current Price ($)]]</f>
        <v>3.9111722386556066E-3</v>
      </c>
      <c r="M1698" t="str">
        <f t="shared" si="52"/>
        <v>PASS</v>
      </c>
      <c r="N1698" s="10" t="str">
        <f t="shared" si="53"/>
        <v>NONE</v>
      </c>
    </row>
    <row r="1699" spans="1:14">
      <c r="A1699" s="4" t="s">
        <v>3414</v>
      </c>
      <c r="B1699" s="4" t="s">
        <v>3415</v>
      </c>
      <c r="C1699" s="4" t="s">
        <v>16</v>
      </c>
      <c r="D1699" s="4" t="s">
        <v>13</v>
      </c>
      <c r="E1699" s="5">
        <v>88.795900000000003</v>
      </c>
      <c r="F1699" s="5">
        <v>86.488900000000001</v>
      </c>
      <c r="G1699" s="5">
        <v>86.397300000000001</v>
      </c>
      <c r="H1699" s="4">
        <v>0</v>
      </c>
      <c r="I1699" s="6">
        <v>490511</v>
      </c>
      <c r="J1699" s="7">
        <v>27.76</v>
      </c>
      <c r="K1699" s="9">
        <f>(PricingDataTable[[#This Row],[Current Price ($)]]-PricingDataTable[[#This Row],[Prior Price ($)]])/PricingDataTable[[#This Row],[Prior Price ($)]]</f>
        <v>-2.5980929299663634E-2</v>
      </c>
      <c r="L1699" s="9">
        <f>(PricingDataTable[[#This Row],[Vendor Price ($)]]-PricingDataTable[[#This Row],[Current Price ($)]])/PricingDataTable[[#This Row],[Current Price ($)]]</f>
        <v>-1.0590954446177449E-3</v>
      </c>
      <c r="M1699" t="str">
        <f t="shared" si="52"/>
        <v>PASS</v>
      </c>
      <c r="N1699" s="10" t="str">
        <f t="shared" si="53"/>
        <v>NONE</v>
      </c>
    </row>
    <row r="1700" spans="1:14">
      <c r="A1700" s="4" t="s">
        <v>3416</v>
      </c>
      <c r="B1700" s="4" t="s">
        <v>3417</v>
      </c>
      <c r="C1700" s="4" t="s">
        <v>35</v>
      </c>
      <c r="D1700" s="4" t="s">
        <v>13</v>
      </c>
      <c r="E1700" s="5">
        <v>62.650500000000001</v>
      </c>
      <c r="F1700" s="5">
        <v>60.9542</v>
      </c>
      <c r="G1700" s="5">
        <v>61.084200000000003</v>
      </c>
      <c r="H1700" s="4">
        <v>0</v>
      </c>
      <c r="I1700" s="6">
        <v>1546445</v>
      </c>
      <c r="J1700" s="7">
        <v>403.54</v>
      </c>
      <c r="K1700" s="9">
        <f>(PricingDataTable[[#This Row],[Current Price ($)]]-PricingDataTable[[#This Row],[Prior Price ($)]])/PricingDataTable[[#This Row],[Prior Price ($)]]</f>
        <v>-2.7075601950503202E-2</v>
      </c>
      <c r="L1700" s="9">
        <f>(PricingDataTable[[#This Row],[Vendor Price ($)]]-PricingDataTable[[#This Row],[Current Price ($)]])/PricingDataTable[[#This Row],[Current Price ($)]]</f>
        <v>2.1327488507765268E-3</v>
      </c>
      <c r="M1700" t="str">
        <f t="shared" si="52"/>
        <v>PASS</v>
      </c>
      <c r="N1700" s="10" t="str">
        <f t="shared" si="53"/>
        <v>NONE</v>
      </c>
    </row>
    <row r="1701" spans="1:14">
      <c r="A1701" s="4" t="s">
        <v>3418</v>
      </c>
      <c r="B1701" s="4" t="s">
        <v>3419</v>
      </c>
      <c r="C1701" s="4" t="s">
        <v>16</v>
      </c>
      <c r="D1701" s="4" t="s">
        <v>13</v>
      </c>
      <c r="E1701" s="5">
        <v>81.663499999999999</v>
      </c>
      <c r="F1701" s="5">
        <v>97.310100000000006</v>
      </c>
      <c r="G1701" s="5">
        <v>97.065700000000007</v>
      </c>
      <c r="H1701" s="4">
        <v>0</v>
      </c>
      <c r="I1701" s="6">
        <v>2303290</v>
      </c>
      <c r="J1701" s="7">
        <v>100.29</v>
      </c>
      <c r="K1701" s="9">
        <f>(PricingDataTable[[#This Row],[Current Price ($)]]-PricingDataTable[[#This Row],[Prior Price ($)]])/PricingDataTable[[#This Row],[Prior Price ($)]]</f>
        <v>0.19159844973580617</v>
      </c>
      <c r="L1701" s="9">
        <f>(PricingDataTable[[#This Row],[Vendor Price ($)]]-PricingDataTable[[#This Row],[Current Price ($)]])/PricingDataTable[[#This Row],[Current Price ($)]]</f>
        <v>-2.5115584096614724E-3</v>
      </c>
      <c r="M1701" t="str">
        <f t="shared" si="52"/>
        <v>LARGE MOVE</v>
      </c>
      <c r="N1701" s="10" t="str">
        <f t="shared" si="53"/>
        <v>HIGH</v>
      </c>
    </row>
    <row r="1702" spans="1:14">
      <c r="A1702" s="4" t="s">
        <v>3420</v>
      </c>
      <c r="B1702" s="4" t="s">
        <v>3421</v>
      </c>
      <c r="C1702" s="4" t="s">
        <v>35</v>
      </c>
      <c r="D1702" s="4" t="s">
        <v>13</v>
      </c>
      <c r="E1702" s="5">
        <v>117.3942</v>
      </c>
      <c r="F1702" s="5">
        <v>120.11</v>
      </c>
      <c r="G1702" s="5">
        <v>119.9363</v>
      </c>
      <c r="H1702" s="4">
        <v>0</v>
      </c>
      <c r="I1702" s="6">
        <v>44185</v>
      </c>
      <c r="J1702" s="7">
        <v>3.29</v>
      </c>
      <c r="K1702" s="9">
        <f>(PricingDataTable[[#This Row],[Current Price ($)]]-PricingDataTable[[#This Row],[Prior Price ($)]])/PricingDataTable[[#This Row],[Prior Price ($)]]</f>
        <v>2.3134021953384421E-2</v>
      </c>
      <c r="L1702" s="9">
        <f>(PricingDataTable[[#This Row],[Vendor Price ($)]]-PricingDataTable[[#This Row],[Current Price ($)]])/PricingDataTable[[#This Row],[Current Price ($)]]</f>
        <v>-1.4461743401881328E-3</v>
      </c>
      <c r="M1702" t="str">
        <f t="shared" si="52"/>
        <v>PASS</v>
      </c>
      <c r="N1702" s="10" t="str">
        <f t="shared" si="53"/>
        <v>NONE</v>
      </c>
    </row>
    <row r="1703" spans="1:14">
      <c r="A1703" s="4" t="s">
        <v>3422</v>
      </c>
      <c r="B1703" s="4" t="s">
        <v>3423</v>
      </c>
      <c r="C1703" s="4" t="s">
        <v>16</v>
      </c>
      <c r="D1703" s="4" t="s">
        <v>13</v>
      </c>
      <c r="E1703" s="5">
        <v>108.61579999999999</v>
      </c>
      <c r="F1703" s="5">
        <v>110.9632</v>
      </c>
      <c r="G1703" s="5">
        <v>110.919</v>
      </c>
      <c r="H1703" s="4">
        <v>0</v>
      </c>
      <c r="I1703" s="6">
        <v>4207905</v>
      </c>
      <c r="J1703" s="7">
        <v>648.16</v>
      </c>
      <c r="K1703" s="9">
        <f>(PricingDataTable[[#This Row],[Current Price ($)]]-PricingDataTable[[#This Row],[Prior Price ($)]])/PricingDataTable[[#This Row],[Prior Price ($)]]</f>
        <v>2.1611957008096497E-2</v>
      </c>
      <c r="L1703" s="9">
        <f>(PricingDataTable[[#This Row],[Vendor Price ($)]]-PricingDataTable[[#This Row],[Current Price ($)]])/PricingDataTable[[#This Row],[Current Price ($)]]</f>
        <v>-3.9833025723846796E-4</v>
      </c>
      <c r="M1703" t="str">
        <f t="shared" si="52"/>
        <v>PASS</v>
      </c>
      <c r="N1703" s="10" t="str">
        <f t="shared" si="53"/>
        <v>NONE</v>
      </c>
    </row>
    <row r="1704" spans="1:14">
      <c r="A1704" s="4" t="s">
        <v>3424</v>
      </c>
      <c r="B1704" s="4" t="s">
        <v>3425</v>
      </c>
      <c r="C1704" s="4" t="s">
        <v>39</v>
      </c>
      <c r="D1704" s="4" t="s">
        <v>13</v>
      </c>
      <c r="E1704" s="5">
        <v>55.882399999999997</v>
      </c>
      <c r="F1704" s="5">
        <v>56.119199999999999</v>
      </c>
      <c r="G1704" s="5">
        <v>56.1937</v>
      </c>
      <c r="H1704" s="4">
        <v>0</v>
      </c>
      <c r="I1704" s="6">
        <v>1305803</v>
      </c>
      <c r="J1704" s="7">
        <v>473.5</v>
      </c>
      <c r="K1704" s="9">
        <f>(PricingDataTable[[#This Row],[Current Price ($)]]-PricingDataTable[[#This Row],[Prior Price ($)]])/PricingDataTable[[#This Row],[Prior Price ($)]]</f>
        <v>4.2374701158146818E-3</v>
      </c>
      <c r="L1704" s="9">
        <f>(PricingDataTable[[#This Row],[Vendor Price ($)]]-PricingDataTable[[#This Row],[Current Price ($)]])/PricingDataTable[[#This Row],[Current Price ($)]]</f>
        <v>1.3275313974539988E-3</v>
      </c>
      <c r="M1704" t="str">
        <f t="shared" si="52"/>
        <v>PASS</v>
      </c>
      <c r="N1704" s="10" t="str">
        <f t="shared" si="53"/>
        <v>NONE</v>
      </c>
    </row>
    <row r="1705" spans="1:14">
      <c r="A1705" s="4" t="s">
        <v>3426</v>
      </c>
      <c r="B1705" s="4" t="s">
        <v>3427</v>
      </c>
      <c r="C1705" s="4" t="s">
        <v>12</v>
      </c>
      <c r="D1705" s="4" t="s">
        <v>13</v>
      </c>
      <c r="E1705" s="5">
        <v>75.064400000000006</v>
      </c>
      <c r="F1705" s="5">
        <v>76.277500000000003</v>
      </c>
      <c r="G1705" s="5">
        <v>76.479299999999995</v>
      </c>
      <c r="H1705" s="4">
        <v>1</v>
      </c>
      <c r="I1705" s="6">
        <v>854791</v>
      </c>
      <c r="J1705" s="7">
        <v>634.14</v>
      </c>
      <c r="K1705" s="9">
        <f>(PricingDataTable[[#This Row],[Current Price ($)]]-PricingDataTable[[#This Row],[Prior Price ($)]])/PricingDataTable[[#This Row],[Prior Price ($)]]</f>
        <v>1.6160789935042403E-2</v>
      </c>
      <c r="L1705" s="9">
        <f>(PricingDataTable[[#This Row],[Vendor Price ($)]]-PricingDataTable[[#This Row],[Current Price ($)]])/PricingDataTable[[#This Row],[Current Price ($)]]</f>
        <v>2.6456032250662584E-3</v>
      </c>
      <c r="M1705" t="str">
        <f t="shared" si="52"/>
        <v>PASS</v>
      </c>
      <c r="N1705" s="10" t="str">
        <f t="shared" si="53"/>
        <v>NONE</v>
      </c>
    </row>
    <row r="1706" spans="1:14">
      <c r="A1706" s="4" t="s">
        <v>3428</v>
      </c>
      <c r="B1706" s="4" t="s">
        <v>3429</v>
      </c>
      <c r="C1706" s="4" t="s">
        <v>12</v>
      </c>
      <c r="D1706" s="4" t="s">
        <v>64</v>
      </c>
      <c r="E1706" s="5">
        <v>122.2846</v>
      </c>
      <c r="F1706" s="5">
        <v>121.7784</v>
      </c>
      <c r="G1706" s="5">
        <v>122.07259999999999</v>
      </c>
      <c r="H1706" s="4">
        <v>0</v>
      </c>
      <c r="I1706" s="6">
        <v>1102021</v>
      </c>
      <c r="J1706" s="7">
        <v>831.2</v>
      </c>
      <c r="K1706" s="9">
        <f>(PricingDataTable[[#This Row],[Current Price ($)]]-PricingDataTable[[#This Row],[Prior Price ($)]])/PricingDataTable[[#This Row],[Prior Price ($)]]</f>
        <v>-4.1395237012673116E-3</v>
      </c>
      <c r="L1706" s="9">
        <f>(PricingDataTable[[#This Row],[Vendor Price ($)]]-PricingDataTable[[#This Row],[Current Price ($)]])/PricingDataTable[[#This Row],[Current Price ($)]]</f>
        <v>2.4158635685802192E-3</v>
      </c>
      <c r="M1706" t="str">
        <f t="shared" si="52"/>
        <v>PASS</v>
      </c>
      <c r="N1706" s="10" t="str">
        <f t="shared" si="53"/>
        <v>NONE</v>
      </c>
    </row>
    <row r="1707" spans="1:14">
      <c r="A1707" s="4" t="s">
        <v>3430</v>
      </c>
      <c r="B1707" s="4" t="s">
        <v>3431</v>
      </c>
      <c r="C1707" s="4" t="s">
        <v>19</v>
      </c>
      <c r="D1707" s="4" t="s">
        <v>13</v>
      </c>
      <c r="E1707" s="5">
        <v>328.1148</v>
      </c>
      <c r="F1707" s="5">
        <v>325.21859999999998</v>
      </c>
      <c r="G1707" s="5">
        <v>326.09300000000002</v>
      </c>
      <c r="H1707" s="4">
        <v>0</v>
      </c>
      <c r="I1707" s="6">
        <v>4534618</v>
      </c>
      <c r="J1707" s="7">
        <v>15.67</v>
      </c>
      <c r="K1707" s="9">
        <f>(PricingDataTable[[#This Row],[Current Price ($)]]-PricingDataTable[[#This Row],[Prior Price ($)]])/PricingDataTable[[#This Row],[Prior Price ($)]]</f>
        <v>-8.8267886727450926E-3</v>
      </c>
      <c r="L1707" s="9">
        <f>(PricingDataTable[[#This Row],[Vendor Price ($)]]-PricingDataTable[[#This Row],[Current Price ($)]])/PricingDataTable[[#This Row],[Current Price ($)]]</f>
        <v>2.6886531090166339E-3</v>
      </c>
      <c r="M1707" t="str">
        <f t="shared" si="52"/>
        <v>PASS</v>
      </c>
      <c r="N1707" s="10" t="str">
        <f t="shared" si="53"/>
        <v>NONE</v>
      </c>
    </row>
    <row r="1708" spans="1:14">
      <c r="A1708" s="4" t="s">
        <v>3432</v>
      </c>
      <c r="B1708" s="4" t="s">
        <v>3433</v>
      </c>
      <c r="C1708" s="4" t="s">
        <v>35</v>
      </c>
      <c r="D1708" s="4" t="s">
        <v>13</v>
      </c>
      <c r="E1708" s="5">
        <v>53.210299999999997</v>
      </c>
      <c r="F1708" s="5">
        <v>54.234099999999998</v>
      </c>
      <c r="G1708" s="5">
        <v>53.944600000000001</v>
      </c>
      <c r="H1708" s="4">
        <v>0</v>
      </c>
      <c r="I1708" s="6">
        <v>4283708</v>
      </c>
      <c r="J1708" s="7">
        <v>684.9</v>
      </c>
      <c r="K1708" s="9">
        <f>(PricingDataTable[[#This Row],[Current Price ($)]]-PricingDataTable[[#This Row],[Prior Price ($)]])/PricingDataTable[[#This Row],[Prior Price ($)]]</f>
        <v>1.9240635741576376E-2</v>
      </c>
      <c r="L1708" s="9">
        <f>(PricingDataTable[[#This Row],[Vendor Price ($)]]-PricingDataTable[[#This Row],[Current Price ($)]])/PricingDataTable[[#This Row],[Current Price ($)]]</f>
        <v>-5.3379700225503288E-3</v>
      </c>
      <c r="M1708" t="str">
        <f t="shared" si="52"/>
        <v>PASS</v>
      </c>
      <c r="N1708" s="10" t="str">
        <f t="shared" si="53"/>
        <v>NONE</v>
      </c>
    </row>
    <row r="1709" spans="1:14">
      <c r="A1709" s="4" t="s">
        <v>3434</v>
      </c>
      <c r="B1709" s="4" t="s">
        <v>3435</v>
      </c>
      <c r="C1709" s="4" t="s">
        <v>19</v>
      </c>
      <c r="D1709" s="4" t="s">
        <v>13</v>
      </c>
      <c r="E1709" s="5">
        <v>281.55470000000003</v>
      </c>
      <c r="F1709" s="5">
        <v>279.90379999999999</v>
      </c>
      <c r="G1709" s="5">
        <v>281.59699999999998</v>
      </c>
      <c r="H1709" s="4">
        <v>0</v>
      </c>
      <c r="I1709" s="6">
        <v>1873946</v>
      </c>
      <c r="J1709" s="7">
        <v>20.51</v>
      </c>
      <c r="K1709" s="9">
        <f>(PricingDataTable[[#This Row],[Current Price ($)]]-PricingDataTable[[#This Row],[Prior Price ($)]])/PricingDataTable[[#This Row],[Prior Price ($)]]</f>
        <v>-5.8635142656117455E-3</v>
      </c>
      <c r="L1709" s="9">
        <f>(PricingDataTable[[#This Row],[Vendor Price ($)]]-PricingDataTable[[#This Row],[Current Price ($)]])/PricingDataTable[[#This Row],[Current Price ($)]]</f>
        <v>6.0492211967111209E-3</v>
      </c>
      <c r="M1709" t="str">
        <f t="shared" si="52"/>
        <v>PASS</v>
      </c>
      <c r="N1709" s="10" t="str">
        <f t="shared" si="53"/>
        <v>NONE</v>
      </c>
    </row>
    <row r="1710" spans="1:14">
      <c r="A1710" s="4" t="s">
        <v>3436</v>
      </c>
      <c r="B1710" s="4" t="s">
        <v>3437</v>
      </c>
      <c r="C1710" s="4" t="s">
        <v>16</v>
      </c>
      <c r="D1710" s="4" t="s">
        <v>36</v>
      </c>
      <c r="E1710" s="5">
        <v>107.1238</v>
      </c>
      <c r="F1710" s="5">
        <v>109.009</v>
      </c>
      <c r="G1710" s="5">
        <v>108.9115</v>
      </c>
      <c r="H1710" s="4">
        <v>1</v>
      </c>
      <c r="I1710" s="6">
        <v>3730850</v>
      </c>
      <c r="J1710" s="7">
        <v>225.67</v>
      </c>
      <c r="K1710" s="9">
        <f>(PricingDataTable[[#This Row],[Current Price ($)]]-PricingDataTable[[#This Row],[Prior Price ($)]])/PricingDataTable[[#This Row],[Prior Price ($)]]</f>
        <v>1.7598330156323783E-2</v>
      </c>
      <c r="L1710" s="9">
        <f>(PricingDataTable[[#This Row],[Vendor Price ($)]]-PricingDataTable[[#This Row],[Current Price ($)]])/PricingDataTable[[#This Row],[Current Price ($)]]</f>
        <v>-8.9442156152241185E-4</v>
      </c>
      <c r="M1710" t="str">
        <f t="shared" si="52"/>
        <v>PASS</v>
      </c>
      <c r="N1710" s="10" t="str">
        <f t="shared" si="53"/>
        <v>NONE</v>
      </c>
    </row>
    <row r="1711" spans="1:14">
      <c r="A1711" s="4" t="s">
        <v>3438</v>
      </c>
      <c r="B1711" s="4" t="s">
        <v>3439</v>
      </c>
      <c r="C1711" s="4" t="s">
        <v>12</v>
      </c>
      <c r="D1711" s="4" t="s">
        <v>13</v>
      </c>
      <c r="E1711" s="5">
        <v>115.7161</v>
      </c>
      <c r="F1711" s="5">
        <v>112.41070000000001</v>
      </c>
      <c r="G1711" s="5">
        <v>112.1356</v>
      </c>
      <c r="H1711" s="4">
        <v>0</v>
      </c>
      <c r="I1711" s="6">
        <v>4570536</v>
      </c>
      <c r="J1711" s="7">
        <v>683.65</v>
      </c>
      <c r="K1711" s="9">
        <f>(PricingDataTable[[#This Row],[Current Price ($)]]-PricingDataTable[[#This Row],[Prior Price ($)]])/PricingDataTable[[#This Row],[Prior Price ($)]]</f>
        <v>-2.856473731831605E-2</v>
      </c>
      <c r="L1711" s="9">
        <f>(PricingDataTable[[#This Row],[Vendor Price ($)]]-PricingDataTable[[#This Row],[Current Price ($)]])/PricingDataTable[[#This Row],[Current Price ($)]]</f>
        <v>-2.4472759265800228E-3</v>
      </c>
      <c r="M1711" t="str">
        <f t="shared" si="52"/>
        <v>PASS</v>
      </c>
      <c r="N1711" s="10" t="str">
        <f t="shared" si="53"/>
        <v>NONE</v>
      </c>
    </row>
    <row r="1712" spans="1:14">
      <c r="A1712" s="4" t="s">
        <v>3440</v>
      </c>
      <c r="B1712" s="4" t="s">
        <v>3441</v>
      </c>
      <c r="C1712" s="4" t="s">
        <v>35</v>
      </c>
      <c r="D1712" s="4" t="s">
        <v>13</v>
      </c>
      <c r="E1712" s="5">
        <v>76.600099999999998</v>
      </c>
      <c r="F1712" s="5">
        <v>77.759500000000003</v>
      </c>
      <c r="G1712" s="5">
        <v>77.693200000000004</v>
      </c>
      <c r="H1712" s="4">
        <v>2</v>
      </c>
      <c r="I1712" s="6">
        <v>3600977</v>
      </c>
      <c r="J1712" s="7">
        <v>13.49</v>
      </c>
      <c r="K1712" s="9">
        <f>(PricingDataTable[[#This Row],[Current Price ($)]]-PricingDataTable[[#This Row],[Prior Price ($)]])/PricingDataTable[[#This Row],[Prior Price ($)]]</f>
        <v>1.5135750475521639E-2</v>
      </c>
      <c r="L1712" s="9">
        <f>(PricingDataTable[[#This Row],[Vendor Price ($)]]-PricingDataTable[[#This Row],[Current Price ($)]])/PricingDataTable[[#This Row],[Current Price ($)]]</f>
        <v>-8.5262893922926773E-4</v>
      </c>
      <c r="M1712" t="str">
        <f t="shared" si="52"/>
        <v>PASS</v>
      </c>
      <c r="N1712" s="10" t="str">
        <f t="shared" si="53"/>
        <v>NONE</v>
      </c>
    </row>
    <row r="1713" spans="1:14">
      <c r="A1713" s="4" t="s">
        <v>3442</v>
      </c>
      <c r="B1713" s="4" t="s">
        <v>3443</v>
      </c>
      <c r="C1713" s="4" t="s">
        <v>16</v>
      </c>
      <c r="D1713" s="4" t="s">
        <v>13</v>
      </c>
      <c r="E1713" s="5">
        <v>87.029600000000002</v>
      </c>
      <c r="F1713" s="5">
        <v>86.232200000000006</v>
      </c>
      <c r="G1713" s="5">
        <v>86.293099999999995</v>
      </c>
      <c r="H1713" s="4">
        <v>0</v>
      </c>
      <c r="I1713" s="6">
        <v>1868897</v>
      </c>
      <c r="J1713" s="7">
        <v>376.55</v>
      </c>
      <c r="K1713" s="9">
        <f>(PricingDataTable[[#This Row],[Current Price ($)]]-PricingDataTable[[#This Row],[Prior Price ($)]])/PricingDataTable[[#This Row],[Prior Price ($)]]</f>
        <v>-9.1623999191079372E-3</v>
      </c>
      <c r="L1713" s="9">
        <f>(PricingDataTable[[#This Row],[Vendor Price ($)]]-PricingDataTable[[#This Row],[Current Price ($)]])/PricingDataTable[[#This Row],[Current Price ($)]]</f>
        <v>7.0623270657584427E-4</v>
      </c>
      <c r="M1713" t="str">
        <f t="shared" si="52"/>
        <v>PASS</v>
      </c>
      <c r="N1713" s="10" t="str">
        <f t="shared" si="53"/>
        <v>NONE</v>
      </c>
    </row>
    <row r="1714" spans="1:14">
      <c r="A1714" s="4" t="s">
        <v>3444</v>
      </c>
      <c r="B1714" s="4" t="s">
        <v>3445</v>
      </c>
      <c r="C1714" s="4" t="s">
        <v>19</v>
      </c>
      <c r="D1714" s="4" t="s">
        <v>36</v>
      </c>
      <c r="E1714" s="5">
        <v>28.0365</v>
      </c>
      <c r="F1714" s="5">
        <v>27.737300000000001</v>
      </c>
      <c r="G1714" s="5">
        <v>27.8294</v>
      </c>
      <c r="H1714" s="4">
        <v>1</v>
      </c>
      <c r="I1714" s="6">
        <v>3337733</v>
      </c>
      <c r="J1714" s="7">
        <v>266.33</v>
      </c>
      <c r="K1714" s="9">
        <f>(PricingDataTable[[#This Row],[Current Price ($)]]-PricingDataTable[[#This Row],[Prior Price ($)]])/PricingDataTable[[#This Row],[Prior Price ($)]]</f>
        <v>-1.0671802828455729E-2</v>
      </c>
      <c r="L1714" s="9">
        <f>(PricingDataTable[[#This Row],[Vendor Price ($)]]-PricingDataTable[[#This Row],[Current Price ($)]])/PricingDataTable[[#This Row],[Current Price ($)]]</f>
        <v>3.3204385430448714E-3</v>
      </c>
      <c r="M1714" t="str">
        <f t="shared" si="52"/>
        <v>PASS</v>
      </c>
      <c r="N1714" s="10" t="str">
        <f t="shared" si="53"/>
        <v>NONE</v>
      </c>
    </row>
    <row r="1715" spans="1:14">
      <c r="A1715" s="4" t="s">
        <v>3446</v>
      </c>
      <c r="B1715" s="4" t="s">
        <v>3447</v>
      </c>
      <c r="C1715" s="4" t="s">
        <v>39</v>
      </c>
      <c r="D1715" s="4" t="s">
        <v>13</v>
      </c>
      <c r="E1715" s="5">
        <v>319.01409999999998</v>
      </c>
      <c r="F1715" s="5">
        <v>368.11759999999998</v>
      </c>
      <c r="G1715" s="5">
        <v>370.14190000000002</v>
      </c>
      <c r="H1715" s="4">
        <v>0</v>
      </c>
      <c r="I1715" s="6">
        <v>4298347</v>
      </c>
      <c r="J1715" s="7">
        <v>4.49</v>
      </c>
      <c r="K1715" s="9">
        <f>(PricingDataTable[[#This Row],[Current Price ($)]]-PricingDataTable[[#This Row],[Prior Price ($)]])/PricingDataTable[[#This Row],[Prior Price ($)]]</f>
        <v>0.15392266360640486</v>
      </c>
      <c r="L1715" s="9">
        <f>(PricingDataTable[[#This Row],[Vendor Price ($)]]-PricingDataTable[[#This Row],[Current Price ($)]])/PricingDataTable[[#This Row],[Current Price ($)]]</f>
        <v>5.4990579097550334E-3</v>
      </c>
      <c r="M1715" t="str">
        <f t="shared" si="52"/>
        <v>LARGE MOVE</v>
      </c>
      <c r="N1715" s="10" t="str">
        <f t="shared" si="53"/>
        <v>HIGH</v>
      </c>
    </row>
    <row r="1716" spans="1:14">
      <c r="A1716" s="4" t="s">
        <v>3448</v>
      </c>
      <c r="B1716" s="4" t="s">
        <v>3449</v>
      </c>
      <c r="C1716" s="4" t="s">
        <v>19</v>
      </c>
      <c r="D1716" s="4" t="s">
        <v>13</v>
      </c>
      <c r="E1716" s="5">
        <v>113.27249999999999</v>
      </c>
      <c r="F1716" s="5">
        <v>113.04049999999999</v>
      </c>
      <c r="G1716" s="5">
        <v>112.73569999999999</v>
      </c>
      <c r="H1716" s="4">
        <v>0</v>
      </c>
      <c r="I1716" s="6">
        <v>2364814</v>
      </c>
      <c r="J1716" s="7">
        <v>761.29</v>
      </c>
      <c r="K1716" s="9">
        <f>(PricingDataTable[[#This Row],[Current Price ($)]]-PricingDataTable[[#This Row],[Prior Price ($)]])/PricingDataTable[[#This Row],[Prior Price ($)]]</f>
        <v>-2.0481582025646062E-3</v>
      </c>
      <c r="L1716" s="9">
        <f>(PricingDataTable[[#This Row],[Vendor Price ($)]]-PricingDataTable[[#This Row],[Current Price ($)]])/PricingDataTable[[#This Row],[Current Price ($)]]</f>
        <v>-2.6963787315165823E-3</v>
      </c>
      <c r="M1716" t="str">
        <f t="shared" si="52"/>
        <v>PASS</v>
      </c>
      <c r="N1716" s="10" t="str">
        <f t="shared" si="53"/>
        <v>NONE</v>
      </c>
    </row>
    <row r="1717" spans="1:14">
      <c r="A1717" s="4" t="s">
        <v>3450</v>
      </c>
      <c r="B1717" s="4" t="s">
        <v>3451</v>
      </c>
      <c r="C1717" s="4" t="s">
        <v>16</v>
      </c>
      <c r="D1717" s="4" t="s">
        <v>64</v>
      </c>
      <c r="E1717" s="5">
        <v>103.155</v>
      </c>
      <c r="F1717" s="5">
        <v>102.622</v>
      </c>
      <c r="G1717" s="5">
        <v>102.7483</v>
      </c>
      <c r="H1717" s="4">
        <v>0</v>
      </c>
      <c r="I1717" s="6">
        <v>1212305</v>
      </c>
      <c r="J1717" s="7">
        <v>558.6</v>
      </c>
      <c r="K1717" s="9">
        <f>(PricingDataTable[[#This Row],[Current Price ($)]]-PricingDataTable[[#This Row],[Prior Price ($)]])/PricingDataTable[[#This Row],[Prior Price ($)]]</f>
        <v>-5.1669817265280523E-3</v>
      </c>
      <c r="L1717" s="9">
        <f>(PricingDataTable[[#This Row],[Vendor Price ($)]]-PricingDataTable[[#This Row],[Current Price ($)]])/PricingDataTable[[#This Row],[Current Price ($)]]</f>
        <v>1.2307302527723152E-3</v>
      </c>
      <c r="M1717" t="str">
        <f t="shared" si="52"/>
        <v>PASS</v>
      </c>
      <c r="N1717" s="10" t="str">
        <f t="shared" si="53"/>
        <v>NONE</v>
      </c>
    </row>
    <row r="1718" spans="1:14">
      <c r="A1718" s="4" t="s">
        <v>3452</v>
      </c>
      <c r="B1718" s="4" t="s">
        <v>3453</v>
      </c>
      <c r="C1718" s="4" t="s">
        <v>19</v>
      </c>
      <c r="D1718" s="4" t="s">
        <v>13</v>
      </c>
      <c r="E1718" s="5">
        <v>84.006500000000003</v>
      </c>
      <c r="F1718" s="5">
        <v>85.257900000000006</v>
      </c>
      <c r="G1718" s="5">
        <v>85.4392</v>
      </c>
      <c r="H1718" s="4">
        <v>0</v>
      </c>
      <c r="I1718" s="6">
        <v>1173907</v>
      </c>
      <c r="J1718" s="7">
        <v>544.66999999999996</v>
      </c>
      <c r="K1718" s="9">
        <f>(PricingDataTable[[#This Row],[Current Price ($)]]-PricingDataTable[[#This Row],[Prior Price ($)]])/PricingDataTable[[#This Row],[Prior Price ($)]]</f>
        <v>1.4896466344866216E-2</v>
      </c>
      <c r="L1718" s="9">
        <f>(PricingDataTable[[#This Row],[Vendor Price ($)]]-PricingDataTable[[#This Row],[Current Price ($)]])/PricingDataTable[[#This Row],[Current Price ($)]]</f>
        <v>2.1264891581893658E-3</v>
      </c>
      <c r="M1718" t="str">
        <f t="shared" si="52"/>
        <v>PASS</v>
      </c>
      <c r="N1718" s="10" t="str">
        <f t="shared" si="53"/>
        <v>NONE</v>
      </c>
    </row>
    <row r="1719" spans="1:14">
      <c r="A1719" s="4" t="s">
        <v>3454</v>
      </c>
      <c r="B1719" s="4" t="s">
        <v>3455</v>
      </c>
      <c r="C1719" s="4" t="s">
        <v>35</v>
      </c>
      <c r="D1719" s="4" t="s">
        <v>13</v>
      </c>
      <c r="E1719" s="5">
        <v>108.8168</v>
      </c>
      <c r="F1719" s="5">
        <v>108.2582</v>
      </c>
      <c r="G1719" s="5">
        <v>108.31059999999999</v>
      </c>
      <c r="H1719" s="4">
        <v>0</v>
      </c>
      <c r="I1719" s="6">
        <v>3417435</v>
      </c>
      <c r="J1719" s="7">
        <v>417.72</v>
      </c>
      <c r="K1719" s="9">
        <f>(PricingDataTable[[#This Row],[Current Price ($)]]-PricingDataTable[[#This Row],[Prior Price ($)]])/PricingDataTable[[#This Row],[Prior Price ($)]]</f>
        <v>-5.133398519346263E-3</v>
      </c>
      <c r="L1719" s="9">
        <f>(PricingDataTable[[#This Row],[Vendor Price ($)]]-PricingDataTable[[#This Row],[Current Price ($)]])/PricingDataTable[[#This Row],[Current Price ($)]]</f>
        <v>4.8402799972650166E-4</v>
      </c>
      <c r="M1719" t="str">
        <f t="shared" si="52"/>
        <v>PASS</v>
      </c>
      <c r="N1719" s="10" t="str">
        <f t="shared" si="53"/>
        <v>NONE</v>
      </c>
    </row>
    <row r="1720" spans="1:14">
      <c r="A1720" s="4" t="s">
        <v>3456</v>
      </c>
      <c r="B1720" s="4" t="s">
        <v>3457</v>
      </c>
      <c r="C1720" s="4" t="s">
        <v>16</v>
      </c>
      <c r="D1720" s="4" t="s">
        <v>13</v>
      </c>
      <c r="E1720" s="5">
        <v>83.804599999999994</v>
      </c>
      <c r="F1720" s="5">
        <v>82.666899999999998</v>
      </c>
      <c r="G1720" s="5">
        <v>82.854699999999994</v>
      </c>
      <c r="H1720" s="4">
        <v>0</v>
      </c>
      <c r="I1720" s="6">
        <v>2978546</v>
      </c>
      <c r="J1720" s="7">
        <v>676.42</v>
      </c>
      <c r="K1720" s="9">
        <f>(PricingDataTable[[#This Row],[Current Price ($)]]-PricingDataTable[[#This Row],[Prior Price ($)]])/PricingDataTable[[#This Row],[Prior Price ($)]]</f>
        <v>-1.3575627113547411E-2</v>
      </c>
      <c r="L1720" s="9">
        <f>(PricingDataTable[[#This Row],[Vendor Price ($)]]-PricingDataTable[[#This Row],[Current Price ($)]])/PricingDataTable[[#This Row],[Current Price ($)]]</f>
        <v>2.271767781300566E-3</v>
      </c>
      <c r="M1720" t="str">
        <f t="shared" si="52"/>
        <v>PASS</v>
      </c>
      <c r="N1720" s="10" t="str">
        <f t="shared" si="53"/>
        <v>NONE</v>
      </c>
    </row>
    <row r="1721" spans="1:14">
      <c r="A1721" s="4" t="s">
        <v>3458</v>
      </c>
      <c r="B1721" s="4" t="s">
        <v>3459</v>
      </c>
      <c r="C1721" s="4" t="s">
        <v>39</v>
      </c>
      <c r="D1721" s="4" t="s">
        <v>13</v>
      </c>
      <c r="E1721" s="5">
        <v>179.03819999999999</v>
      </c>
      <c r="F1721" s="5">
        <v>177.83629999999999</v>
      </c>
      <c r="G1721" s="5">
        <v>173.50819999999999</v>
      </c>
      <c r="H1721" s="4">
        <v>0</v>
      </c>
      <c r="I1721" s="6">
        <v>2008893</v>
      </c>
      <c r="J1721" s="7">
        <v>578.76</v>
      </c>
      <c r="K1721" s="9">
        <f>(PricingDataTable[[#This Row],[Current Price ($)]]-PricingDataTable[[#This Row],[Prior Price ($)]])/PricingDataTable[[#This Row],[Prior Price ($)]]</f>
        <v>-6.713092513217821E-3</v>
      </c>
      <c r="L1721" s="9">
        <f>(PricingDataTable[[#This Row],[Vendor Price ($)]]-PricingDataTable[[#This Row],[Current Price ($)]])/PricingDataTable[[#This Row],[Current Price ($)]]</f>
        <v>-2.4337550882468913E-2</v>
      </c>
      <c r="M1721" t="str">
        <f t="shared" si="52"/>
        <v>VENDOR DIFFERENCE</v>
      </c>
      <c r="N1721" s="10" t="str">
        <f t="shared" si="53"/>
        <v>LOW</v>
      </c>
    </row>
    <row r="1722" spans="1:14">
      <c r="A1722" s="4" t="s">
        <v>3460</v>
      </c>
      <c r="B1722" s="4" t="s">
        <v>3461</v>
      </c>
      <c r="C1722" s="4" t="s">
        <v>12</v>
      </c>
      <c r="D1722" s="4" t="s">
        <v>13</v>
      </c>
      <c r="E1722" s="5">
        <v>99.360699999999994</v>
      </c>
      <c r="F1722" s="5">
        <v>99.299800000000005</v>
      </c>
      <c r="G1722" s="5">
        <v>99.288200000000003</v>
      </c>
      <c r="H1722" s="4">
        <v>0</v>
      </c>
      <c r="I1722" s="6">
        <v>1227623</v>
      </c>
      <c r="J1722" s="7">
        <v>165.95</v>
      </c>
      <c r="K1722" s="9">
        <f>(PricingDataTable[[#This Row],[Current Price ($)]]-PricingDataTable[[#This Row],[Prior Price ($)]])/PricingDataTable[[#This Row],[Prior Price ($)]]</f>
        <v>-6.1291838724958174E-4</v>
      </c>
      <c r="L1722" s="9">
        <f>(PricingDataTable[[#This Row],[Vendor Price ($)]]-PricingDataTable[[#This Row],[Current Price ($)]])/PricingDataTable[[#This Row],[Current Price ($)]]</f>
        <v>-1.1681795935139232E-4</v>
      </c>
      <c r="M1722" t="str">
        <f t="shared" si="52"/>
        <v>PASS</v>
      </c>
      <c r="N1722" s="10" t="str">
        <f t="shared" si="53"/>
        <v>NONE</v>
      </c>
    </row>
    <row r="1723" spans="1:14">
      <c r="A1723" s="4" t="s">
        <v>3462</v>
      </c>
      <c r="B1723" s="4" t="s">
        <v>3463</v>
      </c>
      <c r="C1723" s="4" t="s">
        <v>12</v>
      </c>
      <c r="D1723" s="4" t="s">
        <v>13</v>
      </c>
      <c r="E1723" s="5">
        <v>110.00069999999999</v>
      </c>
      <c r="F1723" s="5">
        <v>111.9945</v>
      </c>
      <c r="G1723" s="5">
        <v>112.2102</v>
      </c>
      <c r="H1723" s="4">
        <v>0</v>
      </c>
      <c r="I1723" s="6">
        <v>1197437</v>
      </c>
      <c r="J1723" s="7">
        <v>204.37</v>
      </c>
      <c r="K1723" s="9">
        <f>(PricingDataTable[[#This Row],[Current Price ($)]]-PricingDataTable[[#This Row],[Prior Price ($)]])/PricingDataTable[[#This Row],[Prior Price ($)]]</f>
        <v>1.8125339202386962E-2</v>
      </c>
      <c r="L1723" s="9">
        <f>(PricingDataTable[[#This Row],[Vendor Price ($)]]-PricingDataTable[[#This Row],[Current Price ($)]])/PricingDataTable[[#This Row],[Current Price ($)]]</f>
        <v>1.9259874368830452E-3</v>
      </c>
      <c r="M1723" t="str">
        <f t="shared" si="52"/>
        <v>PASS</v>
      </c>
      <c r="N1723" s="10" t="str">
        <f t="shared" si="53"/>
        <v>NONE</v>
      </c>
    </row>
    <row r="1724" spans="1:14">
      <c r="A1724" s="4" t="s">
        <v>3464</v>
      </c>
      <c r="B1724" s="4" t="s">
        <v>3465</v>
      </c>
      <c r="C1724" s="4" t="s">
        <v>12</v>
      </c>
      <c r="D1724" s="4" t="s">
        <v>237</v>
      </c>
      <c r="E1724" s="5">
        <v>81.835800000000006</v>
      </c>
      <c r="F1724" s="5">
        <v>82.082999999999998</v>
      </c>
      <c r="G1724" s="5">
        <v>82.710700000000003</v>
      </c>
      <c r="H1724" s="4">
        <v>3</v>
      </c>
      <c r="I1724" s="6">
        <v>2781803</v>
      </c>
      <c r="J1724" s="7">
        <v>339.28</v>
      </c>
      <c r="K1724" s="9">
        <f>(PricingDataTable[[#This Row],[Current Price ($)]]-PricingDataTable[[#This Row],[Prior Price ($)]])/PricingDataTable[[#This Row],[Prior Price ($)]]</f>
        <v>3.0206828796198277E-3</v>
      </c>
      <c r="L1724" s="9">
        <f>(PricingDataTable[[#This Row],[Vendor Price ($)]]-PricingDataTable[[#This Row],[Current Price ($)]])/PricingDataTable[[#This Row],[Current Price ($)]]</f>
        <v>7.6471376533509298E-3</v>
      </c>
      <c r="M1724" t="str">
        <f t="shared" si="52"/>
        <v>STALE</v>
      </c>
      <c r="N1724" s="10" t="str">
        <f t="shared" si="53"/>
        <v>LOW</v>
      </c>
    </row>
    <row r="1725" spans="1:14">
      <c r="A1725" s="4" t="s">
        <v>3466</v>
      </c>
      <c r="B1725" s="4" t="s">
        <v>3467</v>
      </c>
      <c r="C1725" s="4" t="s">
        <v>39</v>
      </c>
      <c r="D1725" s="4" t="s">
        <v>13</v>
      </c>
      <c r="E1725" s="5">
        <v>275.57100000000003</v>
      </c>
      <c r="F1725" s="5">
        <v>277.60989999999998</v>
      </c>
      <c r="G1725" s="5">
        <v>278.08179999999999</v>
      </c>
      <c r="H1725" s="4">
        <v>0</v>
      </c>
      <c r="I1725" s="6">
        <v>3787280</v>
      </c>
      <c r="J1725" s="7">
        <v>876.64</v>
      </c>
      <c r="K1725" s="9">
        <f>(PricingDataTable[[#This Row],[Current Price ($)]]-PricingDataTable[[#This Row],[Prior Price ($)]])/PricingDataTable[[#This Row],[Prior Price ($)]]</f>
        <v>7.3988191790861713E-3</v>
      </c>
      <c r="L1725" s="9">
        <f>(PricingDataTable[[#This Row],[Vendor Price ($)]]-PricingDataTable[[#This Row],[Current Price ($)]])/PricingDataTable[[#This Row],[Current Price ($)]]</f>
        <v>1.6998673318206776E-3</v>
      </c>
      <c r="M1725" t="str">
        <f t="shared" si="52"/>
        <v>PASS</v>
      </c>
      <c r="N1725" s="10" t="str">
        <f t="shared" si="53"/>
        <v>NONE</v>
      </c>
    </row>
    <row r="1726" spans="1:14">
      <c r="A1726" s="4" t="s">
        <v>3468</v>
      </c>
      <c r="B1726" s="4" t="s">
        <v>3469</v>
      </c>
      <c r="C1726" s="4" t="s">
        <v>12</v>
      </c>
      <c r="D1726" s="4" t="s">
        <v>13</v>
      </c>
      <c r="E1726" s="5">
        <v>92.23</v>
      </c>
      <c r="F1726" s="5">
        <v>91.363100000000003</v>
      </c>
      <c r="G1726" s="5">
        <v>91.030199999999994</v>
      </c>
      <c r="H1726" s="4">
        <v>0</v>
      </c>
      <c r="I1726" s="6">
        <v>2695019</v>
      </c>
      <c r="J1726" s="7">
        <v>429.22</v>
      </c>
      <c r="K1726" s="9">
        <f>(PricingDataTable[[#This Row],[Current Price ($)]]-PricingDataTable[[#This Row],[Prior Price ($)]])/PricingDataTable[[#This Row],[Prior Price ($)]]</f>
        <v>-9.3993277675376886E-3</v>
      </c>
      <c r="L1726" s="9">
        <f>(PricingDataTable[[#This Row],[Vendor Price ($)]]-PricingDataTable[[#This Row],[Current Price ($)]])/PricingDataTable[[#This Row],[Current Price ($)]]</f>
        <v>-3.6437029829330361E-3</v>
      </c>
      <c r="M1726" t="str">
        <f t="shared" si="52"/>
        <v>PASS</v>
      </c>
      <c r="N1726" s="10" t="str">
        <f t="shared" si="53"/>
        <v>NONE</v>
      </c>
    </row>
    <row r="1727" spans="1:14">
      <c r="A1727" s="4" t="s">
        <v>3470</v>
      </c>
      <c r="B1727" s="4" t="s">
        <v>3471</v>
      </c>
      <c r="C1727" s="4" t="s">
        <v>12</v>
      </c>
      <c r="D1727" s="4" t="s">
        <v>32</v>
      </c>
      <c r="E1727" s="5">
        <v>106.2474</v>
      </c>
      <c r="F1727" s="5">
        <v>106.7814</v>
      </c>
      <c r="G1727" s="5">
        <v>106.9812</v>
      </c>
      <c r="H1727" s="4">
        <v>0</v>
      </c>
      <c r="I1727" s="6">
        <v>3242207</v>
      </c>
      <c r="J1727" s="7">
        <v>566.35</v>
      </c>
      <c r="K1727" s="9">
        <f>(PricingDataTable[[#This Row],[Current Price ($)]]-PricingDataTable[[#This Row],[Prior Price ($)]])/PricingDataTable[[#This Row],[Prior Price ($)]]</f>
        <v>5.0260053422484319E-3</v>
      </c>
      <c r="L1727" s="9">
        <f>(PricingDataTable[[#This Row],[Vendor Price ($)]]-PricingDataTable[[#This Row],[Current Price ($)]])/PricingDataTable[[#This Row],[Current Price ($)]]</f>
        <v>1.8711123847411271E-3</v>
      </c>
      <c r="M1727" t="str">
        <f t="shared" si="52"/>
        <v>PASS</v>
      </c>
      <c r="N1727" s="10" t="str">
        <f t="shared" si="53"/>
        <v>NONE</v>
      </c>
    </row>
    <row r="1728" spans="1:14">
      <c r="A1728" s="4" t="s">
        <v>3472</v>
      </c>
      <c r="B1728" s="4" t="s">
        <v>3473</v>
      </c>
      <c r="C1728" s="4" t="s">
        <v>19</v>
      </c>
      <c r="D1728" s="4" t="s">
        <v>13</v>
      </c>
      <c r="E1728" s="5">
        <v>59.6997</v>
      </c>
      <c r="F1728" s="5">
        <v>59.551600000000001</v>
      </c>
      <c r="G1728" s="5">
        <v>59.467799999999997</v>
      </c>
      <c r="H1728" s="4">
        <v>2</v>
      </c>
      <c r="I1728" s="6">
        <v>2387423</v>
      </c>
      <c r="J1728" s="7">
        <v>582.48</v>
      </c>
      <c r="K1728" s="9">
        <f>(PricingDataTable[[#This Row],[Current Price ($)]]-PricingDataTable[[#This Row],[Prior Price ($)]])/PricingDataTable[[#This Row],[Prior Price ($)]]</f>
        <v>-2.480749484503263E-3</v>
      </c>
      <c r="L1728" s="9">
        <f>(PricingDataTable[[#This Row],[Vendor Price ($)]]-PricingDataTable[[#This Row],[Current Price ($)]])/PricingDataTable[[#This Row],[Current Price ($)]]</f>
        <v>-1.4071830143943009E-3</v>
      </c>
      <c r="M1728" t="str">
        <f t="shared" si="52"/>
        <v>PASS</v>
      </c>
      <c r="N1728" s="10" t="str">
        <f t="shared" si="53"/>
        <v>NONE</v>
      </c>
    </row>
    <row r="1729" spans="1:14">
      <c r="A1729" s="4" t="s">
        <v>3474</v>
      </c>
      <c r="B1729" s="4" t="s">
        <v>3475</v>
      </c>
      <c r="C1729" s="4" t="s">
        <v>19</v>
      </c>
      <c r="D1729" s="4" t="s">
        <v>13</v>
      </c>
      <c r="E1729" s="5">
        <v>36.429200000000002</v>
      </c>
      <c r="F1729" s="5">
        <v>36.767200000000003</v>
      </c>
      <c r="G1729" s="5">
        <v>36.643099999999997</v>
      </c>
      <c r="H1729" s="4">
        <v>3</v>
      </c>
      <c r="I1729" s="6">
        <v>2061729</v>
      </c>
      <c r="J1729" s="7">
        <v>512.9</v>
      </c>
      <c r="K1729" s="9">
        <f>(PricingDataTable[[#This Row],[Current Price ($)]]-PricingDataTable[[#This Row],[Prior Price ($)]])/PricingDataTable[[#This Row],[Prior Price ($)]]</f>
        <v>9.2782712768877968E-3</v>
      </c>
      <c r="L1729" s="9">
        <f>(PricingDataTable[[#This Row],[Vendor Price ($)]]-PricingDataTable[[#This Row],[Current Price ($)]])/PricingDataTable[[#This Row],[Current Price ($)]]</f>
        <v>-3.3752910202573391E-3</v>
      </c>
      <c r="M1729" t="str">
        <f t="shared" si="52"/>
        <v>STALE</v>
      </c>
      <c r="N1729" s="10" t="str">
        <f t="shared" si="53"/>
        <v>LOW</v>
      </c>
    </row>
    <row r="1730" spans="1:14">
      <c r="A1730" s="4" t="s">
        <v>3476</v>
      </c>
      <c r="B1730" s="4" t="s">
        <v>3477</v>
      </c>
      <c r="C1730" s="4" t="s">
        <v>35</v>
      </c>
      <c r="D1730" s="4" t="s">
        <v>13</v>
      </c>
      <c r="E1730" s="5">
        <v>45.305599999999998</v>
      </c>
      <c r="F1730" s="5">
        <v>45.185099999999998</v>
      </c>
      <c r="G1730" s="5">
        <v>45.097799999999999</v>
      </c>
      <c r="H1730" s="4">
        <v>0</v>
      </c>
      <c r="I1730" s="6">
        <v>1751633</v>
      </c>
      <c r="J1730" s="7">
        <v>114.3</v>
      </c>
      <c r="K1730" s="9">
        <f>(PricingDataTable[[#This Row],[Current Price ($)]]-PricingDataTable[[#This Row],[Prior Price ($)]])/PricingDataTable[[#This Row],[Prior Price ($)]]</f>
        <v>-2.6597153552761653E-3</v>
      </c>
      <c r="L1730" s="9">
        <f>(PricingDataTable[[#This Row],[Vendor Price ($)]]-PricingDataTable[[#This Row],[Current Price ($)]])/PricingDataTable[[#This Row],[Current Price ($)]]</f>
        <v>-1.9320528227225137E-3</v>
      </c>
      <c r="M1730" t="str">
        <f t="shared" ref="M1730:M1793" si="54">IF(OR(F1730="",F1730=0),"MISSING",IF(H1730&gt;=3,"STALE",IF(ABS(K1730)&gt;=5%,"LARGE MOVE",IF(ABS(L1730)&gt;=2%,"VENDOR DIFFERENCE","PASS"))))</f>
        <v>PASS</v>
      </c>
      <c r="N1730" s="10" t="str">
        <f t="shared" ref="N1730:N1793" si="55">IF(M1730="PASS","NONE",IF(M1730="MISSING","HIGH",IF(OR(ABS(K1730)&gt;=10%,ABS(L1730)&gt;=5%),"HIGH",IF(OR(ABS(K1730)&gt;=7%,ABS(L1730)&gt;=3%,H1730&gt;=5),"MEDIUM","LOW"))))</f>
        <v>NONE</v>
      </c>
    </row>
    <row r="1731" spans="1:14">
      <c r="A1731" s="4" t="s">
        <v>3478</v>
      </c>
      <c r="B1731" s="4" t="s">
        <v>3479</v>
      </c>
      <c r="C1731" s="4" t="s">
        <v>12</v>
      </c>
      <c r="D1731" s="4" t="s">
        <v>13</v>
      </c>
      <c r="E1731" s="5">
        <v>107.9555</v>
      </c>
      <c r="F1731" s="5">
        <v>108.5423</v>
      </c>
      <c r="G1731" s="5">
        <v>109.0134</v>
      </c>
      <c r="H1731" s="4">
        <v>2</v>
      </c>
      <c r="I1731" s="6">
        <v>4394893</v>
      </c>
      <c r="J1731" s="7">
        <v>125.69</v>
      </c>
      <c r="K1731" s="9">
        <f>(PricingDataTable[[#This Row],[Current Price ($)]]-PricingDataTable[[#This Row],[Prior Price ($)]])/PricingDataTable[[#This Row],[Prior Price ($)]]</f>
        <v>5.4355729907229981E-3</v>
      </c>
      <c r="L1731" s="9">
        <f>(PricingDataTable[[#This Row],[Vendor Price ($)]]-PricingDataTable[[#This Row],[Current Price ($)]])/PricingDataTable[[#This Row],[Current Price ($)]]</f>
        <v>4.3402433889829766E-3</v>
      </c>
      <c r="M1731" t="str">
        <f t="shared" si="54"/>
        <v>PASS</v>
      </c>
      <c r="N1731" s="10" t="str">
        <f t="shared" si="55"/>
        <v>NONE</v>
      </c>
    </row>
    <row r="1732" spans="1:14">
      <c r="A1732" s="4" t="s">
        <v>3480</v>
      </c>
      <c r="B1732" s="4" t="s">
        <v>3481</v>
      </c>
      <c r="C1732" s="4" t="s">
        <v>39</v>
      </c>
      <c r="D1732" s="4" t="s">
        <v>13</v>
      </c>
      <c r="E1732" s="5">
        <v>18.374199999999998</v>
      </c>
      <c r="F1732" s="5">
        <v>18.217400000000001</v>
      </c>
      <c r="G1732" s="5">
        <v>18.250499999999999</v>
      </c>
      <c r="H1732" s="4">
        <v>0</v>
      </c>
      <c r="I1732" s="6">
        <v>1849253</v>
      </c>
      <c r="J1732" s="7">
        <v>784.38</v>
      </c>
      <c r="K1732" s="9">
        <f>(PricingDataTable[[#This Row],[Current Price ($)]]-PricingDataTable[[#This Row],[Prior Price ($)]])/PricingDataTable[[#This Row],[Prior Price ($)]]</f>
        <v>-8.5337048687832377E-3</v>
      </c>
      <c r="L1732" s="9">
        <f>(PricingDataTable[[#This Row],[Vendor Price ($)]]-PricingDataTable[[#This Row],[Current Price ($)]])/PricingDataTable[[#This Row],[Current Price ($)]]</f>
        <v>1.8169442401219419E-3</v>
      </c>
      <c r="M1732" t="str">
        <f t="shared" si="54"/>
        <v>PASS</v>
      </c>
      <c r="N1732" s="10" t="str">
        <f t="shared" si="55"/>
        <v>NONE</v>
      </c>
    </row>
    <row r="1733" spans="1:14">
      <c r="A1733" s="4" t="s">
        <v>3482</v>
      </c>
      <c r="B1733" s="4" t="s">
        <v>3483</v>
      </c>
      <c r="C1733" s="4" t="s">
        <v>39</v>
      </c>
      <c r="D1733" s="4" t="s">
        <v>13</v>
      </c>
      <c r="E1733" s="5">
        <v>347.75069999999999</v>
      </c>
      <c r="F1733" s="5">
        <v>346.20460000000003</v>
      </c>
      <c r="G1733" s="5">
        <v>347.07990000000001</v>
      </c>
      <c r="H1733" s="4">
        <v>0</v>
      </c>
      <c r="I1733" s="6">
        <v>2635151</v>
      </c>
      <c r="J1733" s="7">
        <v>837.33</v>
      </c>
      <c r="K1733" s="9">
        <f>(PricingDataTable[[#This Row],[Current Price ($)]]-PricingDataTable[[#This Row],[Prior Price ($)]])/PricingDataTable[[#This Row],[Prior Price ($)]]</f>
        <v>-4.4460011151666043E-3</v>
      </c>
      <c r="L1733" s="9">
        <f>(PricingDataTable[[#This Row],[Vendor Price ($)]]-PricingDataTable[[#This Row],[Current Price ($)]])/PricingDataTable[[#This Row],[Current Price ($)]]</f>
        <v>2.5282737433297577E-3</v>
      </c>
      <c r="M1733" t="str">
        <f t="shared" si="54"/>
        <v>PASS</v>
      </c>
      <c r="N1733" s="10" t="str">
        <f t="shared" si="55"/>
        <v>NONE</v>
      </c>
    </row>
    <row r="1734" spans="1:14">
      <c r="A1734" s="4" t="s">
        <v>3484</v>
      </c>
      <c r="B1734" s="4" t="s">
        <v>3485</v>
      </c>
      <c r="C1734" s="4" t="s">
        <v>16</v>
      </c>
      <c r="D1734" s="4" t="s">
        <v>13</v>
      </c>
      <c r="E1734" s="5">
        <v>101.44670000000001</v>
      </c>
      <c r="F1734" s="5">
        <v>99.828100000000006</v>
      </c>
      <c r="G1734" s="5">
        <v>99.799800000000005</v>
      </c>
      <c r="H1734" s="4">
        <v>1</v>
      </c>
      <c r="I1734" s="6">
        <v>1010264</v>
      </c>
      <c r="J1734" s="7">
        <v>19.71</v>
      </c>
      <c r="K1734" s="9">
        <f>(PricingDataTable[[#This Row],[Current Price ($)]]-PricingDataTable[[#This Row],[Prior Price ($)]])/PricingDataTable[[#This Row],[Prior Price ($)]]</f>
        <v>-1.5955176462122481E-2</v>
      </c>
      <c r="L1734" s="9">
        <f>(PricingDataTable[[#This Row],[Vendor Price ($)]]-PricingDataTable[[#This Row],[Current Price ($)]])/PricingDataTable[[#This Row],[Current Price ($)]]</f>
        <v>-2.834873146939744E-4</v>
      </c>
      <c r="M1734" t="str">
        <f t="shared" si="54"/>
        <v>PASS</v>
      </c>
      <c r="N1734" s="10" t="str">
        <f t="shared" si="55"/>
        <v>NONE</v>
      </c>
    </row>
    <row r="1735" spans="1:14">
      <c r="A1735" s="4" t="s">
        <v>3486</v>
      </c>
      <c r="B1735" s="4" t="s">
        <v>3487</v>
      </c>
      <c r="C1735" s="4" t="s">
        <v>19</v>
      </c>
      <c r="D1735" s="4" t="s">
        <v>237</v>
      </c>
      <c r="E1735" s="5">
        <v>205.8793</v>
      </c>
      <c r="F1735" s="5">
        <v>208.40960000000001</v>
      </c>
      <c r="G1735" s="5">
        <v>208.29040000000001</v>
      </c>
      <c r="H1735" s="4">
        <v>2</v>
      </c>
      <c r="I1735" s="6">
        <v>3538487</v>
      </c>
      <c r="J1735" s="7">
        <v>689.37</v>
      </c>
      <c r="K1735" s="9">
        <f>(PricingDataTable[[#This Row],[Current Price ($)]]-PricingDataTable[[#This Row],[Prior Price ($)]])/PricingDataTable[[#This Row],[Prior Price ($)]]</f>
        <v>1.2290210817697607E-2</v>
      </c>
      <c r="L1735" s="9">
        <f>(PricingDataTable[[#This Row],[Vendor Price ($)]]-PricingDataTable[[#This Row],[Current Price ($)]])/PricingDataTable[[#This Row],[Current Price ($)]]</f>
        <v>-5.7195062031694516E-4</v>
      </c>
      <c r="M1735" t="str">
        <f t="shared" si="54"/>
        <v>PASS</v>
      </c>
      <c r="N1735" s="10" t="str">
        <f t="shared" si="55"/>
        <v>NONE</v>
      </c>
    </row>
    <row r="1736" spans="1:14">
      <c r="A1736" s="4" t="s">
        <v>3488</v>
      </c>
      <c r="B1736" s="4" t="s">
        <v>3489</v>
      </c>
      <c r="C1736" s="4" t="s">
        <v>12</v>
      </c>
      <c r="D1736" s="4" t="s">
        <v>13</v>
      </c>
      <c r="E1736" s="5">
        <v>122.2329</v>
      </c>
      <c r="F1736" s="5">
        <v>122.0852</v>
      </c>
      <c r="G1736" s="5">
        <v>121.5163</v>
      </c>
      <c r="H1736" s="4">
        <v>0</v>
      </c>
      <c r="I1736" s="6">
        <v>1162679</v>
      </c>
      <c r="J1736" s="7">
        <v>65.84</v>
      </c>
      <c r="K1736" s="9">
        <f>(PricingDataTable[[#This Row],[Current Price ($)]]-PricingDataTable[[#This Row],[Prior Price ($)]])/PricingDataTable[[#This Row],[Prior Price ($)]]</f>
        <v>-1.2083489796936863E-3</v>
      </c>
      <c r="L1736" s="9">
        <f>(PricingDataTable[[#This Row],[Vendor Price ($)]]-PricingDataTable[[#This Row],[Current Price ($)]])/PricingDataTable[[#This Row],[Current Price ($)]]</f>
        <v>-4.6598604908703045E-3</v>
      </c>
      <c r="M1736" t="str">
        <f t="shared" si="54"/>
        <v>PASS</v>
      </c>
      <c r="N1736" s="10" t="str">
        <f t="shared" si="55"/>
        <v>NONE</v>
      </c>
    </row>
    <row r="1737" spans="1:14">
      <c r="A1737" s="4" t="s">
        <v>3490</v>
      </c>
      <c r="B1737" s="4" t="s">
        <v>3491</v>
      </c>
      <c r="C1737" s="4" t="s">
        <v>19</v>
      </c>
      <c r="D1737" s="4" t="s">
        <v>64</v>
      </c>
      <c r="E1737" s="5">
        <v>232.6062</v>
      </c>
      <c r="F1737" s="5">
        <v>234.06190000000001</v>
      </c>
      <c r="G1737" s="5">
        <v>233.79949999999999</v>
      </c>
      <c r="H1737" s="4">
        <v>0</v>
      </c>
      <c r="I1737" s="6">
        <v>53448</v>
      </c>
      <c r="J1737" s="7">
        <v>258.33</v>
      </c>
      <c r="K1737" s="9">
        <f>(PricingDataTable[[#This Row],[Current Price ($)]]-PricingDataTable[[#This Row],[Prior Price ($)]])/PricingDataTable[[#This Row],[Prior Price ($)]]</f>
        <v>6.2582166769415744E-3</v>
      </c>
      <c r="L1737" s="9">
        <f>(PricingDataTable[[#This Row],[Vendor Price ($)]]-PricingDataTable[[#This Row],[Current Price ($)]])/PricingDataTable[[#This Row],[Current Price ($)]]</f>
        <v>-1.1210709645611426E-3</v>
      </c>
      <c r="M1737" t="str">
        <f t="shared" si="54"/>
        <v>PASS</v>
      </c>
      <c r="N1737" s="10" t="str">
        <f t="shared" si="55"/>
        <v>NONE</v>
      </c>
    </row>
    <row r="1738" spans="1:14">
      <c r="A1738" s="4" t="s">
        <v>3492</v>
      </c>
      <c r="B1738" s="4" t="s">
        <v>3493</v>
      </c>
      <c r="C1738" s="4" t="s">
        <v>12</v>
      </c>
      <c r="D1738" s="4" t="s">
        <v>13</v>
      </c>
      <c r="E1738" s="5">
        <v>118.861</v>
      </c>
      <c r="F1738" s="5">
        <v>116.8643</v>
      </c>
      <c r="G1738" s="5">
        <v>117.364</v>
      </c>
      <c r="H1738" s="4">
        <v>0</v>
      </c>
      <c r="I1738" s="6">
        <v>4444443</v>
      </c>
      <c r="J1738" s="7">
        <v>120.73</v>
      </c>
      <c r="K1738" s="9">
        <f>(PricingDataTable[[#This Row],[Current Price ($)]]-PricingDataTable[[#This Row],[Prior Price ($)]])/PricingDataTable[[#This Row],[Prior Price ($)]]</f>
        <v>-1.6798613506532875E-2</v>
      </c>
      <c r="L1738" s="9">
        <f>(PricingDataTable[[#This Row],[Vendor Price ($)]]-PricingDataTable[[#This Row],[Current Price ($)]])/PricingDataTable[[#This Row],[Current Price ($)]]</f>
        <v>4.2758994834179833E-3</v>
      </c>
      <c r="M1738" t="str">
        <f t="shared" si="54"/>
        <v>PASS</v>
      </c>
      <c r="N1738" s="10" t="str">
        <f t="shared" si="55"/>
        <v>NONE</v>
      </c>
    </row>
    <row r="1739" spans="1:14">
      <c r="A1739" s="4" t="s">
        <v>3494</v>
      </c>
      <c r="B1739" s="4" t="s">
        <v>3495</v>
      </c>
      <c r="C1739" s="4" t="s">
        <v>16</v>
      </c>
      <c r="D1739" s="4" t="s">
        <v>64</v>
      </c>
      <c r="E1739" s="5">
        <v>122.1872</v>
      </c>
      <c r="F1739" s="5">
        <v>124.5802</v>
      </c>
      <c r="G1739" s="5">
        <v>124.37139999999999</v>
      </c>
      <c r="H1739" s="4">
        <v>2</v>
      </c>
      <c r="I1739" s="6">
        <v>2263627</v>
      </c>
      <c r="J1739" s="7">
        <v>285.13</v>
      </c>
      <c r="K1739" s="9">
        <f>(PricingDataTable[[#This Row],[Current Price ($)]]-PricingDataTable[[#This Row],[Prior Price ($)]])/PricingDataTable[[#This Row],[Prior Price ($)]]</f>
        <v>1.958470281666165E-2</v>
      </c>
      <c r="L1739" s="9">
        <f>(PricingDataTable[[#This Row],[Vendor Price ($)]]-PricingDataTable[[#This Row],[Current Price ($)]])/PricingDataTable[[#This Row],[Current Price ($)]]</f>
        <v>-1.6760287750381742E-3</v>
      </c>
      <c r="M1739" t="str">
        <f t="shared" si="54"/>
        <v>PASS</v>
      </c>
      <c r="N1739" s="10" t="str">
        <f t="shared" si="55"/>
        <v>NONE</v>
      </c>
    </row>
    <row r="1740" spans="1:14">
      <c r="A1740" s="4" t="s">
        <v>3496</v>
      </c>
      <c r="B1740" s="4" t="s">
        <v>3497</v>
      </c>
      <c r="C1740" s="4" t="s">
        <v>16</v>
      </c>
      <c r="D1740" s="4" t="s">
        <v>32</v>
      </c>
      <c r="E1740" s="5">
        <v>97.263400000000004</v>
      </c>
      <c r="F1740" s="5">
        <v>96.318600000000004</v>
      </c>
      <c r="G1740" s="5">
        <v>96.498999999999995</v>
      </c>
      <c r="H1740" s="4">
        <v>2</v>
      </c>
      <c r="I1740" s="6">
        <v>1682590</v>
      </c>
      <c r="J1740" s="7">
        <v>4.1100000000000003</v>
      </c>
      <c r="K1740" s="9">
        <f>(PricingDataTable[[#This Row],[Current Price ($)]]-PricingDataTable[[#This Row],[Prior Price ($)]])/PricingDataTable[[#This Row],[Prior Price ($)]]</f>
        <v>-9.7138286344092498E-3</v>
      </c>
      <c r="L1740" s="9">
        <f>(PricingDataTable[[#This Row],[Vendor Price ($)]]-PricingDataTable[[#This Row],[Current Price ($)]])/PricingDataTable[[#This Row],[Current Price ($)]]</f>
        <v>1.8729508111620359E-3</v>
      </c>
      <c r="M1740" t="str">
        <f t="shared" si="54"/>
        <v>PASS</v>
      </c>
      <c r="N1740" s="10" t="str">
        <f t="shared" si="55"/>
        <v>NONE</v>
      </c>
    </row>
    <row r="1741" spans="1:14">
      <c r="A1741" s="4" t="s">
        <v>3498</v>
      </c>
      <c r="B1741" s="4" t="s">
        <v>3499</v>
      </c>
      <c r="C1741" s="4" t="s">
        <v>35</v>
      </c>
      <c r="D1741" s="4" t="s">
        <v>64</v>
      </c>
      <c r="E1741" s="5">
        <v>6.8178999999999998</v>
      </c>
      <c r="F1741" s="5">
        <v>6.8425000000000002</v>
      </c>
      <c r="G1741" s="5">
        <v>6.8403999999999998</v>
      </c>
      <c r="H1741" s="4">
        <v>0</v>
      </c>
      <c r="I1741" s="6">
        <v>2124385</v>
      </c>
      <c r="J1741" s="7">
        <v>695.96</v>
      </c>
      <c r="K1741" s="9">
        <f>(PricingDataTable[[#This Row],[Current Price ($)]]-PricingDataTable[[#This Row],[Prior Price ($)]])/PricingDataTable[[#This Row],[Prior Price ($)]]</f>
        <v>3.6081491368310475E-3</v>
      </c>
      <c r="L1741" s="9">
        <f>(PricingDataTable[[#This Row],[Vendor Price ($)]]-PricingDataTable[[#This Row],[Current Price ($)]])/PricingDataTable[[#This Row],[Current Price ($)]]</f>
        <v>-3.0690537084405333E-4</v>
      </c>
      <c r="M1741" t="str">
        <f t="shared" si="54"/>
        <v>PASS</v>
      </c>
      <c r="N1741" s="10" t="str">
        <f t="shared" si="55"/>
        <v>NONE</v>
      </c>
    </row>
    <row r="1742" spans="1:14">
      <c r="A1742" s="4" t="s">
        <v>3500</v>
      </c>
      <c r="B1742" s="4" t="s">
        <v>3501</v>
      </c>
      <c r="C1742" s="4" t="s">
        <v>19</v>
      </c>
      <c r="D1742" s="4" t="s">
        <v>32</v>
      </c>
      <c r="E1742" s="5">
        <v>152.61799999999999</v>
      </c>
      <c r="F1742" s="5">
        <v>118.3488</v>
      </c>
      <c r="G1742" s="5">
        <v>118.4888</v>
      </c>
      <c r="H1742" s="4">
        <v>0</v>
      </c>
      <c r="I1742" s="6">
        <v>720691</v>
      </c>
      <c r="J1742" s="7">
        <v>627.64</v>
      </c>
      <c r="K1742" s="9">
        <f>(PricingDataTable[[#This Row],[Current Price ($)]]-PricingDataTable[[#This Row],[Prior Price ($)]])/PricingDataTable[[#This Row],[Prior Price ($)]]</f>
        <v>-0.2245423213513478</v>
      </c>
      <c r="L1742" s="9">
        <f>(PricingDataTable[[#This Row],[Vendor Price ($)]]-PricingDataTable[[#This Row],[Current Price ($)]])/PricingDataTable[[#This Row],[Current Price ($)]]</f>
        <v>1.1829439757733123E-3</v>
      </c>
      <c r="M1742" t="str">
        <f t="shared" si="54"/>
        <v>LARGE MOVE</v>
      </c>
      <c r="N1742" s="10" t="str">
        <f t="shared" si="55"/>
        <v>HIGH</v>
      </c>
    </row>
    <row r="1743" spans="1:14">
      <c r="A1743" s="4" t="s">
        <v>3502</v>
      </c>
      <c r="B1743" s="4" t="s">
        <v>3503</v>
      </c>
      <c r="C1743" s="4" t="s">
        <v>39</v>
      </c>
      <c r="D1743" s="4" t="s">
        <v>13</v>
      </c>
      <c r="E1743" s="5">
        <v>94.592500000000001</v>
      </c>
      <c r="F1743" s="5">
        <v>96.665899999999993</v>
      </c>
      <c r="G1743" s="5">
        <v>96.363100000000003</v>
      </c>
      <c r="H1743" s="4">
        <v>0</v>
      </c>
      <c r="I1743" s="6">
        <v>2349237</v>
      </c>
      <c r="J1743" s="7">
        <v>511.52</v>
      </c>
      <c r="K1743" s="9">
        <f>(PricingDataTable[[#This Row],[Current Price ($)]]-PricingDataTable[[#This Row],[Prior Price ($)]])/PricingDataTable[[#This Row],[Prior Price ($)]]</f>
        <v>2.1919285355604223E-2</v>
      </c>
      <c r="L1743" s="9">
        <f>(PricingDataTable[[#This Row],[Vendor Price ($)]]-PricingDataTable[[#This Row],[Current Price ($)]])/PricingDataTable[[#This Row],[Current Price ($)]]</f>
        <v>-3.1324386365821936E-3</v>
      </c>
      <c r="M1743" t="str">
        <f t="shared" si="54"/>
        <v>PASS</v>
      </c>
      <c r="N1743" s="10" t="str">
        <f t="shared" si="55"/>
        <v>NONE</v>
      </c>
    </row>
    <row r="1744" spans="1:14">
      <c r="A1744" s="4" t="s">
        <v>3504</v>
      </c>
      <c r="B1744" s="4" t="s">
        <v>3505</v>
      </c>
      <c r="C1744" s="4" t="s">
        <v>39</v>
      </c>
      <c r="D1744" s="4" t="s">
        <v>13</v>
      </c>
      <c r="E1744" s="5">
        <v>220.59800000000001</v>
      </c>
      <c r="F1744" s="5">
        <v>220.69820000000001</v>
      </c>
      <c r="G1744" s="5">
        <v>220.4057</v>
      </c>
      <c r="H1744" s="4">
        <v>0</v>
      </c>
      <c r="I1744" s="6">
        <v>8670</v>
      </c>
      <c r="J1744" s="7">
        <v>69.89</v>
      </c>
      <c r="K1744" s="9">
        <f>(PricingDataTable[[#This Row],[Current Price ($)]]-PricingDataTable[[#This Row],[Prior Price ($)]])/PricingDataTable[[#This Row],[Prior Price ($)]]</f>
        <v>4.5421989319939868E-4</v>
      </c>
      <c r="L1744" s="9">
        <f>(PricingDataTable[[#This Row],[Vendor Price ($)]]-PricingDataTable[[#This Row],[Current Price ($)]])/PricingDataTable[[#This Row],[Current Price ($)]]</f>
        <v>-1.325339309518692E-3</v>
      </c>
      <c r="M1744" t="str">
        <f t="shared" si="54"/>
        <v>PASS</v>
      </c>
      <c r="N1744" s="10" t="str">
        <f t="shared" si="55"/>
        <v>NONE</v>
      </c>
    </row>
    <row r="1745" spans="1:14">
      <c r="A1745" s="4" t="s">
        <v>3506</v>
      </c>
      <c r="B1745" s="4" t="s">
        <v>3507</v>
      </c>
      <c r="C1745" s="4" t="s">
        <v>16</v>
      </c>
      <c r="D1745" s="4" t="s">
        <v>13</v>
      </c>
      <c r="E1745" s="5">
        <v>114.35420000000001</v>
      </c>
      <c r="F1745" s="5">
        <v>112.29</v>
      </c>
      <c r="G1745" s="5">
        <v>112.1914</v>
      </c>
      <c r="H1745" s="4">
        <v>2</v>
      </c>
      <c r="I1745" s="6">
        <v>4275592</v>
      </c>
      <c r="J1745" s="7">
        <v>519.45000000000005</v>
      </c>
      <c r="K1745" s="9">
        <f>(PricingDataTable[[#This Row],[Current Price ($)]]-PricingDataTable[[#This Row],[Prior Price ($)]])/PricingDataTable[[#This Row],[Prior Price ($)]]</f>
        <v>-1.8050932978412683E-2</v>
      </c>
      <c r="L1745" s="9">
        <f>(PricingDataTable[[#This Row],[Vendor Price ($)]]-PricingDataTable[[#This Row],[Current Price ($)]])/PricingDataTable[[#This Row],[Current Price ($)]]</f>
        <v>-8.7808353370740649E-4</v>
      </c>
      <c r="M1745" t="str">
        <f t="shared" si="54"/>
        <v>PASS</v>
      </c>
      <c r="N1745" s="10" t="str">
        <f t="shared" si="55"/>
        <v>NONE</v>
      </c>
    </row>
    <row r="1746" spans="1:14">
      <c r="A1746" s="4" t="s">
        <v>3508</v>
      </c>
      <c r="B1746" s="4" t="s">
        <v>3509</v>
      </c>
      <c r="C1746" s="4" t="s">
        <v>19</v>
      </c>
      <c r="D1746" s="4" t="s">
        <v>13</v>
      </c>
      <c r="E1746" s="5">
        <v>28.947900000000001</v>
      </c>
      <c r="F1746" s="5">
        <v>29.1874</v>
      </c>
      <c r="G1746" s="5">
        <v>29.212</v>
      </c>
      <c r="H1746" s="4">
        <v>0</v>
      </c>
      <c r="I1746" s="6">
        <v>2770689</v>
      </c>
      <c r="J1746" s="7">
        <v>172</v>
      </c>
      <c r="K1746" s="9">
        <f>(PricingDataTable[[#This Row],[Current Price ($)]]-PricingDataTable[[#This Row],[Prior Price ($)]])/PricingDataTable[[#This Row],[Prior Price ($)]]</f>
        <v>8.2734844323767726E-3</v>
      </c>
      <c r="L1746" s="9">
        <f>(PricingDataTable[[#This Row],[Vendor Price ($)]]-PricingDataTable[[#This Row],[Current Price ($)]])/PricingDataTable[[#This Row],[Current Price ($)]]</f>
        <v>8.4282944010084869E-4</v>
      </c>
      <c r="M1746" t="str">
        <f t="shared" si="54"/>
        <v>PASS</v>
      </c>
      <c r="N1746" s="10" t="str">
        <f t="shared" si="55"/>
        <v>NONE</v>
      </c>
    </row>
    <row r="1747" spans="1:14">
      <c r="A1747" s="4" t="s">
        <v>3510</v>
      </c>
      <c r="B1747" s="4" t="s">
        <v>3511</v>
      </c>
      <c r="C1747" s="4" t="s">
        <v>19</v>
      </c>
      <c r="D1747" s="4" t="s">
        <v>13</v>
      </c>
      <c r="E1747" s="5">
        <v>171.2406</v>
      </c>
      <c r="F1747" s="5">
        <v>169.39160000000001</v>
      </c>
      <c r="G1747" s="5">
        <v>169.51490000000001</v>
      </c>
      <c r="H1747" s="4">
        <v>0</v>
      </c>
      <c r="I1747" s="6">
        <v>2666573</v>
      </c>
      <c r="J1747" s="7">
        <v>343.41</v>
      </c>
      <c r="K1747" s="9">
        <f>(PricingDataTable[[#This Row],[Current Price ($)]]-PricingDataTable[[#This Row],[Prior Price ($)]])/PricingDataTable[[#This Row],[Prior Price ($)]]</f>
        <v>-1.079767298175777E-2</v>
      </c>
      <c r="L1747" s="9">
        <f>(PricingDataTable[[#This Row],[Vendor Price ($)]]-PricingDataTable[[#This Row],[Current Price ($)]])/PricingDataTable[[#This Row],[Current Price ($)]]</f>
        <v>7.2789914021710882E-4</v>
      </c>
      <c r="M1747" t="str">
        <f t="shared" si="54"/>
        <v>PASS</v>
      </c>
      <c r="N1747" s="10" t="str">
        <f t="shared" si="55"/>
        <v>NONE</v>
      </c>
    </row>
    <row r="1748" spans="1:14">
      <c r="A1748" s="4" t="s">
        <v>3512</v>
      </c>
      <c r="B1748" s="4" t="s">
        <v>3513</v>
      </c>
      <c r="C1748" s="4" t="s">
        <v>16</v>
      </c>
      <c r="D1748" s="4" t="s">
        <v>32</v>
      </c>
      <c r="E1748" s="5">
        <v>102.4457</v>
      </c>
      <c r="F1748" s="5">
        <v>105.51</v>
      </c>
      <c r="G1748" s="5">
        <v>105.6921</v>
      </c>
      <c r="H1748" s="4">
        <v>0</v>
      </c>
      <c r="I1748" s="6">
        <v>4422763</v>
      </c>
      <c r="J1748" s="7">
        <v>624.58000000000004</v>
      </c>
      <c r="K1748" s="9">
        <f>(PricingDataTable[[#This Row],[Current Price ($)]]-PricingDataTable[[#This Row],[Prior Price ($)]])/PricingDataTable[[#This Row],[Prior Price ($)]]</f>
        <v>2.9911455532052617E-2</v>
      </c>
      <c r="L1748" s="9">
        <f>(PricingDataTable[[#This Row],[Vendor Price ($)]]-PricingDataTable[[#This Row],[Current Price ($)]])/PricingDataTable[[#This Row],[Current Price ($)]]</f>
        <v>1.7259027580323312E-3</v>
      </c>
      <c r="M1748" t="str">
        <f t="shared" si="54"/>
        <v>PASS</v>
      </c>
      <c r="N1748" s="10" t="str">
        <f t="shared" si="55"/>
        <v>NONE</v>
      </c>
    </row>
    <row r="1749" spans="1:14">
      <c r="A1749" s="4" t="s">
        <v>3514</v>
      </c>
      <c r="B1749" s="4" t="s">
        <v>3515</v>
      </c>
      <c r="C1749" s="4" t="s">
        <v>16</v>
      </c>
      <c r="D1749" s="4" t="s">
        <v>13</v>
      </c>
      <c r="E1749" s="5">
        <v>79.670400000000001</v>
      </c>
      <c r="F1749" s="5">
        <v>78.212299999999999</v>
      </c>
      <c r="G1749" s="5">
        <v>78.614099999999993</v>
      </c>
      <c r="H1749" s="4">
        <v>4</v>
      </c>
      <c r="I1749" s="6">
        <v>3943837</v>
      </c>
      <c r="J1749" s="7">
        <v>743.98</v>
      </c>
      <c r="K1749" s="9">
        <f>(PricingDataTable[[#This Row],[Current Price ($)]]-PricingDataTable[[#This Row],[Prior Price ($)]])/PricingDataTable[[#This Row],[Prior Price ($)]]</f>
        <v>-1.8301652809575471E-2</v>
      </c>
      <c r="L1749" s="9">
        <f>(PricingDataTable[[#This Row],[Vendor Price ($)]]-PricingDataTable[[#This Row],[Current Price ($)]])/PricingDataTable[[#This Row],[Current Price ($)]]</f>
        <v>5.1372993761850038E-3</v>
      </c>
      <c r="M1749" t="str">
        <f t="shared" si="54"/>
        <v>STALE</v>
      </c>
      <c r="N1749" s="10" t="str">
        <f t="shared" si="55"/>
        <v>LOW</v>
      </c>
    </row>
    <row r="1750" spans="1:14">
      <c r="A1750" s="4" t="s">
        <v>3516</v>
      </c>
      <c r="B1750" s="4" t="s">
        <v>3517</v>
      </c>
      <c r="C1750" s="4" t="s">
        <v>16</v>
      </c>
      <c r="D1750" s="4" t="s">
        <v>32</v>
      </c>
      <c r="E1750" s="5">
        <v>101.0658</v>
      </c>
      <c r="F1750" s="5">
        <v>100.69759999999999</v>
      </c>
      <c r="G1750" s="5">
        <v>100.54470000000001</v>
      </c>
      <c r="H1750" s="4">
        <v>1</v>
      </c>
      <c r="I1750" s="6">
        <v>4499892</v>
      </c>
      <c r="J1750" s="7">
        <v>186.8</v>
      </c>
      <c r="K1750" s="9">
        <f>(PricingDataTable[[#This Row],[Current Price ($)]]-PricingDataTable[[#This Row],[Prior Price ($)]])/PricingDataTable[[#This Row],[Prior Price ($)]]</f>
        <v>-3.6431710826016483E-3</v>
      </c>
      <c r="L1750" s="9">
        <f>(PricingDataTable[[#This Row],[Vendor Price ($)]]-PricingDataTable[[#This Row],[Current Price ($)]])/PricingDataTable[[#This Row],[Current Price ($)]]</f>
        <v>-1.518407588661381E-3</v>
      </c>
      <c r="M1750" t="str">
        <f t="shared" si="54"/>
        <v>PASS</v>
      </c>
      <c r="N1750" s="10" t="str">
        <f t="shared" si="55"/>
        <v>NONE</v>
      </c>
    </row>
    <row r="1751" spans="1:14">
      <c r="A1751" s="4" t="s">
        <v>3518</v>
      </c>
      <c r="B1751" s="4" t="s">
        <v>3519</v>
      </c>
      <c r="C1751" s="4" t="s">
        <v>16</v>
      </c>
      <c r="D1751" s="4" t="s">
        <v>13</v>
      </c>
      <c r="E1751" s="5">
        <v>104.40309999999999</v>
      </c>
      <c r="F1751" s="5">
        <v>103.21339999999999</v>
      </c>
      <c r="G1751" s="5">
        <v>103.3703</v>
      </c>
      <c r="H1751" s="4">
        <v>0</v>
      </c>
      <c r="I1751" s="6">
        <v>4977684</v>
      </c>
      <c r="J1751" s="7">
        <v>693.46</v>
      </c>
      <c r="K1751" s="9">
        <f>(PricingDataTable[[#This Row],[Current Price ($)]]-PricingDataTable[[#This Row],[Prior Price ($)]])/PricingDataTable[[#This Row],[Prior Price ($)]]</f>
        <v>-1.1395255504865297E-2</v>
      </c>
      <c r="L1751" s="9">
        <f>(PricingDataTable[[#This Row],[Vendor Price ($)]]-PricingDataTable[[#This Row],[Current Price ($)]])/PricingDataTable[[#This Row],[Current Price ($)]]</f>
        <v>1.5201514532028533E-3</v>
      </c>
      <c r="M1751" t="str">
        <f t="shared" si="54"/>
        <v>PASS</v>
      </c>
      <c r="N1751" s="10" t="str">
        <f t="shared" si="55"/>
        <v>NONE</v>
      </c>
    </row>
    <row r="1752" spans="1:14">
      <c r="A1752" s="4" t="s">
        <v>3520</v>
      </c>
      <c r="B1752" s="4" t="s">
        <v>3521</v>
      </c>
      <c r="C1752" s="4" t="s">
        <v>19</v>
      </c>
      <c r="D1752" s="4" t="s">
        <v>13</v>
      </c>
      <c r="E1752" s="5">
        <v>233.53469999999999</v>
      </c>
      <c r="F1752" s="5">
        <v>238.58430000000001</v>
      </c>
      <c r="G1752" s="5">
        <v>239.452</v>
      </c>
      <c r="H1752" s="4">
        <v>0</v>
      </c>
      <c r="I1752" s="6">
        <v>2246501</v>
      </c>
      <c r="J1752" s="7">
        <v>836.14</v>
      </c>
      <c r="K1752" s="9">
        <f>(PricingDataTable[[#This Row],[Current Price ($)]]-PricingDataTable[[#This Row],[Prior Price ($)]])/PricingDataTable[[#This Row],[Prior Price ($)]]</f>
        <v>2.162248265461204E-2</v>
      </c>
      <c r="L1752" s="9">
        <f>(PricingDataTable[[#This Row],[Vendor Price ($)]]-PricingDataTable[[#This Row],[Current Price ($)]])/PricingDataTable[[#This Row],[Current Price ($)]]</f>
        <v>3.6368696515235287E-3</v>
      </c>
      <c r="M1752" t="str">
        <f t="shared" si="54"/>
        <v>PASS</v>
      </c>
      <c r="N1752" s="10" t="str">
        <f t="shared" si="55"/>
        <v>NONE</v>
      </c>
    </row>
    <row r="1753" spans="1:14">
      <c r="A1753" s="4" t="s">
        <v>3522</v>
      </c>
      <c r="B1753" s="4" t="s">
        <v>3523</v>
      </c>
      <c r="C1753" s="4" t="s">
        <v>16</v>
      </c>
      <c r="D1753" s="4" t="s">
        <v>64</v>
      </c>
      <c r="E1753" s="5">
        <v>75.215000000000003</v>
      </c>
      <c r="F1753" s="5">
        <v>75.644199999999998</v>
      </c>
      <c r="G1753" s="5">
        <v>75.536199999999994</v>
      </c>
      <c r="H1753" s="4">
        <v>0</v>
      </c>
      <c r="I1753" s="6">
        <v>4019058</v>
      </c>
      <c r="J1753" s="7">
        <v>678.6</v>
      </c>
      <c r="K1753" s="9">
        <f>(PricingDataTable[[#This Row],[Current Price ($)]]-PricingDataTable[[#This Row],[Prior Price ($)]])/PricingDataTable[[#This Row],[Prior Price ($)]]</f>
        <v>5.7063085820646736E-3</v>
      </c>
      <c r="L1753" s="9">
        <f>(PricingDataTable[[#This Row],[Vendor Price ($)]]-PricingDataTable[[#This Row],[Current Price ($)]])/PricingDataTable[[#This Row],[Current Price ($)]]</f>
        <v>-1.4277366936262673E-3</v>
      </c>
      <c r="M1753" t="str">
        <f t="shared" si="54"/>
        <v>PASS</v>
      </c>
      <c r="N1753" s="10" t="str">
        <f t="shared" si="55"/>
        <v>NONE</v>
      </c>
    </row>
    <row r="1754" spans="1:14">
      <c r="A1754" s="4" t="s">
        <v>3524</v>
      </c>
      <c r="B1754" s="4" t="s">
        <v>3525</v>
      </c>
      <c r="C1754" s="4" t="s">
        <v>16</v>
      </c>
      <c r="D1754" s="4" t="s">
        <v>13</v>
      </c>
      <c r="E1754" s="5">
        <v>87.752300000000005</v>
      </c>
      <c r="F1754" s="5">
        <v>88.6708</v>
      </c>
      <c r="G1754" s="5">
        <v>88.779300000000006</v>
      </c>
      <c r="H1754" s="4">
        <v>0</v>
      </c>
      <c r="I1754" s="6">
        <v>2516107</v>
      </c>
      <c r="J1754" s="7">
        <v>383.94</v>
      </c>
      <c r="K1754" s="9">
        <f>(PricingDataTable[[#This Row],[Current Price ($)]]-PricingDataTable[[#This Row],[Prior Price ($)]])/PricingDataTable[[#This Row],[Prior Price ($)]]</f>
        <v>1.0466962119511335E-2</v>
      </c>
      <c r="L1754" s="9">
        <f>(PricingDataTable[[#This Row],[Vendor Price ($)]]-PricingDataTable[[#This Row],[Current Price ($)]])/PricingDataTable[[#This Row],[Current Price ($)]]</f>
        <v>1.2236271692598519E-3</v>
      </c>
      <c r="M1754" t="str">
        <f t="shared" si="54"/>
        <v>PASS</v>
      </c>
      <c r="N1754" s="10" t="str">
        <f t="shared" si="55"/>
        <v>NONE</v>
      </c>
    </row>
    <row r="1755" spans="1:14">
      <c r="A1755" s="4" t="s">
        <v>3526</v>
      </c>
      <c r="B1755" s="4" t="s">
        <v>3527</v>
      </c>
      <c r="C1755" s="4" t="s">
        <v>39</v>
      </c>
      <c r="D1755" s="4" t="s">
        <v>13</v>
      </c>
      <c r="E1755" s="5">
        <v>73.131600000000006</v>
      </c>
      <c r="F1755" s="5">
        <v>74.067599999999999</v>
      </c>
      <c r="G1755" s="5">
        <v>73.927999999999997</v>
      </c>
      <c r="H1755" s="4">
        <v>2</v>
      </c>
      <c r="I1755" s="6">
        <v>1878037</v>
      </c>
      <c r="J1755" s="7">
        <v>500.1</v>
      </c>
      <c r="K1755" s="9">
        <f>(PricingDataTable[[#This Row],[Current Price ($)]]-PricingDataTable[[#This Row],[Prior Price ($)]])/PricingDataTable[[#This Row],[Prior Price ($)]]</f>
        <v>1.2798844822210819E-2</v>
      </c>
      <c r="L1755" s="9">
        <f>(PricingDataTable[[#This Row],[Vendor Price ($)]]-PricingDataTable[[#This Row],[Current Price ($)]])/PricingDataTable[[#This Row],[Current Price ($)]]</f>
        <v>-1.8847647284372857E-3</v>
      </c>
      <c r="M1755" t="str">
        <f t="shared" si="54"/>
        <v>PASS</v>
      </c>
      <c r="N1755" s="10" t="str">
        <f t="shared" si="55"/>
        <v>NONE</v>
      </c>
    </row>
    <row r="1756" spans="1:14">
      <c r="A1756" s="4" t="s">
        <v>3528</v>
      </c>
      <c r="B1756" s="4" t="s">
        <v>3529</v>
      </c>
      <c r="C1756" s="4" t="s">
        <v>35</v>
      </c>
      <c r="D1756" s="4" t="s">
        <v>32</v>
      </c>
      <c r="E1756" s="5">
        <v>85.507400000000004</v>
      </c>
      <c r="F1756" s="5">
        <v>87.708200000000005</v>
      </c>
      <c r="G1756" s="5">
        <v>87.397199999999998</v>
      </c>
      <c r="H1756" s="4">
        <v>0</v>
      </c>
      <c r="I1756" s="6">
        <v>4033667</v>
      </c>
      <c r="J1756" s="7">
        <v>587.29999999999995</v>
      </c>
      <c r="K1756" s="9">
        <f>(PricingDataTable[[#This Row],[Current Price ($)]]-PricingDataTable[[#This Row],[Prior Price ($)]])/PricingDataTable[[#This Row],[Prior Price ($)]]</f>
        <v>2.573812325015146E-2</v>
      </c>
      <c r="L1756" s="9">
        <f>(PricingDataTable[[#This Row],[Vendor Price ($)]]-PricingDataTable[[#This Row],[Current Price ($)]])/PricingDataTable[[#This Row],[Current Price ($)]]</f>
        <v>-3.5458486207675796E-3</v>
      </c>
      <c r="M1756" t="str">
        <f t="shared" si="54"/>
        <v>PASS</v>
      </c>
      <c r="N1756" s="10" t="str">
        <f t="shared" si="55"/>
        <v>NONE</v>
      </c>
    </row>
    <row r="1757" spans="1:14">
      <c r="A1757" s="4" t="s">
        <v>3530</v>
      </c>
      <c r="B1757" s="4" t="s">
        <v>3531</v>
      </c>
      <c r="C1757" s="4" t="s">
        <v>19</v>
      </c>
      <c r="D1757" s="4" t="s">
        <v>13</v>
      </c>
      <c r="E1757" s="5">
        <v>10.9481</v>
      </c>
      <c r="F1757" s="5">
        <v>11.0098</v>
      </c>
      <c r="G1757" s="5">
        <v>10.999599999999999</v>
      </c>
      <c r="H1757" s="4">
        <v>2</v>
      </c>
      <c r="I1757" s="6">
        <v>2435939</v>
      </c>
      <c r="J1757" s="7">
        <v>440.08</v>
      </c>
      <c r="K1757" s="9">
        <f>(PricingDataTable[[#This Row],[Current Price ($)]]-PricingDataTable[[#This Row],[Prior Price ($)]])/PricingDataTable[[#This Row],[Prior Price ($)]]</f>
        <v>5.6356810770818756E-3</v>
      </c>
      <c r="L1757" s="9">
        <f>(PricingDataTable[[#This Row],[Vendor Price ($)]]-PricingDataTable[[#This Row],[Current Price ($)]])/PricingDataTable[[#This Row],[Current Price ($)]]</f>
        <v>-9.264473469092169E-4</v>
      </c>
      <c r="M1757" t="str">
        <f t="shared" si="54"/>
        <v>PASS</v>
      </c>
      <c r="N1757" s="10" t="str">
        <f t="shared" si="55"/>
        <v>NONE</v>
      </c>
    </row>
    <row r="1758" spans="1:14">
      <c r="A1758" s="4" t="s">
        <v>3532</v>
      </c>
      <c r="B1758" s="4" t="s">
        <v>3533</v>
      </c>
      <c r="C1758" s="4" t="s">
        <v>19</v>
      </c>
      <c r="D1758" s="4" t="s">
        <v>13</v>
      </c>
      <c r="E1758" s="5">
        <v>298.27809999999999</v>
      </c>
      <c r="F1758" s="5">
        <v>296.88339999999999</v>
      </c>
      <c r="G1758" s="5">
        <v>295.97820000000002</v>
      </c>
      <c r="H1758" s="4">
        <v>1</v>
      </c>
      <c r="I1758" s="6">
        <v>1010229</v>
      </c>
      <c r="J1758" s="7">
        <v>610.13</v>
      </c>
      <c r="K1758" s="9">
        <f>(PricingDataTable[[#This Row],[Current Price ($)]]-PricingDataTable[[#This Row],[Prior Price ($)]])/PricingDataTable[[#This Row],[Prior Price ($)]]</f>
        <v>-4.6758377500728358E-3</v>
      </c>
      <c r="L1758" s="9">
        <f>(PricingDataTable[[#This Row],[Vendor Price ($)]]-PricingDataTable[[#This Row],[Current Price ($)]])/PricingDataTable[[#This Row],[Current Price ($)]]</f>
        <v>-3.0490084659498622E-3</v>
      </c>
      <c r="M1758" t="str">
        <f t="shared" si="54"/>
        <v>PASS</v>
      </c>
      <c r="N1758" s="10" t="str">
        <f t="shared" si="55"/>
        <v>NONE</v>
      </c>
    </row>
    <row r="1759" spans="1:14">
      <c r="A1759" s="4" t="s">
        <v>3534</v>
      </c>
      <c r="B1759" s="4" t="s">
        <v>3535</v>
      </c>
      <c r="C1759" s="4" t="s">
        <v>19</v>
      </c>
      <c r="D1759" s="4" t="s">
        <v>13</v>
      </c>
      <c r="E1759" s="5">
        <v>216.59059999999999</v>
      </c>
      <c r="F1759" s="5">
        <v>215.0513</v>
      </c>
      <c r="G1759" s="5">
        <v>215.57810000000001</v>
      </c>
      <c r="H1759" s="4">
        <v>0</v>
      </c>
      <c r="I1759" s="6">
        <v>4396757</v>
      </c>
      <c r="J1759" s="7">
        <v>769.25</v>
      </c>
      <c r="K1759" s="9">
        <f>(PricingDataTable[[#This Row],[Current Price ($)]]-PricingDataTable[[#This Row],[Prior Price ($)]])/PricingDataTable[[#This Row],[Prior Price ($)]]</f>
        <v>-7.1069566269265482E-3</v>
      </c>
      <c r="L1759" s="9">
        <f>(PricingDataTable[[#This Row],[Vendor Price ($)]]-PricingDataTable[[#This Row],[Current Price ($)]])/PricingDataTable[[#This Row],[Current Price ($)]]</f>
        <v>2.4496480607185756E-3</v>
      </c>
      <c r="M1759" t="str">
        <f t="shared" si="54"/>
        <v>PASS</v>
      </c>
      <c r="N1759" s="10" t="str">
        <f t="shared" si="55"/>
        <v>NONE</v>
      </c>
    </row>
    <row r="1760" spans="1:14">
      <c r="A1760" s="4" t="s">
        <v>3536</v>
      </c>
      <c r="B1760" s="4" t="s">
        <v>3537</v>
      </c>
      <c r="C1760" s="4" t="s">
        <v>39</v>
      </c>
      <c r="D1760" s="4" t="s">
        <v>13</v>
      </c>
      <c r="E1760" s="5">
        <v>218.32769999999999</v>
      </c>
      <c r="F1760" s="5">
        <v>217.28739999999999</v>
      </c>
      <c r="G1760" s="5">
        <v>217.57499999999999</v>
      </c>
      <c r="H1760" s="4">
        <v>0</v>
      </c>
      <c r="I1760" s="6">
        <v>3058893</v>
      </c>
      <c r="J1760" s="7">
        <v>176.81</v>
      </c>
      <c r="K1760" s="9">
        <f>(PricingDataTable[[#This Row],[Current Price ($)]]-PricingDataTable[[#This Row],[Prior Price ($)]])/PricingDataTable[[#This Row],[Prior Price ($)]]</f>
        <v>-4.7648557649808158E-3</v>
      </c>
      <c r="L1760" s="9">
        <f>(PricingDataTable[[#This Row],[Vendor Price ($)]]-PricingDataTable[[#This Row],[Current Price ($)]])/PricingDataTable[[#This Row],[Current Price ($)]]</f>
        <v>1.3235926243307143E-3</v>
      </c>
      <c r="M1760" t="str">
        <f t="shared" si="54"/>
        <v>PASS</v>
      </c>
      <c r="N1760" s="10" t="str">
        <f t="shared" si="55"/>
        <v>NONE</v>
      </c>
    </row>
    <row r="1761" spans="1:14">
      <c r="A1761" s="4" t="s">
        <v>3538</v>
      </c>
      <c r="B1761" s="4" t="s">
        <v>3539</v>
      </c>
      <c r="C1761" s="4" t="s">
        <v>19</v>
      </c>
      <c r="D1761" s="4" t="s">
        <v>13</v>
      </c>
      <c r="E1761" s="5">
        <v>51.497</v>
      </c>
      <c r="F1761" s="5">
        <v>51.705800000000004</v>
      </c>
      <c r="G1761" s="5">
        <v>51.738199999999999</v>
      </c>
      <c r="H1761" s="4">
        <v>1</v>
      </c>
      <c r="I1761" s="6">
        <v>2387675</v>
      </c>
      <c r="J1761" s="7">
        <v>430.52</v>
      </c>
      <c r="K1761" s="9">
        <f>(PricingDataTable[[#This Row],[Current Price ($)]]-PricingDataTable[[#This Row],[Prior Price ($)]])/PricingDataTable[[#This Row],[Prior Price ($)]]</f>
        <v>4.0546051226285733E-3</v>
      </c>
      <c r="L1761" s="9">
        <f>(PricingDataTable[[#This Row],[Vendor Price ($)]]-PricingDataTable[[#This Row],[Current Price ($)]])/PricingDataTable[[#This Row],[Current Price ($)]]</f>
        <v>6.2662215844248696E-4</v>
      </c>
      <c r="M1761" t="str">
        <f t="shared" si="54"/>
        <v>PASS</v>
      </c>
      <c r="N1761" s="10" t="str">
        <f t="shared" si="55"/>
        <v>NONE</v>
      </c>
    </row>
    <row r="1762" spans="1:14">
      <c r="A1762" s="4" t="s">
        <v>3540</v>
      </c>
      <c r="B1762" s="4" t="s">
        <v>3541</v>
      </c>
      <c r="C1762" s="4" t="s">
        <v>19</v>
      </c>
      <c r="D1762" s="4" t="s">
        <v>13</v>
      </c>
      <c r="E1762" s="5">
        <v>176.55189999999999</v>
      </c>
      <c r="F1762" s="5">
        <v>175.88929999999999</v>
      </c>
      <c r="G1762" s="5">
        <v>175.6884</v>
      </c>
      <c r="H1762" s="4">
        <v>1</v>
      </c>
      <c r="I1762" s="6">
        <v>1270968</v>
      </c>
      <c r="J1762" s="7">
        <v>377.27</v>
      </c>
      <c r="K1762" s="9">
        <f>(PricingDataTable[[#This Row],[Current Price ($)]]-PricingDataTable[[#This Row],[Prior Price ($)]])/PricingDataTable[[#This Row],[Prior Price ($)]]</f>
        <v>-3.7530040741560848E-3</v>
      </c>
      <c r="L1762" s="9">
        <f>(PricingDataTable[[#This Row],[Vendor Price ($)]]-PricingDataTable[[#This Row],[Current Price ($)]])/PricingDataTable[[#This Row],[Current Price ($)]]</f>
        <v>-1.1421956878558848E-3</v>
      </c>
      <c r="M1762" t="str">
        <f t="shared" si="54"/>
        <v>PASS</v>
      </c>
      <c r="N1762" s="10" t="str">
        <f t="shared" si="55"/>
        <v>NONE</v>
      </c>
    </row>
    <row r="1763" spans="1:14">
      <c r="A1763" s="4" t="s">
        <v>3542</v>
      </c>
      <c r="B1763" s="4" t="s">
        <v>3543</v>
      </c>
      <c r="C1763" s="4" t="s">
        <v>19</v>
      </c>
      <c r="D1763" s="4" t="s">
        <v>13</v>
      </c>
      <c r="E1763" s="5">
        <v>199.6996</v>
      </c>
      <c r="F1763" s="5">
        <v>198.98240000000001</v>
      </c>
      <c r="G1763" s="5">
        <v>198.1123</v>
      </c>
      <c r="H1763" s="4">
        <v>0</v>
      </c>
      <c r="I1763" s="6">
        <v>1706471</v>
      </c>
      <c r="J1763" s="7">
        <v>198.75</v>
      </c>
      <c r="K1763" s="9">
        <f>(PricingDataTable[[#This Row],[Current Price ($)]]-PricingDataTable[[#This Row],[Prior Price ($)]])/PricingDataTable[[#This Row],[Prior Price ($)]]</f>
        <v>-3.5913942741998038E-3</v>
      </c>
      <c r="L1763" s="9">
        <f>(PricingDataTable[[#This Row],[Vendor Price ($)]]-PricingDataTable[[#This Row],[Current Price ($)]])/PricingDataTable[[#This Row],[Current Price ($)]]</f>
        <v>-4.3727485445949378E-3</v>
      </c>
      <c r="M1763" t="str">
        <f t="shared" si="54"/>
        <v>PASS</v>
      </c>
      <c r="N1763" s="10" t="str">
        <f t="shared" si="55"/>
        <v>NONE</v>
      </c>
    </row>
    <row r="1764" spans="1:14">
      <c r="A1764" s="4" t="s">
        <v>3544</v>
      </c>
      <c r="B1764" s="4" t="s">
        <v>3545</v>
      </c>
      <c r="C1764" s="4" t="s">
        <v>16</v>
      </c>
      <c r="D1764" s="4" t="s">
        <v>13</v>
      </c>
      <c r="E1764" s="5">
        <v>99.599800000000002</v>
      </c>
      <c r="F1764" s="5">
        <v>100.2509</v>
      </c>
      <c r="G1764" s="5">
        <v>100.35380000000001</v>
      </c>
      <c r="H1764" s="4">
        <v>0</v>
      </c>
      <c r="I1764" s="6">
        <v>4240244</v>
      </c>
      <c r="J1764" s="7">
        <v>831.73</v>
      </c>
      <c r="K1764" s="9">
        <f>(PricingDataTable[[#This Row],[Current Price ($)]]-PricingDataTable[[#This Row],[Prior Price ($)]])/PricingDataTable[[#This Row],[Prior Price ($)]]</f>
        <v>6.5371617212082707E-3</v>
      </c>
      <c r="L1764" s="9">
        <f>(PricingDataTable[[#This Row],[Vendor Price ($)]]-PricingDataTable[[#This Row],[Current Price ($)]])/PricingDataTable[[#This Row],[Current Price ($)]]</f>
        <v>1.0264247004266825E-3</v>
      </c>
      <c r="M1764" t="str">
        <f t="shared" si="54"/>
        <v>PASS</v>
      </c>
      <c r="N1764" s="10" t="str">
        <f t="shared" si="55"/>
        <v>NONE</v>
      </c>
    </row>
    <row r="1765" spans="1:14">
      <c r="A1765" s="4" t="s">
        <v>3546</v>
      </c>
      <c r="B1765" s="4" t="s">
        <v>3547</v>
      </c>
      <c r="C1765" s="4" t="s">
        <v>39</v>
      </c>
      <c r="D1765" s="4" t="s">
        <v>13</v>
      </c>
      <c r="E1765" s="5">
        <v>90.1023</v>
      </c>
      <c r="F1765" s="5">
        <v>91.336699999999993</v>
      </c>
      <c r="G1765" s="5">
        <v>91.8018</v>
      </c>
      <c r="H1765" s="4">
        <v>0</v>
      </c>
      <c r="I1765" s="6">
        <v>3551751</v>
      </c>
      <c r="J1765" s="7">
        <v>328.51</v>
      </c>
      <c r="K1765" s="9">
        <f>(PricingDataTable[[#This Row],[Current Price ($)]]-PricingDataTable[[#This Row],[Prior Price ($)]])/PricingDataTable[[#This Row],[Prior Price ($)]]</f>
        <v>1.3699983241271241E-2</v>
      </c>
      <c r="L1765" s="9">
        <f>(PricingDataTable[[#This Row],[Vendor Price ($)]]-PricingDataTable[[#This Row],[Current Price ($)]])/PricingDataTable[[#This Row],[Current Price ($)]]</f>
        <v>5.0921480631554101E-3</v>
      </c>
      <c r="M1765" t="str">
        <f t="shared" si="54"/>
        <v>PASS</v>
      </c>
      <c r="N1765" s="10" t="str">
        <f t="shared" si="55"/>
        <v>NONE</v>
      </c>
    </row>
    <row r="1766" spans="1:14">
      <c r="A1766" s="4" t="s">
        <v>3548</v>
      </c>
      <c r="B1766" s="4" t="s">
        <v>3549</v>
      </c>
      <c r="C1766" s="4" t="s">
        <v>19</v>
      </c>
      <c r="D1766" s="4" t="s">
        <v>13</v>
      </c>
      <c r="E1766" s="5">
        <v>98.243399999999994</v>
      </c>
      <c r="F1766" s="5"/>
      <c r="G1766" s="5">
        <v>99.773399999999995</v>
      </c>
      <c r="H1766" s="4">
        <v>0</v>
      </c>
      <c r="I1766" s="6">
        <v>1185892</v>
      </c>
      <c r="J1766" s="7">
        <v>18.91</v>
      </c>
      <c r="K1766" s="9">
        <f>(PricingDataTable[[#This Row],[Current Price ($)]]-PricingDataTable[[#This Row],[Prior Price ($)]])/PricingDataTable[[#This Row],[Prior Price ($)]]</f>
        <v>-1</v>
      </c>
      <c r="L1766" s="9" t="e">
        <f>(PricingDataTable[[#This Row],[Vendor Price ($)]]-PricingDataTable[[#This Row],[Current Price ($)]])/PricingDataTable[[#This Row],[Current Price ($)]]</f>
        <v>#DIV/0!</v>
      </c>
      <c r="M1766" t="str">
        <f t="shared" si="54"/>
        <v>MISSING</v>
      </c>
      <c r="N1766" s="10" t="str">
        <f t="shared" si="55"/>
        <v>HIGH</v>
      </c>
    </row>
    <row r="1767" spans="1:14">
      <c r="A1767" s="4" t="s">
        <v>3550</v>
      </c>
      <c r="B1767" s="4" t="s">
        <v>3551</v>
      </c>
      <c r="C1767" s="4" t="s">
        <v>19</v>
      </c>
      <c r="D1767" s="4" t="s">
        <v>13</v>
      </c>
      <c r="E1767" s="5">
        <v>136.9307</v>
      </c>
      <c r="F1767" s="5">
        <v>150.98330000000001</v>
      </c>
      <c r="G1767" s="5">
        <v>151.0043</v>
      </c>
      <c r="H1767" s="4">
        <v>0</v>
      </c>
      <c r="I1767" s="6">
        <v>1703201</v>
      </c>
      <c r="J1767" s="7">
        <v>656.72</v>
      </c>
      <c r="K1767" s="9">
        <f>(PricingDataTable[[#This Row],[Current Price ($)]]-PricingDataTable[[#This Row],[Prior Price ($)]])/PricingDataTable[[#This Row],[Prior Price ($)]]</f>
        <v>0.10262563471887613</v>
      </c>
      <c r="L1767" s="9">
        <f>(PricingDataTable[[#This Row],[Vendor Price ($)]]-PricingDataTable[[#This Row],[Current Price ($)]])/PricingDataTable[[#This Row],[Current Price ($)]]</f>
        <v>1.390882302876317E-4</v>
      </c>
      <c r="M1767" t="str">
        <f t="shared" si="54"/>
        <v>LARGE MOVE</v>
      </c>
      <c r="N1767" s="10" t="str">
        <f t="shared" si="55"/>
        <v>HIGH</v>
      </c>
    </row>
    <row r="1768" spans="1:14">
      <c r="A1768" s="4" t="s">
        <v>3552</v>
      </c>
      <c r="B1768" s="4" t="s">
        <v>3553</v>
      </c>
      <c r="C1768" s="4" t="s">
        <v>35</v>
      </c>
      <c r="D1768" s="4" t="s">
        <v>13</v>
      </c>
      <c r="E1768" s="5">
        <v>76.903899999999993</v>
      </c>
      <c r="F1768" s="5">
        <v>76.542599999999993</v>
      </c>
      <c r="G1768" s="5">
        <v>76.409400000000005</v>
      </c>
      <c r="H1768" s="4">
        <v>2</v>
      </c>
      <c r="I1768" s="6">
        <v>489321</v>
      </c>
      <c r="J1768" s="7">
        <v>51.37</v>
      </c>
      <c r="K1768" s="9">
        <f>(PricingDataTable[[#This Row],[Current Price ($)]]-PricingDataTable[[#This Row],[Prior Price ($)]])/PricingDataTable[[#This Row],[Prior Price ($)]]</f>
        <v>-4.698071229157429E-3</v>
      </c>
      <c r="L1768" s="9">
        <f>(PricingDataTable[[#This Row],[Vendor Price ($)]]-PricingDataTable[[#This Row],[Current Price ($)]])/PricingDataTable[[#This Row],[Current Price ($)]]</f>
        <v>-1.7402074139105284E-3</v>
      </c>
      <c r="M1768" t="str">
        <f t="shared" si="54"/>
        <v>PASS</v>
      </c>
      <c r="N1768" s="10" t="str">
        <f t="shared" si="55"/>
        <v>NONE</v>
      </c>
    </row>
    <row r="1769" spans="1:14">
      <c r="A1769" s="4" t="s">
        <v>3554</v>
      </c>
      <c r="B1769" s="4" t="s">
        <v>3555</v>
      </c>
      <c r="C1769" s="4" t="s">
        <v>19</v>
      </c>
      <c r="D1769" s="4" t="s">
        <v>64</v>
      </c>
      <c r="E1769" s="5">
        <v>209.31630000000001</v>
      </c>
      <c r="F1769" s="5">
        <v>211.80500000000001</v>
      </c>
      <c r="G1769" s="5">
        <v>234.553</v>
      </c>
      <c r="H1769" s="4">
        <v>0</v>
      </c>
      <c r="I1769" s="6">
        <v>1935756</v>
      </c>
      <c r="J1769" s="7">
        <v>302.45999999999998</v>
      </c>
      <c r="K1769" s="9">
        <f>(PricingDataTable[[#This Row],[Current Price ($)]]-PricingDataTable[[#This Row],[Prior Price ($)]])/PricingDataTable[[#This Row],[Prior Price ($)]]</f>
        <v>1.1889661722474524E-2</v>
      </c>
      <c r="L1769" s="9">
        <f>(PricingDataTable[[#This Row],[Vendor Price ($)]]-PricingDataTable[[#This Row],[Current Price ($)]])/PricingDataTable[[#This Row],[Current Price ($)]]</f>
        <v>0.10740067514931181</v>
      </c>
      <c r="M1769" t="str">
        <f t="shared" si="54"/>
        <v>VENDOR DIFFERENCE</v>
      </c>
      <c r="N1769" s="10" t="str">
        <f t="shared" si="55"/>
        <v>HIGH</v>
      </c>
    </row>
    <row r="1770" spans="1:14">
      <c r="A1770" s="4" t="s">
        <v>3556</v>
      </c>
      <c r="B1770" s="4" t="s">
        <v>3557</v>
      </c>
      <c r="C1770" s="4" t="s">
        <v>19</v>
      </c>
      <c r="D1770" s="4" t="s">
        <v>64</v>
      </c>
      <c r="E1770" s="5">
        <v>213.2467</v>
      </c>
      <c r="F1770" s="5">
        <v>214.90459999999999</v>
      </c>
      <c r="G1770" s="5">
        <v>215.78800000000001</v>
      </c>
      <c r="H1770" s="4">
        <v>3</v>
      </c>
      <c r="I1770" s="6">
        <v>3500383</v>
      </c>
      <c r="J1770" s="7">
        <v>382.34</v>
      </c>
      <c r="K1770" s="9">
        <f>(PricingDataTable[[#This Row],[Current Price ($)]]-PricingDataTable[[#This Row],[Prior Price ($)]])/PricingDataTable[[#This Row],[Prior Price ($)]]</f>
        <v>7.7745634516266076E-3</v>
      </c>
      <c r="L1770" s="9">
        <f>(PricingDataTable[[#This Row],[Vendor Price ($)]]-PricingDataTable[[#This Row],[Current Price ($)]])/PricingDataTable[[#This Row],[Current Price ($)]]</f>
        <v>4.1106611957120653E-3</v>
      </c>
      <c r="M1770" t="str">
        <f t="shared" si="54"/>
        <v>STALE</v>
      </c>
      <c r="N1770" s="10" t="str">
        <f t="shared" si="55"/>
        <v>LOW</v>
      </c>
    </row>
    <row r="1771" spans="1:14">
      <c r="A1771" s="4" t="s">
        <v>3558</v>
      </c>
      <c r="B1771" s="4" t="s">
        <v>3559</v>
      </c>
      <c r="C1771" s="4" t="s">
        <v>16</v>
      </c>
      <c r="D1771" s="4" t="s">
        <v>13</v>
      </c>
      <c r="E1771" s="5">
        <v>107.1349</v>
      </c>
      <c r="F1771" s="5">
        <v>104.7955</v>
      </c>
      <c r="G1771" s="5">
        <v>104.75279999999999</v>
      </c>
      <c r="H1771" s="4">
        <v>0</v>
      </c>
      <c r="I1771" s="6">
        <v>4799942</v>
      </c>
      <c r="J1771" s="7">
        <v>272.93</v>
      </c>
      <c r="K1771" s="9">
        <f>(PricingDataTable[[#This Row],[Current Price ($)]]-PricingDataTable[[#This Row],[Prior Price ($)]])/PricingDataTable[[#This Row],[Prior Price ($)]]</f>
        <v>-2.1836021688544049E-2</v>
      </c>
      <c r="L1771" s="9">
        <f>(PricingDataTable[[#This Row],[Vendor Price ($)]]-PricingDataTable[[#This Row],[Current Price ($)]])/PricingDataTable[[#This Row],[Current Price ($)]]</f>
        <v>-4.0746024399912798E-4</v>
      </c>
      <c r="M1771" t="str">
        <f t="shared" si="54"/>
        <v>PASS</v>
      </c>
      <c r="N1771" s="10" t="str">
        <f t="shared" si="55"/>
        <v>NONE</v>
      </c>
    </row>
    <row r="1772" spans="1:14">
      <c r="A1772" s="4" t="s">
        <v>3560</v>
      </c>
      <c r="B1772" s="4" t="s">
        <v>3561</v>
      </c>
      <c r="C1772" s="4" t="s">
        <v>39</v>
      </c>
      <c r="D1772" s="4" t="s">
        <v>64</v>
      </c>
      <c r="E1772" s="5">
        <v>306.16070000000002</v>
      </c>
      <c r="F1772" s="5">
        <v>308.36079999999998</v>
      </c>
      <c r="G1772" s="5">
        <v>308.01589999999999</v>
      </c>
      <c r="H1772" s="4">
        <v>0</v>
      </c>
      <c r="I1772" s="6">
        <v>1780147</v>
      </c>
      <c r="J1772" s="7">
        <v>606.97</v>
      </c>
      <c r="K1772" s="9">
        <f>(PricingDataTable[[#This Row],[Current Price ($)]]-PricingDataTable[[#This Row],[Prior Price ($)]])/PricingDataTable[[#This Row],[Prior Price ($)]]</f>
        <v>7.186095406758488E-3</v>
      </c>
      <c r="L1772" s="9">
        <f>(PricingDataTable[[#This Row],[Vendor Price ($)]]-PricingDataTable[[#This Row],[Current Price ($)]])/PricingDataTable[[#This Row],[Current Price ($)]]</f>
        <v>-1.1184949578545507E-3</v>
      </c>
      <c r="M1772" t="str">
        <f t="shared" si="54"/>
        <v>PASS</v>
      </c>
      <c r="N1772" s="10" t="str">
        <f t="shared" si="55"/>
        <v>NONE</v>
      </c>
    </row>
    <row r="1773" spans="1:14">
      <c r="A1773" s="4" t="s">
        <v>3562</v>
      </c>
      <c r="B1773" s="4" t="s">
        <v>3563</v>
      </c>
      <c r="C1773" s="4" t="s">
        <v>19</v>
      </c>
      <c r="D1773" s="4" t="s">
        <v>13</v>
      </c>
      <c r="E1773" s="5">
        <v>178.04060000000001</v>
      </c>
      <c r="F1773" s="5">
        <v>178.721</v>
      </c>
      <c r="G1773" s="5">
        <v>179.2799</v>
      </c>
      <c r="H1773" s="4">
        <v>0</v>
      </c>
      <c r="I1773" s="6">
        <v>2588254</v>
      </c>
      <c r="J1773" s="7">
        <v>126.11</v>
      </c>
      <c r="K1773" s="9">
        <f>(PricingDataTable[[#This Row],[Current Price ($)]]-PricingDataTable[[#This Row],[Prior Price ($)]])/PricingDataTable[[#This Row],[Prior Price ($)]]</f>
        <v>3.8216002417425666E-3</v>
      </c>
      <c r="L1773" s="9">
        <f>(PricingDataTable[[#This Row],[Vendor Price ($)]]-PricingDataTable[[#This Row],[Current Price ($)]])/PricingDataTable[[#This Row],[Current Price ($)]]</f>
        <v>3.1272206399919102E-3</v>
      </c>
      <c r="M1773" t="str">
        <f t="shared" si="54"/>
        <v>PASS</v>
      </c>
      <c r="N1773" s="10" t="str">
        <f t="shared" si="55"/>
        <v>NONE</v>
      </c>
    </row>
    <row r="1774" spans="1:14">
      <c r="A1774" s="4" t="s">
        <v>3564</v>
      </c>
      <c r="B1774" s="4" t="s">
        <v>3565</v>
      </c>
      <c r="C1774" s="4" t="s">
        <v>19</v>
      </c>
      <c r="D1774" s="4" t="s">
        <v>237</v>
      </c>
      <c r="E1774" s="5">
        <v>258.83870000000002</v>
      </c>
      <c r="F1774" s="5">
        <v>258.375</v>
      </c>
      <c r="G1774" s="5">
        <v>258.52229999999997</v>
      </c>
      <c r="H1774" s="4">
        <v>0</v>
      </c>
      <c r="I1774" s="6">
        <v>4271532</v>
      </c>
      <c r="J1774" s="7">
        <v>445.82</v>
      </c>
      <c r="K1774" s="9">
        <f>(PricingDataTable[[#This Row],[Current Price ($)]]-PricingDataTable[[#This Row],[Prior Price ($)]])/PricingDataTable[[#This Row],[Prior Price ($)]]</f>
        <v>-1.7914631776469944E-3</v>
      </c>
      <c r="L1774" s="9">
        <f>(PricingDataTable[[#This Row],[Vendor Price ($)]]-PricingDataTable[[#This Row],[Current Price ($)]])/PricingDataTable[[#This Row],[Current Price ($)]]</f>
        <v>5.7010159651658596E-4</v>
      </c>
      <c r="M1774" t="str">
        <f t="shared" si="54"/>
        <v>PASS</v>
      </c>
      <c r="N1774" s="10" t="str">
        <f t="shared" si="55"/>
        <v>NONE</v>
      </c>
    </row>
    <row r="1775" spans="1:14">
      <c r="A1775" s="4" t="s">
        <v>3566</v>
      </c>
      <c r="B1775" s="4" t="s">
        <v>3567</v>
      </c>
      <c r="C1775" s="4" t="s">
        <v>12</v>
      </c>
      <c r="D1775" s="4" t="s">
        <v>13</v>
      </c>
      <c r="E1775" s="5">
        <v>122.90949999999999</v>
      </c>
      <c r="F1775" s="5">
        <v>121.9984</v>
      </c>
      <c r="G1775" s="5">
        <v>122.14360000000001</v>
      </c>
      <c r="H1775" s="4">
        <v>0</v>
      </c>
      <c r="I1775" s="6">
        <v>3327185</v>
      </c>
      <c r="J1775" s="7">
        <v>791.21</v>
      </c>
      <c r="K1775" s="9">
        <f>(PricingDataTable[[#This Row],[Current Price ($)]]-PricingDataTable[[#This Row],[Prior Price ($)]])/PricingDataTable[[#This Row],[Prior Price ($)]]</f>
        <v>-7.4127711853029304E-3</v>
      </c>
      <c r="L1775" s="9">
        <f>(PricingDataTable[[#This Row],[Vendor Price ($)]]-PricingDataTable[[#This Row],[Current Price ($)]])/PricingDataTable[[#This Row],[Current Price ($)]]</f>
        <v>1.1901795433382951E-3</v>
      </c>
      <c r="M1775" t="str">
        <f t="shared" si="54"/>
        <v>PASS</v>
      </c>
      <c r="N1775" s="10" t="str">
        <f t="shared" si="55"/>
        <v>NONE</v>
      </c>
    </row>
    <row r="1776" spans="1:14">
      <c r="A1776" s="4" t="s">
        <v>3568</v>
      </c>
      <c r="B1776" s="4" t="s">
        <v>3569</v>
      </c>
      <c r="C1776" s="4" t="s">
        <v>16</v>
      </c>
      <c r="D1776" s="4" t="s">
        <v>13</v>
      </c>
      <c r="E1776" s="5">
        <v>104.6062</v>
      </c>
      <c r="F1776" s="5">
        <v>105.1438</v>
      </c>
      <c r="G1776" s="5">
        <v>105.45099999999999</v>
      </c>
      <c r="H1776" s="4">
        <v>0</v>
      </c>
      <c r="I1776" s="6">
        <v>3755290</v>
      </c>
      <c r="J1776" s="7">
        <v>579.29</v>
      </c>
      <c r="K1776" s="9">
        <f>(PricingDataTable[[#This Row],[Current Price ($)]]-PricingDataTable[[#This Row],[Prior Price ($)]])/PricingDataTable[[#This Row],[Prior Price ($)]]</f>
        <v>5.1392747275017889E-3</v>
      </c>
      <c r="L1776" s="9">
        <f>(PricingDataTable[[#This Row],[Vendor Price ($)]]-PricingDataTable[[#This Row],[Current Price ($)]])/PricingDataTable[[#This Row],[Current Price ($)]]</f>
        <v>2.9217129302916063E-3</v>
      </c>
      <c r="M1776" t="str">
        <f t="shared" si="54"/>
        <v>PASS</v>
      </c>
      <c r="N1776" s="10" t="str">
        <f t="shared" si="55"/>
        <v>NONE</v>
      </c>
    </row>
    <row r="1777" spans="1:14">
      <c r="A1777" s="4" t="s">
        <v>3570</v>
      </c>
      <c r="B1777" s="4" t="s">
        <v>3571</v>
      </c>
      <c r="C1777" s="4" t="s">
        <v>35</v>
      </c>
      <c r="D1777" s="4" t="s">
        <v>13</v>
      </c>
      <c r="E1777" s="5">
        <v>35.332500000000003</v>
      </c>
      <c r="F1777" s="5">
        <v>35.831299999999999</v>
      </c>
      <c r="G1777" s="5">
        <v>35.758400000000002</v>
      </c>
      <c r="H1777" s="4">
        <v>0</v>
      </c>
      <c r="I1777" s="6">
        <v>2029679</v>
      </c>
      <c r="J1777" s="7">
        <v>727.62</v>
      </c>
      <c r="K1777" s="9">
        <f>(PricingDataTable[[#This Row],[Current Price ($)]]-PricingDataTable[[#This Row],[Prior Price ($)]])/PricingDataTable[[#This Row],[Prior Price ($)]]</f>
        <v>1.4117314087596282E-2</v>
      </c>
      <c r="L1777" s="9">
        <f>(PricingDataTable[[#This Row],[Vendor Price ($)]]-PricingDataTable[[#This Row],[Current Price ($)]])/PricingDataTable[[#This Row],[Current Price ($)]]</f>
        <v>-2.0345340526298815E-3</v>
      </c>
      <c r="M1777" t="str">
        <f t="shared" si="54"/>
        <v>PASS</v>
      </c>
      <c r="N1777" s="10" t="str">
        <f t="shared" si="55"/>
        <v>NONE</v>
      </c>
    </row>
    <row r="1778" spans="1:14">
      <c r="A1778" s="4" t="s">
        <v>3572</v>
      </c>
      <c r="B1778" s="4" t="s">
        <v>3573</v>
      </c>
      <c r="C1778" s="4" t="s">
        <v>19</v>
      </c>
      <c r="D1778" s="4" t="s">
        <v>13</v>
      </c>
      <c r="E1778" s="5">
        <v>220.8905</v>
      </c>
      <c r="F1778" s="5">
        <v>219.3785</v>
      </c>
      <c r="G1778" s="5">
        <v>219.42529999999999</v>
      </c>
      <c r="H1778" s="4">
        <v>0</v>
      </c>
      <c r="I1778" s="6">
        <v>1577730</v>
      </c>
      <c r="J1778" s="7">
        <v>820.94</v>
      </c>
      <c r="K1778" s="9">
        <f>(PricingDataTable[[#This Row],[Current Price ($)]]-PricingDataTable[[#This Row],[Prior Price ($)]])/PricingDataTable[[#This Row],[Prior Price ($)]]</f>
        <v>-6.8450204965808869E-3</v>
      </c>
      <c r="L1778" s="9">
        <f>(PricingDataTable[[#This Row],[Vendor Price ($)]]-PricingDataTable[[#This Row],[Current Price ($)]])/PricingDataTable[[#This Row],[Current Price ($)]]</f>
        <v>2.1332992977885436E-4</v>
      </c>
      <c r="M1778" t="str">
        <f t="shared" si="54"/>
        <v>PASS</v>
      </c>
      <c r="N1778" s="10" t="str">
        <f t="shared" si="55"/>
        <v>NONE</v>
      </c>
    </row>
    <row r="1779" spans="1:14">
      <c r="A1779" s="4" t="s">
        <v>3574</v>
      </c>
      <c r="B1779" s="4" t="s">
        <v>3575</v>
      </c>
      <c r="C1779" s="4" t="s">
        <v>19</v>
      </c>
      <c r="D1779" s="4" t="s">
        <v>13</v>
      </c>
      <c r="E1779" s="5">
        <v>32.7744</v>
      </c>
      <c r="F1779" s="5">
        <v>32.548999999999999</v>
      </c>
      <c r="G1779" s="5">
        <v>32.327599999999997</v>
      </c>
      <c r="H1779" s="4">
        <v>2</v>
      </c>
      <c r="I1779" s="6">
        <v>4626780</v>
      </c>
      <c r="J1779" s="7">
        <v>524.52</v>
      </c>
      <c r="K1779" s="9">
        <f>(PricingDataTable[[#This Row],[Current Price ($)]]-PricingDataTable[[#This Row],[Prior Price ($)]])/PricingDataTable[[#This Row],[Prior Price ($)]]</f>
        <v>-6.8773188830306732E-3</v>
      </c>
      <c r="L1779" s="9">
        <f>(PricingDataTable[[#This Row],[Vendor Price ($)]]-PricingDataTable[[#This Row],[Current Price ($)]])/PricingDataTable[[#This Row],[Current Price ($)]]</f>
        <v>-6.8020522903930293E-3</v>
      </c>
      <c r="M1779" t="str">
        <f t="shared" si="54"/>
        <v>PASS</v>
      </c>
      <c r="N1779" s="10" t="str">
        <f t="shared" si="55"/>
        <v>NONE</v>
      </c>
    </row>
    <row r="1780" spans="1:14">
      <c r="A1780" s="4" t="s">
        <v>3576</v>
      </c>
      <c r="B1780" s="4" t="s">
        <v>3577</v>
      </c>
      <c r="C1780" s="4" t="s">
        <v>35</v>
      </c>
      <c r="D1780" s="4" t="s">
        <v>13</v>
      </c>
      <c r="E1780" s="5">
        <v>172.39340000000001</v>
      </c>
      <c r="F1780" s="5">
        <v>175.1035</v>
      </c>
      <c r="G1780" s="5">
        <v>174.30260000000001</v>
      </c>
      <c r="H1780" s="4">
        <v>0</v>
      </c>
      <c r="I1780" s="6">
        <v>2587793</v>
      </c>
      <c r="J1780" s="7">
        <v>473.12</v>
      </c>
      <c r="K1780" s="9">
        <f>(PricingDataTable[[#This Row],[Current Price ($)]]-PricingDataTable[[#This Row],[Prior Price ($)]])/PricingDataTable[[#This Row],[Prior Price ($)]]</f>
        <v>1.5720439413573737E-2</v>
      </c>
      <c r="L1780" s="9">
        <f>(PricingDataTable[[#This Row],[Vendor Price ($)]]-PricingDataTable[[#This Row],[Current Price ($)]])/PricingDataTable[[#This Row],[Current Price ($)]]</f>
        <v>-4.5738663133517285E-3</v>
      </c>
      <c r="M1780" t="str">
        <f t="shared" si="54"/>
        <v>PASS</v>
      </c>
      <c r="N1780" s="10" t="str">
        <f t="shared" si="55"/>
        <v>NONE</v>
      </c>
    </row>
    <row r="1781" spans="1:14">
      <c r="A1781" s="4" t="s">
        <v>3578</v>
      </c>
      <c r="B1781" s="4" t="s">
        <v>3579</v>
      </c>
      <c r="C1781" s="4" t="s">
        <v>39</v>
      </c>
      <c r="D1781" s="4" t="s">
        <v>13</v>
      </c>
      <c r="E1781" s="5">
        <v>22.906700000000001</v>
      </c>
      <c r="F1781" s="5">
        <v>22.872199999999999</v>
      </c>
      <c r="G1781" s="5">
        <v>22.8293</v>
      </c>
      <c r="H1781" s="4">
        <v>0</v>
      </c>
      <c r="I1781" s="6">
        <v>4122115</v>
      </c>
      <c r="J1781" s="7">
        <v>314.75</v>
      </c>
      <c r="K1781" s="9">
        <f>(PricingDataTable[[#This Row],[Current Price ($)]]-PricingDataTable[[#This Row],[Prior Price ($)]])/PricingDataTable[[#This Row],[Prior Price ($)]]</f>
        <v>-1.5061095661968466E-3</v>
      </c>
      <c r="L1781" s="9">
        <f>(PricingDataTable[[#This Row],[Vendor Price ($)]]-PricingDataTable[[#This Row],[Current Price ($)]])/PricingDataTable[[#This Row],[Current Price ($)]]</f>
        <v>-1.875639422530386E-3</v>
      </c>
      <c r="M1781" t="str">
        <f t="shared" si="54"/>
        <v>PASS</v>
      </c>
      <c r="N1781" s="10" t="str">
        <f t="shared" si="55"/>
        <v>NONE</v>
      </c>
    </row>
    <row r="1782" spans="1:14">
      <c r="A1782" s="4" t="s">
        <v>3580</v>
      </c>
      <c r="B1782" s="4" t="s">
        <v>3581</v>
      </c>
      <c r="C1782" s="4" t="s">
        <v>12</v>
      </c>
      <c r="D1782" s="4" t="s">
        <v>13</v>
      </c>
      <c r="E1782" s="5">
        <v>113.69710000000001</v>
      </c>
      <c r="F1782" s="5">
        <v>113.47709999999999</v>
      </c>
      <c r="G1782" s="5">
        <v>113.44240000000001</v>
      </c>
      <c r="H1782" s="4">
        <v>0</v>
      </c>
      <c r="I1782" s="6">
        <v>3284511</v>
      </c>
      <c r="J1782" s="7">
        <v>752.08</v>
      </c>
      <c r="K1782" s="9">
        <f>(PricingDataTable[[#This Row],[Current Price ($)]]-PricingDataTable[[#This Row],[Prior Price ($)]])/PricingDataTable[[#This Row],[Prior Price ($)]]</f>
        <v>-1.9349657994796091E-3</v>
      </c>
      <c r="L1782" s="9">
        <f>(PricingDataTable[[#This Row],[Vendor Price ($)]]-PricingDataTable[[#This Row],[Current Price ($)]])/PricingDataTable[[#This Row],[Current Price ($)]]</f>
        <v>-3.0578856879481971E-4</v>
      </c>
      <c r="M1782" t="str">
        <f t="shared" si="54"/>
        <v>PASS</v>
      </c>
      <c r="N1782" s="10" t="str">
        <f t="shared" si="55"/>
        <v>NONE</v>
      </c>
    </row>
    <row r="1783" spans="1:14">
      <c r="A1783" s="4" t="s">
        <v>3582</v>
      </c>
      <c r="B1783" s="4" t="s">
        <v>3583</v>
      </c>
      <c r="C1783" s="4" t="s">
        <v>19</v>
      </c>
      <c r="D1783" s="4" t="s">
        <v>13</v>
      </c>
      <c r="E1783" s="5">
        <v>339.41140000000001</v>
      </c>
      <c r="F1783" s="5">
        <v>334.649</v>
      </c>
      <c r="G1783" s="5">
        <v>335.48509999999999</v>
      </c>
      <c r="H1783" s="4">
        <v>0</v>
      </c>
      <c r="I1783" s="6">
        <v>1769491</v>
      </c>
      <c r="J1783" s="7">
        <v>738.79</v>
      </c>
      <c r="K1783" s="9">
        <f>(PricingDataTable[[#This Row],[Current Price ($)]]-PricingDataTable[[#This Row],[Prior Price ($)]])/PricingDataTable[[#This Row],[Prior Price ($)]]</f>
        <v>-1.4031349565748273E-2</v>
      </c>
      <c r="L1783" s="9">
        <f>(PricingDataTable[[#This Row],[Vendor Price ($)]]-PricingDataTable[[#This Row],[Current Price ($)]])/PricingDataTable[[#This Row],[Current Price ($)]]</f>
        <v>2.4984386625986859E-3</v>
      </c>
      <c r="M1783" t="str">
        <f t="shared" si="54"/>
        <v>PASS</v>
      </c>
      <c r="N1783" s="10" t="str">
        <f t="shared" si="55"/>
        <v>NONE</v>
      </c>
    </row>
    <row r="1784" spans="1:14">
      <c r="A1784" s="4" t="s">
        <v>3584</v>
      </c>
      <c r="B1784" s="4" t="s">
        <v>3585</v>
      </c>
      <c r="C1784" s="4" t="s">
        <v>19</v>
      </c>
      <c r="D1784" s="4" t="s">
        <v>13</v>
      </c>
      <c r="E1784" s="5">
        <v>22.311900000000001</v>
      </c>
      <c r="F1784" s="5">
        <v>22.375599999999999</v>
      </c>
      <c r="G1784" s="5">
        <v>22.298400000000001</v>
      </c>
      <c r="H1784" s="4">
        <v>1</v>
      </c>
      <c r="I1784" s="6">
        <v>3553361</v>
      </c>
      <c r="J1784" s="7">
        <v>125.18</v>
      </c>
      <c r="K1784" s="9">
        <f>(PricingDataTable[[#This Row],[Current Price ($)]]-PricingDataTable[[#This Row],[Prior Price ($)]])/PricingDataTable[[#This Row],[Prior Price ($)]]</f>
        <v>2.8549787333215547E-3</v>
      </c>
      <c r="L1784" s="9">
        <f>(PricingDataTable[[#This Row],[Vendor Price ($)]]-PricingDataTable[[#This Row],[Current Price ($)]])/PricingDataTable[[#This Row],[Current Price ($)]]</f>
        <v>-3.4501868106329089E-3</v>
      </c>
      <c r="M1784" t="str">
        <f t="shared" si="54"/>
        <v>PASS</v>
      </c>
      <c r="N1784" s="10" t="str">
        <f t="shared" si="55"/>
        <v>NONE</v>
      </c>
    </row>
    <row r="1785" spans="1:14">
      <c r="A1785" s="4" t="s">
        <v>3586</v>
      </c>
      <c r="B1785" s="4" t="s">
        <v>3587</v>
      </c>
      <c r="C1785" s="4" t="s">
        <v>16</v>
      </c>
      <c r="D1785" s="4" t="s">
        <v>13</v>
      </c>
      <c r="E1785" s="5">
        <v>122.2595</v>
      </c>
      <c r="F1785" s="5">
        <v>138.54130000000001</v>
      </c>
      <c r="G1785" s="5">
        <v>138.20009999999999</v>
      </c>
      <c r="H1785" s="4">
        <v>0</v>
      </c>
      <c r="I1785" s="6">
        <v>3281182</v>
      </c>
      <c r="J1785" s="7">
        <v>851.44</v>
      </c>
      <c r="K1785" s="9">
        <f>(PricingDataTable[[#This Row],[Current Price ($)]]-PricingDataTable[[#This Row],[Prior Price ($)]])/PricingDataTable[[#This Row],[Prior Price ($)]]</f>
        <v>0.13317410916943062</v>
      </c>
      <c r="L1785" s="9">
        <f>(PricingDataTable[[#This Row],[Vendor Price ($)]]-PricingDataTable[[#This Row],[Current Price ($)]])/PricingDataTable[[#This Row],[Current Price ($)]]</f>
        <v>-2.4628035105778191E-3</v>
      </c>
      <c r="M1785" t="str">
        <f t="shared" si="54"/>
        <v>LARGE MOVE</v>
      </c>
      <c r="N1785" s="10" t="str">
        <f t="shared" si="55"/>
        <v>HIGH</v>
      </c>
    </row>
    <row r="1786" spans="1:14">
      <c r="A1786" s="4" t="s">
        <v>3588</v>
      </c>
      <c r="B1786" s="4" t="s">
        <v>3589</v>
      </c>
      <c r="C1786" s="4" t="s">
        <v>35</v>
      </c>
      <c r="D1786" s="4" t="s">
        <v>13</v>
      </c>
      <c r="E1786" s="5">
        <v>163.68049999999999</v>
      </c>
      <c r="F1786" s="5">
        <v>163.56790000000001</v>
      </c>
      <c r="G1786" s="5">
        <v>164.35079999999999</v>
      </c>
      <c r="H1786" s="4">
        <v>0</v>
      </c>
      <c r="I1786" s="6">
        <v>3127247</v>
      </c>
      <c r="J1786" s="7">
        <v>197.14</v>
      </c>
      <c r="K1786" s="9">
        <f>(PricingDataTable[[#This Row],[Current Price ($)]]-PricingDataTable[[#This Row],[Prior Price ($)]])/PricingDataTable[[#This Row],[Prior Price ($)]]</f>
        <v>-6.8792556229964026E-4</v>
      </c>
      <c r="L1786" s="9">
        <f>(PricingDataTable[[#This Row],[Vendor Price ($)]]-PricingDataTable[[#This Row],[Current Price ($)]])/PricingDataTable[[#This Row],[Current Price ($)]]</f>
        <v>4.786391461894318E-3</v>
      </c>
      <c r="M1786" t="str">
        <f t="shared" si="54"/>
        <v>PASS</v>
      </c>
      <c r="N1786" s="10" t="str">
        <f t="shared" si="55"/>
        <v>NONE</v>
      </c>
    </row>
    <row r="1787" spans="1:14">
      <c r="A1787" s="4" t="s">
        <v>3590</v>
      </c>
      <c r="B1787" s="4" t="s">
        <v>3591</v>
      </c>
      <c r="C1787" s="4" t="s">
        <v>19</v>
      </c>
      <c r="D1787" s="4" t="s">
        <v>13</v>
      </c>
      <c r="E1787" s="5">
        <v>314.54259999999999</v>
      </c>
      <c r="F1787" s="5">
        <v>320.03960000000001</v>
      </c>
      <c r="G1787" s="5">
        <v>319.81979999999999</v>
      </c>
      <c r="H1787" s="4">
        <v>0</v>
      </c>
      <c r="I1787" s="6">
        <v>4251310</v>
      </c>
      <c r="J1787" s="7">
        <v>178.63</v>
      </c>
      <c r="K1787" s="9">
        <f>(PricingDataTable[[#This Row],[Current Price ($)]]-PricingDataTable[[#This Row],[Prior Price ($)]])/PricingDataTable[[#This Row],[Prior Price ($)]]</f>
        <v>1.7476170159463341E-2</v>
      </c>
      <c r="L1787" s="9">
        <f>(PricingDataTable[[#This Row],[Vendor Price ($)]]-PricingDataTable[[#This Row],[Current Price ($)]])/PricingDataTable[[#This Row],[Current Price ($)]]</f>
        <v>-6.8679000973635967E-4</v>
      </c>
      <c r="M1787" t="str">
        <f t="shared" si="54"/>
        <v>PASS</v>
      </c>
      <c r="N1787" s="10" t="str">
        <f t="shared" si="55"/>
        <v>NONE</v>
      </c>
    </row>
    <row r="1788" spans="1:14">
      <c r="A1788" s="4" t="s">
        <v>3592</v>
      </c>
      <c r="B1788" s="4" t="s">
        <v>3593</v>
      </c>
      <c r="C1788" s="4" t="s">
        <v>39</v>
      </c>
      <c r="D1788" s="4" t="s">
        <v>13</v>
      </c>
      <c r="E1788" s="5">
        <v>329.40429999999998</v>
      </c>
      <c r="F1788" s="5">
        <v>326.4006</v>
      </c>
      <c r="G1788" s="5">
        <v>327.38290000000001</v>
      </c>
      <c r="H1788" s="4">
        <v>0</v>
      </c>
      <c r="I1788" s="6">
        <v>3286289</v>
      </c>
      <c r="J1788" s="7">
        <v>746.92</v>
      </c>
      <c r="K1788" s="9">
        <f>(PricingDataTable[[#This Row],[Current Price ($)]]-PricingDataTable[[#This Row],[Prior Price ($)]])/PricingDataTable[[#This Row],[Prior Price ($)]]</f>
        <v>-9.1185816335730314E-3</v>
      </c>
      <c r="L1788" s="9">
        <f>(PricingDataTable[[#This Row],[Vendor Price ($)]]-PricingDataTable[[#This Row],[Current Price ($)]])/PricingDataTable[[#This Row],[Current Price ($)]]</f>
        <v>3.0094920168651936E-3</v>
      </c>
      <c r="M1788" t="str">
        <f t="shared" si="54"/>
        <v>PASS</v>
      </c>
      <c r="N1788" s="10" t="str">
        <f t="shared" si="55"/>
        <v>NONE</v>
      </c>
    </row>
    <row r="1789" spans="1:14">
      <c r="A1789" s="4" t="s">
        <v>3594</v>
      </c>
      <c r="B1789" s="4" t="s">
        <v>3595</v>
      </c>
      <c r="C1789" s="4" t="s">
        <v>19</v>
      </c>
      <c r="D1789" s="4" t="s">
        <v>13</v>
      </c>
      <c r="E1789" s="5">
        <v>234.74440000000001</v>
      </c>
      <c r="F1789" s="5">
        <v>232.14150000000001</v>
      </c>
      <c r="G1789" s="5">
        <v>232.30359999999999</v>
      </c>
      <c r="H1789" s="4">
        <v>2</v>
      </c>
      <c r="I1789" s="6">
        <v>3427857</v>
      </c>
      <c r="J1789" s="7">
        <v>694.35</v>
      </c>
      <c r="K1789" s="9">
        <f>(PricingDataTable[[#This Row],[Current Price ($)]]-PricingDataTable[[#This Row],[Prior Price ($)]])/PricingDataTable[[#This Row],[Prior Price ($)]]</f>
        <v>-1.1088230432760079E-2</v>
      </c>
      <c r="L1789" s="9">
        <f>(PricingDataTable[[#This Row],[Vendor Price ($)]]-PricingDataTable[[#This Row],[Current Price ($)]])/PricingDataTable[[#This Row],[Current Price ($)]]</f>
        <v>6.982810053350264E-4</v>
      </c>
      <c r="M1789" t="str">
        <f t="shared" si="54"/>
        <v>PASS</v>
      </c>
      <c r="N1789" s="10" t="str">
        <f t="shared" si="55"/>
        <v>NONE</v>
      </c>
    </row>
    <row r="1790" spans="1:14">
      <c r="A1790" s="4" t="s">
        <v>3596</v>
      </c>
      <c r="B1790" s="4" t="s">
        <v>3597</v>
      </c>
      <c r="C1790" s="4" t="s">
        <v>19</v>
      </c>
      <c r="D1790" s="4" t="s">
        <v>64</v>
      </c>
      <c r="E1790" s="5">
        <v>94.123199999999997</v>
      </c>
      <c r="F1790" s="5">
        <v>94.241900000000001</v>
      </c>
      <c r="G1790" s="5">
        <v>95.010900000000007</v>
      </c>
      <c r="H1790" s="4">
        <v>0</v>
      </c>
      <c r="I1790" s="6">
        <v>2564571</v>
      </c>
      <c r="J1790" s="7">
        <v>287.35000000000002</v>
      </c>
      <c r="K1790" s="9">
        <f>(PricingDataTable[[#This Row],[Current Price ($)]]-PricingDataTable[[#This Row],[Prior Price ($)]])/PricingDataTable[[#This Row],[Prior Price ($)]]</f>
        <v>1.2611130943274774E-3</v>
      </c>
      <c r="L1790" s="9">
        <f>(PricingDataTable[[#This Row],[Vendor Price ($)]]-PricingDataTable[[#This Row],[Current Price ($)]])/PricingDataTable[[#This Row],[Current Price ($)]]</f>
        <v>8.1598524647742195E-3</v>
      </c>
      <c r="M1790" t="str">
        <f t="shared" si="54"/>
        <v>PASS</v>
      </c>
      <c r="N1790" s="10" t="str">
        <f t="shared" si="55"/>
        <v>NONE</v>
      </c>
    </row>
    <row r="1791" spans="1:14">
      <c r="A1791" s="4" t="s">
        <v>3598</v>
      </c>
      <c r="B1791" s="4" t="s">
        <v>3599</v>
      </c>
      <c r="C1791" s="4" t="s">
        <v>35</v>
      </c>
      <c r="D1791" s="4" t="s">
        <v>13</v>
      </c>
      <c r="E1791" s="5">
        <v>33.126600000000003</v>
      </c>
      <c r="F1791" s="5">
        <v>33.073399999999999</v>
      </c>
      <c r="G1791" s="5">
        <v>34.629300000000001</v>
      </c>
      <c r="H1791" s="4">
        <v>0</v>
      </c>
      <c r="I1791" s="6">
        <v>1646434</v>
      </c>
      <c r="J1791" s="7">
        <v>510.52</v>
      </c>
      <c r="K1791" s="9">
        <f>(PricingDataTable[[#This Row],[Current Price ($)]]-PricingDataTable[[#This Row],[Prior Price ($)]])/PricingDataTable[[#This Row],[Prior Price ($)]]</f>
        <v>-1.6059601649430941E-3</v>
      </c>
      <c r="L1791" s="9">
        <f>(PricingDataTable[[#This Row],[Vendor Price ($)]]-PricingDataTable[[#This Row],[Current Price ($)]])/PricingDataTable[[#This Row],[Current Price ($)]]</f>
        <v>4.704384792612798E-2</v>
      </c>
      <c r="M1791" t="str">
        <f t="shared" si="54"/>
        <v>VENDOR DIFFERENCE</v>
      </c>
      <c r="N1791" s="10" t="str">
        <f t="shared" si="55"/>
        <v>MEDIUM</v>
      </c>
    </row>
    <row r="1792" spans="1:14">
      <c r="A1792" s="4" t="s">
        <v>3600</v>
      </c>
      <c r="B1792" s="4" t="s">
        <v>3601</v>
      </c>
      <c r="C1792" s="4" t="s">
        <v>16</v>
      </c>
      <c r="D1792" s="4" t="s">
        <v>36</v>
      </c>
      <c r="E1792" s="5">
        <v>99.501099999999994</v>
      </c>
      <c r="F1792" s="5">
        <v>101.50830000000001</v>
      </c>
      <c r="G1792" s="5">
        <v>102.1422</v>
      </c>
      <c r="H1792" s="4">
        <v>3</v>
      </c>
      <c r="I1792" s="6">
        <v>41157</v>
      </c>
      <c r="J1792" s="7">
        <v>217.67</v>
      </c>
      <c r="K1792" s="9">
        <f>(PricingDataTable[[#This Row],[Current Price ($)]]-PricingDataTable[[#This Row],[Prior Price ($)]])/PricingDataTable[[#This Row],[Prior Price ($)]]</f>
        <v>2.0172641307483152E-2</v>
      </c>
      <c r="L1792" s="9">
        <f>(PricingDataTable[[#This Row],[Vendor Price ($)]]-PricingDataTable[[#This Row],[Current Price ($)]])/PricingDataTable[[#This Row],[Current Price ($)]]</f>
        <v>6.2448095377422045E-3</v>
      </c>
      <c r="M1792" t="str">
        <f t="shared" si="54"/>
        <v>STALE</v>
      </c>
      <c r="N1792" s="10" t="str">
        <f t="shared" si="55"/>
        <v>LOW</v>
      </c>
    </row>
    <row r="1793" spans="1:14">
      <c r="A1793" s="4" t="s">
        <v>3602</v>
      </c>
      <c r="B1793" s="4" t="s">
        <v>3603</v>
      </c>
      <c r="C1793" s="4" t="s">
        <v>16</v>
      </c>
      <c r="D1793" s="4" t="s">
        <v>13</v>
      </c>
      <c r="E1793" s="5">
        <v>124.6403</v>
      </c>
      <c r="F1793" s="5">
        <v>124.9632</v>
      </c>
      <c r="G1793" s="5">
        <v>125.0301</v>
      </c>
      <c r="H1793" s="4">
        <v>0</v>
      </c>
      <c r="I1793" s="6">
        <v>1552820</v>
      </c>
      <c r="J1793" s="7">
        <v>863.49</v>
      </c>
      <c r="K1793" s="9">
        <f>(PricingDataTable[[#This Row],[Current Price ($)]]-PricingDataTable[[#This Row],[Prior Price ($)]])/PricingDataTable[[#This Row],[Prior Price ($)]]</f>
        <v>2.5906548684494837E-3</v>
      </c>
      <c r="L1793" s="9">
        <f>(PricingDataTable[[#This Row],[Vendor Price ($)]]-PricingDataTable[[#This Row],[Current Price ($)]])/PricingDataTable[[#This Row],[Current Price ($)]]</f>
        <v>5.3535760928020374E-4</v>
      </c>
      <c r="M1793" t="str">
        <f t="shared" si="54"/>
        <v>PASS</v>
      </c>
      <c r="N1793" s="10" t="str">
        <f t="shared" si="55"/>
        <v>NONE</v>
      </c>
    </row>
    <row r="1794" spans="1:14">
      <c r="A1794" s="4" t="s">
        <v>3604</v>
      </c>
      <c r="B1794" s="4" t="s">
        <v>3605</v>
      </c>
      <c r="C1794" s="4" t="s">
        <v>19</v>
      </c>
      <c r="D1794" s="4" t="s">
        <v>13</v>
      </c>
      <c r="E1794" s="5">
        <v>30.137699999999999</v>
      </c>
      <c r="F1794" s="5">
        <v>30.5473</v>
      </c>
      <c r="G1794" s="5">
        <v>30.480399999999999</v>
      </c>
      <c r="H1794" s="4">
        <v>1</v>
      </c>
      <c r="I1794" s="6">
        <v>2774372</v>
      </c>
      <c r="J1794" s="7">
        <v>169.44</v>
      </c>
      <c r="K1794" s="9">
        <f>(PricingDataTable[[#This Row],[Current Price ($)]]-PricingDataTable[[#This Row],[Prior Price ($)]])/PricingDataTable[[#This Row],[Prior Price ($)]]</f>
        <v>1.359095086884537E-2</v>
      </c>
      <c r="L1794" s="9">
        <f>(PricingDataTable[[#This Row],[Vendor Price ($)]]-PricingDataTable[[#This Row],[Current Price ($)]])/PricingDataTable[[#This Row],[Current Price ($)]]</f>
        <v>-2.1900462561339432E-3</v>
      </c>
      <c r="M1794" t="str">
        <f t="shared" ref="M1794:M1857" si="56">IF(OR(F1794="",F1794=0),"MISSING",IF(H1794&gt;=3,"STALE",IF(ABS(K1794)&gt;=5%,"LARGE MOVE",IF(ABS(L1794)&gt;=2%,"VENDOR DIFFERENCE","PASS"))))</f>
        <v>PASS</v>
      </c>
      <c r="N1794" s="10" t="str">
        <f t="shared" ref="N1794:N1857" si="57">IF(M1794="PASS","NONE",IF(M1794="MISSING","HIGH",IF(OR(ABS(K1794)&gt;=10%,ABS(L1794)&gt;=5%),"HIGH",IF(OR(ABS(K1794)&gt;=7%,ABS(L1794)&gt;=3%,H1794&gt;=5),"MEDIUM","LOW"))))</f>
        <v>NONE</v>
      </c>
    </row>
    <row r="1795" spans="1:14">
      <c r="A1795" s="4" t="s">
        <v>3606</v>
      </c>
      <c r="B1795" s="4" t="s">
        <v>3607</v>
      </c>
      <c r="C1795" s="4" t="s">
        <v>19</v>
      </c>
      <c r="D1795" s="4" t="s">
        <v>13</v>
      </c>
      <c r="E1795" s="5">
        <v>128.58680000000001</v>
      </c>
      <c r="F1795" s="5">
        <v>133.42099999999999</v>
      </c>
      <c r="G1795" s="5">
        <v>133.65360000000001</v>
      </c>
      <c r="H1795" s="4">
        <v>2</v>
      </c>
      <c r="I1795" s="6">
        <v>3642755</v>
      </c>
      <c r="J1795" s="7">
        <v>756.48</v>
      </c>
      <c r="K1795" s="9">
        <f>(PricingDataTable[[#This Row],[Current Price ($)]]-PricingDataTable[[#This Row],[Prior Price ($)]])/PricingDataTable[[#This Row],[Prior Price ($)]]</f>
        <v>3.759483866151099E-2</v>
      </c>
      <c r="L1795" s="9">
        <f>(PricingDataTable[[#This Row],[Vendor Price ($)]]-PricingDataTable[[#This Row],[Current Price ($)]])/PricingDataTable[[#This Row],[Current Price ($)]]</f>
        <v>1.7433537449128643E-3</v>
      </c>
      <c r="M1795" t="str">
        <f t="shared" si="56"/>
        <v>PASS</v>
      </c>
      <c r="N1795" s="10" t="str">
        <f t="shared" si="57"/>
        <v>NONE</v>
      </c>
    </row>
    <row r="1796" spans="1:14">
      <c r="A1796" s="4" t="s">
        <v>3608</v>
      </c>
      <c r="B1796" s="4" t="s">
        <v>3609</v>
      </c>
      <c r="C1796" s="4" t="s">
        <v>39</v>
      </c>
      <c r="D1796" s="4" t="s">
        <v>13</v>
      </c>
      <c r="E1796" s="5">
        <v>244.63</v>
      </c>
      <c r="F1796" s="5">
        <v>241.23169999999999</v>
      </c>
      <c r="G1796" s="5">
        <v>241.10669999999999</v>
      </c>
      <c r="H1796" s="4">
        <v>1</v>
      </c>
      <c r="I1796" s="6">
        <v>674160</v>
      </c>
      <c r="J1796" s="7">
        <v>233.74</v>
      </c>
      <c r="K1796" s="9">
        <f>(PricingDataTable[[#This Row],[Current Price ($)]]-PricingDataTable[[#This Row],[Prior Price ($)]])/PricingDataTable[[#This Row],[Prior Price ($)]]</f>
        <v>-1.3891591382904821E-2</v>
      </c>
      <c r="L1796" s="9">
        <f>(PricingDataTable[[#This Row],[Vendor Price ($)]]-PricingDataTable[[#This Row],[Current Price ($)]])/PricingDataTable[[#This Row],[Current Price ($)]]</f>
        <v>-5.1817402107600286E-4</v>
      </c>
      <c r="M1796" t="str">
        <f t="shared" si="56"/>
        <v>PASS</v>
      </c>
      <c r="N1796" s="10" t="str">
        <f t="shared" si="57"/>
        <v>NONE</v>
      </c>
    </row>
    <row r="1797" spans="1:14">
      <c r="A1797" s="4" t="s">
        <v>3610</v>
      </c>
      <c r="B1797" s="4" t="s">
        <v>3611</v>
      </c>
      <c r="C1797" s="4" t="s">
        <v>39</v>
      </c>
      <c r="D1797" s="4" t="s">
        <v>64</v>
      </c>
      <c r="E1797" s="5">
        <v>222.02690000000001</v>
      </c>
      <c r="F1797" s="5">
        <v>219.99379999999999</v>
      </c>
      <c r="G1797" s="5">
        <v>219.69759999999999</v>
      </c>
      <c r="H1797" s="4">
        <v>3</v>
      </c>
      <c r="I1797" s="6">
        <v>1845818</v>
      </c>
      <c r="J1797" s="7">
        <v>619.84</v>
      </c>
      <c r="K1797" s="9">
        <f>(PricingDataTable[[#This Row],[Current Price ($)]]-PricingDataTable[[#This Row],[Prior Price ($)]])/PricingDataTable[[#This Row],[Prior Price ($)]]</f>
        <v>-9.1569985438702192E-3</v>
      </c>
      <c r="L1797" s="9">
        <f>(PricingDataTable[[#This Row],[Vendor Price ($)]]-PricingDataTable[[#This Row],[Current Price ($)]])/PricingDataTable[[#This Row],[Current Price ($)]]</f>
        <v>-1.3464015804081702E-3</v>
      </c>
      <c r="M1797" t="str">
        <f t="shared" si="56"/>
        <v>STALE</v>
      </c>
      <c r="N1797" s="10" t="str">
        <f t="shared" si="57"/>
        <v>LOW</v>
      </c>
    </row>
    <row r="1798" spans="1:14">
      <c r="A1798" s="4" t="s">
        <v>3612</v>
      </c>
      <c r="B1798" s="4" t="s">
        <v>3613</v>
      </c>
      <c r="C1798" s="4" t="s">
        <v>35</v>
      </c>
      <c r="D1798" s="4" t="s">
        <v>13</v>
      </c>
      <c r="E1798" s="5">
        <v>86.3553</v>
      </c>
      <c r="F1798" s="5">
        <v>85.879400000000004</v>
      </c>
      <c r="G1798" s="5">
        <v>85.8459</v>
      </c>
      <c r="H1798" s="4">
        <v>0</v>
      </c>
      <c r="I1798" s="6">
        <v>729709</v>
      </c>
      <c r="J1798" s="7">
        <v>601.09</v>
      </c>
      <c r="K1798" s="9">
        <f>(PricingDataTable[[#This Row],[Current Price ($)]]-PricingDataTable[[#This Row],[Prior Price ($)]])/PricingDataTable[[#This Row],[Prior Price ($)]]</f>
        <v>-5.5109530046215547E-3</v>
      </c>
      <c r="L1798" s="9">
        <f>(PricingDataTable[[#This Row],[Vendor Price ($)]]-PricingDataTable[[#This Row],[Current Price ($)]])/PricingDataTable[[#This Row],[Current Price ($)]]</f>
        <v>-3.9008190555597311E-4</v>
      </c>
      <c r="M1798" t="str">
        <f t="shared" si="56"/>
        <v>PASS</v>
      </c>
      <c r="N1798" s="10" t="str">
        <f t="shared" si="57"/>
        <v>NONE</v>
      </c>
    </row>
    <row r="1799" spans="1:14">
      <c r="A1799" s="4" t="s">
        <v>3614</v>
      </c>
      <c r="B1799" s="4" t="s">
        <v>3615</v>
      </c>
      <c r="C1799" s="4" t="s">
        <v>35</v>
      </c>
      <c r="D1799" s="4" t="s">
        <v>13</v>
      </c>
      <c r="E1799" s="5">
        <v>137.7244</v>
      </c>
      <c r="F1799" s="5">
        <v>137.67449999999999</v>
      </c>
      <c r="G1799" s="5">
        <v>136.97579999999999</v>
      </c>
      <c r="H1799" s="4">
        <v>1</v>
      </c>
      <c r="I1799" s="6">
        <v>995287</v>
      </c>
      <c r="J1799" s="7">
        <v>460.15</v>
      </c>
      <c r="K1799" s="9">
        <f>(PricingDataTable[[#This Row],[Current Price ($)]]-PricingDataTable[[#This Row],[Prior Price ($)]])/PricingDataTable[[#This Row],[Prior Price ($)]]</f>
        <v>-3.6231778827867863E-4</v>
      </c>
      <c r="L1799" s="9">
        <f>(PricingDataTable[[#This Row],[Vendor Price ($)]]-PricingDataTable[[#This Row],[Current Price ($)]])/PricingDataTable[[#This Row],[Current Price ($)]]</f>
        <v>-5.0750138914613984E-3</v>
      </c>
      <c r="M1799" t="str">
        <f t="shared" si="56"/>
        <v>PASS</v>
      </c>
      <c r="N1799" s="10" t="str">
        <f t="shared" si="57"/>
        <v>NONE</v>
      </c>
    </row>
    <row r="1800" spans="1:14">
      <c r="A1800" s="4" t="s">
        <v>3616</v>
      </c>
      <c r="B1800" s="4" t="s">
        <v>3617</v>
      </c>
      <c r="C1800" s="4" t="s">
        <v>16</v>
      </c>
      <c r="D1800" s="4" t="s">
        <v>13</v>
      </c>
      <c r="E1800" s="5">
        <v>106.0718</v>
      </c>
      <c r="F1800" s="5">
        <v>107.6146</v>
      </c>
      <c r="G1800" s="5">
        <v>107.7672</v>
      </c>
      <c r="H1800" s="4">
        <v>0</v>
      </c>
      <c r="I1800" s="6">
        <v>2819799</v>
      </c>
      <c r="J1800" s="7">
        <v>854.85</v>
      </c>
      <c r="K1800" s="9">
        <f>(PricingDataTable[[#This Row],[Current Price ($)]]-PricingDataTable[[#This Row],[Prior Price ($)]])/PricingDataTable[[#This Row],[Prior Price ($)]]</f>
        <v>1.4544864893402391E-2</v>
      </c>
      <c r="L1800" s="9">
        <f>(PricingDataTable[[#This Row],[Vendor Price ($)]]-PricingDataTable[[#This Row],[Current Price ($)]])/PricingDataTable[[#This Row],[Current Price ($)]]</f>
        <v>1.4180232050298633E-3</v>
      </c>
      <c r="M1800" t="str">
        <f t="shared" si="56"/>
        <v>PASS</v>
      </c>
      <c r="N1800" s="10" t="str">
        <f t="shared" si="57"/>
        <v>NONE</v>
      </c>
    </row>
    <row r="1801" spans="1:14">
      <c r="A1801" s="4" t="s">
        <v>3618</v>
      </c>
      <c r="B1801" s="4" t="s">
        <v>3619</v>
      </c>
      <c r="C1801" s="4" t="s">
        <v>35</v>
      </c>
      <c r="D1801" s="4" t="s">
        <v>13</v>
      </c>
      <c r="E1801" s="5">
        <v>7.7824999999999998</v>
      </c>
      <c r="F1801" s="5">
        <v>7.7203999999999997</v>
      </c>
      <c r="G1801" s="5">
        <v>7.7484000000000002</v>
      </c>
      <c r="H1801" s="4">
        <v>1</v>
      </c>
      <c r="I1801" s="6">
        <v>3513922</v>
      </c>
      <c r="J1801" s="7">
        <v>396.75</v>
      </c>
      <c r="K1801" s="9">
        <f>(PricingDataTable[[#This Row],[Current Price ($)]]-PricingDataTable[[#This Row],[Prior Price ($)]])/PricingDataTable[[#This Row],[Prior Price ($)]]</f>
        <v>-7.9794410536460064E-3</v>
      </c>
      <c r="L1801" s="9">
        <f>(PricingDataTable[[#This Row],[Vendor Price ($)]]-PricingDataTable[[#This Row],[Current Price ($)]])/PricingDataTable[[#This Row],[Current Price ($)]]</f>
        <v>3.6267550904098842E-3</v>
      </c>
      <c r="M1801" t="str">
        <f t="shared" si="56"/>
        <v>PASS</v>
      </c>
      <c r="N1801" s="10" t="str">
        <f t="shared" si="57"/>
        <v>NONE</v>
      </c>
    </row>
    <row r="1802" spans="1:14">
      <c r="A1802" s="4" t="s">
        <v>3620</v>
      </c>
      <c r="B1802" s="4" t="s">
        <v>3621</v>
      </c>
      <c r="C1802" s="4" t="s">
        <v>35</v>
      </c>
      <c r="D1802" s="4" t="s">
        <v>237</v>
      </c>
      <c r="E1802" s="5">
        <v>40.325699999999998</v>
      </c>
      <c r="F1802" s="5">
        <v>40.505000000000003</v>
      </c>
      <c r="G1802" s="5">
        <v>40.281599999999997</v>
      </c>
      <c r="H1802" s="4">
        <v>4</v>
      </c>
      <c r="I1802" s="6">
        <v>759762</v>
      </c>
      <c r="J1802" s="7">
        <v>591.88</v>
      </c>
      <c r="K1802" s="9">
        <f>(PricingDataTable[[#This Row],[Current Price ($)]]-PricingDataTable[[#This Row],[Prior Price ($)]])/PricingDataTable[[#This Row],[Prior Price ($)]]</f>
        <v>4.4462960345388897E-3</v>
      </c>
      <c r="L1802" s="9">
        <f>(PricingDataTable[[#This Row],[Vendor Price ($)]]-PricingDataTable[[#This Row],[Current Price ($)]])/PricingDataTable[[#This Row],[Current Price ($)]]</f>
        <v>-5.5153684730281484E-3</v>
      </c>
      <c r="M1802" t="str">
        <f t="shared" si="56"/>
        <v>STALE</v>
      </c>
      <c r="N1802" s="10" t="str">
        <f t="shared" si="57"/>
        <v>LOW</v>
      </c>
    </row>
    <row r="1803" spans="1:14">
      <c r="A1803" s="4" t="s">
        <v>3622</v>
      </c>
      <c r="B1803" s="4" t="s">
        <v>3623</v>
      </c>
      <c r="C1803" s="4" t="s">
        <v>19</v>
      </c>
      <c r="D1803" s="4" t="s">
        <v>13</v>
      </c>
      <c r="E1803" s="5">
        <v>287.04129999999998</v>
      </c>
      <c r="F1803" s="5">
        <v>284.3707</v>
      </c>
      <c r="G1803" s="5">
        <v>284.84660000000002</v>
      </c>
      <c r="H1803" s="4">
        <v>0</v>
      </c>
      <c r="I1803" s="6">
        <v>2143045</v>
      </c>
      <c r="J1803" s="7">
        <v>119.44</v>
      </c>
      <c r="K1803" s="9">
        <f>(PricingDataTable[[#This Row],[Current Price ($)]]-PricingDataTable[[#This Row],[Prior Price ($)]])/PricingDataTable[[#This Row],[Prior Price ($)]]</f>
        <v>-9.3038876287139839E-3</v>
      </c>
      <c r="L1803" s="9">
        <f>(PricingDataTable[[#This Row],[Vendor Price ($)]]-PricingDataTable[[#This Row],[Current Price ($)]])/PricingDataTable[[#This Row],[Current Price ($)]]</f>
        <v>1.6735198105853528E-3</v>
      </c>
      <c r="M1803" t="str">
        <f t="shared" si="56"/>
        <v>PASS</v>
      </c>
      <c r="N1803" s="10" t="str">
        <f t="shared" si="57"/>
        <v>NONE</v>
      </c>
    </row>
    <row r="1804" spans="1:14">
      <c r="A1804" s="4" t="s">
        <v>3624</v>
      </c>
      <c r="B1804" s="4" t="s">
        <v>3625</v>
      </c>
      <c r="C1804" s="4" t="s">
        <v>16</v>
      </c>
      <c r="D1804" s="4" t="s">
        <v>13</v>
      </c>
      <c r="E1804" s="5">
        <v>105.3189</v>
      </c>
      <c r="F1804" s="5">
        <v>107.1707</v>
      </c>
      <c r="G1804" s="5">
        <v>116.4511</v>
      </c>
      <c r="H1804" s="4">
        <v>0</v>
      </c>
      <c r="I1804" s="6">
        <v>1704921</v>
      </c>
      <c r="J1804" s="7">
        <v>582.28</v>
      </c>
      <c r="K1804" s="9">
        <f>(PricingDataTable[[#This Row],[Current Price ($)]]-PricingDataTable[[#This Row],[Prior Price ($)]])/PricingDataTable[[#This Row],[Prior Price ($)]]</f>
        <v>1.7582789034066983E-2</v>
      </c>
      <c r="L1804" s="9">
        <f>(PricingDataTable[[#This Row],[Vendor Price ($)]]-PricingDataTable[[#This Row],[Current Price ($)]])/PricingDataTable[[#This Row],[Current Price ($)]]</f>
        <v>8.6594563626065713E-2</v>
      </c>
      <c r="M1804" t="str">
        <f t="shared" si="56"/>
        <v>VENDOR DIFFERENCE</v>
      </c>
      <c r="N1804" s="10" t="str">
        <f t="shared" si="57"/>
        <v>HIGH</v>
      </c>
    </row>
    <row r="1805" spans="1:14">
      <c r="A1805" s="4" t="s">
        <v>3626</v>
      </c>
      <c r="B1805" s="4" t="s">
        <v>3627</v>
      </c>
      <c r="C1805" s="4" t="s">
        <v>35</v>
      </c>
      <c r="D1805" s="4" t="s">
        <v>13</v>
      </c>
      <c r="E1805" s="5">
        <v>164.93260000000001</v>
      </c>
      <c r="F1805" s="5">
        <v>165.4084</v>
      </c>
      <c r="G1805" s="5">
        <v>165.4785</v>
      </c>
      <c r="H1805" s="4">
        <v>5</v>
      </c>
      <c r="I1805" s="6">
        <v>900284</v>
      </c>
      <c r="J1805" s="7">
        <v>288.76</v>
      </c>
      <c r="K1805" s="9">
        <f>(PricingDataTable[[#This Row],[Current Price ($)]]-PricingDataTable[[#This Row],[Prior Price ($)]])/PricingDataTable[[#This Row],[Prior Price ($)]]</f>
        <v>2.8848147667592241E-3</v>
      </c>
      <c r="L1805" s="9">
        <f>(PricingDataTable[[#This Row],[Vendor Price ($)]]-PricingDataTable[[#This Row],[Current Price ($)]])/PricingDataTable[[#This Row],[Current Price ($)]]</f>
        <v>4.237995168322558E-4</v>
      </c>
      <c r="M1805" t="str">
        <f t="shared" si="56"/>
        <v>STALE</v>
      </c>
      <c r="N1805" s="10" t="str">
        <f t="shared" si="57"/>
        <v>MEDIUM</v>
      </c>
    </row>
    <row r="1806" spans="1:14">
      <c r="A1806" s="4" t="s">
        <v>3628</v>
      </c>
      <c r="B1806" s="4" t="s">
        <v>3629</v>
      </c>
      <c r="C1806" s="4" t="s">
        <v>12</v>
      </c>
      <c r="D1806" s="4" t="s">
        <v>13</v>
      </c>
      <c r="E1806" s="5">
        <v>108.65730000000001</v>
      </c>
      <c r="F1806" s="5">
        <v>107.9931</v>
      </c>
      <c r="G1806" s="5">
        <v>108.0271</v>
      </c>
      <c r="H1806" s="4">
        <v>1</v>
      </c>
      <c r="I1806" s="6">
        <v>1357636</v>
      </c>
      <c r="J1806" s="7">
        <v>458.41</v>
      </c>
      <c r="K1806" s="9">
        <f>(PricingDataTable[[#This Row],[Current Price ($)]]-PricingDataTable[[#This Row],[Prior Price ($)]])/PricingDataTable[[#This Row],[Prior Price ($)]]</f>
        <v>-6.1127968392368304E-3</v>
      </c>
      <c r="L1806" s="9">
        <f>(PricingDataTable[[#This Row],[Vendor Price ($)]]-PricingDataTable[[#This Row],[Current Price ($)]])/PricingDataTable[[#This Row],[Current Price ($)]]</f>
        <v>3.1483492926868501E-4</v>
      </c>
      <c r="M1806" t="str">
        <f t="shared" si="56"/>
        <v>PASS</v>
      </c>
      <c r="N1806" s="10" t="str">
        <f t="shared" si="57"/>
        <v>NONE</v>
      </c>
    </row>
    <row r="1807" spans="1:14">
      <c r="A1807" s="4" t="s">
        <v>3630</v>
      </c>
      <c r="B1807" s="4" t="s">
        <v>3631</v>
      </c>
      <c r="C1807" s="4" t="s">
        <v>12</v>
      </c>
      <c r="D1807" s="4" t="s">
        <v>13</v>
      </c>
      <c r="E1807" s="5">
        <v>77.678799999999995</v>
      </c>
      <c r="F1807" s="5">
        <v>77.007300000000001</v>
      </c>
      <c r="G1807" s="5">
        <v>77.003799999999998</v>
      </c>
      <c r="H1807" s="4">
        <v>0</v>
      </c>
      <c r="I1807" s="6">
        <v>634474</v>
      </c>
      <c r="J1807" s="7">
        <v>708.2</v>
      </c>
      <c r="K1807" s="9">
        <f>(PricingDataTable[[#This Row],[Current Price ($)]]-PricingDataTable[[#This Row],[Prior Price ($)]])/PricingDataTable[[#This Row],[Prior Price ($)]]</f>
        <v>-8.6445722642470614E-3</v>
      </c>
      <c r="L1807" s="9">
        <f>(PricingDataTable[[#This Row],[Vendor Price ($)]]-PricingDataTable[[#This Row],[Current Price ($)]])/PricingDataTable[[#This Row],[Current Price ($)]]</f>
        <v>-4.5450236536049191E-5</v>
      </c>
      <c r="M1807" t="str">
        <f t="shared" si="56"/>
        <v>PASS</v>
      </c>
      <c r="N1807" s="10" t="str">
        <f t="shared" si="57"/>
        <v>NONE</v>
      </c>
    </row>
    <row r="1808" spans="1:14">
      <c r="A1808" s="4" t="s">
        <v>3632</v>
      </c>
      <c r="B1808" s="4" t="s">
        <v>3633</v>
      </c>
      <c r="C1808" s="4" t="s">
        <v>12</v>
      </c>
      <c r="D1808" s="4" t="s">
        <v>13</v>
      </c>
      <c r="E1808" s="5">
        <v>99.202299999999994</v>
      </c>
      <c r="F1808" s="5">
        <v>99.363100000000003</v>
      </c>
      <c r="G1808" s="5">
        <v>99.084900000000005</v>
      </c>
      <c r="H1808" s="4">
        <v>0</v>
      </c>
      <c r="I1808" s="6">
        <v>4991020</v>
      </c>
      <c r="J1808" s="7">
        <v>666.49</v>
      </c>
      <c r="K1808" s="9">
        <f>(PricingDataTable[[#This Row],[Current Price ($)]]-PricingDataTable[[#This Row],[Prior Price ($)]])/PricingDataTable[[#This Row],[Prior Price ($)]]</f>
        <v>1.6209301598854961E-3</v>
      </c>
      <c r="L1808" s="9">
        <f>(PricingDataTable[[#This Row],[Vendor Price ($)]]-PricingDataTable[[#This Row],[Current Price ($)]])/PricingDataTable[[#This Row],[Current Price ($)]]</f>
        <v>-2.7998321308413104E-3</v>
      </c>
      <c r="M1808" t="str">
        <f t="shared" si="56"/>
        <v>PASS</v>
      </c>
      <c r="N1808" s="10" t="str">
        <f t="shared" si="57"/>
        <v>NONE</v>
      </c>
    </row>
    <row r="1809" spans="1:14">
      <c r="A1809" s="4" t="s">
        <v>3634</v>
      </c>
      <c r="B1809" s="4" t="s">
        <v>3635</v>
      </c>
      <c r="C1809" s="4" t="s">
        <v>16</v>
      </c>
      <c r="D1809" s="4" t="s">
        <v>13</v>
      </c>
      <c r="E1809" s="5">
        <v>87.714799999999997</v>
      </c>
      <c r="F1809" s="5">
        <v>87.652000000000001</v>
      </c>
      <c r="G1809" s="5">
        <v>96.059799999999996</v>
      </c>
      <c r="H1809" s="4">
        <v>0</v>
      </c>
      <c r="I1809" s="6">
        <v>288017</v>
      </c>
      <c r="J1809" s="7">
        <v>798.37</v>
      </c>
      <c r="K1809" s="9">
        <f>(PricingDataTable[[#This Row],[Current Price ($)]]-PricingDataTable[[#This Row],[Prior Price ($)]])/PricingDataTable[[#This Row],[Prior Price ($)]]</f>
        <v>-7.1595671426025881E-4</v>
      </c>
      <c r="L1809" s="9">
        <f>(PricingDataTable[[#This Row],[Vendor Price ($)]]-PricingDataTable[[#This Row],[Current Price ($)]])/PricingDataTable[[#This Row],[Current Price ($)]]</f>
        <v>9.5922511751015321E-2</v>
      </c>
      <c r="M1809" t="str">
        <f t="shared" si="56"/>
        <v>VENDOR DIFFERENCE</v>
      </c>
      <c r="N1809" s="10" t="str">
        <f t="shared" si="57"/>
        <v>HIGH</v>
      </c>
    </row>
    <row r="1810" spans="1:14">
      <c r="A1810" s="4" t="s">
        <v>3636</v>
      </c>
      <c r="B1810" s="4" t="s">
        <v>3637</v>
      </c>
      <c r="C1810" s="4" t="s">
        <v>12</v>
      </c>
      <c r="D1810" s="4" t="s">
        <v>64</v>
      </c>
      <c r="E1810" s="5">
        <v>83.505099999999999</v>
      </c>
      <c r="F1810" s="5">
        <v>83.0959</v>
      </c>
      <c r="G1810" s="5">
        <v>83.326300000000003</v>
      </c>
      <c r="H1810" s="4">
        <v>0</v>
      </c>
      <c r="I1810" s="6">
        <v>1726666</v>
      </c>
      <c r="J1810" s="7">
        <v>245.97</v>
      </c>
      <c r="K1810" s="9">
        <f>(PricingDataTable[[#This Row],[Current Price ($)]]-PricingDataTable[[#This Row],[Prior Price ($)]])/PricingDataTable[[#This Row],[Prior Price ($)]]</f>
        <v>-4.9002995026650878E-3</v>
      </c>
      <c r="L1810" s="9">
        <f>(PricingDataTable[[#This Row],[Vendor Price ($)]]-PricingDataTable[[#This Row],[Current Price ($)]])/PricingDataTable[[#This Row],[Current Price ($)]]</f>
        <v>2.7726999767738606E-3</v>
      </c>
      <c r="M1810" t="str">
        <f t="shared" si="56"/>
        <v>PASS</v>
      </c>
      <c r="N1810" s="10" t="str">
        <f t="shared" si="57"/>
        <v>NONE</v>
      </c>
    </row>
    <row r="1811" spans="1:14">
      <c r="A1811" s="4" t="s">
        <v>3638</v>
      </c>
      <c r="B1811" s="4" t="s">
        <v>3639</v>
      </c>
      <c r="C1811" s="4" t="s">
        <v>12</v>
      </c>
      <c r="D1811" s="4" t="s">
        <v>13</v>
      </c>
      <c r="E1811" s="5">
        <v>78.440399999999997</v>
      </c>
      <c r="F1811" s="5">
        <v>78.311899999999994</v>
      </c>
      <c r="G1811" s="5">
        <v>78.183800000000005</v>
      </c>
      <c r="H1811" s="4">
        <v>0</v>
      </c>
      <c r="I1811" s="6">
        <v>4610209</v>
      </c>
      <c r="J1811" s="7">
        <v>598.59</v>
      </c>
      <c r="K1811" s="9">
        <f>(PricingDataTable[[#This Row],[Current Price ($)]]-PricingDataTable[[#This Row],[Prior Price ($)]])/PricingDataTable[[#This Row],[Prior Price ($)]]</f>
        <v>-1.6381864447402423E-3</v>
      </c>
      <c r="L1811" s="9">
        <f>(PricingDataTable[[#This Row],[Vendor Price ($)]]-PricingDataTable[[#This Row],[Current Price ($)]])/PricingDataTable[[#This Row],[Current Price ($)]]</f>
        <v>-1.6357667225541613E-3</v>
      </c>
      <c r="M1811" t="str">
        <f t="shared" si="56"/>
        <v>PASS</v>
      </c>
      <c r="N1811" s="10" t="str">
        <f t="shared" si="57"/>
        <v>NONE</v>
      </c>
    </row>
    <row r="1812" spans="1:14">
      <c r="A1812" s="4" t="s">
        <v>3640</v>
      </c>
      <c r="B1812" s="4" t="s">
        <v>3641</v>
      </c>
      <c r="C1812" s="4" t="s">
        <v>19</v>
      </c>
      <c r="D1812" s="4" t="s">
        <v>64</v>
      </c>
      <c r="E1812" s="5">
        <v>115.24160000000001</v>
      </c>
      <c r="F1812" s="5"/>
      <c r="G1812" s="5">
        <v>115.5668</v>
      </c>
      <c r="H1812" s="4">
        <v>0</v>
      </c>
      <c r="I1812" s="6">
        <v>4588770</v>
      </c>
      <c r="J1812" s="7">
        <v>152.32</v>
      </c>
      <c r="K1812" s="9">
        <f>(PricingDataTable[[#This Row],[Current Price ($)]]-PricingDataTable[[#This Row],[Prior Price ($)]])/PricingDataTable[[#This Row],[Prior Price ($)]]</f>
        <v>-1</v>
      </c>
      <c r="L1812" s="9" t="e">
        <f>(PricingDataTable[[#This Row],[Vendor Price ($)]]-PricingDataTable[[#This Row],[Current Price ($)]])/PricingDataTable[[#This Row],[Current Price ($)]]</f>
        <v>#DIV/0!</v>
      </c>
      <c r="M1812" t="str">
        <f t="shared" si="56"/>
        <v>MISSING</v>
      </c>
      <c r="N1812" s="10" t="str">
        <f t="shared" si="57"/>
        <v>HIGH</v>
      </c>
    </row>
    <row r="1813" spans="1:14">
      <c r="A1813" s="4" t="s">
        <v>3642</v>
      </c>
      <c r="B1813" s="4" t="s">
        <v>3643</v>
      </c>
      <c r="C1813" s="4" t="s">
        <v>19</v>
      </c>
      <c r="D1813" s="4" t="s">
        <v>13</v>
      </c>
      <c r="E1813" s="5">
        <v>75.369500000000002</v>
      </c>
      <c r="F1813" s="5">
        <v>75.1494</v>
      </c>
      <c r="G1813" s="5">
        <v>74.686999999999998</v>
      </c>
      <c r="H1813" s="4">
        <v>1</v>
      </c>
      <c r="I1813" s="6">
        <v>76812</v>
      </c>
      <c r="J1813" s="7">
        <v>213.96</v>
      </c>
      <c r="K1813" s="9">
        <f>(PricingDataTable[[#This Row],[Current Price ($)]]-PricingDataTable[[#This Row],[Prior Price ($)]])/PricingDataTable[[#This Row],[Prior Price ($)]]</f>
        <v>-2.9202794233742055E-3</v>
      </c>
      <c r="L1813" s="9">
        <f>(PricingDataTable[[#This Row],[Vendor Price ($)]]-PricingDataTable[[#This Row],[Current Price ($)]])/PricingDataTable[[#This Row],[Current Price ($)]]</f>
        <v>-6.153076405134337E-3</v>
      </c>
      <c r="M1813" t="str">
        <f t="shared" si="56"/>
        <v>PASS</v>
      </c>
      <c r="N1813" s="10" t="str">
        <f t="shared" si="57"/>
        <v>NONE</v>
      </c>
    </row>
    <row r="1814" spans="1:14">
      <c r="A1814" s="4" t="s">
        <v>3644</v>
      </c>
      <c r="B1814" s="4" t="s">
        <v>3645</v>
      </c>
      <c r="C1814" s="4" t="s">
        <v>12</v>
      </c>
      <c r="D1814" s="4" t="s">
        <v>13</v>
      </c>
      <c r="E1814" s="5">
        <v>124.5179</v>
      </c>
      <c r="F1814" s="5">
        <v>124.369</v>
      </c>
      <c r="G1814" s="5">
        <v>123.8651</v>
      </c>
      <c r="H1814" s="4">
        <v>1</v>
      </c>
      <c r="I1814" s="6">
        <v>1546074</v>
      </c>
      <c r="J1814" s="7">
        <v>41.75</v>
      </c>
      <c r="K1814" s="9">
        <f>(PricingDataTable[[#This Row],[Current Price ($)]]-PricingDataTable[[#This Row],[Prior Price ($)]])/PricingDataTable[[#This Row],[Prior Price ($)]]</f>
        <v>-1.1958120077514766E-3</v>
      </c>
      <c r="L1814" s="9">
        <f>(PricingDataTable[[#This Row],[Vendor Price ($)]]-PricingDataTable[[#This Row],[Current Price ($)]])/PricingDataTable[[#This Row],[Current Price ($)]]</f>
        <v>-4.0516527430469133E-3</v>
      </c>
      <c r="M1814" t="str">
        <f t="shared" si="56"/>
        <v>PASS</v>
      </c>
      <c r="N1814" s="10" t="str">
        <f t="shared" si="57"/>
        <v>NONE</v>
      </c>
    </row>
    <row r="1815" spans="1:14">
      <c r="A1815" s="4" t="s">
        <v>3646</v>
      </c>
      <c r="B1815" s="4" t="s">
        <v>3647</v>
      </c>
      <c r="C1815" s="4" t="s">
        <v>19</v>
      </c>
      <c r="D1815" s="4" t="s">
        <v>13</v>
      </c>
      <c r="E1815" s="5">
        <v>253.30680000000001</v>
      </c>
      <c r="F1815" s="5">
        <v>254.81800000000001</v>
      </c>
      <c r="G1815" s="5">
        <v>252.86199999999999</v>
      </c>
      <c r="H1815" s="4">
        <v>0</v>
      </c>
      <c r="I1815" s="6">
        <v>232395</v>
      </c>
      <c r="J1815" s="7">
        <v>715.05</v>
      </c>
      <c r="K1815" s="9">
        <f>(PricingDataTable[[#This Row],[Current Price ($)]]-PricingDataTable[[#This Row],[Prior Price ($)]])/PricingDataTable[[#This Row],[Prior Price ($)]]</f>
        <v>5.9658880061648654E-3</v>
      </c>
      <c r="L1815" s="9">
        <f>(PricingDataTable[[#This Row],[Vendor Price ($)]]-PricingDataTable[[#This Row],[Current Price ($)]])/PricingDataTable[[#This Row],[Current Price ($)]]</f>
        <v>-7.6760668398622436E-3</v>
      </c>
      <c r="M1815" t="str">
        <f t="shared" si="56"/>
        <v>PASS</v>
      </c>
      <c r="N1815" s="10" t="str">
        <f t="shared" si="57"/>
        <v>NONE</v>
      </c>
    </row>
    <row r="1816" spans="1:14">
      <c r="A1816" s="4" t="s">
        <v>3648</v>
      </c>
      <c r="B1816" s="4" t="s">
        <v>3649</v>
      </c>
      <c r="C1816" s="4" t="s">
        <v>39</v>
      </c>
      <c r="D1816" s="4" t="s">
        <v>13</v>
      </c>
      <c r="E1816" s="5">
        <v>69.663700000000006</v>
      </c>
      <c r="F1816" s="5">
        <v>68.671999999999997</v>
      </c>
      <c r="G1816" s="5">
        <v>68.736800000000002</v>
      </c>
      <c r="H1816" s="4">
        <v>1</v>
      </c>
      <c r="I1816" s="6">
        <v>2550568</v>
      </c>
      <c r="J1816" s="7">
        <v>325.75</v>
      </c>
      <c r="K1816" s="9">
        <f>(PricingDataTable[[#This Row],[Current Price ($)]]-PricingDataTable[[#This Row],[Prior Price ($)]])/PricingDataTable[[#This Row],[Prior Price ($)]]</f>
        <v>-1.4235534431849136E-2</v>
      </c>
      <c r="L1816" s="9">
        <f>(PricingDataTable[[#This Row],[Vendor Price ($)]]-PricingDataTable[[#This Row],[Current Price ($)]])/PricingDataTable[[#This Row],[Current Price ($)]]</f>
        <v>9.4361602982300354E-4</v>
      </c>
      <c r="M1816" t="str">
        <f t="shared" si="56"/>
        <v>PASS</v>
      </c>
      <c r="N1816" s="10" t="str">
        <f t="shared" si="57"/>
        <v>NONE</v>
      </c>
    </row>
    <row r="1817" spans="1:14">
      <c r="A1817" s="4" t="s">
        <v>3650</v>
      </c>
      <c r="B1817" s="4" t="s">
        <v>3651</v>
      </c>
      <c r="C1817" s="4" t="s">
        <v>12</v>
      </c>
      <c r="D1817" s="4" t="s">
        <v>13</v>
      </c>
      <c r="E1817" s="5">
        <v>94.7714</v>
      </c>
      <c r="F1817" s="5">
        <v>93.655600000000007</v>
      </c>
      <c r="G1817" s="5">
        <v>94.099599999999995</v>
      </c>
      <c r="H1817" s="4">
        <v>0</v>
      </c>
      <c r="I1817" s="6">
        <v>976838</v>
      </c>
      <c r="J1817" s="7">
        <v>619.35</v>
      </c>
      <c r="K1817" s="9">
        <f>(PricingDataTable[[#This Row],[Current Price ($)]]-PricingDataTable[[#This Row],[Prior Price ($)]])/PricingDataTable[[#This Row],[Prior Price ($)]]</f>
        <v>-1.1773594143380736E-2</v>
      </c>
      <c r="L1817" s="9">
        <f>(PricingDataTable[[#This Row],[Vendor Price ($)]]-PricingDataTable[[#This Row],[Current Price ($)]])/PricingDataTable[[#This Row],[Current Price ($)]]</f>
        <v>4.7407736430068077E-3</v>
      </c>
      <c r="M1817" t="str">
        <f t="shared" si="56"/>
        <v>PASS</v>
      </c>
      <c r="N1817" s="10" t="str">
        <f t="shared" si="57"/>
        <v>NONE</v>
      </c>
    </row>
    <row r="1818" spans="1:14">
      <c r="A1818" s="4" t="s">
        <v>3652</v>
      </c>
      <c r="B1818" s="4" t="s">
        <v>3653</v>
      </c>
      <c r="C1818" s="4" t="s">
        <v>16</v>
      </c>
      <c r="D1818" s="4" t="s">
        <v>32</v>
      </c>
      <c r="E1818" s="5">
        <v>117.3229</v>
      </c>
      <c r="F1818" s="5">
        <v>117.40130000000001</v>
      </c>
      <c r="G1818" s="5">
        <v>117.7302</v>
      </c>
      <c r="H1818" s="4">
        <v>1</v>
      </c>
      <c r="I1818" s="6">
        <v>4563587</v>
      </c>
      <c r="J1818" s="7">
        <v>197.04</v>
      </c>
      <c r="K1818" s="9">
        <f>(PricingDataTable[[#This Row],[Current Price ($)]]-PricingDataTable[[#This Row],[Prior Price ($)]])/PricingDataTable[[#This Row],[Prior Price ($)]]</f>
        <v>6.6824123849650854E-4</v>
      </c>
      <c r="L1818" s="9">
        <f>(PricingDataTable[[#This Row],[Vendor Price ($)]]-PricingDataTable[[#This Row],[Current Price ($)]])/PricingDataTable[[#This Row],[Current Price ($)]]</f>
        <v>2.801502198016463E-3</v>
      </c>
      <c r="M1818" t="str">
        <f t="shared" si="56"/>
        <v>PASS</v>
      </c>
      <c r="N1818" s="10" t="str">
        <f t="shared" si="57"/>
        <v>NONE</v>
      </c>
    </row>
    <row r="1819" spans="1:14">
      <c r="A1819" s="4" t="s">
        <v>3654</v>
      </c>
      <c r="B1819" s="4" t="s">
        <v>3655</v>
      </c>
      <c r="C1819" s="4" t="s">
        <v>16</v>
      </c>
      <c r="D1819" s="4" t="s">
        <v>13</v>
      </c>
      <c r="E1819" s="5">
        <v>79.922300000000007</v>
      </c>
      <c r="F1819" s="5">
        <v>78.12</v>
      </c>
      <c r="G1819" s="5">
        <v>77.993600000000001</v>
      </c>
      <c r="H1819" s="4">
        <v>5</v>
      </c>
      <c r="I1819" s="6">
        <v>2422705</v>
      </c>
      <c r="J1819" s="7">
        <v>600.55999999999995</v>
      </c>
      <c r="K1819" s="9">
        <f>(PricingDataTable[[#This Row],[Current Price ($)]]-PricingDataTable[[#This Row],[Prior Price ($)]])/PricingDataTable[[#This Row],[Prior Price ($)]]</f>
        <v>-2.2550652321066865E-2</v>
      </c>
      <c r="L1819" s="9">
        <f>(PricingDataTable[[#This Row],[Vendor Price ($)]]-PricingDataTable[[#This Row],[Current Price ($)]])/PricingDataTable[[#This Row],[Current Price ($)]]</f>
        <v>-1.6180235535074735E-3</v>
      </c>
      <c r="M1819" t="str">
        <f t="shared" si="56"/>
        <v>STALE</v>
      </c>
      <c r="N1819" s="10" t="str">
        <f t="shared" si="57"/>
        <v>MEDIUM</v>
      </c>
    </row>
    <row r="1820" spans="1:14">
      <c r="A1820" s="4" t="s">
        <v>3656</v>
      </c>
      <c r="B1820" s="4" t="s">
        <v>3657</v>
      </c>
      <c r="C1820" s="4" t="s">
        <v>19</v>
      </c>
      <c r="D1820" s="4" t="s">
        <v>13</v>
      </c>
      <c r="E1820" s="5">
        <v>138.392</v>
      </c>
      <c r="F1820" s="5">
        <v>137.26849999999999</v>
      </c>
      <c r="G1820" s="5">
        <v>137.27860000000001</v>
      </c>
      <c r="H1820" s="4">
        <v>1</v>
      </c>
      <c r="I1820" s="6">
        <v>812701</v>
      </c>
      <c r="J1820" s="7">
        <v>615.84</v>
      </c>
      <c r="K1820" s="9">
        <f>(PricingDataTable[[#This Row],[Current Price ($)]]-PricingDataTable[[#This Row],[Prior Price ($)]])/PricingDataTable[[#This Row],[Prior Price ($)]]</f>
        <v>-8.1182438291231215E-3</v>
      </c>
      <c r="L1820" s="9">
        <f>(PricingDataTable[[#This Row],[Vendor Price ($)]]-PricingDataTable[[#This Row],[Current Price ($)]])/PricingDataTable[[#This Row],[Current Price ($)]]</f>
        <v>7.3578424766225658E-5</v>
      </c>
      <c r="M1820" t="str">
        <f t="shared" si="56"/>
        <v>PASS</v>
      </c>
      <c r="N1820" s="10" t="str">
        <f t="shared" si="57"/>
        <v>NONE</v>
      </c>
    </row>
    <row r="1821" spans="1:14">
      <c r="A1821" s="4" t="s">
        <v>3658</v>
      </c>
      <c r="B1821" s="4" t="s">
        <v>3659</v>
      </c>
      <c r="C1821" s="4" t="s">
        <v>16</v>
      </c>
      <c r="D1821" s="4" t="s">
        <v>13</v>
      </c>
      <c r="E1821" s="5">
        <v>86.338200000000001</v>
      </c>
      <c r="F1821" s="5">
        <v>83.795900000000003</v>
      </c>
      <c r="G1821" s="5">
        <v>83.341999999999999</v>
      </c>
      <c r="H1821" s="4">
        <v>3</v>
      </c>
      <c r="I1821" s="6">
        <v>2100265</v>
      </c>
      <c r="J1821" s="7">
        <v>349.59</v>
      </c>
      <c r="K1821" s="9">
        <f>(PricingDataTable[[#This Row],[Current Price ($)]]-PricingDataTable[[#This Row],[Prior Price ($)]])/PricingDataTable[[#This Row],[Prior Price ($)]]</f>
        <v>-2.9445830466699529E-2</v>
      </c>
      <c r="L1821" s="9">
        <f>(PricingDataTable[[#This Row],[Vendor Price ($)]]-PricingDataTable[[#This Row],[Current Price ($)]])/PricingDataTable[[#This Row],[Current Price ($)]]</f>
        <v>-5.4167327995761653E-3</v>
      </c>
      <c r="M1821" t="str">
        <f t="shared" si="56"/>
        <v>STALE</v>
      </c>
      <c r="N1821" s="10" t="str">
        <f t="shared" si="57"/>
        <v>LOW</v>
      </c>
    </row>
    <row r="1822" spans="1:14">
      <c r="A1822" s="4" t="s">
        <v>3660</v>
      </c>
      <c r="B1822" s="4" t="s">
        <v>3661</v>
      </c>
      <c r="C1822" s="4" t="s">
        <v>35</v>
      </c>
      <c r="D1822" s="4" t="s">
        <v>13</v>
      </c>
      <c r="E1822" s="5">
        <v>92.871499999999997</v>
      </c>
      <c r="F1822" s="5"/>
      <c r="G1822" s="5">
        <v>92.644800000000004</v>
      </c>
      <c r="H1822" s="4">
        <v>4</v>
      </c>
      <c r="I1822" s="6">
        <v>1845565</v>
      </c>
      <c r="J1822" s="7">
        <v>437.88</v>
      </c>
      <c r="K1822" s="9">
        <f>(PricingDataTable[[#This Row],[Current Price ($)]]-PricingDataTable[[#This Row],[Prior Price ($)]])/PricingDataTable[[#This Row],[Prior Price ($)]]</f>
        <v>-1</v>
      </c>
      <c r="L1822" s="9" t="e">
        <f>(PricingDataTable[[#This Row],[Vendor Price ($)]]-PricingDataTable[[#This Row],[Current Price ($)]])/PricingDataTable[[#This Row],[Current Price ($)]]</f>
        <v>#DIV/0!</v>
      </c>
      <c r="M1822" t="str">
        <f t="shared" si="56"/>
        <v>MISSING</v>
      </c>
      <c r="N1822" s="10" t="str">
        <f t="shared" si="57"/>
        <v>HIGH</v>
      </c>
    </row>
    <row r="1823" spans="1:14">
      <c r="A1823" s="4" t="s">
        <v>3662</v>
      </c>
      <c r="B1823" s="4" t="s">
        <v>3663</v>
      </c>
      <c r="C1823" s="4" t="s">
        <v>16</v>
      </c>
      <c r="D1823" s="4" t="s">
        <v>13</v>
      </c>
      <c r="E1823" s="5">
        <v>117.14700000000001</v>
      </c>
      <c r="F1823" s="5">
        <v>117.3263</v>
      </c>
      <c r="G1823" s="5">
        <v>116.867</v>
      </c>
      <c r="H1823" s="4">
        <v>1</v>
      </c>
      <c r="I1823" s="6">
        <v>954070</v>
      </c>
      <c r="J1823" s="7">
        <v>595.26</v>
      </c>
      <c r="K1823" s="9">
        <f>(PricingDataTable[[#This Row],[Current Price ($)]]-PricingDataTable[[#This Row],[Prior Price ($)]])/PricingDataTable[[#This Row],[Prior Price ($)]]</f>
        <v>1.5305556266912322E-3</v>
      </c>
      <c r="L1823" s="9">
        <f>(PricingDataTable[[#This Row],[Vendor Price ($)]]-PricingDataTable[[#This Row],[Current Price ($)]])/PricingDataTable[[#This Row],[Current Price ($)]]</f>
        <v>-3.9147232973340074E-3</v>
      </c>
      <c r="M1823" t="str">
        <f t="shared" si="56"/>
        <v>PASS</v>
      </c>
      <c r="N1823" s="10" t="str">
        <f t="shared" si="57"/>
        <v>NONE</v>
      </c>
    </row>
    <row r="1824" spans="1:14">
      <c r="A1824" s="4" t="s">
        <v>3664</v>
      </c>
      <c r="B1824" s="4" t="s">
        <v>3665</v>
      </c>
      <c r="C1824" s="4" t="s">
        <v>35</v>
      </c>
      <c r="D1824" s="4" t="s">
        <v>13</v>
      </c>
      <c r="E1824" s="5">
        <v>108.4992</v>
      </c>
      <c r="F1824" s="5">
        <v>108.4259</v>
      </c>
      <c r="G1824" s="5">
        <v>108.5214</v>
      </c>
      <c r="H1824" s="4">
        <v>3</v>
      </c>
      <c r="I1824" s="6">
        <v>4557826</v>
      </c>
      <c r="J1824" s="7">
        <v>406.61</v>
      </c>
      <c r="K1824" s="9">
        <f>(PricingDataTable[[#This Row],[Current Price ($)]]-PricingDataTable[[#This Row],[Prior Price ($)]])/PricingDataTable[[#This Row],[Prior Price ($)]]</f>
        <v>-6.7558101810891928E-4</v>
      </c>
      <c r="L1824" s="9">
        <f>(PricingDataTable[[#This Row],[Vendor Price ($)]]-PricingDataTable[[#This Row],[Current Price ($)]])/PricingDataTable[[#This Row],[Current Price ($)]]</f>
        <v>8.8078586389415492E-4</v>
      </c>
      <c r="M1824" t="str">
        <f t="shared" si="56"/>
        <v>STALE</v>
      </c>
      <c r="N1824" s="10" t="str">
        <f t="shared" si="57"/>
        <v>LOW</v>
      </c>
    </row>
    <row r="1825" spans="1:14">
      <c r="A1825" s="4" t="s">
        <v>3666</v>
      </c>
      <c r="B1825" s="4" t="s">
        <v>3667</v>
      </c>
      <c r="C1825" s="4" t="s">
        <v>19</v>
      </c>
      <c r="D1825" s="4" t="s">
        <v>13</v>
      </c>
      <c r="E1825" s="5">
        <v>185.35910000000001</v>
      </c>
      <c r="F1825" s="5">
        <v>188.09469999999999</v>
      </c>
      <c r="G1825" s="5">
        <v>188.18430000000001</v>
      </c>
      <c r="H1825" s="4">
        <v>5</v>
      </c>
      <c r="I1825" s="6">
        <v>4031377</v>
      </c>
      <c r="J1825" s="7">
        <v>301.33</v>
      </c>
      <c r="K1825" s="9">
        <f>(PricingDataTable[[#This Row],[Current Price ($)]]-PricingDataTable[[#This Row],[Prior Price ($)]])/PricingDataTable[[#This Row],[Prior Price ($)]]</f>
        <v>1.4758379815180245E-2</v>
      </c>
      <c r="L1825" s="9">
        <f>(PricingDataTable[[#This Row],[Vendor Price ($)]]-PricingDataTable[[#This Row],[Current Price ($)]])/PricingDataTable[[#This Row],[Current Price ($)]]</f>
        <v>4.7635579311920305E-4</v>
      </c>
      <c r="M1825" t="str">
        <f t="shared" si="56"/>
        <v>STALE</v>
      </c>
      <c r="N1825" s="10" t="str">
        <f t="shared" si="57"/>
        <v>MEDIUM</v>
      </c>
    </row>
    <row r="1826" spans="1:14">
      <c r="A1826" s="4" t="s">
        <v>3668</v>
      </c>
      <c r="B1826" s="4" t="s">
        <v>3669</v>
      </c>
      <c r="C1826" s="4" t="s">
        <v>12</v>
      </c>
      <c r="D1826" s="4" t="s">
        <v>32</v>
      </c>
      <c r="E1826" s="5">
        <v>111.35890000000001</v>
      </c>
      <c r="F1826" s="5">
        <v>109.9541</v>
      </c>
      <c r="G1826" s="5">
        <v>109.4357</v>
      </c>
      <c r="H1826" s="4">
        <v>0</v>
      </c>
      <c r="I1826" s="6">
        <v>1353494</v>
      </c>
      <c r="J1826" s="7">
        <v>836.89</v>
      </c>
      <c r="K1826" s="9">
        <f>(PricingDataTable[[#This Row],[Current Price ($)]]-PricingDataTable[[#This Row],[Prior Price ($)]])/PricingDataTable[[#This Row],[Prior Price ($)]]</f>
        <v>-1.2615067138773898E-2</v>
      </c>
      <c r="L1826" s="9">
        <f>(PricingDataTable[[#This Row],[Vendor Price ($)]]-PricingDataTable[[#This Row],[Current Price ($)]])/PricingDataTable[[#This Row],[Current Price ($)]]</f>
        <v>-4.7146945861955107E-3</v>
      </c>
      <c r="M1826" t="str">
        <f t="shared" si="56"/>
        <v>PASS</v>
      </c>
      <c r="N1826" s="10" t="str">
        <f t="shared" si="57"/>
        <v>NONE</v>
      </c>
    </row>
    <row r="1827" spans="1:14">
      <c r="A1827" s="4" t="s">
        <v>3670</v>
      </c>
      <c r="B1827" s="4" t="s">
        <v>3671</v>
      </c>
      <c r="C1827" s="4" t="s">
        <v>16</v>
      </c>
      <c r="D1827" s="4" t="s">
        <v>13</v>
      </c>
      <c r="E1827" s="5">
        <v>102.3143</v>
      </c>
      <c r="F1827" s="5">
        <v>101.37949999999999</v>
      </c>
      <c r="G1827" s="5">
        <v>101.52809999999999</v>
      </c>
      <c r="H1827" s="4">
        <v>0</v>
      </c>
      <c r="I1827" s="6">
        <v>79963</v>
      </c>
      <c r="J1827" s="7">
        <v>389.52</v>
      </c>
      <c r="K1827" s="9">
        <f>(PricingDataTable[[#This Row],[Current Price ($)]]-PricingDataTable[[#This Row],[Prior Price ($)]])/PricingDataTable[[#This Row],[Prior Price ($)]]</f>
        <v>-9.1365527594872847E-3</v>
      </c>
      <c r="L1827" s="9">
        <f>(PricingDataTable[[#This Row],[Vendor Price ($)]]-PricingDataTable[[#This Row],[Current Price ($)]])/PricingDataTable[[#This Row],[Current Price ($)]]</f>
        <v>1.465779570820549E-3</v>
      </c>
      <c r="M1827" t="str">
        <f t="shared" si="56"/>
        <v>PASS</v>
      </c>
      <c r="N1827" s="10" t="str">
        <f t="shared" si="57"/>
        <v>NONE</v>
      </c>
    </row>
    <row r="1828" spans="1:14">
      <c r="A1828" s="4" t="s">
        <v>3672</v>
      </c>
      <c r="B1828" s="4" t="s">
        <v>3673</v>
      </c>
      <c r="C1828" s="4" t="s">
        <v>12</v>
      </c>
      <c r="D1828" s="4" t="s">
        <v>13</v>
      </c>
      <c r="E1828" s="5">
        <v>122.8784</v>
      </c>
      <c r="F1828" s="5">
        <v>122.4725</v>
      </c>
      <c r="G1828" s="5">
        <v>122.1112</v>
      </c>
      <c r="H1828" s="4">
        <v>0</v>
      </c>
      <c r="I1828" s="6">
        <v>3075620</v>
      </c>
      <c r="J1828" s="7">
        <v>749.56</v>
      </c>
      <c r="K1828" s="9">
        <f>(PricingDataTable[[#This Row],[Current Price ($)]]-PricingDataTable[[#This Row],[Prior Price ($)]])/PricingDataTable[[#This Row],[Prior Price ($)]]</f>
        <v>-3.3032656675217337E-3</v>
      </c>
      <c r="L1828" s="9">
        <f>(PricingDataTable[[#This Row],[Vendor Price ($)]]-PricingDataTable[[#This Row],[Current Price ($)]])/PricingDataTable[[#This Row],[Current Price ($)]]</f>
        <v>-2.9500500112270098E-3</v>
      </c>
      <c r="M1828" t="str">
        <f t="shared" si="56"/>
        <v>PASS</v>
      </c>
      <c r="N1828" s="10" t="str">
        <f t="shared" si="57"/>
        <v>NONE</v>
      </c>
    </row>
    <row r="1829" spans="1:14">
      <c r="A1829" s="4" t="s">
        <v>3674</v>
      </c>
      <c r="B1829" s="4" t="s">
        <v>3675</v>
      </c>
      <c r="C1829" s="4" t="s">
        <v>39</v>
      </c>
      <c r="D1829" s="4" t="s">
        <v>32</v>
      </c>
      <c r="E1829" s="5">
        <v>43.347700000000003</v>
      </c>
      <c r="F1829" s="5">
        <v>42.762500000000003</v>
      </c>
      <c r="G1829" s="5">
        <v>42.662199999999999</v>
      </c>
      <c r="H1829" s="4">
        <v>0</v>
      </c>
      <c r="I1829" s="6">
        <v>1773170</v>
      </c>
      <c r="J1829" s="7">
        <v>473.1</v>
      </c>
      <c r="K1829" s="9">
        <f>(PricingDataTable[[#This Row],[Current Price ($)]]-PricingDataTable[[#This Row],[Prior Price ($)]])/PricingDataTable[[#This Row],[Prior Price ($)]]</f>
        <v>-1.3500139569112094E-2</v>
      </c>
      <c r="L1829" s="9">
        <f>(PricingDataTable[[#This Row],[Vendor Price ($)]]-PricingDataTable[[#This Row],[Current Price ($)]])/PricingDataTable[[#This Row],[Current Price ($)]]</f>
        <v>-2.3455130078925291E-3</v>
      </c>
      <c r="M1829" t="str">
        <f t="shared" si="56"/>
        <v>PASS</v>
      </c>
      <c r="N1829" s="10" t="str">
        <f t="shared" si="57"/>
        <v>NONE</v>
      </c>
    </row>
    <row r="1830" spans="1:14">
      <c r="A1830" s="4" t="s">
        <v>3676</v>
      </c>
      <c r="B1830" s="4" t="s">
        <v>3677</v>
      </c>
      <c r="C1830" s="4" t="s">
        <v>12</v>
      </c>
      <c r="D1830" s="4" t="s">
        <v>64</v>
      </c>
      <c r="E1830" s="5">
        <v>77.677599999999998</v>
      </c>
      <c r="F1830" s="5">
        <v>75.453900000000004</v>
      </c>
      <c r="G1830" s="5">
        <v>75.349500000000006</v>
      </c>
      <c r="H1830" s="4">
        <v>0</v>
      </c>
      <c r="I1830" s="6">
        <v>3574700</v>
      </c>
      <c r="J1830" s="7">
        <v>892</v>
      </c>
      <c r="K1830" s="9">
        <f>(PricingDataTable[[#This Row],[Current Price ($)]]-PricingDataTable[[#This Row],[Prior Price ($)]])/PricingDataTable[[#This Row],[Prior Price ($)]]</f>
        <v>-2.8627300534516949E-2</v>
      </c>
      <c r="L1830" s="9">
        <f>(PricingDataTable[[#This Row],[Vendor Price ($)]]-PricingDataTable[[#This Row],[Current Price ($)]])/PricingDataTable[[#This Row],[Current Price ($)]]</f>
        <v>-1.383626293670682E-3</v>
      </c>
      <c r="M1830" t="str">
        <f t="shared" si="56"/>
        <v>PASS</v>
      </c>
      <c r="N1830" s="10" t="str">
        <f t="shared" si="57"/>
        <v>NONE</v>
      </c>
    </row>
    <row r="1831" spans="1:14">
      <c r="A1831" s="4" t="s">
        <v>3678</v>
      </c>
      <c r="B1831" s="4" t="s">
        <v>3679</v>
      </c>
      <c r="C1831" s="4" t="s">
        <v>39</v>
      </c>
      <c r="D1831" s="4" t="s">
        <v>13</v>
      </c>
      <c r="E1831" s="5">
        <v>47.302399999999999</v>
      </c>
      <c r="F1831" s="5">
        <v>47.589399999999998</v>
      </c>
      <c r="G1831" s="5">
        <v>47.9925</v>
      </c>
      <c r="H1831" s="4">
        <v>1</v>
      </c>
      <c r="I1831" s="6">
        <v>4420818</v>
      </c>
      <c r="J1831" s="7">
        <v>296.61</v>
      </c>
      <c r="K1831" s="9">
        <f>(PricingDataTable[[#This Row],[Current Price ($)]]-PricingDataTable[[#This Row],[Prior Price ($)]])/PricingDataTable[[#This Row],[Prior Price ($)]]</f>
        <v>6.0673454201055138E-3</v>
      </c>
      <c r="L1831" s="9">
        <f>(PricingDataTable[[#This Row],[Vendor Price ($)]]-PricingDataTable[[#This Row],[Current Price ($)]])/PricingDataTable[[#This Row],[Current Price ($)]]</f>
        <v>8.4703736546374205E-3</v>
      </c>
      <c r="M1831" t="str">
        <f t="shared" si="56"/>
        <v>PASS</v>
      </c>
      <c r="N1831" s="10" t="str">
        <f t="shared" si="57"/>
        <v>NONE</v>
      </c>
    </row>
    <row r="1832" spans="1:14">
      <c r="A1832" s="4" t="s">
        <v>3680</v>
      </c>
      <c r="B1832" s="4" t="s">
        <v>3681</v>
      </c>
      <c r="C1832" s="4" t="s">
        <v>39</v>
      </c>
      <c r="D1832" s="4" t="s">
        <v>13</v>
      </c>
      <c r="E1832" s="5">
        <v>243.7225</v>
      </c>
      <c r="F1832" s="5">
        <v>244.83009999999999</v>
      </c>
      <c r="G1832" s="5">
        <v>244.35839999999999</v>
      </c>
      <c r="H1832" s="4">
        <v>1</v>
      </c>
      <c r="I1832" s="6">
        <v>4224849</v>
      </c>
      <c r="J1832" s="7">
        <v>202.57</v>
      </c>
      <c r="K1832" s="9">
        <f>(PricingDataTable[[#This Row],[Current Price ($)]]-PricingDataTable[[#This Row],[Prior Price ($)]])/PricingDataTable[[#This Row],[Prior Price ($)]]</f>
        <v>4.544512714254904E-3</v>
      </c>
      <c r="L1832" s="9">
        <f>(PricingDataTable[[#This Row],[Vendor Price ($)]]-PricingDataTable[[#This Row],[Current Price ($)]])/PricingDataTable[[#This Row],[Current Price ($)]]</f>
        <v>-1.9266421898287772E-3</v>
      </c>
      <c r="M1832" t="str">
        <f t="shared" si="56"/>
        <v>PASS</v>
      </c>
      <c r="N1832" s="10" t="str">
        <f t="shared" si="57"/>
        <v>NONE</v>
      </c>
    </row>
    <row r="1833" spans="1:14">
      <c r="A1833" s="4" t="s">
        <v>3682</v>
      </c>
      <c r="B1833" s="4" t="s">
        <v>3683</v>
      </c>
      <c r="C1833" s="4" t="s">
        <v>35</v>
      </c>
      <c r="D1833" s="4" t="s">
        <v>64</v>
      </c>
      <c r="E1833" s="5">
        <v>43.726799999999997</v>
      </c>
      <c r="F1833" s="5">
        <v>43.1571</v>
      </c>
      <c r="G1833" s="5">
        <v>43.058100000000003</v>
      </c>
      <c r="H1833" s="4">
        <v>0</v>
      </c>
      <c r="I1833" s="6">
        <v>1293912</v>
      </c>
      <c r="J1833" s="7">
        <v>131.12</v>
      </c>
      <c r="K1833" s="9">
        <f>(PricingDataTable[[#This Row],[Current Price ($)]]-PricingDataTable[[#This Row],[Prior Price ($)]])/PricingDataTable[[#This Row],[Prior Price ($)]]</f>
        <v>-1.3028623178462578E-2</v>
      </c>
      <c r="L1833" s="9">
        <f>(PricingDataTable[[#This Row],[Vendor Price ($)]]-PricingDataTable[[#This Row],[Current Price ($)]])/PricingDataTable[[#This Row],[Current Price ($)]]</f>
        <v>-2.2939446811763684E-3</v>
      </c>
      <c r="M1833" t="str">
        <f t="shared" si="56"/>
        <v>PASS</v>
      </c>
      <c r="N1833" s="10" t="str">
        <f t="shared" si="57"/>
        <v>NONE</v>
      </c>
    </row>
    <row r="1834" spans="1:14">
      <c r="A1834" s="4" t="s">
        <v>3684</v>
      </c>
      <c r="B1834" s="4" t="s">
        <v>3685</v>
      </c>
      <c r="C1834" s="4" t="s">
        <v>19</v>
      </c>
      <c r="D1834" s="4" t="s">
        <v>32</v>
      </c>
      <c r="E1834" s="5">
        <v>31.850999999999999</v>
      </c>
      <c r="F1834" s="5">
        <v>31.344100000000001</v>
      </c>
      <c r="G1834" s="5">
        <v>31.253299999999999</v>
      </c>
      <c r="H1834" s="4">
        <v>0</v>
      </c>
      <c r="I1834" s="6">
        <v>2132216</v>
      </c>
      <c r="J1834" s="7">
        <v>748.9</v>
      </c>
      <c r="K1834" s="9">
        <f>(PricingDataTable[[#This Row],[Current Price ($)]]-PricingDataTable[[#This Row],[Prior Price ($)]])/PricingDataTable[[#This Row],[Prior Price ($)]]</f>
        <v>-1.5914727952026565E-2</v>
      </c>
      <c r="L1834" s="9">
        <f>(PricingDataTable[[#This Row],[Vendor Price ($)]]-PricingDataTable[[#This Row],[Current Price ($)]])/PricingDataTable[[#This Row],[Current Price ($)]]</f>
        <v>-2.8968769242058807E-3</v>
      </c>
      <c r="M1834" t="str">
        <f t="shared" si="56"/>
        <v>PASS</v>
      </c>
      <c r="N1834" s="10" t="str">
        <f t="shared" si="57"/>
        <v>NONE</v>
      </c>
    </row>
    <row r="1835" spans="1:14">
      <c r="A1835" s="4" t="s">
        <v>3686</v>
      </c>
      <c r="B1835" s="4" t="s">
        <v>3687</v>
      </c>
      <c r="C1835" s="4" t="s">
        <v>35</v>
      </c>
      <c r="D1835" s="4" t="s">
        <v>13</v>
      </c>
      <c r="E1835" s="5">
        <v>127.17230000000001</v>
      </c>
      <c r="F1835" s="5">
        <v>127.5791</v>
      </c>
      <c r="G1835" s="5">
        <v>127.804</v>
      </c>
      <c r="H1835" s="4">
        <v>0</v>
      </c>
      <c r="I1835" s="6">
        <v>3004184</v>
      </c>
      <c r="J1835" s="7">
        <v>232.54</v>
      </c>
      <c r="K1835" s="9">
        <f>(PricingDataTable[[#This Row],[Current Price ($)]]-PricingDataTable[[#This Row],[Prior Price ($)]])/PricingDataTable[[#This Row],[Prior Price ($)]]</f>
        <v>3.1988098037071737E-3</v>
      </c>
      <c r="L1835" s="9">
        <f>(PricingDataTable[[#This Row],[Vendor Price ($)]]-PricingDataTable[[#This Row],[Current Price ($)]])/PricingDataTable[[#This Row],[Current Price ($)]]</f>
        <v>1.7628279240095377E-3</v>
      </c>
      <c r="M1835" t="str">
        <f t="shared" si="56"/>
        <v>PASS</v>
      </c>
      <c r="N1835" s="10" t="str">
        <f t="shared" si="57"/>
        <v>NONE</v>
      </c>
    </row>
    <row r="1836" spans="1:14">
      <c r="A1836" s="4" t="s">
        <v>3688</v>
      </c>
      <c r="B1836" s="4" t="s">
        <v>3689</v>
      </c>
      <c r="C1836" s="4" t="s">
        <v>19</v>
      </c>
      <c r="D1836" s="4" t="s">
        <v>13</v>
      </c>
      <c r="E1836" s="5">
        <v>115.37130000000001</v>
      </c>
      <c r="F1836" s="5">
        <v>115.46339999999999</v>
      </c>
      <c r="G1836" s="5">
        <v>115.575</v>
      </c>
      <c r="H1836" s="4">
        <v>1</v>
      </c>
      <c r="I1836" s="6">
        <v>2833622</v>
      </c>
      <c r="J1836" s="7">
        <v>697.7</v>
      </c>
      <c r="K1836" s="9">
        <f>(PricingDataTable[[#This Row],[Current Price ($)]]-PricingDataTable[[#This Row],[Prior Price ($)]])/PricingDataTable[[#This Row],[Prior Price ($)]]</f>
        <v>7.9829212291087867E-4</v>
      </c>
      <c r="L1836" s="9">
        <f>(PricingDataTable[[#This Row],[Vendor Price ($)]]-PricingDataTable[[#This Row],[Current Price ($)]])/PricingDataTable[[#This Row],[Current Price ($)]]</f>
        <v>9.6654004645636555E-4</v>
      </c>
      <c r="M1836" t="str">
        <f t="shared" si="56"/>
        <v>PASS</v>
      </c>
      <c r="N1836" s="10" t="str">
        <f t="shared" si="57"/>
        <v>NONE</v>
      </c>
    </row>
    <row r="1837" spans="1:14">
      <c r="A1837" s="4" t="s">
        <v>3690</v>
      </c>
      <c r="B1837" s="4" t="s">
        <v>3691</v>
      </c>
      <c r="C1837" s="4" t="s">
        <v>12</v>
      </c>
      <c r="D1837" s="4" t="s">
        <v>13</v>
      </c>
      <c r="E1837" s="5">
        <v>108.0801</v>
      </c>
      <c r="F1837" s="5">
        <v>106.59739999999999</v>
      </c>
      <c r="G1837" s="5">
        <v>107.0262</v>
      </c>
      <c r="H1837" s="4">
        <v>0</v>
      </c>
      <c r="I1837" s="6">
        <v>1476069</v>
      </c>
      <c r="J1837" s="7">
        <v>632.41999999999996</v>
      </c>
      <c r="K1837" s="9">
        <f>(PricingDataTable[[#This Row],[Current Price ($)]]-PricingDataTable[[#This Row],[Prior Price ($)]])/PricingDataTable[[#This Row],[Prior Price ($)]]</f>
        <v>-1.3718529127933896E-2</v>
      </c>
      <c r="L1837" s="9">
        <f>(PricingDataTable[[#This Row],[Vendor Price ($)]]-PricingDataTable[[#This Row],[Current Price ($)]])/PricingDataTable[[#This Row],[Current Price ($)]]</f>
        <v>4.0226121837869371E-3</v>
      </c>
      <c r="M1837" t="str">
        <f t="shared" si="56"/>
        <v>PASS</v>
      </c>
      <c r="N1837" s="10" t="str">
        <f t="shared" si="57"/>
        <v>NONE</v>
      </c>
    </row>
    <row r="1838" spans="1:14">
      <c r="A1838" s="4" t="s">
        <v>3692</v>
      </c>
      <c r="B1838" s="4" t="s">
        <v>3693</v>
      </c>
      <c r="C1838" s="4" t="s">
        <v>12</v>
      </c>
      <c r="D1838" s="4" t="s">
        <v>36</v>
      </c>
      <c r="E1838" s="5">
        <v>91.431100000000001</v>
      </c>
      <c r="F1838" s="5">
        <v>93.788899999999998</v>
      </c>
      <c r="G1838" s="5">
        <v>93.574200000000005</v>
      </c>
      <c r="H1838" s="4">
        <v>0</v>
      </c>
      <c r="I1838" s="6">
        <v>3947576</v>
      </c>
      <c r="J1838" s="7">
        <v>173.06</v>
      </c>
      <c r="K1838" s="9">
        <f>(PricingDataTable[[#This Row],[Current Price ($)]]-PricingDataTable[[#This Row],[Prior Price ($)]])/PricingDataTable[[#This Row],[Prior Price ($)]]</f>
        <v>2.5787724308249573E-2</v>
      </c>
      <c r="L1838" s="9">
        <f>(PricingDataTable[[#This Row],[Vendor Price ($)]]-PricingDataTable[[#This Row],[Current Price ($)]])/PricingDataTable[[#This Row],[Current Price ($)]]</f>
        <v>-2.289183474803452E-3</v>
      </c>
      <c r="M1838" t="str">
        <f t="shared" si="56"/>
        <v>PASS</v>
      </c>
      <c r="N1838" s="10" t="str">
        <f t="shared" si="57"/>
        <v>NONE</v>
      </c>
    </row>
    <row r="1839" spans="1:14">
      <c r="A1839" s="4" t="s">
        <v>3694</v>
      </c>
      <c r="B1839" s="4" t="s">
        <v>3695</v>
      </c>
      <c r="C1839" s="4" t="s">
        <v>19</v>
      </c>
      <c r="D1839" s="4" t="s">
        <v>13</v>
      </c>
      <c r="E1839" s="5">
        <v>49.3902</v>
      </c>
      <c r="F1839" s="5">
        <v>48.877499999999998</v>
      </c>
      <c r="G1839" s="5">
        <v>48.686100000000003</v>
      </c>
      <c r="H1839" s="4">
        <v>0</v>
      </c>
      <c r="I1839" s="6">
        <v>1433237</v>
      </c>
      <c r="J1839" s="7">
        <v>661.53</v>
      </c>
      <c r="K1839" s="9">
        <f>(PricingDataTable[[#This Row],[Current Price ($)]]-PricingDataTable[[#This Row],[Prior Price ($)]])/PricingDataTable[[#This Row],[Prior Price ($)]]</f>
        <v>-1.0380601819794258E-2</v>
      </c>
      <c r="L1839" s="9">
        <f>(PricingDataTable[[#This Row],[Vendor Price ($)]]-PricingDataTable[[#This Row],[Current Price ($)]])/PricingDataTable[[#This Row],[Current Price ($)]]</f>
        <v>-3.9159122295533621E-3</v>
      </c>
      <c r="M1839" t="str">
        <f t="shared" si="56"/>
        <v>PASS</v>
      </c>
      <c r="N1839" s="10" t="str">
        <f t="shared" si="57"/>
        <v>NONE</v>
      </c>
    </row>
    <row r="1840" spans="1:14">
      <c r="A1840" s="4" t="s">
        <v>3696</v>
      </c>
      <c r="B1840" s="4" t="s">
        <v>3697</v>
      </c>
      <c r="C1840" s="4" t="s">
        <v>12</v>
      </c>
      <c r="D1840" s="4" t="s">
        <v>13</v>
      </c>
      <c r="E1840" s="5">
        <v>114.5956</v>
      </c>
      <c r="F1840" s="5">
        <v>114.154</v>
      </c>
      <c r="G1840" s="5">
        <v>113.5389</v>
      </c>
      <c r="H1840" s="4">
        <v>0</v>
      </c>
      <c r="I1840" s="6">
        <v>2589230</v>
      </c>
      <c r="J1840" s="7">
        <v>811.63</v>
      </c>
      <c r="K1840" s="9">
        <f>(PricingDataTable[[#This Row],[Current Price ($)]]-PricingDataTable[[#This Row],[Prior Price ($)]])/PricingDataTable[[#This Row],[Prior Price ($)]]</f>
        <v>-3.8535510962027179E-3</v>
      </c>
      <c r="L1840" s="9">
        <f>(PricingDataTable[[#This Row],[Vendor Price ($)]]-PricingDataTable[[#This Row],[Current Price ($)]])/PricingDataTable[[#This Row],[Current Price ($)]]</f>
        <v>-5.3883350561522003E-3</v>
      </c>
      <c r="M1840" t="str">
        <f t="shared" si="56"/>
        <v>PASS</v>
      </c>
      <c r="N1840" s="10" t="str">
        <f t="shared" si="57"/>
        <v>NONE</v>
      </c>
    </row>
    <row r="1841" spans="1:14">
      <c r="A1841" s="4" t="s">
        <v>3698</v>
      </c>
      <c r="B1841" s="4" t="s">
        <v>3699</v>
      </c>
      <c r="C1841" s="4" t="s">
        <v>19</v>
      </c>
      <c r="D1841" s="4" t="s">
        <v>32</v>
      </c>
      <c r="E1841" s="5">
        <v>107.24469999999999</v>
      </c>
      <c r="F1841" s="5">
        <v>108.31489999999999</v>
      </c>
      <c r="G1841" s="5">
        <v>108.79349999999999</v>
      </c>
      <c r="H1841" s="4">
        <v>0</v>
      </c>
      <c r="I1841" s="6">
        <v>2345704</v>
      </c>
      <c r="J1841" s="7">
        <v>220.34</v>
      </c>
      <c r="K1841" s="9">
        <f>(PricingDataTable[[#This Row],[Current Price ($)]]-PricingDataTable[[#This Row],[Prior Price ($)]])/PricingDataTable[[#This Row],[Prior Price ($)]]</f>
        <v>9.9790479156545726E-3</v>
      </c>
      <c r="L1841" s="9">
        <f>(PricingDataTable[[#This Row],[Vendor Price ($)]]-PricingDataTable[[#This Row],[Current Price ($)]])/PricingDataTable[[#This Row],[Current Price ($)]]</f>
        <v>4.4185979952896613E-3</v>
      </c>
      <c r="M1841" t="str">
        <f t="shared" si="56"/>
        <v>PASS</v>
      </c>
      <c r="N1841" s="10" t="str">
        <f t="shared" si="57"/>
        <v>NONE</v>
      </c>
    </row>
    <row r="1842" spans="1:14">
      <c r="A1842" s="4" t="s">
        <v>3700</v>
      </c>
      <c r="B1842" s="4" t="s">
        <v>3701</v>
      </c>
      <c r="C1842" s="4" t="s">
        <v>12</v>
      </c>
      <c r="D1842" s="4" t="s">
        <v>13</v>
      </c>
      <c r="E1842" s="5">
        <v>95.567599999999999</v>
      </c>
      <c r="F1842" s="5">
        <v>94.757099999999994</v>
      </c>
      <c r="G1842" s="5">
        <v>94.117599999999996</v>
      </c>
      <c r="H1842" s="4">
        <v>0</v>
      </c>
      <c r="I1842" s="6">
        <v>2299180</v>
      </c>
      <c r="J1842" s="7">
        <v>7.46</v>
      </c>
      <c r="K1842" s="9">
        <f>(PricingDataTable[[#This Row],[Current Price ($)]]-PricingDataTable[[#This Row],[Prior Price ($)]])/PricingDataTable[[#This Row],[Prior Price ($)]]</f>
        <v>-8.4809077553480959E-3</v>
      </c>
      <c r="L1842" s="9">
        <f>(PricingDataTable[[#This Row],[Vendor Price ($)]]-PricingDataTable[[#This Row],[Current Price ($)]])/PricingDataTable[[#This Row],[Current Price ($)]]</f>
        <v>-6.748834651968013E-3</v>
      </c>
      <c r="M1842" t="str">
        <f t="shared" si="56"/>
        <v>PASS</v>
      </c>
      <c r="N1842" s="10" t="str">
        <f t="shared" si="57"/>
        <v>NONE</v>
      </c>
    </row>
    <row r="1843" spans="1:14">
      <c r="A1843" s="4" t="s">
        <v>3702</v>
      </c>
      <c r="B1843" s="4" t="s">
        <v>3703</v>
      </c>
      <c r="C1843" s="4" t="s">
        <v>19</v>
      </c>
      <c r="D1843" s="4" t="s">
        <v>13</v>
      </c>
      <c r="E1843" s="5">
        <v>73.802700000000002</v>
      </c>
      <c r="F1843" s="5">
        <v>72.457400000000007</v>
      </c>
      <c r="G1843" s="5">
        <v>72.374499999999998</v>
      </c>
      <c r="H1843" s="4">
        <v>0</v>
      </c>
      <c r="I1843" s="6">
        <v>2725518</v>
      </c>
      <c r="J1843" s="7">
        <v>891.11</v>
      </c>
      <c r="K1843" s="9">
        <f>(PricingDataTable[[#This Row],[Current Price ($)]]-PricingDataTable[[#This Row],[Prior Price ($)]])/PricingDataTable[[#This Row],[Prior Price ($)]]</f>
        <v>-1.8228330399836248E-2</v>
      </c>
      <c r="L1843" s="9">
        <f>(PricingDataTable[[#This Row],[Vendor Price ($)]]-PricingDataTable[[#This Row],[Current Price ($)]])/PricingDataTable[[#This Row],[Current Price ($)]]</f>
        <v>-1.1441205453136503E-3</v>
      </c>
      <c r="M1843" t="str">
        <f t="shared" si="56"/>
        <v>PASS</v>
      </c>
      <c r="N1843" s="10" t="str">
        <f t="shared" si="57"/>
        <v>NONE</v>
      </c>
    </row>
    <row r="1844" spans="1:14">
      <c r="A1844" s="4" t="s">
        <v>3704</v>
      </c>
      <c r="B1844" s="4" t="s">
        <v>3705</v>
      </c>
      <c r="C1844" s="4" t="s">
        <v>19</v>
      </c>
      <c r="D1844" s="4" t="s">
        <v>36</v>
      </c>
      <c r="E1844" s="5">
        <v>69.246499999999997</v>
      </c>
      <c r="F1844" s="5">
        <v>70.032899999999998</v>
      </c>
      <c r="G1844" s="5">
        <v>69.7928</v>
      </c>
      <c r="H1844" s="4">
        <v>0</v>
      </c>
      <c r="I1844" s="6">
        <v>2242165</v>
      </c>
      <c r="J1844" s="7">
        <v>163.28</v>
      </c>
      <c r="K1844" s="9">
        <f>(PricingDataTable[[#This Row],[Current Price ($)]]-PricingDataTable[[#This Row],[Prior Price ($)]])/PricingDataTable[[#This Row],[Prior Price ($)]]</f>
        <v>1.1356530654978958E-2</v>
      </c>
      <c r="L1844" s="9">
        <f>(PricingDataTable[[#This Row],[Vendor Price ($)]]-PricingDataTable[[#This Row],[Current Price ($)]])/PricingDataTable[[#This Row],[Current Price ($)]]</f>
        <v>-3.4283886573310287E-3</v>
      </c>
      <c r="M1844" t="str">
        <f t="shared" si="56"/>
        <v>PASS</v>
      </c>
      <c r="N1844" s="10" t="str">
        <f t="shared" si="57"/>
        <v>NONE</v>
      </c>
    </row>
    <row r="1845" spans="1:14">
      <c r="A1845" s="4" t="s">
        <v>3706</v>
      </c>
      <c r="B1845" s="4" t="s">
        <v>3707</v>
      </c>
      <c r="C1845" s="4" t="s">
        <v>35</v>
      </c>
      <c r="D1845" s="4" t="s">
        <v>13</v>
      </c>
      <c r="E1845" s="5">
        <v>172.31219999999999</v>
      </c>
      <c r="F1845" s="5">
        <v>172.41589999999999</v>
      </c>
      <c r="G1845" s="5">
        <v>172.9229</v>
      </c>
      <c r="H1845" s="4">
        <v>3</v>
      </c>
      <c r="I1845" s="6">
        <v>1409287</v>
      </c>
      <c r="J1845" s="7">
        <v>512.95000000000005</v>
      </c>
      <c r="K1845" s="9">
        <f>(PricingDataTable[[#This Row],[Current Price ($)]]-PricingDataTable[[#This Row],[Prior Price ($)]])/PricingDataTable[[#This Row],[Prior Price ($)]]</f>
        <v>6.0181461324272721E-4</v>
      </c>
      <c r="L1845" s="9">
        <f>(PricingDataTable[[#This Row],[Vendor Price ($)]]-PricingDataTable[[#This Row],[Current Price ($)]])/PricingDataTable[[#This Row],[Current Price ($)]]</f>
        <v>2.9405640663071387E-3</v>
      </c>
      <c r="M1845" t="str">
        <f t="shared" si="56"/>
        <v>STALE</v>
      </c>
      <c r="N1845" s="10" t="str">
        <f t="shared" si="57"/>
        <v>LOW</v>
      </c>
    </row>
    <row r="1846" spans="1:14">
      <c r="A1846" s="4" t="s">
        <v>3708</v>
      </c>
      <c r="B1846" s="4" t="s">
        <v>3709</v>
      </c>
      <c r="C1846" s="4" t="s">
        <v>16</v>
      </c>
      <c r="D1846" s="4" t="s">
        <v>13</v>
      </c>
      <c r="E1846" s="5">
        <v>87.502399999999994</v>
      </c>
      <c r="F1846" s="5">
        <v>88.249300000000005</v>
      </c>
      <c r="G1846" s="5">
        <v>87.9298</v>
      </c>
      <c r="H1846" s="4">
        <v>0</v>
      </c>
      <c r="I1846" s="6">
        <v>1934534</v>
      </c>
      <c r="J1846" s="7">
        <v>705.14</v>
      </c>
      <c r="K1846" s="9">
        <f>(PricingDataTable[[#This Row],[Current Price ($)]]-PricingDataTable[[#This Row],[Prior Price ($)]])/PricingDataTable[[#This Row],[Prior Price ($)]]</f>
        <v>8.5357658761360932E-3</v>
      </c>
      <c r="L1846" s="9">
        <f>(PricingDataTable[[#This Row],[Vendor Price ($)]]-PricingDataTable[[#This Row],[Current Price ($)]])/PricingDataTable[[#This Row],[Current Price ($)]]</f>
        <v>-3.6204253178212741E-3</v>
      </c>
      <c r="M1846" t="str">
        <f t="shared" si="56"/>
        <v>PASS</v>
      </c>
      <c r="N1846" s="10" t="str">
        <f t="shared" si="57"/>
        <v>NONE</v>
      </c>
    </row>
    <row r="1847" spans="1:14">
      <c r="A1847" s="4" t="s">
        <v>3710</v>
      </c>
      <c r="B1847" s="4" t="s">
        <v>3711</v>
      </c>
      <c r="C1847" s="4" t="s">
        <v>19</v>
      </c>
      <c r="D1847" s="4" t="s">
        <v>13</v>
      </c>
      <c r="E1847" s="5">
        <v>58.888300000000001</v>
      </c>
      <c r="F1847" s="5">
        <v>59.631300000000003</v>
      </c>
      <c r="G1847" s="5">
        <v>59.633899999999997</v>
      </c>
      <c r="H1847" s="4">
        <v>0</v>
      </c>
      <c r="I1847" s="6">
        <v>4341201</v>
      </c>
      <c r="J1847" s="7">
        <v>485.01</v>
      </c>
      <c r="K1847" s="9">
        <f>(PricingDataTable[[#This Row],[Current Price ($)]]-PricingDataTable[[#This Row],[Prior Price ($)]])/PricingDataTable[[#This Row],[Prior Price ($)]]</f>
        <v>1.2617107303148538E-2</v>
      </c>
      <c r="L1847" s="9">
        <f>(PricingDataTable[[#This Row],[Vendor Price ($)]]-PricingDataTable[[#This Row],[Current Price ($)]])/PricingDataTable[[#This Row],[Current Price ($)]]</f>
        <v>4.3601263094950812E-5</v>
      </c>
      <c r="M1847" t="str">
        <f t="shared" si="56"/>
        <v>PASS</v>
      </c>
      <c r="N1847" s="10" t="str">
        <f t="shared" si="57"/>
        <v>NONE</v>
      </c>
    </row>
    <row r="1848" spans="1:14">
      <c r="A1848" s="4" t="s">
        <v>3712</v>
      </c>
      <c r="B1848" s="4" t="s">
        <v>3713</v>
      </c>
      <c r="C1848" s="4" t="s">
        <v>19</v>
      </c>
      <c r="D1848" s="4" t="s">
        <v>13</v>
      </c>
      <c r="E1848" s="5">
        <v>43.064399999999999</v>
      </c>
      <c r="F1848" s="5">
        <v>43.6738</v>
      </c>
      <c r="G1848" s="5">
        <v>43.631</v>
      </c>
      <c r="H1848" s="4">
        <v>1</v>
      </c>
      <c r="I1848" s="6">
        <v>3037435</v>
      </c>
      <c r="J1848" s="7">
        <v>730.78</v>
      </c>
      <c r="K1848" s="9">
        <f>(PricingDataTable[[#This Row],[Current Price ($)]]-PricingDataTable[[#This Row],[Prior Price ($)]])/PricingDataTable[[#This Row],[Prior Price ($)]]</f>
        <v>1.4150899582950205E-2</v>
      </c>
      <c r="L1848" s="9">
        <f>(PricingDataTable[[#This Row],[Vendor Price ($)]]-PricingDataTable[[#This Row],[Current Price ($)]])/PricingDataTable[[#This Row],[Current Price ($)]]</f>
        <v>-9.7999258136456484E-4</v>
      </c>
      <c r="M1848" t="str">
        <f t="shared" si="56"/>
        <v>PASS</v>
      </c>
      <c r="N1848" s="10" t="str">
        <f t="shared" si="57"/>
        <v>NONE</v>
      </c>
    </row>
    <row r="1849" spans="1:14">
      <c r="A1849" s="4" t="s">
        <v>3714</v>
      </c>
      <c r="B1849" s="4" t="s">
        <v>3715</v>
      </c>
      <c r="C1849" s="4" t="s">
        <v>19</v>
      </c>
      <c r="D1849" s="4" t="s">
        <v>13</v>
      </c>
      <c r="E1849" s="5">
        <v>139.2319</v>
      </c>
      <c r="F1849" s="5">
        <v>138.5806</v>
      </c>
      <c r="G1849" s="5">
        <v>144.58090000000001</v>
      </c>
      <c r="H1849" s="4">
        <v>1</v>
      </c>
      <c r="I1849" s="6">
        <v>1369091</v>
      </c>
      <c r="J1849" s="7">
        <v>876.68</v>
      </c>
      <c r="K1849" s="9">
        <f>(PricingDataTable[[#This Row],[Current Price ($)]]-PricingDataTable[[#This Row],[Prior Price ($)]])/PricingDataTable[[#This Row],[Prior Price ($)]]</f>
        <v>-4.6778073128355786E-3</v>
      </c>
      <c r="L1849" s="9">
        <f>(PricingDataTable[[#This Row],[Vendor Price ($)]]-PricingDataTable[[#This Row],[Current Price ($)]])/PricingDataTable[[#This Row],[Current Price ($)]]</f>
        <v>4.3298268300180617E-2</v>
      </c>
      <c r="M1849" t="str">
        <f t="shared" si="56"/>
        <v>VENDOR DIFFERENCE</v>
      </c>
      <c r="N1849" s="10" t="str">
        <f t="shared" si="57"/>
        <v>MEDIUM</v>
      </c>
    </row>
    <row r="1850" spans="1:14">
      <c r="A1850" s="4" t="s">
        <v>3716</v>
      </c>
      <c r="B1850" s="4" t="s">
        <v>3717</v>
      </c>
      <c r="C1850" s="4" t="s">
        <v>39</v>
      </c>
      <c r="D1850" s="4" t="s">
        <v>237</v>
      </c>
      <c r="E1850" s="5">
        <v>216.20230000000001</v>
      </c>
      <c r="F1850" s="5">
        <v>220.4435</v>
      </c>
      <c r="G1850" s="5">
        <v>219.41720000000001</v>
      </c>
      <c r="H1850" s="4">
        <v>0</v>
      </c>
      <c r="I1850" s="6">
        <v>3540568</v>
      </c>
      <c r="J1850" s="7">
        <v>255.18</v>
      </c>
      <c r="K1850" s="9">
        <f>(PricingDataTable[[#This Row],[Current Price ($)]]-PricingDataTable[[#This Row],[Prior Price ($)]])/PricingDataTable[[#This Row],[Prior Price ($)]]</f>
        <v>1.9616812587100099E-2</v>
      </c>
      <c r="L1850" s="9">
        <f>(PricingDataTable[[#This Row],[Vendor Price ($)]]-PricingDataTable[[#This Row],[Current Price ($)]])/PricingDataTable[[#This Row],[Current Price ($)]]</f>
        <v>-4.6556147039944111E-3</v>
      </c>
      <c r="M1850" t="str">
        <f t="shared" si="56"/>
        <v>PASS</v>
      </c>
      <c r="N1850" s="10" t="str">
        <f t="shared" si="57"/>
        <v>NONE</v>
      </c>
    </row>
    <row r="1851" spans="1:14">
      <c r="A1851" s="4" t="s">
        <v>3718</v>
      </c>
      <c r="B1851" s="4" t="s">
        <v>3719</v>
      </c>
      <c r="C1851" s="4" t="s">
        <v>12</v>
      </c>
      <c r="D1851" s="4" t="s">
        <v>64</v>
      </c>
      <c r="E1851" s="5">
        <v>98.516199999999998</v>
      </c>
      <c r="F1851" s="5">
        <v>98.084999999999994</v>
      </c>
      <c r="G1851" s="5">
        <v>98.285799999999995</v>
      </c>
      <c r="H1851" s="4">
        <v>0</v>
      </c>
      <c r="I1851" s="6">
        <v>4939398</v>
      </c>
      <c r="J1851" s="7">
        <v>306.33</v>
      </c>
      <c r="K1851" s="9">
        <f>(PricingDataTable[[#This Row],[Current Price ($)]]-PricingDataTable[[#This Row],[Prior Price ($)]])/PricingDataTable[[#This Row],[Prior Price ($)]]</f>
        <v>-4.3769451115654489E-3</v>
      </c>
      <c r="L1851" s="9">
        <f>(PricingDataTable[[#This Row],[Vendor Price ($)]]-PricingDataTable[[#This Row],[Current Price ($)]])/PricingDataTable[[#This Row],[Current Price ($)]]</f>
        <v>2.0472039557526737E-3</v>
      </c>
      <c r="M1851" t="str">
        <f t="shared" si="56"/>
        <v>PASS</v>
      </c>
      <c r="N1851" s="10" t="str">
        <f t="shared" si="57"/>
        <v>NONE</v>
      </c>
    </row>
    <row r="1852" spans="1:14">
      <c r="A1852" s="4" t="s">
        <v>3720</v>
      </c>
      <c r="B1852" s="4" t="s">
        <v>3721</v>
      </c>
      <c r="C1852" s="4" t="s">
        <v>16</v>
      </c>
      <c r="D1852" s="4" t="s">
        <v>13</v>
      </c>
      <c r="E1852" s="5">
        <v>121.7281</v>
      </c>
      <c r="F1852" s="5">
        <v>124.11490000000001</v>
      </c>
      <c r="G1852" s="5">
        <v>124.0611</v>
      </c>
      <c r="H1852" s="4">
        <v>0</v>
      </c>
      <c r="I1852" s="6">
        <v>4942249</v>
      </c>
      <c r="J1852" s="7">
        <v>485.1</v>
      </c>
      <c r="K1852" s="9">
        <f>(PricingDataTable[[#This Row],[Current Price ($)]]-PricingDataTable[[#This Row],[Prior Price ($)]])/PricingDataTable[[#This Row],[Prior Price ($)]]</f>
        <v>1.9607633734528084E-2</v>
      </c>
      <c r="L1852" s="9">
        <f>(PricingDataTable[[#This Row],[Vendor Price ($)]]-PricingDataTable[[#This Row],[Current Price ($)]])/PricingDataTable[[#This Row],[Current Price ($)]]</f>
        <v>-4.3346930948669026E-4</v>
      </c>
      <c r="M1852" t="str">
        <f t="shared" si="56"/>
        <v>PASS</v>
      </c>
      <c r="N1852" s="10" t="str">
        <f t="shared" si="57"/>
        <v>NONE</v>
      </c>
    </row>
    <row r="1853" spans="1:14">
      <c r="A1853" s="4" t="s">
        <v>3722</v>
      </c>
      <c r="B1853" s="4" t="s">
        <v>3723</v>
      </c>
      <c r="C1853" s="4" t="s">
        <v>16</v>
      </c>
      <c r="D1853" s="4" t="s">
        <v>13</v>
      </c>
      <c r="E1853" s="5">
        <v>80.324600000000004</v>
      </c>
      <c r="F1853" s="5">
        <v>91.736400000000003</v>
      </c>
      <c r="G1853" s="5">
        <v>91.221599999999995</v>
      </c>
      <c r="H1853" s="4">
        <v>0</v>
      </c>
      <c r="I1853" s="6">
        <v>221761</v>
      </c>
      <c r="J1853" s="7">
        <v>867.04</v>
      </c>
      <c r="K1853" s="9">
        <f>(PricingDataTable[[#This Row],[Current Price ($)]]-PricingDataTable[[#This Row],[Prior Price ($)]])/PricingDataTable[[#This Row],[Prior Price ($)]]</f>
        <v>0.14207104672790152</v>
      </c>
      <c r="L1853" s="9">
        <f>(PricingDataTable[[#This Row],[Vendor Price ($)]]-PricingDataTable[[#This Row],[Current Price ($)]])/PricingDataTable[[#This Row],[Current Price ($)]]</f>
        <v>-5.6117310031787611E-3</v>
      </c>
      <c r="M1853" t="str">
        <f t="shared" si="56"/>
        <v>LARGE MOVE</v>
      </c>
      <c r="N1853" s="10" t="str">
        <f t="shared" si="57"/>
        <v>HIGH</v>
      </c>
    </row>
    <row r="1854" spans="1:14">
      <c r="A1854" s="4" t="s">
        <v>3724</v>
      </c>
      <c r="B1854" s="4" t="s">
        <v>3725</v>
      </c>
      <c r="C1854" s="4" t="s">
        <v>19</v>
      </c>
      <c r="D1854" s="4" t="s">
        <v>237</v>
      </c>
      <c r="E1854" s="5">
        <v>252.81190000000001</v>
      </c>
      <c r="F1854" s="5">
        <v>254.1412</v>
      </c>
      <c r="G1854" s="5"/>
      <c r="H1854" s="4">
        <v>0</v>
      </c>
      <c r="I1854" s="6">
        <v>2842276</v>
      </c>
      <c r="J1854" s="7">
        <v>69.099999999999994</v>
      </c>
      <c r="K1854" s="9">
        <f>(PricingDataTable[[#This Row],[Current Price ($)]]-PricingDataTable[[#This Row],[Prior Price ($)]])/PricingDataTable[[#This Row],[Prior Price ($)]]</f>
        <v>5.2580594505242401E-3</v>
      </c>
      <c r="L1854" s="9">
        <f>(PricingDataTable[[#This Row],[Vendor Price ($)]]-PricingDataTable[[#This Row],[Current Price ($)]])/PricingDataTable[[#This Row],[Current Price ($)]]</f>
        <v>-1</v>
      </c>
      <c r="M1854" t="str">
        <f t="shared" si="56"/>
        <v>VENDOR DIFFERENCE</v>
      </c>
      <c r="N1854" s="10" t="str">
        <f t="shared" si="57"/>
        <v>HIGH</v>
      </c>
    </row>
    <row r="1855" spans="1:14">
      <c r="A1855" s="4" t="s">
        <v>3726</v>
      </c>
      <c r="B1855" s="4" t="s">
        <v>3727</v>
      </c>
      <c r="C1855" s="4" t="s">
        <v>16</v>
      </c>
      <c r="D1855" s="4" t="s">
        <v>13</v>
      </c>
      <c r="E1855" s="5">
        <v>79.796099999999996</v>
      </c>
      <c r="F1855" s="5">
        <v>79.000600000000006</v>
      </c>
      <c r="G1855" s="5">
        <v>79.011300000000006</v>
      </c>
      <c r="H1855" s="4">
        <v>0</v>
      </c>
      <c r="I1855" s="6">
        <v>3087482</v>
      </c>
      <c r="J1855" s="7">
        <v>549.70000000000005</v>
      </c>
      <c r="K1855" s="9">
        <f>(PricingDataTable[[#This Row],[Current Price ($)]]-PricingDataTable[[#This Row],[Prior Price ($)]])/PricingDataTable[[#This Row],[Prior Price ($)]]</f>
        <v>-9.9691588937302691E-3</v>
      </c>
      <c r="L1855" s="9">
        <f>(PricingDataTable[[#This Row],[Vendor Price ($)]]-PricingDataTable[[#This Row],[Current Price ($)]])/PricingDataTable[[#This Row],[Current Price ($)]]</f>
        <v>1.354420093011943E-4</v>
      </c>
      <c r="M1855" t="str">
        <f t="shared" si="56"/>
        <v>PASS</v>
      </c>
      <c r="N1855" s="10" t="str">
        <f t="shared" si="57"/>
        <v>NONE</v>
      </c>
    </row>
    <row r="1856" spans="1:14">
      <c r="A1856" s="4" t="s">
        <v>3728</v>
      </c>
      <c r="B1856" s="4" t="s">
        <v>3729</v>
      </c>
      <c r="C1856" s="4" t="s">
        <v>12</v>
      </c>
      <c r="D1856" s="4" t="s">
        <v>13</v>
      </c>
      <c r="E1856" s="5">
        <v>119.1472</v>
      </c>
      <c r="F1856" s="5">
        <v>120.3004</v>
      </c>
      <c r="G1856" s="5">
        <v>132.22550000000001</v>
      </c>
      <c r="H1856" s="4">
        <v>0</v>
      </c>
      <c r="I1856" s="6">
        <v>1924727</v>
      </c>
      <c r="J1856" s="7">
        <v>436.13</v>
      </c>
      <c r="K1856" s="9">
        <f>(PricingDataTable[[#This Row],[Current Price ($)]]-PricingDataTable[[#This Row],[Prior Price ($)]])/PricingDataTable[[#This Row],[Prior Price ($)]]</f>
        <v>9.6787838908509657E-3</v>
      </c>
      <c r="L1856" s="9">
        <f>(PricingDataTable[[#This Row],[Vendor Price ($)]]-PricingDataTable[[#This Row],[Current Price ($)]])/PricingDataTable[[#This Row],[Current Price ($)]]</f>
        <v>9.9127683698474939E-2</v>
      </c>
      <c r="M1856" t="str">
        <f t="shared" si="56"/>
        <v>VENDOR DIFFERENCE</v>
      </c>
      <c r="N1856" s="10" t="str">
        <f t="shared" si="57"/>
        <v>HIGH</v>
      </c>
    </row>
    <row r="1857" spans="1:14">
      <c r="A1857" s="4" t="s">
        <v>3730</v>
      </c>
      <c r="B1857" s="4" t="s">
        <v>3731</v>
      </c>
      <c r="C1857" s="4" t="s">
        <v>19</v>
      </c>
      <c r="D1857" s="4" t="s">
        <v>13</v>
      </c>
      <c r="E1857" s="5">
        <v>316.21069999999997</v>
      </c>
      <c r="F1857" s="5">
        <v>321.71019999999999</v>
      </c>
      <c r="G1857" s="5">
        <v>320.71050000000002</v>
      </c>
      <c r="H1857" s="4">
        <v>1</v>
      </c>
      <c r="I1857" s="6">
        <v>3739824</v>
      </c>
      <c r="J1857" s="7">
        <v>112.11</v>
      </c>
      <c r="K1857" s="9">
        <f>(PricingDataTable[[#This Row],[Current Price ($)]]-PricingDataTable[[#This Row],[Prior Price ($)]])/PricingDataTable[[#This Row],[Prior Price ($)]]</f>
        <v>1.7391884588345723E-2</v>
      </c>
      <c r="L1857" s="9">
        <f>(PricingDataTable[[#This Row],[Vendor Price ($)]]-PricingDataTable[[#This Row],[Current Price ($)]])/PricingDataTable[[#This Row],[Current Price ($)]]</f>
        <v>-3.107455094678259E-3</v>
      </c>
      <c r="M1857" t="str">
        <f t="shared" si="56"/>
        <v>PASS</v>
      </c>
      <c r="N1857" s="10" t="str">
        <f t="shared" si="57"/>
        <v>NONE</v>
      </c>
    </row>
    <row r="1858" spans="1:14">
      <c r="A1858" s="4" t="s">
        <v>3732</v>
      </c>
      <c r="B1858" s="4" t="s">
        <v>3733</v>
      </c>
      <c r="C1858" s="4" t="s">
        <v>19</v>
      </c>
      <c r="D1858" s="4" t="s">
        <v>237</v>
      </c>
      <c r="E1858" s="5">
        <v>241.41120000000001</v>
      </c>
      <c r="F1858" s="5">
        <v>241.56059999999999</v>
      </c>
      <c r="G1858" s="5">
        <v>242.2004</v>
      </c>
      <c r="H1858" s="4">
        <v>1</v>
      </c>
      <c r="I1858" s="6">
        <v>2524750</v>
      </c>
      <c r="J1858" s="7">
        <v>462.84</v>
      </c>
      <c r="K1858" s="9">
        <f>(PricingDataTable[[#This Row],[Current Price ($)]]-PricingDataTable[[#This Row],[Prior Price ($)]])/PricingDataTable[[#This Row],[Prior Price ($)]]</f>
        <v>6.1886109675104452E-4</v>
      </c>
      <c r="L1858" s="9">
        <f>(PricingDataTable[[#This Row],[Vendor Price ($)]]-PricingDataTable[[#This Row],[Current Price ($)]])/PricingDataTable[[#This Row],[Current Price ($)]]</f>
        <v>2.6486107419836187E-3</v>
      </c>
      <c r="M1858" t="str">
        <f t="shared" ref="M1858:M1921" si="58">IF(OR(F1858="",F1858=0),"MISSING",IF(H1858&gt;=3,"STALE",IF(ABS(K1858)&gt;=5%,"LARGE MOVE",IF(ABS(L1858)&gt;=2%,"VENDOR DIFFERENCE","PASS"))))</f>
        <v>PASS</v>
      </c>
      <c r="N1858" s="10" t="str">
        <f t="shared" ref="N1858:N1921" si="59">IF(M1858="PASS","NONE",IF(M1858="MISSING","HIGH",IF(OR(ABS(K1858)&gt;=10%,ABS(L1858)&gt;=5%),"HIGH",IF(OR(ABS(K1858)&gt;=7%,ABS(L1858)&gt;=3%,H1858&gt;=5),"MEDIUM","LOW"))))</f>
        <v>NONE</v>
      </c>
    </row>
    <row r="1859" spans="1:14">
      <c r="A1859" s="4" t="s">
        <v>3734</v>
      </c>
      <c r="B1859" s="4" t="s">
        <v>3735</v>
      </c>
      <c r="C1859" s="4" t="s">
        <v>39</v>
      </c>
      <c r="D1859" s="4" t="s">
        <v>13</v>
      </c>
      <c r="E1859" s="5">
        <v>229.21420000000001</v>
      </c>
      <c r="F1859" s="5">
        <v>225.0548</v>
      </c>
      <c r="G1859" s="5">
        <v>224.55090000000001</v>
      </c>
      <c r="H1859" s="4">
        <v>0</v>
      </c>
      <c r="I1859" s="6">
        <v>2943673</v>
      </c>
      <c r="J1859" s="7">
        <v>198.82</v>
      </c>
      <c r="K1859" s="9">
        <f>(PricingDataTable[[#This Row],[Current Price ($)]]-PricingDataTable[[#This Row],[Prior Price ($)]])/PricingDataTable[[#This Row],[Prior Price ($)]]</f>
        <v>-1.8146345208979221E-2</v>
      </c>
      <c r="L1859" s="9">
        <f>(PricingDataTable[[#This Row],[Vendor Price ($)]]-PricingDataTable[[#This Row],[Current Price ($)]])/PricingDataTable[[#This Row],[Current Price ($)]]</f>
        <v>-2.2390102321745075E-3</v>
      </c>
      <c r="M1859" t="str">
        <f t="shared" si="58"/>
        <v>PASS</v>
      </c>
      <c r="N1859" s="10" t="str">
        <f t="shared" si="59"/>
        <v>NONE</v>
      </c>
    </row>
    <row r="1860" spans="1:14">
      <c r="A1860" s="4" t="s">
        <v>3736</v>
      </c>
      <c r="B1860" s="4" t="s">
        <v>3737</v>
      </c>
      <c r="C1860" s="4" t="s">
        <v>19</v>
      </c>
      <c r="D1860" s="4" t="s">
        <v>13</v>
      </c>
      <c r="E1860" s="5">
        <v>269.33150000000001</v>
      </c>
      <c r="F1860" s="5">
        <v>265.39080000000001</v>
      </c>
      <c r="G1860" s="5"/>
      <c r="H1860" s="4">
        <v>1</v>
      </c>
      <c r="I1860" s="6">
        <v>2466796</v>
      </c>
      <c r="J1860" s="7">
        <v>578.5</v>
      </c>
      <c r="K1860" s="9">
        <f>(PricingDataTable[[#This Row],[Current Price ($)]]-PricingDataTable[[#This Row],[Prior Price ($)]])/PricingDataTable[[#This Row],[Prior Price ($)]]</f>
        <v>-1.4631411476191951E-2</v>
      </c>
      <c r="L1860" s="9">
        <f>(PricingDataTable[[#This Row],[Vendor Price ($)]]-PricingDataTable[[#This Row],[Current Price ($)]])/PricingDataTable[[#This Row],[Current Price ($)]]</f>
        <v>-1</v>
      </c>
      <c r="M1860" t="str">
        <f t="shared" si="58"/>
        <v>VENDOR DIFFERENCE</v>
      </c>
      <c r="N1860" s="10" t="str">
        <f t="shared" si="59"/>
        <v>HIGH</v>
      </c>
    </row>
    <row r="1861" spans="1:14">
      <c r="A1861" s="4" t="s">
        <v>3738</v>
      </c>
      <c r="B1861" s="4" t="s">
        <v>3739</v>
      </c>
      <c r="C1861" s="4" t="s">
        <v>19</v>
      </c>
      <c r="D1861" s="4" t="s">
        <v>64</v>
      </c>
      <c r="E1861" s="5">
        <v>250.1747</v>
      </c>
      <c r="F1861" s="5">
        <v>246.6326</v>
      </c>
      <c r="G1861" s="5">
        <v>246.8587</v>
      </c>
      <c r="H1861" s="4">
        <v>0</v>
      </c>
      <c r="I1861" s="6">
        <v>1630931</v>
      </c>
      <c r="J1861" s="7">
        <v>672.67</v>
      </c>
      <c r="K1861" s="9">
        <f>(PricingDataTable[[#This Row],[Current Price ($)]]-PricingDataTable[[#This Row],[Prior Price ($)]])/PricingDataTable[[#This Row],[Prior Price ($)]]</f>
        <v>-1.4158506035982074E-2</v>
      </c>
      <c r="L1861" s="9">
        <f>(PricingDataTable[[#This Row],[Vendor Price ($)]]-PricingDataTable[[#This Row],[Current Price ($)]])/PricingDataTable[[#This Row],[Current Price ($)]]</f>
        <v>9.1674823198556238E-4</v>
      </c>
      <c r="M1861" t="str">
        <f t="shared" si="58"/>
        <v>PASS</v>
      </c>
      <c r="N1861" s="10" t="str">
        <f t="shared" si="59"/>
        <v>NONE</v>
      </c>
    </row>
    <row r="1862" spans="1:14">
      <c r="A1862" s="4" t="s">
        <v>3740</v>
      </c>
      <c r="B1862" s="4" t="s">
        <v>3741</v>
      </c>
      <c r="C1862" s="4" t="s">
        <v>19</v>
      </c>
      <c r="D1862" s="4" t="s">
        <v>13</v>
      </c>
      <c r="E1862" s="5">
        <v>223.0729</v>
      </c>
      <c r="F1862" s="5">
        <v>222.9092</v>
      </c>
      <c r="G1862" s="5">
        <v>223.7054</v>
      </c>
      <c r="H1862" s="4">
        <v>1</v>
      </c>
      <c r="I1862" s="6">
        <v>1263814</v>
      </c>
      <c r="J1862" s="7">
        <v>176.72</v>
      </c>
      <c r="K1862" s="9">
        <f>(PricingDataTable[[#This Row],[Current Price ($)]]-PricingDataTable[[#This Row],[Prior Price ($)]])/PricingDataTable[[#This Row],[Prior Price ($)]]</f>
        <v>-7.3384082064654977E-4</v>
      </c>
      <c r="L1862" s="9">
        <f>(PricingDataTable[[#This Row],[Vendor Price ($)]]-PricingDataTable[[#This Row],[Current Price ($)]])/PricingDataTable[[#This Row],[Current Price ($)]]</f>
        <v>3.5718579583076827E-3</v>
      </c>
      <c r="M1862" t="str">
        <f t="shared" si="58"/>
        <v>PASS</v>
      </c>
      <c r="N1862" s="10" t="str">
        <f t="shared" si="59"/>
        <v>NONE</v>
      </c>
    </row>
    <row r="1863" spans="1:14">
      <c r="A1863" s="4" t="s">
        <v>3742</v>
      </c>
      <c r="B1863" s="4" t="s">
        <v>3743</v>
      </c>
      <c r="C1863" s="4" t="s">
        <v>12</v>
      </c>
      <c r="D1863" s="4" t="s">
        <v>13</v>
      </c>
      <c r="E1863" s="5">
        <v>110.7032</v>
      </c>
      <c r="F1863" s="5">
        <v>110.6844</v>
      </c>
      <c r="G1863" s="5">
        <v>110.5805</v>
      </c>
      <c r="H1863" s="4">
        <v>2</v>
      </c>
      <c r="I1863" s="6">
        <v>3868014</v>
      </c>
      <c r="J1863" s="7">
        <v>415.5</v>
      </c>
      <c r="K1863" s="9">
        <f>(PricingDataTable[[#This Row],[Current Price ($)]]-PricingDataTable[[#This Row],[Prior Price ($)]])/PricingDataTable[[#This Row],[Prior Price ($)]]</f>
        <v>-1.6982345587118365E-4</v>
      </c>
      <c r="L1863" s="9">
        <f>(PricingDataTable[[#This Row],[Vendor Price ($)]]-PricingDataTable[[#This Row],[Current Price ($)]])/PricingDataTable[[#This Row],[Current Price ($)]]</f>
        <v>-9.3870500269230251E-4</v>
      </c>
      <c r="M1863" t="str">
        <f t="shared" si="58"/>
        <v>PASS</v>
      </c>
      <c r="N1863" s="10" t="str">
        <f t="shared" si="59"/>
        <v>NONE</v>
      </c>
    </row>
    <row r="1864" spans="1:14">
      <c r="A1864" s="4" t="s">
        <v>3744</v>
      </c>
      <c r="B1864" s="4" t="s">
        <v>3745</v>
      </c>
      <c r="C1864" s="4" t="s">
        <v>12</v>
      </c>
      <c r="D1864" s="4" t="s">
        <v>36</v>
      </c>
      <c r="E1864" s="5">
        <v>94.406199999999998</v>
      </c>
      <c r="F1864" s="5">
        <v>95.557199999999995</v>
      </c>
      <c r="G1864" s="5">
        <v>95.448599999999999</v>
      </c>
      <c r="H1864" s="4">
        <v>0</v>
      </c>
      <c r="I1864" s="6">
        <v>4097869</v>
      </c>
      <c r="J1864" s="7">
        <v>732.38</v>
      </c>
      <c r="K1864" s="9">
        <f>(PricingDataTable[[#This Row],[Current Price ($)]]-PricingDataTable[[#This Row],[Prior Price ($)]])/PricingDataTable[[#This Row],[Prior Price ($)]]</f>
        <v>1.219199586467834E-2</v>
      </c>
      <c r="L1864" s="9">
        <f>(PricingDataTable[[#This Row],[Vendor Price ($)]]-PricingDataTable[[#This Row],[Current Price ($)]])/PricingDataTable[[#This Row],[Current Price ($)]]</f>
        <v>-1.136492069671313E-3</v>
      </c>
      <c r="M1864" t="str">
        <f t="shared" si="58"/>
        <v>PASS</v>
      </c>
      <c r="N1864" s="10" t="str">
        <f t="shared" si="59"/>
        <v>NONE</v>
      </c>
    </row>
    <row r="1865" spans="1:14">
      <c r="A1865" s="4" t="s">
        <v>3746</v>
      </c>
      <c r="B1865" s="4" t="s">
        <v>3747</v>
      </c>
      <c r="C1865" s="4" t="s">
        <v>35</v>
      </c>
      <c r="D1865" s="4" t="s">
        <v>64</v>
      </c>
      <c r="E1865" s="5">
        <v>111.1631</v>
      </c>
      <c r="F1865" s="5">
        <v>110.3858</v>
      </c>
      <c r="G1865" s="5">
        <v>109.9464</v>
      </c>
      <c r="H1865" s="4">
        <v>1</v>
      </c>
      <c r="I1865" s="6">
        <v>1597001</v>
      </c>
      <c r="J1865" s="7">
        <v>401.62</v>
      </c>
      <c r="K1865" s="9">
        <f>(PricingDataTable[[#This Row],[Current Price ($)]]-PricingDataTable[[#This Row],[Prior Price ($)]])/PricingDataTable[[#This Row],[Prior Price ($)]]</f>
        <v>-6.9924282428251534E-3</v>
      </c>
      <c r="L1865" s="9">
        <f>(PricingDataTable[[#This Row],[Vendor Price ($)]]-PricingDataTable[[#This Row],[Current Price ($)]])/PricingDataTable[[#This Row],[Current Price ($)]]</f>
        <v>-3.9805844592330376E-3</v>
      </c>
      <c r="M1865" t="str">
        <f t="shared" si="58"/>
        <v>PASS</v>
      </c>
      <c r="N1865" s="10" t="str">
        <f t="shared" si="59"/>
        <v>NONE</v>
      </c>
    </row>
    <row r="1866" spans="1:14">
      <c r="A1866" s="4" t="s">
        <v>3748</v>
      </c>
      <c r="B1866" s="4" t="s">
        <v>3749</v>
      </c>
      <c r="C1866" s="4" t="s">
        <v>39</v>
      </c>
      <c r="D1866" s="4" t="s">
        <v>64</v>
      </c>
      <c r="E1866" s="5">
        <v>337.10770000000002</v>
      </c>
      <c r="F1866" s="5">
        <v>338.08319999999998</v>
      </c>
      <c r="G1866" s="5">
        <v>336.95600000000002</v>
      </c>
      <c r="H1866" s="4">
        <v>0</v>
      </c>
      <c r="I1866" s="6">
        <v>4027686</v>
      </c>
      <c r="J1866" s="7">
        <v>379.24</v>
      </c>
      <c r="K1866" s="9">
        <f>(PricingDataTable[[#This Row],[Current Price ($)]]-PricingDataTable[[#This Row],[Prior Price ($)]])/PricingDataTable[[#This Row],[Prior Price ($)]]</f>
        <v>2.8937339609862189E-3</v>
      </c>
      <c r="L1866" s="9">
        <f>(PricingDataTable[[#This Row],[Vendor Price ($)]]-PricingDataTable[[#This Row],[Current Price ($)]])/PricingDataTable[[#This Row],[Current Price ($)]]</f>
        <v>-3.3340905433927488E-3</v>
      </c>
      <c r="M1866" t="str">
        <f t="shared" si="58"/>
        <v>PASS</v>
      </c>
      <c r="N1866" s="10" t="str">
        <f t="shared" si="59"/>
        <v>NONE</v>
      </c>
    </row>
    <row r="1867" spans="1:14">
      <c r="A1867" s="4" t="s">
        <v>3750</v>
      </c>
      <c r="B1867" s="4" t="s">
        <v>3751</v>
      </c>
      <c r="C1867" s="4" t="s">
        <v>19</v>
      </c>
      <c r="D1867" s="4" t="s">
        <v>13</v>
      </c>
      <c r="E1867" s="5">
        <v>76.304699999999997</v>
      </c>
      <c r="F1867" s="5">
        <v>76.984499999999997</v>
      </c>
      <c r="G1867" s="5">
        <v>77.090699999999998</v>
      </c>
      <c r="H1867" s="4">
        <v>1</v>
      </c>
      <c r="I1867" s="6">
        <v>272104</v>
      </c>
      <c r="J1867" s="7">
        <v>579.09</v>
      </c>
      <c r="K1867" s="9">
        <f>(PricingDataTable[[#This Row],[Current Price ($)]]-PricingDataTable[[#This Row],[Prior Price ($)]])/PricingDataTable[[#This Row],[Prior Price ($)]]</f>
        <v>8.9090187105119369E-3</v>
      </c>
      <c r="L1867" s="9">
        <f>(PricingDataTable[[#This Row],[Vendor Price ($)]]-PricingDataTable[[#This Row],[Current Price ($)]])/PricingDataTable[[#This Row],[Current Price ($)]]</f>
        <v>1.379498470471344E-3</v>
      </c>
      <c r="M1867" t="str">
        <f t="shared" si="58"/>
        <v>PASS</v>
      </c>
      <c r="N1867" s="10" t="str">
        <f t="shared" si="59"/>
        <v>NONE</v>
      </c>
    </row>
    <row r="1868" spans="1:14">
      <c r="A1868" s="4" t="s">
        <v>3752</v>
      </c>
      <c r="B1868" s="4" t="s">
        <v>3753</v>
      </c>
      <c r="C1868" s="4" t="s">
        <v>39</v>
      </c>
      <c r="D1868" s="4" t="s">
        <v>32</v>
      </c>
      <c r="E1868" s="5">
        <v>280.33760000000001</v>
      </c>
      <c r="F1868" s="5">
        <v>278.13569999999999</v>
      </c>
      <c r="G1868" s="5">
        <v>278.6986</v>
      </c>
      <c r="H1868" s="4">
        <v>0</v>
      </c>
      <c r="I1868" s="6">
        <v>2798870</v>
      </c>
      <c r="J1868" s="7">
        <v>589.29</v>
      </c>
      <c r="K1868" s="9">
        <f>(PricingDataTable[[#This Row],[Current Price ($)]]-PricingDataTable[[#This Row],[Prior Price ($)]])/PricingDataTable[[#This Row],[Prior Price ($)]]</f>
        <v>-7.8544583388030116E-3</v>
      </c>
      <c r="L1868" s="9">
        <f>(PricingDataTable[[#This Row],[Vendor Price ($)]]-PricingDataTable[[#This Row],[Current Price ($)]])/PricingDataTable[[#This Row],[Current Price ($)]]</f>
        <v>2.02383225166713E-3</v>
      </c>
      <c r="M1868" t="str">
        <f t="shared" si="58"/>
        <v>PASS</v>
      </c>
      <c r="N1868" s="10" t="str">
        <f t="shared" si="59"/>
        <v>NONE</v>
      </c>
    </row>
    <row r="1869" spans="1:14">
      <c r="A1869" s="4" t="s">
        <v>3754</v>
      </c>
      <c r="B1869" s="4" t="s">
        <v>3755</v>
      </c>
      <c r="C1869" s="4" t="s">
        <v>19</v>
      </c>
      <c r="D1869" s="4" t="s">
        <v>237</v>
      </c>
      <c r="E1869" s="5">
        <v>320.51549999999997</v>
      </c>
      <c r="F1869" s="5">
        <v>321.85789999999997</v>
      </c>
      <c r="G1869" s="5">
        <v>321.47519999999997</v>
      </c>
      <c r="H1869" s="4">
        <v>0</v>
      </c>
      <c r="I1869" s="6">
        <v>114068</v>
      </c>
      <c r="J1869" s="7">
        <v>775.56</v>
      </c>
      <c r="K1869" s="9">
        <f>(PricingDataTable[[#This Row],[Current Price ($)]]-PricingDataTable[[#This Row],[Prior Price ($)]])/PricingDataTable[[#This Row],[Prior Price ($)]]</f>
        <v>4.188252986205029E-3</v>
      </c>
      <c r="L1869" s="9">
        <f>(PricingDataTable[[#This Row],[Vendor Price ($)]]-PricingDataTable[[#This Row],[Current Price ($)]])/PricingDataTable[[#This Row],[Current Price ($)]]</f>
        <v>-1.1890340426629262E-3</v>
      </c>
      <c r="M1869" t="str">
        <f t="shared" si="58"/>
        <v>PASS</v>
      </c>
      <c r="N1869" s="10" t="str">
        <f t="shared" si="59"/>
        <v>NONE</v>
      </c>
    </row>
    <row r="1870" spans="1:14">
      <c r="A1870" s="4" t="s">
        <v>3756</v>
      </c>
      <c r="B1870" s="4" t="s">
        <v>3757</v>
      </c>
      <c r="C1870" s="4" t="s">
        <v>16</v>
      </c>
      <c r="D1870" s="4" t="s">
        <v>64</v>
      </c>
      <c r="E1870" s="5">
        <v>103.53100000000001</v>
      </c>
      <c r="F1870" s="5">
        <v>103.91549999999999</v>
      </c>
      <c r="G1870" s="5">
        <v>103.9675</v>
      </c>
      <c r="H1870" s="4">
        <v>5</v>
      </c>
      <c r="I1870" s="6">
        <v>653605</v>
      </c>
      <c r="J1870" s="7">
        <v>70.98</v>
      </c>
      <c r="K1870" s="9">
        <f>(PricingDataTable[[#This Row],[Current Price ($)]]-PricingDataTable[[#This Row],[Prior Price ($)]])/PricingDataTable[[#This Row],[Prior Price ($)]]</f>
        <v>3.7138634805033129E-3</v>
      </c>
      <c r="L1870" s="9">
        <f>(PricingDataTable[[#This Row],[Vendor Price ($)]]-PricingDataTable[[#This Row],[Current Price ($)]])/PricingDataTable[[#This Row],[Current Price ($)]]</f>
        <v>5.0040658034659609E-4</v>
      </c>
      <c r="M1870" t="str">
        <f t="shared" si="58"/>
        <v>STALE</v>
      </c>
      <c r="N1870" s="10" t="str">
        <f t="shared" si="59"/>
        <v>MEDIUM</v>
      </c>
    </row>
    <row r="1871" spans="1:14">
      <c r="A1871" s="4" t="s">
        <v>3758</v>
      </c>
      <c r="B1871" s="4" t="s">
        <v>3759</v>
      </c>
      <c r="C1871" s="4" t="s">
        <v>16</v>
      </c>
      <c r="D1871" s="4" t="s">
        <v>13</v>
      </c>
      <c r="E1871" s="5">
        <v>94.955100000000002</v>
      </c>
      <c r="F1871" s="5">
        <v>94.771600000000007</v>
      </c>
      <c r="G1871" s="5">
        <v>94.878600000000006</v>
      </c>
      <c r="H1871" s="4">
        <v>0</v>
      </c>
      <c r="I1871" s="6">
        <v>2321975</v>
      </c>
      <c r="J1871" s="7">
        <v>361.73</v>
      </c>
      <c r="K1871" s="9">
        <f>(PricingDataTable[[#This Row],[Current Price ($)]]-PricingDataTable[[#This Row],[Prior Price ($)]])/PricingDataTable[[#This Row],[Prior Price ($)]]</f>
        <v>-1.9324923042574344E-3</v>
      </c>
      <c r="L1871" s="9">
        <f>(PricingDataTable[[#This Row],[Vendor Price ($)]]-PricingDataTable[[#This Row],[Current Price ($)]])/PricingDataTable[[#This Row],[Current Price ($)]]</f>
        <v>1.1290302158030391E-3</v>
      </c>
      <c r="M1871" t="str">
        <f t="shared" si="58"/>
        <v>PASS</v>
      </c>
      <c r="N1871" s="10" t="str">
        <f t="shared" si="59"/>
        <v>NONE</v>
      </c>
    </row>
    <row r="1872" spans="1:14">
      <c r="A1872" s="4" t="s">
        <v>3760</v>
      </c>
      <c r="B1872" s="4" t="s">
        <v>3761</v>
      </c>
      <c r="C1872" s="4" t="s">
        <v>39</v>
      </c>
      <c r="D1872" s="4" t="s">
        <v>13</v>
      </c>
      <c r="E1872" s="5">
        <v>153.3672</v>
      </c>
      <c r="F1872" s="5">
        <v>155.56979999999999</v>
      </c>
      <c r="G1872" s="5">
        <v>155.9393</v>
      </c>
      <c r="H1872" s="4">
        <v>0</v>
      </c>
      <c r="I1872" s="6">
        <v>4896175</v>
      </c>
      <c r="J1872" s="7">
        <v>370.57</v>
      </c>
      <c r="K1872" s="9">
        <f>(PricingDataTable[[#This Row],[Current Price ($)]]-PricingDataTable[[#This Row],[Prior Price ($)]])/PricingDataTable[[#This Row],[Prior Price ($)]]</f>
        <v>1.4361610566014048E-2</v>
      </c>
      <c r="L1872" s="9">
        <f>(PricingDataTable[[#This Row],[Vendor Price ($)]]-PricingDataTable[[#This Row],[Current Price ($)]])/PricingDataTable[[#This Row],[Current Price ($)]]</f>
        <v>2.3751396479266308E-3</v>
      </c>
      <c r="M1872" t="str">
        <f t="shared" si="58"/>
        <v>PASS</v>
      </c>
      <c r="N1872" s="10" t="str">
        <f t="shared" si="59"/>
        <v>NONE</v>
      </c>
    </row>
    <row r="1873" spans="1:14">
      <c r="A1873" s="4" t="s">
        <v>3762</v>
      </c>
      <c r="B1873" s="4" t="s">
        <v>3763</v>
      </c>
      <c r="C1873" s="4" t="s">
        <v>16</v>
      </c>
      <c r="D1873" s="4" t="s">
        <v>13</v>
      </c>
      <c r="E1873" s="5">
        <v>105.7055</v>
      </c>
      <c r="F1873" s="5">
        <v>105.58450000000001</v>
      </c>
      <c r="G1873" s="5">
        <v>105.0856</v>
      </c>
      <c r="H1873" s="4">
        <v>0</v>
      </c>
      <c r="I1873" s="6">
        <v>569742</v>
      </c>
      <c r="J1873" s="7">
        <v>248.75</v>
      </c>
      <c r="K1873" s="9">
        <f>(PricingDataTable[[#This Row],[Current Price ($)]]-PricingDataTable[[#This Row],[Prior Price ($)]])/PricingDataTable[[#This Row],[Prior Price ($)]]</f>
        <v>-1.1446897275921794E-3</v>
      </c>
      <c r="L1873" s="9">
        <f>(PricingDataTable[[#This Row],[Vendor Price ($)]]-PricingDataTable[[#This Row],[Current Price ($)]])/PricingDataTable[[#This Row],[Current Price ($)]]</f>
        <v>-4.7251253735160568E-3</v>
      </c>
      <c r="M1873" t="str">
        <f t="shared" si="58"/>
        <v>PASS</v>
      </c>
      <c r="N1873" s="10" t="str">
        <f t="shared" si="59"/>
        <v>NONE</v>
      </c>
    </row>
    <row r="1874" spans="1:14">
      <c r="A1874" s="4" t="s">
        <v>3764</v>
      </c>
      <c r="B1874" s="4" t="s">
        <v>3765</v>
      </c>
      <c r="C1874" s="4" t="s">
        <v>12</v>
      </c>
      <c r="D1874" s="4" t="s">
        <v>13</v>
      </c>
      <c r="E1874" s="5">
        <v>84.024000000000001</v>
      </c>
      <c r="F1874" s="5">
        <v>83.690100000000001</v>
      </c>
      <c r="G1874" s="5">
        <v>83.408000000000001</v>
      </c>
      <c r="H1874" s="4">
        <v>0</v>
      </c>
      <c r="I1874" s="6">
        <v>4489156</v>
      </c>
      <c r="J1874" s="7">
        <v>380.21</v>
      </c>
      <c r="K1874" s="9">
        <f>(PricingDataTable[[#This Row],[Current Price ($)]]-PricingDataTable[[#This Row],[Prior Price ($)]])/PricingDataTable[[#This Row],[Prior Price ($)]]</f>
        <v>-3.9738646101113951E-3</v>
      </c>
      <c r="L1874" s="9">
        <f>(PricingDataTable[[#This Row],[Vendor Price ($)]]-PricingDataTable[[#This Row],[Current Price ($)]])/PricingDataTable[[#This Row],[Current Price ($)]]</f>
        <v>-3.3707690634854036E-3</v>
      </c>
      <c r="M1874" t="str">
        <f t="shared" si="58"/>
        <v>PASS</v>
      </c>
      <c r="N1874" s="10" t="str">
        <f t="shared" si="59"/>
        <v>NONE</v>
      </c>
    </row>
    <row r="1875" spans="1:14">
      <c r="A1875" s="4" t="s">
        <v>3766</v>
      </c>
      <c r="B1875" s="4" t="s">
        <v>3767</v>
      </c>
      <c r="C1875" s="4" t="s">
        <v>19</v>
      </c>
      <c r="D1875" s="4" t="s">
        <v>13</v>
      </c>
      <c r="E1875" s="5">
        <v>81.968299999999999</v>
      </c>
      <c r="F1875" s="5">
        <v>91.1815</v>
      </c>
      <c r="G1875" s="5">
        <v>91.324299999999994</v>
      </c>
      <c r="H1875" s="4">
        <v>0</v>
      </c>
      <c r="I1875" s="6">
        <v>3807607</v>
      </c>
      <c r="J1875" s="7">
        <v>659.96</v>
      </c>
      <c r="K1875" s="9">
        <f>(PricingDataTable[[#This Row],[Current Price ($)]]-PricingDataTable[[#This Row],[Prior Price ($)]])/PricingDataTable[[#This Row],[Prior Price ($)]]</f>
        <v>0.11239954958197255</v>
      </c>
      <c r="L1875" s="9">
        <f>(PricingDataTable[[#This Row],[Vendor Price ($)]]-PricingDataTable[[#This Row],[Current Price ($)]])/PricingDataTable[[#This Row],[Current Price ($)]]</f>
        <v>1.5661071598953081E-3</v>
      </c>
      <c r="M1875" t="str">
        <f t="shared" si="58"/>
        <v>LARGE MOVE</v>
      </c>
      <c r="N1875" s="10" t="str">
        <f t="shared" si="59"/>
        <v>HIGH</v>
      </c>
    </row>
    <row r="1876" spans="1:14">
      <c r="A1876" s="4" t="s">
        <v>3768</v>
      </c>
      <c r="B1876" s="4" t="s">
        <v>3769</v>
      </c>
      <c r="C1876" s="4" t="s">
        <v>19</v>
      </c>
      <c r="D1876" s="4" t="s">
        <v>13</v>
      </c>
      <c r="E1876" s="5">
        <v>303.74239999999998</v>
      </c>
      <c r="F1876" s="5">
        <v>303.86720000000003</v>
      </c>
      <c r="G1876" s="5">
        <v>303.80840000000001</v>
      </c>
      <c r="H1876" s="4">
        <v>0</v>
      </c>
      <c r="I1876" s="6">
        <v>1397564</v>
      </c>
      <c r="J1876" s="7">
        <v>824.71</v>
      </c>
      <c r="K1876" s="9">
        <f>(PricingDataTable[[#This Row],[Current Price ($)]]-PricingDataTable[[#This Row],[Prior Price ($)]])/PricingDataTable[[#This Row],[Prior Price ($)]]</f>
        <v>4.1087447784718303E-4</v>
      </c>
      <c r="L1876" s="9">
        <f>(PricingDataTable[[#This Row],[Vendor Price ($)]]-PricingDataTable[[#This Row],[Current Price ($)]])/PricingDataTable[[#This Row],[Current Price ($)]]</f>
        <v>-1.9350558401834512E-4</v>
      </c>
      <c r="M1876" t="str">
        <f t="shared" si="58"/>
        <v>PASS</v>
      </c>
      <c r="N1876" s="10" t="str">
        <f t="shared" si="59"/>
        <v>NONE</v>
      </c>
    </row>
    <row r="1877" spans="1:14">
      <c r="A1877" s="4" t="s">
        <v>3770</v>
      </c>
      <c r="B1877" s="4" t="s">
        <v>3771</v>
      </c>
      <c r="C1877" s="4" t="s">
        <v>16</v>
      </c>
      <c r="D1877" s="4" t="s">
        <v>13</v>
      </c>
      <c r="E1877" s="5">
        <v>92.867400000000004</v>
      </c>
      <c r="F1877" s="5">
        <v>95.024000000000001</v>
      </c>
      <c r="G1877" s="5">
        <v>95.336799999999997</v>
      </c>
      <c r="H1877" s="4">
        <v>0</v>
      </c>
      <c r="I1877" s="6">
        <v>4169304</v>
      </c>
      <c r="J1877" s="7">
        <v>431.26</v>
      </c>
      <c r="K1877" s="9">
        <f>(PricingDataTable[[#This Row],[Current Price ($)]]-PricingDataTable[[#This Row],[Prior Price ($)]])/PricingDataTable[[#This Row],[Prior Price ($)]]</f>
        <v>2.3222357899542759E-2</v>
      </c>
      <c r="L1877" s="9">
        <f>(PricingDataTable[[#This Row],[Vendor Price ($)]]-PricingDataTable[[#This Row],[Current Price ($)]])/PricingDataTable[[#This Row],[Current Price ($)]]</f>
        <v>3.2917999663242522E-3</v>
      </c>
      <c r="M1877" t="str">
        <f t="shared" si="58"/>
        <v>PASS</v>
      </c>
      <c r="N1877" s="10" t="str">
        <f t="shared" si="59"/>
        <v>NONE</v>
      </c>
    </row>
    <row r="1878" spans="1:14">
      <c r="A1878" s="4" t="s">
        <v>3772</v>
      </c>
      <c r="B1878" s="4" t="s">
        <v>3773</v>
      </c>
      <c r="C1878" s="4" t="s">
        <v>19</v>
      </c>
      <c r="D1878" s="4" t="s">
        <v>13</v>
      </c>
      <c r="E1878" s="5">
        <v>133.33240000000001</v>
      </c>
      <c r="F1878" s="5">
        <v>132.30070000000001</v>
      </c>
      <c r="G1878" s="5">
        <v>132.2919</v>
      </c>
      <c r="H1878" s="4">
        <v>0</v>
      </c>
      <c r="I1878" s="6">
        <v>2670923</v>
      </c>
      <c r="J1878" s="7">
        <v>481.15</v>
      </c>
      <c r="K1878" s="9">
        <f>(PricingDataTable[[#This Row],[Current Price ($)]]-PricingDataTable[[#This Row],[Prior Price ($)]])/PricingDataTable[[#This Row],[Prior Price ($)]]</f>
        <v>-7.7378041646291576E-3</v>
      </c>
      <c r="L1878" s="9">
        <f>(PricingDataTable[[#This Row],[Vendor Price ($)]]-PricingDataTable[[#This Row],[Current Price ($)]])/PricingDataTable[[#This Row],[Current Price ($)]]</f>
        <v>-6.6515143155009097E-5</v>
      </c>
      <c r="M1878" t="str">
        <f t="shared" si="58"/>
        <v>PASS</v>
      </c>
      <c r="N1878" s="10" t="str">
        <f t="shared" si="59"/>
        <v>NONE</v>
      </c>
    </row>
    <row r="1879" spans="1:14">
      <c r="A1879" s="4" t="s">
        <v>3774</v>
      </c>
      <c r="B1879" s="4" t="s">
        <v>3775</v>
      </c>
      <c r="C1879" s="4" t="s">
        <v>19</v>
      </c>
      <c r="D1879" s="4" t="s">
        <v>13</v>
      </c>
      <c r="E1879" s="5">
        <v>188.31200000000001</v>
      </c>
      <c r="F1879" s="5">
        <v>185.1832</v>
      </c>
      <c r="G1879" s="5">
        <v>184.99610000000001</v>
      </c>
      <c r="H1879" s="4">
        <v>0</v>
      </c>
      <c r="I1879" s="6">
        <v>486581</v>
      </c>
      <c r="J1879" s="7">
        <v>728</v>
      </c>
      <c r="K1879" s="9">
        <f>(PricingDataTable[[#This Row],[Current Price ($)]]-PricingDataTable[[#This Row],[Prior Price ($)]])/PricingDataTable[[#This Row],[Prior Price ($)]]</f>
        <v>-1.6614979395896238E-2</v>
      </c>
      <c r="L1879" s="9">
        <f>(PricingDataTable[[#This Row],[Vendor Price ($)]]-PricingDataTable[[#This Row],[Current Price ($)]])/PricingDataTable[[#This Row],[Current Price ($)]]</f>
        <v>-1.0103508309608363E-3</v>
      </c>
      <c r="M1879" t="str">
        <f t="shared" si="58"/>
        <v>PASS</v>
      </c>
      <c r="N1879" s="10" t="str">
        <f t="shared" si="59"/>
        <v>NONE</v>
      </c>
    </row>
    <row r="1880" spans="1:14">
      <c r="A1880" s="4" t="s">
        <v>3776</v>
      </c>
      <c r="B1880" s="4" t="s">
        <v>3777</v>
      </c>
      <c r="C1880" s="4" t="s">
        <v>12</v>
      </c>
      <c r="D1880" s="4" t="s">
        <v>13</v>
      </c>
      <c r="E1880" s="5">
        <v>123.6733</v>
      </c>
      <c r="F1880" s="5">
        <v>127.0955</v>
      </c>
      <c r="G1880" s="5">
        <v>126.58799999999999</v>
      </c>
      <c r="H1880" s="4">
        <v>0</v>
      </c>
      <c r="I1880" s="6">
        <v>928797</v>
      </c>
      <c r="J1880" s="7">
        <v>339.24</v>
      </c>
      <c r="K1880" s="9">
        <f>(PricingDataTable[[#This Row],[Current Price ($)]]-PricingDataTable[[#This Row],[Prior Price ($)]])/PricingDataTable[[#This Row],[Prior Price ($)]]</f>
        <v>2.7671292025036962E-2</v>
      </c>
      <c r="L1880" s="9">
        <f>(PricingDataTable[[#This Row],[Vendor Price ($)]]-PricingDataTable[[#This Row],[Current Price ($)]])/PricingDataTable[[#This Row],[Current Price ($)]]</f>
        <v>-3.9930603365186598E-3</v>
      </c>
      <c r="M1880" t="str">
        <f t="shared" si="58"/>
        <v>PASS</v>
      </c>
      <c r="N1880" s="10" t="str">
        <f t="shared" si="59"/>
        <v>NONE</v>
      </c>
    </row>
    <row r="1881" spans="1:14">
      <c r="A1881" s="4" t="s">
        <v>3778</v>
      </c>
      <c r="B1881" s="4" t="s">
        <v>3779</v>
      </c>
      <c r="C1881" s="4" t="s">
        <v>19</v>
      </c>
      <c r="D1881" s="4" t="s">
        <v>13</v>
      </c>
      <c r="E1881" s="5">
        <v>330.3227</v>
      </c>
      <c r="F1881" s="5">
        <v>332.6148</v>
      </c>
      <c r="G1881" s="5">
        <v>333.01819999999998</v>
      </c>
      <c r="H1881" s="4">
        <v>0</v>
      </c>
      <c r="I1881" s="6">
        <v>466460</v>
      </c>
      <c r="J1881" s="7">
        <v>893.48</v>
      </c>
      <c r="K1881" s="9">
        <f>(PricingDataTable[[#This Row],[Current Price ($)]]-PricingDataTable[[#This Row],[Prior Price ($)]])/PricingDataTable[[#This Row],[Prior Price ($)]]</f>
        <v>6.9389721021292355E-3</v>
      </c>
      <c r="L1881" s="9">
        <f>(PricingDataTable[[#This Row],[Vendor Price ($)]]-PricingDataTable[[#This Row],[Current Price ($)]])/PricingDataTable[[#This Row],[Current Price ($)]]</f>
        <v>1.2128143425968311E-3</v>
      </c>
      <c r="M1881" t="str">
        <f t="shared" si="58"/>
        <v>PASS</v>
      </c>
      <c r="N1881" s="10" t="str">
        <f t="shared" si="59"/>
        <v>NONE</v>
      </c>
    </row>
    <row r="1882" spans="1:14">
      <c r="A1882" s="4" t="s">
        <v>3780</v>
      </c>
      <c r="B1882" s="4" t="s">
        <v>3781</v>
      </c>
      <c r="C1882" s="4" t="s">
        <v>39</v>
      </c>
      <c r="D1882" s="4" t="s">
        <v>64</v>
      </c>
      <c r="E1882" s="5">
        <v>72.664900000000003</v>
      </c>
      <c r="F1882" s="5">
        <v>73.495800000000003</v>
      </c>
      <c r="G1882" s="5">
        <v>73.711699999999993</v>
      </c>
      <c r="H1882" s="4">
        <v>0</v>
      </c>
      <c r="I1882" s="6">
        <v>4818017</v>
      </c>
      <c r="J1882" s="7">
        <v>417.09</v>
      </c>
      <c r="K1882" s="9">
        <f>(PricingDataTable[[#This Row],[Current Price ($)]]-PricingDataTable[[#This Row],[Prior Price ($)]])/PricingDataTable[[#This Row],[Prior Price ($)]]</f>
        <v>1.1434681668866258E-2</v>
      </c>
      <c r="L1882" s="9">
        <f>(PricingDataTable[[#This Row],[Vendor Price ($)]]-PricingDataTable[[#This Row],[Current Price ($)]])/PricingDataTable[[#This Row],[Current Price ($)]]</f>
        <v>2.9375828278621449E-3</v>
      </c>
      <c r="M1882" t="str">
        <f t="shared" si="58"/>
        <v>PASS</v>
      </c>
      <c r="N1882" s="10" t="str">
        <f t="shared" si="59"/>
        <v>NONE</v>
      </c>
    </row>
    <row r="1883" spans="1:14">
      <c r="A1883" s="4" t="s">
        <v>3782</v>
      </c>
      <c r="B1883" s="4" t="s">
        <v>3783</v>
      </c>
      <c r="C1883" s="4" t="s">
        <v>39</v>
      </c>
      <c r="D1883" s="4" t="s">
        <v>32</v>
      </c>
      <c r="E1883" s="5">
        <v>42.748899999999999</v>
      </c>
      <c r="F1883" s="5">
        <v>43.159799999999997</v>
      </c>
      <c r="G1883" s="5">
        <v>43.203299999999999</v>
      </c>
      <c r="H1883" s="4">
        <v>0</v>
      </c>
      <c r="I1883" s="6">
        <v>740213</v>
      </c>
      <c r="J1883" s="7">
        <v>177.14</v>
      </c>
      <c r="K1883" s="9">
        <f>(PricingDataTable[[#This Row],[Current Price ($)]]-PricingDataTable[[#This Row],[Prior Price ($)]])/PricingDataTable[[#This Row],[Prior Price ($)]]</f>
        <v>9.6119432312877767E-3</v>
      </c>
      <c r="L1883" s="9">
        <f>(PricingDataTable[[#This Row],[Vendor Price ($)]]-PricingDataTable[[#This Row],[Current Price ($)]])/PricingDataTable[[#This Row],[Current Price ($)]]</f>
        <v>1.0078823349506172E-3</v>
      </c>
      <c r="M1883" t="str">
        <f t="shared" si="58"/>
        <v>PASS</v>
      </c>
      <c r="N1883" s="10" t="str">
        <f t="shared" si="59"/>
        <v>NONE</v>
      </c>
    </row>
    <row r="1884" spans="1:14">
      <c r="A1884" s="4" t="s">
        <v>3784</v>
      </c>
      <c r="B1884" s="4" t="s">
        <v>3785</v>
      </c>
      <c r="C1884" s="4" t="s">
        <v>35</v>
      </c>
      <c r="D1884" s="4" t="s">
        <v>13</v>
      </c>
      <c r="E1884" s="5">
        <v>36.848300000000002</v>
      </c>
      <c r="F1884" s="5">
        <v>36.9985</v>
      </c>
      <c r="G1884" s="5">
        <v>37.011800000000001</v>
      </c>
      <c r="H1884" s="4">
        <v>1</v>
      </c>
      <c r="I1884" s="6">
        <v>4470651</v>
      </c>
      <c r="J1884" s="7">
        <v>79.34</v>
      </c>
      <c r="K1884" s="9">
        <f>(PricingDataTable[[#This Row],[Current Price ($)]]-PricingDataTable[[#This Row],[Prior Price ($)]])/PricingDataTable[[#This Row],[Prior Price ($)]]</f>
        <v>4.0761717636905396E-3</v>
      </c>
      <c r="L1884" s="9">
        <f>(PricingDataTable[[#This Row],[Vendor Price ($)]]-PricingDataTable[[#This Row],[Current Price ($)]])/PricingDataTable[[#This Row],[Current Price ($)]]</f>
        <v>3.5947403273108307E-4</v>
      </c>
      <c r="M1884" t="str">
        <f t="shared" si="58"/>
        <v>PASS</v>
      </c>
      <c r="N1884" s="10" t="str">
        <f t="shared" si="59"/>
        <v>NONE</v>
      </c>
    </row>
    <row r="1885" spans="1:14">
      <c r="A1885" s="4" t="s">
        <v>3786</v>
      </c>
      <c r="B1885" s="4" t="s">
        <v>3787</v>
      </c>
      <c r="C1885" s="4" t="s">
        <v>35</v>
      </c>
      <c r="D1885" s="4" t="s">
        <v>13</v>
      </c>
      <c r="E1885" s="5">
        <v>160.06389999999999</v>
      </c>
      <c r="F1885" s="5">
        <v>157.85120000000001</v>
      </c>
      <c r="G1885" s="5">
        <v>158.2107</v>
      </c>
      <c r="H1885" s="4">
        <v>0</v>
      </c>
      <c r="I1885" s="6">
        <v>3626211</v>
      </c>
      <c r="J1885" s="7">
        <v>213.8</v>
      </c>
      <c r="K1885" s="9">
        <f>(PricingDataTable[[#This Row],[Current Price ($)]]-PricingDataTable[[#This Row],[Prior Price ($)]])/PricingDataTable[[#This Row],[Prior Price ($)]]</f>
        <v>-1.3823854098269405E-2</v>
      </c>
      <c r="L1885" s="9">
        <f>(PricingDataTable[[#This Row],[Vendor Price ($)]]-PricingDataTable[[#This Row],[Current Price ($)]])/PricingDataTable[[#This Row],[Current Price ($)]]</f>
        <v>2.2774613053305709E-3</v>
      </c>
      <c r="M1885" t="str">
        <f t="shared" si="58"/>
        <v>PASS</v>
      </c>
      <c r="N1885" s="10" t="str">
        <f t="shared" si="59"/>
        <v>NONE</v>
      </c>
    </row>
    <row r="1886" spans="1:14">
      <c r="A1886" s="4" t="s">
        <v>3788</v>
      </c>
      <c r="B1886" s="4" t="s">
        <v>3789</v>
      </c>
      <c r="C1886" s="4" t="s">
        <v>35</v>
      </c>
      <c r="D1886" s="4" t="s">
        <v>13</v>
      </c>
      <c r="E1886" s="5">
        <v>141.38919999999999</v>
      </c>
      <c r="F1886" s="5">
        <v>141.3348</v>
      </c>
      <c r="G1886" s="5">
        <v>141.06489999999999</v>
      </c>
      <c r="H1886" s="4">
        <v>3</v>
      </c>
      <c r="I1886" s="6">
        <v>2863555</v>
      </c>
      <c r="J1886" s="7">
        <v>137.6</v>
      </c>
      <c r="K1886" s="9">
        <f>(PricingDataTable[[#This Row],[Current Price ($)]]-PricingDataTable[[#This Row],[Prior Price ($)]])/PricingDataTable[[#This Row],[Prior Price ($)]]</f>
        <v>-3.8475357382308485E-4</v>
      </c>
      <c r="L1886" s="9">
        <f>(PricingDataTable[[#This Row],[Vendor Price ($)]]-PricingDataTable[[#This Row],[Current Price ($)]])/PricingDataTable[[#This Row],[Current Price ($)]]</f>
        <v>-1.9096499941982223E-3</v>
      </c>
      <c r="M1886" t="str">
        <f t="shared" si="58"/>
        <v>STALE</v>
      </c>
      <c r="N1886" s="10" t="str">
        <f t="shared" si="59"/>
        <v>LOW</v>
      </c>
    </row>
    <row r="1887" spans="1:14">
      <c r="A1887" s="4" t="s">
        <v>3790</v>
      </c>
      <c r="B1887" s="4" t="s">
        <v>3791</v>
      </c>
      <c r="C1887" s="4" t="s">
        <v>12</v>
      </c>
      <c r="D1887" s="4" t="s">
        <v>36</v>
      </c>
      <c r="E1887" s="5">
        <v>120.8681</v>
      </c>
      <c r="F1887" s="5">
        <v>120.9714</v>
      </c>
      <c r="G1887" s="5">
        <v>120.8977</v>
      </c>
      <c r="H1887" s="4">
        <v>1</v>
      </c>
      <c r="I1887" s="6">
        <v>783518</v>
      </c>
      <c r="J1887" s="7">
        <v>15.74</v>
      </c>
      <c r="K1887" s="9">
        <f>(PricingDataTable[[#This Row],[Current Price ($)]]-PricingDataTable[[#This Row],[Prior Price ($)]])/PricingDataTable[[#This Row],[Prior Price ($)]]</f>
        <v>8.5465064810321659E-4</v>
      </c>
      <c r="L1887" s="9">
        <f>(PricingDataTable[[#This Row],[Vendor Price ($)]]-PricingDataTable[[#This Row],[Current Price ($)]])/PricingDataTable[[#This Row],[Current Price ($)]]</f>
        <v>-6.0923491006967202E-4</v>
      </c>
      <c r="M1887" t="str">
        <f t="shared" si="58"/>
        <v>PASS</v>
      </c>
      <c r="N1887" s="10" t="str">
        <f t="shared" si="59"/>
        <v>NONE</v>
      </c>
    </row>
    <row r="1888" spans="1:14">
      <c r="A1888" s="4" t="s">
        <v>3792</v>
      </c>
      <c r="B1888" s="4" t="s">
        <v>3793</v>
      </c>
      <c r="C1888" s="4" t="s">
        <v>12</v>
      </c>
      <c r="D1888" s="4" t="s">
        <v>13</v>
      </c>
      <c r="E1888" s="5">
        <v>87.502899999999997</v>
      </c>
      <c r="F1888" s="5">
        <v>87.669700000000006</v>
      </c>
      <c r="G1888" s="5">
        <v>87.541300000000007</v>
      </c>
      <c r="H1888" s="4">
        <v>0</v>
      </c>
      <c r="I1888" s="6">
        <v>4188772</v>
      </c>
      <c r="J1888" s="7">
        <v>320.38</v>
      </c>
      <c r="K1888" s="9">
        <f>(PricingDataTable[[#This Row],[Current Price ($)]]-PricingDataTable[[#This Row],[Prior Price ($)]])/PricingDataTable[[#This Row],[Prior Price ($)]]</f>
        <v>1.9062225366246052E-3</v>
      </c>
      <c r="L1888" s="9">
        <f>(PricingDataTable[[#This Row],[Vendor Price ($)]]-PricingDataTable[[#This Row],[Current Price ($)]])/PricingDataTable[[#This Row],[Current Price ($)]]</f>
        <v>-1.464588107407681E-3</v>
      </c>
      <c r="M1888" t="str">
        <f t="shared" si="58"/>
        <v>PASS</v>
      </c>
      <c r="N1888" s="10" t="str">
        <f t="shared" si="59"/>
        <v>NONE</v>
      </c>
    </row>
    <row r="1889" spans="1:14">
      <c r="A1889" s="4" t="s">
        <v>3794</v>
      </c>
      <c r="B1889" s="4" t="s">
        <v>3795</v>
      </c>
      <c r="C1889" s="4" t="s">
        <v>19</v>
      </c>
      <c r="D1889" s="4" t="s">
        <v>32</v>
      </c>
      <c r="E1889" s="5">
        <v>293.79509999999999</v>
      </c>
      <c r="F1889" s="5">
        <v>290.65429999999998</v>
      </c>
      <c r="G1889" s="5">
        <v>290.2978</v>
      </c>
      <c r="H1889" s="4">
        <v>0</v>
      </c>
      <c r="I1889" s="6">
        <v>725358</v>
      </c>
      <c r="J1889" s="7">
        <v>671.23</v>
      </c>
      <c r="K1889" s="9">
        <f>(PricingDataTable[[#This Row],[Current Price ($)]]-PricingDataTable[[#This Row],[Prior Price ($)]])/PricingDataTable[[#This Row],[Prior Price ($)]]</f>
        <v>-1.0690443782078098E-2</v>
      </c>
      <c r="L1889" s="9">
        <f>(PricingDataTable[[#This Row],[Vendor Price ($)]]-PricingDataTable[[#This Row],[Current Price ($)]])/PricingDataTable[[#This Row],[Current Price ($)]]</f>
        <v>-1.226543010029381E-3</v>
      </c>
      <c r="M1889" t="str">
        <f t="shared" si="58"/>
        <v>PASS</v>
      </c>
      <c r="N1889" s="10" t="str">
        <f t="shared" si="59"/>
        <v>NONE</v>
      </c>
    </row>
    <row r="1890" spans="1:14">
      <c r="A1890" s="4" t="s">
        <v>3796</v>
      </c>
      <c r="B1890" s="4" t="s">
        <v>3797</v>
      </c>
      <c r="C1890" s="4" t="s">
        <v>16</v>
      </c>
      <c r="D1890" s="4" t="s">
        <v>13</v>
      </c>
      <c r="E1890" s="5">
        <v>114.98260000000001</v>
      </c>
      <c r="F1890" s="5">
        <v>112.8121</v>
      </c>
      <c r="G1890" s="5">
        <v>112.2206</v>
      </c>
      <c r="H1890" s="4">
        <v>1</v>
      </c>
      <c r="I1890" s="6">
        <v>1689096</v>
      </c>
      <c r="J1890" s="7">
        <v>142.28</v>
      </c>
      <c r="K1890" s="9">
        <f>(PricingDataTable[[#This Row],[Current Price ($)]]-PricingDataTable[[#This Row],[Prior Price ($)]])/PricingDataTable[[#This Row],[Prior Price ($)]]</f>
        <v>-1.887676918072825E-2</v>
      </c>
      <c r="L1890" s="9">
        <f>(PricingDataTable[[#This Row],[Vendor Price ($)]]-PricingDataTable[[#This Row],[Current Price ($)]])/PricingDataTable[[#This Row],[Current Price ($)]]</f>
        <v>-5.2432318873595687E-3</v>
      </c>
      <c r="M1890" t="str">
        <f t="shared" si="58"/>
        <v>PASS</v>
      </c>
      <c r="N1890" s="10" t="str">
        <f t="shared" si="59"/>
        <v>NONE</v>
      </c>
    </row>
    <row r="1891" spans="1:14">
      <c r="A1891" s="4" t="s">
        <v>3798</v>
      </c>
      <c r="B1891" s="4" t="s">
        <v>3799</v>
      </c>
      <c r="C1891" s="4" t="s">
        <v>35</v>
      </c>
      <c r="D1891" s="4" t="s">
        <v>13</v>
      </c>
      <c r="E1891" s="5">
        <v>164.4907</v>
      </c>
      <c r="F1891" s="5">
        <v>164.2953</v>
      </c>
      <c r="G1891" s="5">
        <v>164.74160000000001</v>
      </c>
      <c r="H1891" s="4">
        <v>1</v>
      </c>
      <c r="I1891" s="6">
        <v>1215234</v>
      </c>
      <c r="J1891" s="7">
        <v>549.13</v>
      </c>
      <c r="K1891" s="9">
        <f>(PricingDataTable[[#This Row],[Current Price ($)]]-PricingDataTable[[#This Row],[Prior Price ($)]])/PricingDataTable[[#This Row],[Prior Price ($)]]</f>
        <v>-1.1879091036758093E-3</v>
      </c>
      <c r="L1891" s="9">
        <f>(PricingDataTable[[#This Row],[Vendor Price ($)]]-PricingDataTable[[#This Row],[Current Price ($)]])/PricingDataTable[[#This Row],[Current Price ($)]]</f>
        <v>2.7164501966885717E-3</v>
      </c>
      <c r="M1891" t="str">
        <f t="shared" si="58"/>
        <v>PASS</v>
      </c>
      <c r="N1891" s="10" t="str">
        <f t="shared" si="59"/>
        <v>NONE</v>
      </c>
    </row>
    <row r="1892" spans="1:14">
      <c r="A1892" s="4" t="s">
        <v>3800</v>
      </c>
      <c r="B1892" s="4" t="s">
        <v>3801</v>
      </c>
      <c r="C1892" s="4" t="s">
        <v>19</v>
      </c>
      <c r="D1892" s="4" t="s">
        <v>36</v>
      </c>
      <c r="E1892" s="5">
        <v>285.49950000000001</v>
      </c>
      <c r="F1892" s="5">
        <v>279.95940000000002</v>
      </c>
      <c r="G1892" s="5">
        <v>282.387</v>
      </c>
      <c r="H1892" s="4">
        <v>0</v>
      </c>
      <c r="I1892" s="6">
        <v>4329592</v>
      </c>
      <c r="J1892" s="7">
        <v>359.61</v>
      </c>
      <c r="K1892" s="9">
        <f>(PricingDataTable[[#This Row],[Current Price ($)]]-PricingDataTable[[#This Row],[Prior Price ($)]])/PricingDataTable[[#This Row],[Prior Price ($)]]</f>
        <v>-1.9404937661887306E-2</v>
      </c>
      <c r="L1892" s="9">
        <f>(PricingDataTable[[#This Row],[Vendor Price ($)]]-PricingDataTable[[#This Row],[Current Price ($)]])/PricingDataTable[[#This Row],[Current Price ($)]]</f>
        <v>8.6712573323131283E-3</v>
      </c>
      <c r="M1892" t="str">
        <f t="shared" si="58"/>
        <v>PASS</v>
      </c>
      <c r="N1892" s="10" t="str">
        <f t="shared" si="59"/>
        <v>NONE</v>
      </c>
    </row>
    <row r="1893" spans="1:14">
      <c r="A1893" s="4" t="s">
        <v>3802</v>
      </c>
      <c r="B1893" s="4" t="s">
        <v>3803</v>
      </c>
      <c r="C1893" s="4" t="s">
        <v>19</v>
      </c>
      <c r="D1893" s="4" t="s">
        <v>13</v>
      </c>
      <c r="E1893" s="5">
        <v>278.62290000000002</v>
      </c>
      <c r="F1893" s="5">
        <v>279.90390000000002</v>
      </c>
      <c r="G1893" s="5">
        <v>279.33370000000002</v>
      </c>
      <c r="H1893" s="4">
        <v>0</v>
      </c>
      <c r="I1893" s="6">
        <v>3349223</v>
      </c>
      <c r="J1893" s="7">
        <v>623.39</v>
      </c>
      <c r="K1893" s="9">
        <f>(PricingDataTable[[#This Row],[Current Price ($)]]-PricingDataTable[[#This Row],[Prior Price ($)]])/PricingDataTable[[#This Row],[Prior Price ($)]]</f>
        <v>4.5976120412213276E-3</v>
      </c>
      <c r="L1893" s="9">
        <f>(PricingDataTable[[#This Row],[Vendor Price ($)]]-PricingDataTable[[#This Row],[Current Price ($)]])/PricingDataTable[[#This Row],[Current Price ($)]]</f>
        <v>-2.0371277427717149E-3</v>
      </c>
      <c r="M1893" t="str">
        <f t="shared" si="58"/>
        <v>PASS</v>
      </c>
      <c r="N1893" s="10" t="str">
        <f t="shared" si="59"/>
        <v>NONE</v>
      </c>
    </row>
    <row r="1894" spans="1:14">
      <c r="A1894" s="4" t="s">
        <v>3804</v>
      </c>
      <c r="B1894" s="4" t="s">
        <v>3805</v>
      </c>
      <c r="C1894" s="4" t="s">
        <v>19</v>
      </c>
      <c r="D1894" s="4" t="s">
        <v>13</v>
      </c>
      <c r="E1894" s="5">
        <v>95.954099999999997</v>
      </c>
      <c r="F1894" s="5">
        <v>97.132300000000001</v>
      </c>
      <c r="G1894" s="5">
        <v>97.304699999999997</v>
      </c>
      <c r="H1894" s="4">
        <v>0</v>
      </c>
      <c r="I1894" s="6">
        <v>296926</v>
      </c>
      <c r="J1894" s="7">
        <v>84.57</v>
      </c>
      <c r="K1894" s="9">
        <f>(PricingDataTable[[#This Row],[Current Price ($)]]-PricingDataTable[[#This Row],[Prior Price ($)]])/PricingDataTable[[#This Row],[Prior Price ($)]]</f>
        <v>1.2278787461921939E-2</v>
      </c>
      <c r="L1894" s="9">
        <f>(PricingDataTable[[#This Row],[Vendor Price ($)]]-PricingDataTable[[#This Row],[Current Price ($)]])/PricingDataTable[[#This Row],[Current Price ($)]]</f>
        <v>1.774898772087103E-3</v>
      </c>
      <c r="M1894" t="str">
        <f t="shared" si="58"/>
        <v>PASS</v>
      </c>
      <c r="N1894" s="10" t="str">
        <f t="shared" si="59"/>
        <v>NONE</v>
      </c>
    </row>
    <row r="1895" spans="1:14">
      <c r="A1895" s="4" t="s">
        <v>3806</v>
      </c>
      <c r="B1895" s="4" t="s">
        <v>3807</v>
      </c>
      <c r="C1895" s="4" t="s">
        <v>12</v>
      </c>
      <c r="D1895" s="4" t="s">
        <v>13</v>
      </c>
      <c r="E1895" s="5">
        <v>115.26300000000001</v>
      </c>
      <c r="F1895" s="5">
        <v>115.5885</v>
      </c>
      <c r="G1895" s="5">
        <v>116.0245</v>
      </c>
      <c r="H1895" s="4">
        <v>0</v>
      </c>
      <c r="I1895" s="6">
        <v>1994594</v>
      </c>
      <c r="J1895" s="7">
        <v>66.849999999999994</v>
      </c>
      <c r="K1895" s="9">
        <f>(PricingDataTable[[#This Row],[Current Price ($)]]-PricingDataTable[[#This Row],[Prior Price ($)]])/PricingDataTable[[#This Row],[Prior Price ($)]]</f>
        <v>2.8239764712005675E-3</v>
      </c>
      <c r="L1895" s="9">
        <f>(PricingDataTable[[#This Row],[Vendor Price ($)]]-PricingDataTable[[#This Row],[Current Price ($)]])/PricingDataTable[[#This Row],[Current Price ($)]]</f>
        <v>3.7720015399456438E-3</v>
      </c>
      <c r="M1895" t="str">
        <f t="shared" si="58"/>
        <v>PASS</v>
      </c>
      <c r="N1895" s="10" t="str">
        <f t="shared" si="59"/>
        <v>NONE</v>
      </c>
    </row>
    <row r="1896" spans="1:14">
      <c r="A1896" s="4" t="s">
        <v>3808</v>
      </c>
      <c r="B1896" s="4" t="s">
        <v>3809</v>
      </c>
      <c r="C1896" s="4" t="s">
        <v>16</v>
      </c>
      <c r="D1896" s="4" t="s">
        <v>13</v>
      </c>
      <c r="E1896" s="5">
        <v>121.37390000000001</v>
      </c>
      <c r="F1896" s="5">
        <v>121.5479</v>
      </c>
      <c r="G1896" s="5">
        <v>121.4824</v>
      </c>
      <c r="H1896" s="4">
        <v>1</v>
      </c>
      <c r="I1896" s="6">
        <v>2345131</v>
      </c>
      <c r="J1896" s="7">
        <v>433.9</v>
      </c>
      <c r="K1896" s="9">
        <f>(PricingDataTable[[#This Row],[Current Price ($)]]-PricingDataTable[[#This Row],[Prior Price ($)]])/PricingDataTable[[#This Row],[Prior Price ($)]]</f>
        <v>1.4335866277675215E-3</v>
      </c>
      <c r="L1896" s="9">
        <f>(PricingDataTable[[#This Row],[Vendor Price ($)]]-PricingDataTable[[#This Row],[Current Price ($)]])/PricingDataTable[[#This Row],[Current Price ($)]]</f>
        <v>-5.3888220199608638E-4</v>
      </c>
      <c r="M1896" t="str">
        <f t="shared" si="58"/>
        <v>PASS</v>
      </c>
      <c r="N1896" s="10" t="str">
        <f t="shared" si="59"/>
        <v>NONE</v>
      </c>
    </row>
    <row r="1897" spans="1:14">
      <c r="A1897" s="4" t="s">
        <v>3810</v>
      </c>
      <c r="B1897" s="4" t="s">
        <v>3811</v>
      </c>
      <c r="C1897" s="4" t="s">
        <v>12</v>
      </c>
      <c r="D1897" s="4" t="s">
        <v>13</v>
      </c>
      <c r="E1897" s="5">
        <v>119.1104</v>
      </c>
      <c r="F1897" s="5">
        <v>119.1559</v>
      </c>
      <c r="G1897" s="5">
        <v>123.0133</v>
      </c>
      <c r="H1897" s="4">
        <v>1</v>
      </c>
      <c r="I1897" s="6">
        <v>4923967</v>
      </c>
      <c r="J1897" s="7">
        <v>717.92</v>
      </c>
      <c r="K1897" s="9">
        <f>(PricingDataTable[[#This Row],[Current Price ($)]]-PricingDataTable[[#This Row],[Prior Price ($)]])/PricingDataTable[[#This Row],[Prior Price ($)]]</f>
        <v>3.8199854924510446E-4</v>
      </c>
      <c r="L1897" s="9">
        <f>(PricingDataTable[[#This Row],[Vendor Price ($)]]-PricingDataTable[[#This Row],[Current Price ($)]])/PricingDataTable[[#This Row],[Current Price ($)]]</f>
        <v>3.2372715073277936E-2</v>
      </c>
      <c r="M1897" t="str">
        <f t="shared" si="58"/>
        <v>VENDOR DIFFERENCE</v>
      </c>
      <c r="N1897" s="10" t="str">
        <f t="shared" si="59"/>
        <v>MEDIUM</v>
      </c>
    </row>
    <row r="1898" spans="1:14">
      <c r="A1898" s="4" t="s">
        <v>3812</v>
      </c>
      <c r="B1898" s="4" t="s">
        <v>3813</v>
      </c>
      <c r="C1898" s="4" t="s">
        <v>16</v>
      </c>
      <c r="D1898" s="4" t="s">
        <v>237</v>
      </c>
      <c r="E1898" s="5">
        <v>103.4769</v>
      </c>
      <c r="F1898" s="5">
        <v>102.8862</v>
      </c>
      <c r="G1898" s="5">
        <v>103.27079999999999</v>
      </c>
      <c r="H1898" s="4">
        <v>1</v>
      </c>
      <c r="I1898" s="6">
        <v>1958552</v>
      </c>
      <c r="J1898" s="7">
        <v>277</v>
      </c>
      <c r="K1898" s="9">
        <f>(PricingDataTable[[#This Row],[Current Price ($)]]-PricingDataTable[[#This Row],[Prior Price ($)]])/PricingDataTable[[#This Row],[Prior Price ($)]]</f>
        <v>-5.7085204523908062E-3</v>
      </c>
      <c r="L1898" s="9">
        <f>(PricingDataTable[[#This Row],[Vendor Price ($)]]-PricingDataTable[[#This Row],[Current Price ($)]])/PricingDataTable[[#This Row],[Current Price ($)]]</f>
        <v>3.7381106504078472E-3</v>
      </c>
      <c r="M1898" t="str">
        <f t="shared" si="58"/>
        <v>PASS</v>
      </c>
      <c r="N1898" s="10" t="str">
        <f t="shared" si="59"/>
        <v>NONE</v>
      </c>
    </row>
    <row r="1899" spans="1:14">
      <c r="A1899" s="4" t="s">
        <v>3814</v>
      </c>
      <c r="B1899" s="4" t="s">
        <v>3815</v>
      </c>
      <c r="C1899" s="4" t="s">
        <v>19</v>
      </c>
      <c r="D1899" s="4" t="s">
        <v>13</v>
      </c>
      <c r="E1899" s="5">
        <v>39.797699999999999</v>
      </c>
      <c r="F1899" s="5">
        <v>39.748199999999997</v>
      </c>
      <c r="G1899" s="5">
        <v>39.613500000000002</v>
      </c>
      <c r="H1899" s="4">
        <v>0</v>
      </c>
      <c r="I1899" s="6">
        <v>3304796</v>
      </c>
      <c r="J1899" s="7">
        <v>444.18</v>
      </c>
      <c r="K1899" s="9">
        <f>(PricingDataTable[[#This Row],[Current Price ($)]]-PricingDataTable[[#This Row],[Prior Price ($)]])/PricingDataTable[[#This Row],[Prior Price ($)]]</f>
        <v>-1.2437904703036075E-3</v>
      </c>
      <c r="L1899" s="9">
        <f>(PricingDataTable[[#This Row],[Vendor Price ($)]]-PricingDataTable[[#This Row],[Current Price ($)]])/PricingDataTable[[#This Row],[Current Price ($)]]</f>
        <v>-3.3888327018580756E-3</v>
      </c>
      <c r="M1899" t="str">
        <f t="shared" si="58"/>
        <v>PASS</v>
      </c>
      <c r="N1899" s="10" t="str">
        <f t="shared" si="59"/>
        <v>NONE</v>
      </c>
    </row>
    <row r="1900" spans="1:14">
      <c r="A1900" s="4" t="s">
        <v>3816</v>
      </c>
      <c r="B1900" s="4" t="s">
        <v>3817</v>
      </c>
      <c r="C1900" s="4" t="s">
        <v>39</v>
      </c>
      <c r="D1900" s="4" t="s">
        <v>32</v>
      </c>
      <c r="E1900" s="5">
        <v>146.1721</v>
      </c>
      <c r="F1900" s="5">
        <v>144.13550000000001</v>
      </c>
      <c r="G1900" s="5">
        <v>143.62200000000001</v>
      </c>
      <c r="H1900" s="4">
        <v>0</v>
      </c>
      <c r="I1900" s="6">
        <v>1400211</v>
      </c>
      <c r="J1900" s="7">
        <v>330.93</v>
      </c>
      <c r="K1900" s="9">
        <f>(PricingDataTable[[#This Row],[Current Price ($)]]-PricingDataTable[[#This Row],[Prior Price ($)]])/PricingDataTable[[#This Row],[Prior Price ($)]]</f>
        <v>-1.3932891434138204E-2</v>
      </c>
      <c r="L1900" s="9">
        <f>(PricingDataTable[[#This Row],[Vendor Price ($)]]-PricingDataTable[[#This Row],[Current Price ($)]])/PricingDataTable[[#This Row],[Current Price ($)]]</f>
        <v>-3.5626198958618339E-3</v>
      </c>
      <c r="M1900" t="str">
        <f t="shared" si="58"/>
        <v>PASS</v>
      </c>
      <c r="N1900" s="10" t="str">
        <f t="shared" si="59"/>
        <v>NONE</v>
      </c>
    </row>
    <row r="1901" spans="1:14">
      <c r="A1901" s="4" t="s">
        <v>3818</v>
      </c>
      <c r="B1901" s="4" t="s">
        <v>3819</v>
      </c>
      <c r="C1901" s="4" t="s">
        <v>12</v>
      </c>
      <c r="D1901" s="4" t="s">
        <v>64</v>
      </c>
      <c r="E1901" s="5">
        <v>82.942499999999995</v>
      </c>
      <c r="F1901" s="5">
        <v>84.257199999999997</v>
      </c>
      <c r="G1901" s="5">
        <v>84.034000000000006</v>
      </c>
      <c r="H1901" s="4">
        <v>0</v>
      </c>
      <c r="I1901" s="6">
        <v>1759827</v>
      </c>
      <c r="J1901" s="7">
        <v>37.75</v>
      </c>
      <c r="K1901" s="9">
        <f>(PricingDataTable[[#This Row],[Current Price ($)]]-PricingDataTable[[#This Row],[Prior Price ($)]])/PricingDataTable[[#This Row],[Prior Price ($)]]</f>
        <v>1.5850739970461488E-2</v>
      </c>
      <c r="L1901" s="9">
        <f>(PricingDataTable[[#This Row],[Vendor Price ($)]]-PricingDataTable[[#This Row],[Current Price ($)]])/PricingDataTable[[#This Row],[Current Price ($)]]</f>
        <v>-2.6490317741390814E-3</v>
      </c>
      <c r="M1901" t="str">
        <f t="shared" si="58"/>
        <v>PASS</v>
      </c>
      <c r="N1901" s="10" t="str">
        <f t="shared" si="59"/>
        <v>NONE</v>
      </c>
    </row>
    <row r="1902" spans="1:14">
      <c r="A1902" s="4" t="s">
        <v>3820</v>
      </c>
      <c r="B1902" s="4" t="s">
        <v>3821</v>
      </c>
      <c r="C1902" s="4" t="s">
        <v>19</v>
      </c>
      <c r="D1902" s="4" t="s">
        <v>13</v>
      </c>
      <c r="E1902" s="5">
        <v>109.92489999999999</v>
      </c>
      <c r="F1902" s="5">
        <v>111.2166</v>
      </c>
      <c r="G1902" s="5">
        <v>111.09229999999999</v>
      </c>
      <c r="H1902" s="4">
        <v>0</v>
      </c>
      <c r="I1902" s="6">
        <v>2718470</v>
      </c>
      <c r="J1902" s="7">
        <v>721.58</v>
      </c>
      <c r="K1902" s="9">
        <f>(PricingDataTable[[#This Row],[Current Price ($)]]-PricingDataTable[[#This Row],[Prior Price ($)]])/PricingDataTable[[#This Row],[Prior Price ($)]]</f>
        <v>1.1750749830111339E-2</v>
      </c>
      <c r="L1902" s="9">
        <f>(PricingDataTable[[#This Row],[Vendor Price ($)]]-PricingDataTable[[#This Row],[Current Price ($)]])/PricingDataTable[[#This Row],[Current Price ($)]]</f>
        <v>-1.1176389136154602E-3</v>
      </c>
      <c r="M1902" t="str">
        <f t="shared" si="58"/>
        <v>PASS</v>
      </c>
      <c r="N1902" s="10" t="str">
        <f t="shared" si="59"/>
        <v>NONE</v>
      </c>
    </row>
    <row r="1903" spans="1:14">
      <c r="A1903" s="4" t="s">
        <v>3822</v>
      </c>
      <c r="B1903" s="4" t="s">
        <v>3823</v>
      </c>
      <c r="C1903" s="4" t="s">
        <v>35</v>
      </c>
      <c r="D1903" s="4" t="s">
        <v>32</v>
      </c>
      <c r="E1903" s="5">
        <v>104.2667</v>
      </c>
      <c r="F1903" s="5">
        <v>104.9584</v>
      </c>
      <c r="G1903" s="5">
        <v>104.64619999999999</v>
      </c>
      <c r="H1903" s="4">
        <v>0</v>
      </c>
      <c r="I1903" s="6">
        <v>2891822</v>
      </c>
      <c r="J1903" s="7">
        <v>615.37</v>
      </c>
      <c r="K1903" s="9">
        <f>(PricingDataTable[[#This Row],[Current Price ($)]]-PricingDataTable[[#This Row],[Prior Price ($)]])/PricingDataTable[[#This Row],[Prior Price ($)]]</f>
        <v>6.6339492858218142E-3</v>
      </c>
      <c r="L1903" s="9">
        <f>(PricingDataTable[[#This Row],[Vendor Price ($)]]-PricingDataTable[[#This Row],[Current Price ($)]])/PricingDataTable[[#This Row],[Current Price ($)]]</f>
        <v>-2.9745118065824579E-3</v>
      </c>
      <c r="M1903" t="str">
        <f t="shared" si="58"/>
        <v>PASS</v>
      </c>
      <c r="N1903" s="10" t="str">
        <f t="shared" si="59"/>
        <v>NONE</v>
      </c>
    </row>
    <row r="1904" spans="1:14">
      <c r="A1904" s="4" t="s">
        <v>3824</v>
      </c>
      <c r="B1904" s="4" t="s">
        <v>3825</v>
      </c>
      <c r="C1904" s="4" t="s">
        <v>12</v>
      </c>
      <c r="D1904" s="4" t="s">
        <v>13</v>
      </c>
      <c r="E1904" s="5">
        <v>100.1473</v>
      </c>
      <c r="F1904" s="5">
        <v>99.456500000000005</v>
      </c>
      <c r="G1904" s="5">
        <v>99.29</v>
      </c>
      <c r="H1904" s="4">
        <v>0</v>
      </c>
      <c r="I1904" s="6">
        <v>2443197</v>
      </c>
      <c r="J1904" s="7">
        <v>873.67</v>
      </c>
      <c r="K1904" s="9">
        <f>(PricingDataTable[[#This Row],[Current Price ($)]]-PricingDataTable[[#This Row],[Prior Price ($)]])/PricingDataTable[[#This Row],[Prior Price ($)]]</f>
        <v>-6.8978394824423207E-3</v>
      </c>
      <c r="L1904" s="9">
        <f>(PricingDataTable[[#This Row],[Vendor Price ($)]]-PricingDataTable[[#This Row],[Current Price ($)]])/PricingDataTable[[#This Row],[Current Price ($)]]</f>
        <v>-1.6740987265789484E-3</v>
      </c>
      <c r="M1904" t="str">
        <f t="shared" si="58"/>
        <v>PASS</v>
      </c>
      <c r="N1904" s="10" t="str">
        <f t="shared" si="59"/>
        <v>NONE</v>
      </c>
    </row>
    <row r="1905" spans="1:14">
      <c r="A1905" s="4" t="s">
        <v>3826</v>
      </c>
      <c r="B1905" s="4" t="s">
        <v>3827</v>
      </c>
      <c r="C1905" s="4" t="s">
        <v>16</v>
      </c>
      <c r="D1905" s="4" t="s">
        <v>13</v>
      </c>
      <c r="E1905" s="5">
        <v>81.015000000000001</v>
      </c>
      <c r="F1905" s="5">
        <v>81.009500000000003</v>
      </c>
      <c r="G1905" s="5">
        <v>80.887799999999999</v>
      </c>
      <c r="H1905" s="4">
        <v>0</v>
      </c>
      <c r="I1905" s="6">
        <v>2983927</v>
      </c>
      <c r="J1905" s="7">
        <v>708.46</v>
      </c>
      <c r="K1905" s="9">
        <f>(PricingDataTable[[#This Row],[Current Price ($)]]-PricingDataTable[[#This Row],[Prior Price ($)]])/PricingDataTable[[#This Row],[Prior Price ($)]]</f>
        <v>-6.7888662593320242E-5</v>
      </c>
      <c r="L1905" s="9">
        <f>(PricingDataTable[[#This Row],[Vendor Price ($)]]-PricingDataTable[[#This Row],[Current Price ($)]])/PricingDataTable[[#This Row],[Current Price ($)]]</f>
        <v>-1.5022929409514209E-3</v>
      </c>
      <c r="M1905" t="str">
        <f t="shared" si="58"/>
        <v>PASS</v>
      </c>
      <c r="N1905" s="10" t="str">
        <f t="shared" si="59"/>
        <v>NONE</v>
      </c>
    </row>
    <row r="1906" spans="1:14">
      <c r="A1906" s="4" t="s">
        <v>3828</v>
      </c>
      <c r="B1906" s="4" t="s">
        <v>3829</v>
      </c>
      <c r="C1906" s="4" t="s">
        <v>39</v>
      </c>
      <c r="D1906" s="4" t="s">
        <v>13</v>
      </c>
      <c r="E1906" s="5">
        <v>311.25839999999999</v>
      </c>
      <c r="F1906" s="5">
        <v>308.17869999999999</v>
      </c>
      <c r="G1906" s="5">
        <v>307.5369</v>
      </c>
      <c r="H1906" s="4">
        <v>1</v>
      </c>
      <c r="I1906" s="6">
        <v>1733624</v>
      </c>
      <c r="J1906" s="7">
        <v>316</v>
      </c>
      <c r="K1906" s="9">
        <f>(PricingDataTable[[#This Row],[Current Price ($)]]-PricingDataTable[[#This Row],[Prior Price ($)]])/PricingDataTable[[#This Row],[Prior Price ($)]]</f>
        <v>-9.894351445615613E-3</v>
      </c>
      <c r="L1906" s="9">
        <f>(PricingDataTable[[#This Row],[Vendor Price ($)]]-PricingDataTable[[#This Row],[Current Price ($)]])/PricingDataTable[[#This Row],[Current Price ($)]]</f>
        <v>-2.0825579444653029E-3</v>
      </c>
      <c r="M1906" t="str">
        <f t="shared" si="58"/>
        <v>PASS</v>
      </c>
      <c r="N1906" s="10" t="str">
        <f t="shared" si="59"/>
        <v>NONE</v>
      </c>
    </row>
    <row r="1907" spans="1:14">
      <c r="A1907" s="4" t="s">
        <v>3830</v>
      </c>
      <c r="B1907" s="4" t="s">
        <v>3831</v>
      </c>
      <c r="C1907" s="4" t="s">
        <v>19</v>
      </c>
      <c r="D1907" s="4" t="s">
        <v>13</v>
      </c>
      <c r="E1907" s="5">
        <v>276.22489999999999</v>
      </c>
      <c r="F1907" s="5">
        <v>276.95589999999999</v>
      </c>
      <c r="G1907" s="5">
        <v>276.65530000000001</v>
      </c>
      <c r="H1907" s="4">
        <v>0</v>
      </c>
      <c r="I1907" s="6">
        <v>1213854</v>
      </c>
      <c r="J1907" s="7">
        <v>113.8</v>
      </c>
      <c r="K1907" s="9">
        <f>(PricingDataTable[[#This Row],[Current Price ($)]]-PricingDataTable[[#This Row],[Prior Price ($)]])/PricingDataTable[[#This Row],[Prior Price ($)]]</f>
        <v>2.6463942968211578E-3</v>
      </c>
      <c r="L1907" s="9">
        <f>(PricingDataTable[[#This Row],[Vendor Price ($)]]-PricingDataTable[[#This Row],[Current Price ($)]])/PricingDataTable[[#This Row],[Current Price ($)]]</f>
        <v>-1.0853713533453321E-3</v>
      </c>
      <c r="M1907" t="str">
        <f t="shared" si="58"/>
        <v>PASS</v>
      </c>
      <c r="N1907" s="10" t="str">
        <f t="shared" si="59"/>
        <v>NONE</v>
      </c>
    </row>
    <row r="1908" spans="1:14">
      <c r="A1908" s="4" t="s">
        <v>3832</v>
      </c>
      <c r="B1908" s="4" t="s">
        <v>3833</v>
      </c>
      <c r="C1908" s="4" t="s">
        <v>39</v>
      </c>
      <c r="D1908" s="4" t="s">
        <v>13</v>
      </c>
      <c r="E1908" s="5">
        <v>272.12430000000001</v>
      </c>
      <c r="F1908" s="5">
        <v>269.10770000000002</v>
      </c>
      <c r="G1908" s="5">
        <v>268.56439999999998</v>
      </c>
      <c r="H1908" s="4">
        <v>0</v>
      </c>
      <c r="I1908" s="6">
        <v>414681</v>
      </c>
      <c r="J1908" s="7">
        <v>859.43</v>
      </c>
      <c r="K1908" s="9">
        <f>(PricingDataTable[[#This Row],[Current Price ($)]]-PricingDataTable[[#This Row],[Prior Price ($)]])/PricingDataTable[[#This Row],[Prior Price ($)]]</f>
        <v>-1.1085375322968154E-2</v>
      </c>
      <c r="L1908" s="9">
        <f>(PricingDataTable[[#This Row],[Vendor Price ($)]]-PricingDataTable[[#This Row],[Current Price ($)]])/PricingDataTable[[#This Row],[Current Price ($)]]</f>
        <v>-2.0188942939947268E-3</v>
      </c>
      <c r="M1908" t="str">
        <f t="shared" si="58"/>
        <v>PASS</v>
      </c>
      <c r="N1908" s="10" t="str">
        <f t="shared" si="59"/>
        <v>NONE</v>
      </c>
    </row>
    <row r="1909" spans="1:14">
      <c r="A1909" s="4" t="s">
        <v>3834</v>
      </c>
      <c r="B1909" s="4" t="s">
        <v>3835</v>
      </c>
      <c r="C1909" s="4" t="s">
        <v>35</v>
      </c>
      <c r="D1909" s="4" t="s">
        <v>13</v>
      </c>
      <c r="E1909" s="5">
        <v>143.26679999999999</v>
      </c>
      <c r="F1909" s="5">
        <v>172.10939999999999</v>
      </c>
      <c r="G1909" s="5">
        <v>172.52109999999999</v>
      </c>
      <c r="H1909" s="4">
        <v>0</v>
      </c>
      <c r="I1909" s="6">
        <v>3358499</v>
      </c>
      <c r="J1909" s="7">
        <v>888.09</v>
      </c>
      <c r="K1909" s="9">
        <f>(PricingDataTable[[#This Row],[Current Price ($)]]-PricingDataTable[[#This Row],[Prior Price ($)]])/PricingDataTable[[#This Row],[Prior Price ($)]]</f>
        <v>0.20132089220950009</v>
      </c>
      <c r="L1909" s="9">
        <f>(PricingDataTable[[#This Row],[Vendor Price ($)]]-PricingDataTable[[#This Row],[Current Price ($)]])/PricingDataTable[[#This Row],[Current Price ($)]]</f>
        <v>2.3920831750037837E-3</v>
      </c>
      <c r="M1909" t="str">
        <f t="shared" si="58"/>
        <v>LARGE MOVE</v>
      </c>
      <c r="N1909" s="10" t="str">
        <f t="shared" si="59"/>
        <v>HIGH</v>
      </c>
    </row>
    <row r="1910" spans="1:14">
      <c r="A1910" s="4" t="s">
        <v>3836</v>
      </c>
      <c r="B1910" s="4" t="s">
        <v>3837</v>
      </c>
      <c r="C1910" s="4" t="s">
        <v>35</v>
      </c>
      <c r="D1910" s="4" t="s">
        <v>13</v>
      </c>
      <c r="E1910" s="5">
        <v>50.5167</v>
      </c>
      <c r="F1910" s="5">
        <v>50.924999999999997</v>
      </c>
      <c r="G1910" s="5">
        <v>50.829300000000003</v>
      </c>
      <c r="H1910" s="4">
        <v>0</v>
      </c>
      <c r="I1910" s="6">
        <v>2243471</v>
      </c>
      <c r="J1910" s="7">
        <v>838.27</v>
      </c>
      <c r="K1910" s="9">
        <f>(PricingDataTable[[#This Row],[Current Price ($)]]-PricingDataTable[[#This Row],[Prior Price ($)]])/PricingDataTable[[#This Row],[Prior Price ($)]]</f>
        <v>8.082475696155866E-3</v>
      </c>
      <c r="L1910" s="9">
        <f>(PricingDataTable[[#This Row],[Vendor Price ($)]]-PricingDataTable[[#This Row],[Current Price ($)]])/PricingDataTable[[#This Row],[Current Price ($)]]</f>
        <v>-1.8792341678938377E-3</v>
      </c>
      <c r="M1910" t="str">
        <f t="shared" si="58"/>
        <v>PASS</v>
      </c>
      <c r="N1910" s="10" t="str">
        <f t="shared" si="59"/>
        <v>NONE</v>
      </c>
    </row>
    <row r="1911" spans="1:14">
      <c r="A1911" s="4" t="s">
        <v>3838</v>
      </c>
      <c r="B1911" s="4" t="s">
        <v>3839</v>
      </c>
      <c r="C1911" s="4" t="s">
        <v>16</v>
      </c>
      <c r="D1911" s="4" t="s">
        <v>13</v>
      </c>
      <c r="E1911" s="5">
        <v>91.637900000000002</v>
      </c>
      <c r="F1911" s="5">
        <v>92.318200000000004</v>
      </c>
      <c r="G1911" s="5">
        <v>92.9251</v>
      </c>
      <c r="H1911" s="4">
        <v>0</v>
      </c>
      <c r="I1911" s="6">
        <v>4452965</v>
      </c>
      <c r="J1911" s="7">
        <v>738.95</v>
      </c>
      <c r="K1911" s="9">
        <f>(PricingDataTable[[#This Row],[Current Price ($)]]-PricingDataTable[[#This Row],[Prior Price ($)]])/PricingDataTable[[#This Row],[Prior Price ($)]]</f>
        <v>7.4237842639344916E-3</v>
      </c>
      <c r="L1911" s="9">
        <f>(PricingDataTable[[#This Row],[Vendor Price ($)]]-PricingDataTable[[#This Row],[Current Price ($)]])/PricingDataTable[[#This Row],[Current Price ($)]]</f>
        <v>6.5740016594777193E-3</v>
      </c>
      <c r="M1911" t="str">
        <f t="shared" si="58"/>
        <v>PASS</v>
      </c>
      <c r="N1911" s="10" t="str">
        <f t="shared" si="59"/>
        <v>NONE</v>
      </c>
    </row>
    <row r="1912" spans="1:14">
      <c r="A1912" s="4" t="s">
        <v>3840</v>
      </c>
      <c r="B1912" s="4" t="s">
        <v>3841</v>
      </c>
      <c r="C1912" s="4" t="s">
        <v>16</v>
      </c>
      <c r="D1912" s="4" t="s">
        <v>13</v>
      </c>
      <c r="E1912" s="5">
        <v>109.14</v>
      </c>
      <c r="F1912" s="5">
        <v>109.5478</v>
      </c>
      <c r="G1912" s="5">
        <v>109.2521</v>
      </c>
      <c r="H1912" s="4">
        <v>2</v>
      </c>
      <c r="I1912" s="6">
        <v>1825589</v>
      </c>
      <c r="J1912" s="7">
        <v>501.46</v>
      </c>
      <c r="K1912" s="9">
        <f>(PricingDataTable[[#This Row],[Current Price ($)]]-PricingDataTable[[#This Row],[Prior Price ($)]])/PricingDataTable[[#This Row],[Prior Price ($)]]</f>
        <v>3.73648524830488E-3</v>
      </c>
      <c r="L1912" s="9">
        <f>(PricingDataTable[[#This Row],[Vendor Price ($)]]-PricingDataTable[[#This Row],[Current Price ($)]])/PricingDataTable[[#This Row],[Current Price ($)]]</f>
        <v>-2.6992783059084395E-3</v>
      </c>
      <c r="M1912" t="str">
        <f t="shared" si="58"/>
        <v>PASS</v>
      </c>
      <c r="N1912" s="10" t="str">
        <f t="shared" si="59"/>
        <v>NONE</v>
      </c>
    </row>
    <row r="1913" spans="1:14">
      <c r="A1913" s="4" t="s">
        <v>3842</v>
      </c>
      <c r="B1913" s="4" t="s">
        <v>3843</v>
      </c>
      <c r="C1913" s="4" t="s">
        <v>16</v>
      </c>
      <c r="D1913" s="4" t="s">
        <v>64</v>
      </c>
      <c r="E1913" s="5">
        <v>102.4511</v>
      </c>
      <c r="F1913" s="5">
        <v>103.063</v>
      </c>
      <c r="G1913" s="5">
        <v>103.1598</v>
      </c>
      <c r="H1913" s="4">
        <v>3</v>
      </c>
      <c r="I1913" s="6">
        <v>4295954</v>
      </c>
      <c r="J1913" s="7">
        <v>240.44</v>
      </c>
      <c r="K1913" s="9">
        <f>(PricingDataTable[[#This Row],[Current Price ($)]]-PricingDataTable[[#This Row],[Prior Price ($)]])/PricingDataTable[[#This Row],[Prior Price ($)]]</f>
        <v>5.9726054673888878E-3</v>
      </c>
      <c r="L1913" s="9">
        <f>(PricingDataTable[[#This Row],[Vendor Price ($)]]-PricingDataTable[[#This Row],[Current Price ($)]])/PricingDataTable[[#This Row],[Current Price ($)]]</f>
        <v>9.3923134393528011E-4</v>
      </c>
      <c r="M1913" t="str">
        <f t="shared" si="58"/>
        <v>STALE</v>
      </c>
      <c r="N1913" s="10" t="str">
        <f t="shared" si="59"/>
        <v>LOW</v>
      </c>
    </row>
    <row r="1914" spans="1:14">
      <c r="A1914" s="4" t="s">
        <v>3844</v>
      </c>
      <c r="B1914" s="4" t="s">
        <v>3845</v>
      </c>
      <c r="C1914" s="4" t="s">
        <v>19</v>
      </c>
      <c r="D1914" s="4" t="s">
        <v>13</v>
      </c>
      <c r="E1914" s="5">
        <v>273.6524</v>
      </c>
      <c r="F1914" s="5">
        <v>277.37349999999998</v>
      </c>
      <c r="G1914" s="5">
        <v>277.50700000000001</v>
      </c>
      <c r="H1914" s="4">
        <v>2</v>
      </c>
      <c r="I1914" s="6">
        <v>4236176</v>
      </c>
      <c r="J1914" s="7">
        <v>58.39</v>
      </c>
      <c r="K1914" s="9">
        <f>(PricingDataTable[[#This Row],[Current Price ($)]]-PricingDataTable[[#This Row],[Prior Price ($)]])/PricingDataTable[[#This Row],[Prior Price ($)]]</f>
        <v>1.3597907418316004E-2</v>
      </c>
      <c r="L1914" s="9">
        <f>(PricingDataTable[[#This Row],[Vendor Price ($)]]-PricingDataTable[[#This Row],[Current Price ($)]])/PricingDataTable[[#This Row],[Current Price ($)]]</f>
        <v>4.8130048472556458E-4</v>
      </c>
      <c r="M1914" t="str">
        <f t="shared" si="58"/>
        <v>PASS</v>
      </c>
      <c r="N1914" s="10" t="str">
        <f t="shared" si="59"/>
        <v>NONE</v>
      </c>
    </row>
    <row r="1915" spans="1:14">
      <c r="A1915" s="4" t="s">
        <v>3846</v>
      </c>
      <c r="B1915" s="4" t="s">
        <v>3847</v>
      </c>
      <c r="C1915" s="4" t="s">
        <v>16</v>
      </c>
      <c r="D1915" s="4" t="s">
        <v>13</v>
      </c>
      <c r="E1915" s="5">
        <v>108.8793</v>
      </c>
      <c r="F1915" s="5">
        <v>108.779</v>
      </c>
      <c r="G1915" s="5">
        <v>108.9234</v>
      </c>
      <c r="H1915" s="4">
        <v>0</v>
      </c>
      <c r="I1915" s="6">
        <v>2312838</v>
      </c>
      <c r="J1915" s="7">
        <v>558</v>
      </c>
      <c r="K1915" s="9">
        <f>(PricingDataTable[[#This Row],[Current Price ($)]]-PricingDataTable[[#This Row],[Prior Price ($)]])/PricingDataTable[[#This Row],[Prior Price ($)]]</f>
        <v>-9.2120357129412366E-4</v>
      </c>
      <c r="L1915" s="9">
        <f>(PricingDataTable[[#This Row],[Vendor Price ($)]]-PricingDataTable[[#This Row],[Current Price ($)]])/PricingDataTable[[#This Row],[Current Price ($)]]</f>
        <v>1.3274621020601819E-3</v>
      </c>
      <c r="M1915" t="str">
        <f t="shared" si="58"/>
        <v>PASS</v>
      </c>
      <c r="N1915" s="10" t="str">
        <f t="shared" si="59"/>
        <v>NONE</v>
      </c>
    </row>
    <row r="1916" spans="1:14">
      <c r="A1916" s="4" t="s">
        <v>3848</v>
      </c>
      <c r="B1916" s="4" t="s">
        <v>3849</v>
      </c>
      <c r="C1916" s="4" t="s">
        <v>39</v>
      </c>
      <c r="D1916" s="4" t="s">
        <v>32</v>
      </c>
      <c r="E1916" s="5">
        <v>184.93340000000001</v>
      </c>
      <c r="F1916" s="5">
        <v>182.9127</v>
      </c>
      <c r="G1916" s="5">
        <v>182.27610000000001</v>
      </c>
      <c r="H1916" s="4">
        <v>0</v>
      </c>
      <c r="I1916" s="6">
        <v>308865</v>
      </c>
      <c r="J1916" s="7">
        <v>433.37</v>
      </c>
      <c r="K1916" s="9">
        <f>(PricingDataTable[[#This Row],[Current Price ($)]]-PricingDataTable[[#This Row],[Prior Price ($)]])/PricingDataTable[[#This Row],[Prior Price ($)]]</f>
        <v>-1.0926636291767766E-2</v>
      </c>
      <c r="L1916" s="9">
        <f>(PricingDataTable[[#This Row],[Vendor Price ($)]]-PricingDataTable[[#This Row],[Current Price ($)]])/PricingDataTable[[#This Row],[Current Price ($)]]</f>
        <v>-3.4803488221429521E-3</v>
      </c>
      <c r="M1916" t="str">
        <f t="shared" si="58"/>
        <v>PASS</v>
      </c>
      <c r="N1916" s="10" t="str">
        <f t="shared" si="59"/>
        <v>NONE</v>
      </c>
    </row>
    <row r="1917" spans="1:14">
      <c r="A1917" s="4" t="s">
        <v>3850</v>
      </c>
      <c r="B1917" s="4" t="s">
        <v>3851</v>
      </c>
      <c r="C1917" s="4" t="s">
        <v>19</v>
      </c>
      <c r="D1917" s="4" t="s">
        <v>13</v>
      </c>
      <c r="E1917" s="5">
        <v>229.8356</v>
      </c>
      <c r="F1917" s="5">
        <v>228.81780000000001</v>
      </c>
      <c r="G1917" s="5">
        <v>227.8717</v>
      </c>
      <c r="H1917" s="4">
        <v>0</v>
      </c>
      <c r="I1917" s="6">
        <v>2821968</v>
      </c>
      <c r="J1917" s="7">
        <v>773.87</v>
      </c>
      <c r="K1917" s="9">
        <f>(PricingDataTable[[#This Row],[Current Price ($)]]-PricingDataTable[[#This Row],[Prior Price ($)]])/PricingDataTable[[#This Row],[Prior Price ($)]]</f>
        <v>-4.4283827222588411E-3</v>
      </c>
      <c r="L1917" s="9">
        <f>(PricingDataTable[[#This Row],[Vendor Price ($)]]-PricingDataTable[[#This Row],[Current Price ($)]])/PricingDataTable[[#This Row],[Current Price ($)]]</f>
        <v>-4.1347307770636778E-3</v>
      </c>
      <c r="M1917" t="str">
        <f t="shared" si="58"/>
        <v>PASS</v>
      </c>
      <c r="N1917" s="10" t="str">
        <f t="shared" si="59"/>
        <v>NONE</v>
      </c>
    </row>
    <row r="1918" spans="1:14">
      <c r="A1918" s="4" t="s">
        <v>3852</v>
      </c>
      <c r="B1918" s="4" t="s">
        <v>3853</v>
      </c>
      <c r="C1918" s="4" t="s">
        <v>35</v>
      </c>
      <c r="D1918" s="4" t="s">
        <v>32</v>
      </c>
      <c r="E1918" s="5">
        <v>149.75219999999999</v>
      </c>
      <c r="F1918" s="5">
        <v>149.5095</v>
      </c>
      <c r="G1918" s="5">
        <v>150.1242</v>
      </c>
      <c r="H1918" s="4">
        <v>3</v>
      </c>
      <c r="I1918" s="6">
        <v>945165</v>
      </c>
      <c r="J1918" s="7">
        <v>311.33</v>
      </c>
      <c r="K1918" s="9">
        <f>(PricingDataTable[[#This Row],[Current Price ($)]]-PricingDataTable[[#This Row],[Prior Price ($)]])/PricingDataTable[[#This Row],[Prior Price ($)]]</f>
        <v>-1.6206773589969633E-3</v>
      </c>
      <c r="L1918" s="9">
        <f>(PricingDataTable[[#This Row],[Vendor Price ($)]]-PricingDataTable[[#This Row],[Current Price ($)]])/PricingDataTable[[#This Row],[Current Price ($)]]</f>
        <v>4.1114444232640676E-3</v>
      </c>
      <c r="M1918" t="str">
        <f t="shared" si="58"/>
        <v>STALE</v>
      </c>
      <c r="N1918" s="10" t="str">
        <f t="shared" si="59"/>
        <v>LOW</v>
      </c>
    </row>
    <row r="1919" spans="1:14">
      <c r="A1919" s="4" t="s">
        <v>3854</v>
      </c>
      <c r="B1919" s="4" t="s">
        <v>3855</v>
      </c>
      <c r="C1919" s="4" t="s">
        <v>16</v>
      </c>
      <c r="D1919" s="4" t="s">
        <v>13</v>
      </c>
      <c r="E1919" s="5">
        <v>77.547700000000006</v>
      </c>
      <c r="F1919" s="5">
        <v>78.003299999999996</v>
      </c>
      <c r="G1919" s="5">
        <v>78.038700000000006</v>
      </c>
      <c r="H1919" s="4">
        <v>0</v>
      </c>
      <c r="I1919" s="6">
        <v>2205783</v>
      </c>
      <c r="J1919" s="7">
        <v>216.5</v>
      </c>
      <c r="K1919" s="9">
        <f>(PricingDataTable[[#This Row],[Current Price ($)]]-PricingDataTable[[#This Row],[Prior Price ($)]])/PricingDataTable[[#This Row],[Prior Price ($)]]</f>
        <v>5.8750936520359691E-3</v>
      </c>
      <c r="L1919" s="9">
        <f>(PricingDataTable[[#This Row],[Vendor Price ($)]]-PricingDataTable[[#This Row],[Current Price ($)]])/PricingDataTable[[#This Row],[Current Price ($)]]</f>
        <v>4.5382695347517181E-4</v>
      </c>
      <c r="M1919" t="str">
        <f t="shared" si="58"/>
        <v>PASS</v>
      </c>
      <c r="N1919" s="10" t="str">
        <f t="shared" si="59"/>
        <v>NONE</v>
      </c>
    </row>
    <row r="1920" spans="1:14">
      <c r="A1920" s="4" t="s">
        <v>3856</v>
      </c>
      <c r="B1920" s="4" t="s">
        <v>3857</v>
      </c>
      <c r="C1920" s="4" t="s">
        <v>12</v>
      </c>
      <c r="D1920" s="4" t="s">
        <v>13</v>
      </c>
      <c r="E1920" s="5">
        <v>83.647400000000005</v>
      </c>
      <c r="F1920" s="5">
        <v>84.703000000000003</v>
      </c>
      <c r="G1920" s="5">
        <v>84.602199999999996</v>
      </c>
      <c r="H1920" s="4">
        <v>0</v>
      </c>
      <c r="I1920" s="6">
        <v>4092946</v>
      </c>
      <c r="J1920" s="7">
        <v>278.26</v>
      </c>
      <c r="K1920" s="9">
        <f>(PricingDataTable[[#This Row],[Current Price ($)]]-PricingDataTable[[#This Row],[Prior Price ($)]])/PricingDataTable[[#This Row],[Prior Price ($)]]</f>
        <v>1.261963910414428E-2</v>
      </c>
      <c r="L1920" s="9">
        <f>(PricingDataTable[[#This Row],[Vendor Price ($)]]-PricingDataTable[[#This Row],[Current Price ($)]])/PricingDataTable[[#This Row],[Current Price ($)]]</f>
        <v>-1.1900404944335697E-3</v>
      </c>
      <c r="M1920" t="str">
        <f t="shared" si="58"/>
        <v>PASS</v>
      </c>
      <c r="N1920" s="10" t="str">
        <f t="shared" si="59"/>
        <v>NONE</v>
      </c>
    </row>
    <row r="1921" spans="1:14">
      <c r="A1921" s="4" t="s">
        <v>3858</v>
      </c>
      <c r="B1921" s="4" t="s">
        <v>3859</v>
      </c>
      <c r="C1921" s="4" t="s">
        <v>19</v>
      </c>
      <c r="D1921" s="4" t="s">
        <v>13</v>
      </c>
      <c r="E1921" s="5">
        <v>167.91679999999999</v>
      </c>
      <c r="F1921" s="5">
        <v>166.63820000000001</v>
      </c>
      <c r="G1921" s="5">
        <v>166.34190000000001</v>
      </c>
      <c r="H1921" s="4">
        <v>0</v>
      </c>
      <c r="I1921" s="6">
        <v>4883782</v>
      </c>
      <c r="J1921" s="7">
        <v>707.22</v>
      </c>
      <c r="K1921" s="9">
        <f>(PricingDataTable[[#This Row],[Current Price ($)]]-PricingDataTable[[#This Row],[Prior Price ($)]])/PricingDataTable[[#This Row],[Prior Price ($)]]</f>
        <v>-7.6144852688949712E-3</v>
      </c>
      <c r="L1921" s="9">
        <f>(PricingDataTable[[#This Row],[Vendor Price ($)]]-PricingDataTable[[#This Row],[Current Price ($)]])/PricingDataTable[[#This Row],[Current Price ($)]]</f>
        <v>-1.7781037001119923E-3</v>
      </c>
      <c r="M1921" t="str">
        <f t="shared" si="58"/>
        <v>PASS</v>
      </c>
      <c r="N1921" s="10" t="str">
        <f t="shared" si="59"/>
        <v>NONE</v>
      </c>
    </row>
    <row r="1922" spans="1:14">
      <c r="A1922" s="4" t="s">
        <v>3860</v>
      </c>
      <c r="B1922" s="4" t="s">
        <v>3861</v>
      </c>
      <c r="C1922" s="4" t="s">
        <v>39</v>
      </c>
      <c r="D1922" s="4" t="s">
        <v>13</v>
      </c>
      <c r="E1922" s="5">
        <v>174.82730000000001</v>
      </c>
      <c r="F1922" s="5">
        <v>175.68289999999999</v>
      </c>
      <c r="G1922" s="5">
        <v>175.57839999999999</v>
      </c>
      <c r="H1922" s="4">
        <v>1</v>
      </c>
      <c r="I1922" s="6">
        <v>2202937</v>
      </c>
      <c r="J1922" s="7">
        <v>565.34</v>
      </c>
      <c r="K1922" s="9">
        <f>(PricingDataTable[[#This Row],[Current Price ($)]]-PricingDataTable[[#This Row],[Prior Price ($)]])/PricingDataTable[[#This Row],[Prior Price ($)]]</f>
        <v>4.8939725088700745E-3</v>
      </c>
      <c r="L1922" s="9">
        <f>(PricingDataTable[[#This Row],[Vendor Price ($)]]-PricingDataTable[[#This Row],[Current Price ($)]])/PricingDataTable[[#This Row],[Current Price ($)]]</f>
        <v>-5.9482169294792836E-4</v>
      </c>
      <c r="M1922" t="str">
        <f t="shared" ref="M1922:M1985" si="60">IF(OR(F1922="",F1922=0),"MISSING",IF(H1922&gt;=3,"STALE",IF(ABS(K1922)&gt;=5%,"LARGE MOVE",IF(ABS(L1922)&gt;=2%,"VENDOR DIFFERENCE","PASS"))))</f>
        <v>PASS</v>
      </c>
      <c r="N1922" s="10" t="str">
        <f t="shared" ref="N1922:N1985" si="61">IF(M1922="PASS","NONE",IF(M1922="MISSING","HIGH",IF(OR(ABS(K1922)&gt;=10%,ABS(L1922)&gt;=5%),"HIGH",IF(OR(ABS(K1922)&gt;=7%,ABS(L1922)&gt;=3%,H1922&gt;=5),"MEDIUM","LOW"))))</f>
        <v>NONE</v>
      </c>
    </row>
    <row r="1923" spans="1:14">
      <c r="A1923" s="4" t="s">
        <v>3862</v>
      </c>
      <c r="B1923" s="4" t="s">
        <v>3863</v>
      </c>
      <c r="C1923" s="4" t="s">
        <v>16</v>
      </c>
      <c r="D1923" s="4" t="s">
        <v>13</v>
      </c>
      <c r="E1923" s="5">
        <v>112.08320000000001</v>
      </c>
      <c r="F1923" s="5">
        <v>110.1508</v>
      </c>
      <c r="G1923" s="5">
        <v>101.8305</v>
      </c>
      <c r="H1923" s="4">
        <v>0</v>
      </c>
      <c r="I1923" s="6">
        <v>3730477</v>
      </c>
      <c r="J1923" s="7">
        <v>570.30999999999995</v>
      </c>
      <c r="K1923" s="9">
        <f>(PricingDataTable[[#This Row],[Current Price ($)]]-PricingDataTable[[#This Row],[Prior Price ($)]])/PricingDataTable[[#This Row],[Prior Price ($)]]</f>
        <v>-1.7240764003882841E-2</v>
      </c>
      <c r="L1923" s="9">
        <f>(PricingDataTable[[#This Row],[Vendor Price ($)]]-PricingDataTable[[#This Row],[Current Price ($)]])/PricingDataTable[[#This Row],[Current Price ($)]]</f>
        <v>-7.5535538552602463E-2</v>
      </c>
      <c r="M1923" t="str">
        <f t="shared" si="60"/>
        <v>VENDOR DIFFERENCE</v>
      </c>
      <c r="N1923" s="10" t="str">
        <f t="shared" si="61"/>
        <v>HIGH</v>
      </c>
    </row>
    <row r="1924" spans="1:14">
      <c r="A1924" s="4" t="s">
        <v>3864</v>
      </c>
      <c r="B1924" s="4" t="s">
        <v>3865</v>
      </c>
      <c r="C1924" s="4" t="s">
        <v>12</v>
      </c>
      <c r="D1924" s="4" t="s">
        <v>13</v>
      </c>
      <c r="E1924" s="5">
        <v>104.49339999999999</v>
      </c>
      <c r="F1924" s="5">
        <v>104.07250000000001</v>
      </c>
      <c r="G1924" s="5">
        <v>103.5163</v>
      </c>
      <c r="H1924" s="4">
        <v>0</v>
      </c>
      <c r="I1924" s="6">
        <v>2853509</v>
      </c>
      <c r="J1924" s="7">
        <v>895.23</v>
      </c>
      <c r="K1924" s="9">
        <f>(PricingDataTable[[#This Row],[Current Price ($)]]-PricingDataTable[[#This Row],[Prior Price ($)]])/PricingDataTable[[#This Row],[Prior Price ($)]]</f>
        <v>-4.0280055965256079E-3</v>
      </c>
      <c r="L1924" s="9">
        <f>(PricingDataTable[[#This Row],[Vendor Price ($)]]-PricingDataTable[[#This Row],[Current Price ($)]])/PricingDataTable[[#This Row],[Current Price ($)]]</f>
        <v>-5.3443512935694255E-3</v>
      </c>
      <c r="M1924" t="str">
        <f t="shared" si="60"/>
        <v>PASS</v>
      </c>
      <c r="N1924" s="10" t="str">
        <f t="shared" si="61"/>
        <v>NONE</v>
      </c>
    </row>
    <row r="1925" spans="1:14">
      <c r="A1925" s="4" t="s">
        <v>3866</v>
      </c>
      <c r="B1925" s="4" t="s">
        <v>3867</v>
      </c>
      <c r="C1925" s="4" t="s">
        <v>16</v>
      </c>
      <c r="D1925" s="4" t="s">
        <v>13</v>
      </c>
      <c r="E1925" s="5">
        <v>110.6942</v>
      </c>
      <c r="F1925" s="5">
        <v>117.56950000000001</v>
      </c>
      <c r="G1925" s="5">
        <v>117.6733</v>
      </c>
      <c r="H1925" s="4">
        <v>0</v>
      </c>
      <c r="I1925" s="6">
        <v>330786</v>
      </c>
      <c r="J1925" s="7">
        <v>682.23</v>
      </c>
      <c r="K1925" s="9">
        <f>(PricingDataTable[[#This Row],[Current Price ($)]]-PricingDataTable[[#This Row],[Prior Price ($)]])/PricingDataTable[[#This Row],[Prior Price ($)]]</f>
        <v>6.2110751963517605E-2</v>
      </c>
      <c r="L1925" s="9">
        <f>(PricingDataTable[[#This Row],[Vendor Price ($)]]-PricingDataTable[[#This Row],[Current Price ($)]])/PricingDataTable[[#This Row],[Current Price ($)]]</f>
        <v>8.828820399847967E-4</v>
      </c>
      <c r="M1925" t="str">
        <f t="shared" si="60"/>
        <v>LARGE MOVE</v>
      </c>
      <c r="N1925" s="10" t="str">
        <f t="shared" si="61"/>
        <v>LOW</v>
      </c>
    </row>
    <row r="1926" spans="1:14">
      <c r="A1926" s="4" t="s">
        <v>3868</v>
      </c>
      <c r="B1926" s="4" t="s">
        <v>3869</v>
      </c>
      <c r="C1926" s="4" t="s">
        <v>35</v>
      </c>
      <c r="D1926" s="4" t="s">
        <v>13</v>
      </c>
      <c r="E1926" s="5">
        <v>142.72280000000001</v>
      </c>
      <c r="F1926" s="5">
        <v>142.66759999999999</v>
      </c>
      <c r="G1926" s="5">
        <v>142.7784</v>
      </c>
      <c r="H1926" s="4">
        <v>0</v>
      </c>
      <c r="I1926" s="6">
        <v>821966</v>
      </c>
      <c r="J1926" s="7">
        <v>358.2</v>
      </c>
      <c r="K1926" s="9">
        <f>(PricingDataTable[[#This Row],[Current Price ($)]]-PricingDataTable[[#This Row],[Prior Price ($)]])/PricingDataTable[[#This Row],[Prior Price ($)]]</f>
        <v>-3.8676371259541896E-4</v>
      </c>
      <c r="L1926" s="9">
        <f>(PricingDataTable[[#This Row],[Vendor Price ($)]]-PricingDataTable[[#This Row],[Current Price ($)]])/PricingDataTable[[#This Row],[Current Price ($)]]</f>
        <v>7.7663043325893041E-4</v>
      </c>
      <c r="M1926" t="str">
        <f t="shared" si="60"/>
        <v>PASS</v>
      </c>
      <c r="N1926" s="10" t="str">
        <f t="shared" si="61"/>
        <v>NONE</v>
      </c>
    </row>
    <row r="1927" spans="1:14">
      <c r="A1927" s="4" t="s">
        <v>3870</v>
      </c>
      <c r="B1927" s="4" t="s">
        <v>3871</v>
      </c>
      <c r="C1927" s="4" t="s">
        <v>19</v>
      </c>
      <c r="D1927" s="4" t="s">
        <v>32</v>
      </c>
      <c r="E1927" s="5">
        <v>205.77889999999999</v>
      </c>
      <c r="F1927" s="5">
        <v>206.47620000000001</v>
      </c>
      <c r="G1927" s="5">
        <v>205.57749999999999</v>
      </c>
      <c r="H1927" s="4">
        <v>0</v>
      </c>
      <c r="I1927" s="6">
        <v>1661456</v>
      </c>
      <c r="J1927" s="7">
        <v>711.57</v>
      </c>
      <c r="K1927" s="9">
        <f>(PricingDataTable[[#This Row],[Current Price ($)]]-PricingDataTable[[#This Row],[Prior Price ($)]])/PricingDataTable[[#This Row],[Prior Price ($)]]</f>
        <v>3.3885884315642311E-3</v>
      </c>
      <c r="L1927" s="9">
        <f>(PricingDataTable[[#This Row],[Vendor Price ($)]]-PricingDataTable[[#This Row],[Current Price ($)]])/PricingDataTable[[#This Row],[Current Price ($)]]</f>
        <v>-4.3525597623358982E-3</v>
      </c>
      <c r="M1927" t="str">
        <f t="shared" si="60"/>
        <v>PASS</v>
      </c>
      <c r="N1927" s="10" t="str">
        <f t="shared" si="61"/>
        <v>NONE</v>
      </c>
    </row>
    <row r="1928" spans="1:14">
      <c r="A1928" s="4" t="s">
        <v>3872</v>
      </c>
      <c r="B1928" s="4" t="s">
        <v>3873</v>
      </c>
      <c r="C1928" s="4" t="s">
        <v>16</v>
      </c>
      <c r="D1928" s="4" t="s">
        <v>13</v>
      </c>
      <c r="E1928" s="5">
        <v>92.802300000000002</v>
      </c>
      <c r="F1928" s="5">
        <v>91.679400000000001</v>
      </c>
      <c r="G1928" s="5">
        <v>91.631600000000006</v>
      </c>
      <c r="H1928" s="4">
        <v>0</v>
      </c>
      <c r="I1928" s="6">
        <v>717175</v>
      </c>
      <c r="J1928" s="7">
        <v>870.34</v>
      </c>
      <c r="K1928" s="9">
        <f>(PricingDataTable[[#This Row],[Current Price ($)]]-PricingDataTable[[#This Row],[Prior Price ($)]])/PricingDataTable[[#This Row],[Prior Price ($)]]</f>
        <v>-1.2099915627091153E-2</v>
      </c>
      <c r="L1928" s="9">
        <f>(PricingDataTable[[#This Row],[Vendor Price ($)]]-PricingDataTable[[#This Row],[Current Price ($)]])/PricingDataTable[[#This Row],[Current Price ($)]]</f>
        <v>-5.2138212073808492E-4</v>
      </c>
      <c r="M1928" t="str">
        <f t="shared" si="60"/>
        <v>PASS</v>
      </c>
      <c r="N1928" s="10" t="str">
        <f t="shared" si="61"/>
        <v>NONE</v>
      </c>
    </row>
    <row r="1929" spans="1:14">
      <c r="A1929" s="4" t="s">
        <v>3874</v>
      </c>
      <c r="B1929" s="4" t="s">
        <v>3875</v>
      </c>
      <c r="C1929" s="4" t="s">
        <v>39</v>
      </c>
      <c r="D1929" s="4" t="s">
        <v>32</v>
      </c>
      <c r="E1929" s="5">
        <v>217.33539999999999</v>
      </c>
      <c r="F1929" s="5">
        <v>218.84479999999999</v>
      </c>
      <c r="G1929" s="5">
        <v>219.0367</v>
      </c>
      <c r="H1929" s="4">
        <v>0</v>
      </c>
      <c r="I1929" s="6">
        <v>1902789</v>
      </c>
      <c r="J1929" s="7">
        <v>389.11</v>
      </c>
      <c r="K1929" s="9">
        <f>(PricingDataTable[[#This Row],[Current Price ($)]]-PricingDataTable[[#This Row],[Prior Price ($)]])/PricingDataTable[[#This Row],[Prior Price ($)]]</f>
        <v>6.9450259828817557E-3</v>
      </c>
      <c r="L1929" s="9">
        <f>(PricingDataTable[[#This Row],[Vendor Price ($)]]-PricingDataTable[[#This Row],[Current Price ($)]])/PricingDataTable[[#This Row],[Current Price ($)]]</f>
        <v>8.7687712936292735E-4</v>
      </c>
      <c r="M1929" t="str">
        <f t="shared" si="60"/>
        <v>PASS</v>
      </c>
      <c r="N1929" s="10" t="str">
        <f t="shared" si="61"/>
        <v>NONE</v>
      </c>
    </row>
    <row r="1930" spans="1:14">
      <c r="A1930" s="4" t="s">
        <v>3876</v>
      </c>
      <c r="B1930" s="4" t="s">
        <v>3877</v>
      </c>
      <c r="C1930" s="4" t="s">
        <v>19</v>
      </c>
      <c r="D1930" s="4" t="s">
        <v>13</v>
      </c>
      <c r="E1930" s="5">
        <v>256.69560000000001</v>
      </c>
      <c r="F1930" s="5">
        <v>252.17529999999999</v>
      </c>
      <c r="G1930" s="5">
        <v>252.8408</v>
      </c>
      <c r="H1930" s="4">
        <v>0</v>
      </c>
      <c r="I1930" s="6">
        <v>93307</v>
      </c>
      <c r="J1930" s="7">
        <v>597.84</v>
      </c>
      <c r="K1930" s="9">
        <f>(PricingDataTable[[#This Row],[Current Price ($)]]-PricingDataTable[[#This Row],[Prior Price ($)]])/PricingDataTable[[#This Row],[Prior Price ($)]]</f>
        <v>-1.7609573362379487E-2</v>
      </c>
      <c r="L1930" s="9">
        <f>(PricingDataTable[[#This Row],[Vendor Price ($)]]-PricingDataTable[[#This Row],[Current Price ($)]])/PricingDataTable[[#This Row],[Current Price ($)]]</f>
        <v>2.6390372094333135E-3</v>
      </c>
      <c r="M1930" t="str">
        <f t="shared" si="60"/>
        <v>PASS</v>
      </c>
      <c r="N1930" s="10" t="str">
        <f t="shared" si="61"/>
        <v>NONE</v>
      </c>
    </row>
    <row r="1931" spans="1:14">
      <c r="A1931" s="4" t="s">
        <v>3878</v>
      </c>
      <c r="B1931" s="4" t="s">
        <v>3879</v>
      </c>
      <c r="C1931" s="4" t="s">
        <v>39</v>
      </c>
      <c r="D1931" s="4" t="s">
        <v>32</v>
      </c>
      <c r="E1931" s="5">
        <v>157.43790000000001</v>
      </c>
      <c r="F1931" s="5">
        <v>155.15119999999999</v>
      </c>
      <c r="G1931" s="5">
        <v>155.79220000000001</v>
      </c>
      <c r="H1931" s="4">
        <v>0</v>
      </c>
      <c r="I1931" s="6">
        <v>3482948</v>
      </c>
      <c r="J1931" s="7">
        <v>213.71</v>
      </c>
      <c r="K1931" s="9">
        <f>(PricingDataTable[[#This Row],[Current Price ($)]]-PricingDataTable[[#This Row],[Prior Price ($)]])/PricingDataTable[[#This Row],[Prior Price ($)]]</f>
        <v>-1.4524456944611332E-2</v>
      </c>
      <c r="L1931" s="9">
        <f>(PricingDataTable[[#This Row],[Vendor Price ($)]]-PricingDataTable[[#This Row],[Current Price ($)]])/PricingDataTable[[#This Row],[Current Price ($)]]</f>
        <v>4.1314537045154635E-3</v>
      </c>
      <c r="M1931" t="str">
        <f t="shared" si="60"/>
        <v>PASS</v>
      </c>
      <c r="N1931" s="10" t="str">
        <f t="shared" si="61"/>
        <v>NONE</v>
      </c>
    </row>
    <row r="1932" spans="1:14">
      <c r="A1932" s="4" t="s">
        <v>3880</v>
      </c>
      <c r="B1932" s="4" t="s">
        <v>3881</v>
      </c>
      <c r="C1932" s="4" t="s">
        <v>39</v>
      </c>
      <c r="D1932" s="4" t="s">
        <v>36</v>
      </c>
      <c r="E1932" s="5">
        <v>249.9794</v>
      </c>
      <c r="F1932" s="5">
        <v>250.4906</v>
      </c>
      <c r="G1932" s="5">
        <v>250.0958</v>
      </c>
      <c r="H1932" s="4">
        <v>0</v>
      </c>
      <c r="I1932" s="6">
        <v>1060110</v>
      </c>
      <c r="J1932" s="7">
        <v>605.05999999999995</v>
      </c>
      <c r="K1932" s="9">
        <f>(PricingDataTable[[#This Row],[Current Price ($)]]-PricingDataTable[[#This Row],[Prior Price ($)]])/PricingDataTable[[#This Row],[Prior Price ($)]]</f>
        <v>2.0449685054048546E-3</v>
      </c>
      <c r="L1932" s="9">
        <f>(PricingDataTable[[#This Row],[Vendor Price ($)]]-PricingDataTable[[#This Row],[Current Price ($)]])/PricingDataTable[[#This Row],[Current Price ($)]]</f>
        <v>-1.5761070475299416E-3</v>
      </c>
      <c r="M1932" t="str">
        <f t="shared" si="60"/>
        <v>PASS</v>
      </c>
      <c r="N1932" s="10" t="str">
        <f t="shared" si="61"/>
        <v>NONE</v>
      </c>
    </row>
    <row r="1933" spans="1:14">
      <c r="A1933" s="4" t="s">
        <v>3882</v>
      </c>
      <c r="B1933" s="4" t="s">
        <v>3883</v>
      </c>
      <c r="C1933" s="4" t="s">
        <v>19</v>
      </c>
      <c r="D1933" s="4" t="s">
        <v>13</v>
      </c>
      <c r="E1933" s="5">
        <v>64.905799999999999</v>
      </c>
      <c r="F1933" s="5">
        <v>65.848799999999997</v>
      </c>
      <c r="G1933" s="5">
        <v>65.583399999999997</v>
      </c>
      <c r="H1933" s="4">
        <v>0</v>
      </c>
      <c r="I1933" s="6">
        <v>1232000</v>
      </c>
      <c r="J1933" s="7">
        <v>758.64</v>
      </c>
      <c r="K1933" s="9">
        <f>(PricingDataTable[[#This Row],[Current Price ($)]]-PricingDataTable[[#This Row],[Prior Price ($)]])/PricingDataTable[[#This Row],[Prior Price ($)]]</f>
        <v>1.4528747816065711E-2</v>
      </c>
      <c r="L1933" s="9">
        <f>(PricingDataTable[[#This Row],[Vendor Price ($)]]-PricingDataTable[[#This Row],[Current Price ($)]])/PricingDataTable[[#This Row],[Current Price ($)]]</f>
        <v>-4.0304455054609905E-3</v>
      </c>
      <c r="M1933" t="str">
        <f t="shared" si="60"/>
        <v>PASS</v>
      </c>
      <c r="N1933" s="10" t="str">
        <f t="shared" si="61"/>
        <v>NONE</v>
      </c>
    </row>
    <row r="1934" spans="1:14">
      <c r="A1934" s="4" t="s">
        <v>3884</v>
      </c>
      <c r="B1934" s="4" t="s">
        <v>3885</v>
      </c>
      <c r="C1934" s="4" t="s">
        <v>16</v>
      </c>
      <c r="D1934" s="4" t="s">
        <v>32</v>
      </c>
      <c r="E1934" s="5">
        <v>90.923699999999997</v>
      </c>
      <c r="F1934" s="5">
        <v>92.420900000000003</v>
      </c>
      <c r="G1934" s="5">
        <v>92.332700000000003</v>
      </c>
      <c r="H1934" s="4">
        <v>1</v>
      </c>
      <c r="I1934" s="6">
        <v>2660403</v>
      </c>
      <c r="J1934" s="7">
        <v>252.29</v>
      </c>
      <c r="K1934" s="9">
        <f>(PricingDataTable[[#This Row],[Current Price ($)]]-PricingDataTable[[#This Row],[Prior Price ($)]])/PricingDataTable[[#This Row],[Prior Price ($)]]</f>
        <v>1.6466553824800428E-2</v>
      </c>
      <c r="L1934" s="9">
        <f>(PricingDataTable[[#This Row],[Vendor Price ($)]]-PricingDataTable[[#This Row],[Current Price ($)]])/PricingDataTable[[#This Row],[Current Price ($)]]</f>
        <v>-9.5432959428008702E-4</v>
      </c>
      <c r="M1934" t="str">
        <f t="shared" si="60"/>
        <v>PASS</v>
      </c>
      <c r="N1934" s="10" t="str">
        <f t="shared" si="61"/>
        <v>NONE</v>
      </c>
    </row>
    <row r="1935" spans="1:14">
      <c r="A1935" s="4" t="s">
        <v>3886</v>
      </c>
      <c r="B1935" s="4" t="s">
        <v>3887</v>
      </c>
      <c r="C1935" s="4" t="s">
        <v>16</v>
      </c>
      <c r="D1935" s="4" t="s">
        <v>32</v>
      </c>
      <c r="E1935" s="5">
        <v>109.3766</v>
      </c>
      <c r="F1935" s="5">
        <v>108.2492</v>
      </c>
      <c r="G1935" s="5">
        <v>107.7726</v>
      </c>
      <c r="H1935" s="4">
        <v>0</v>
      </c>
      <c r="I1935" s="6">
        <v>154430</v>
      </c>
      <c r="J1935" s="7">
        <v>618.5</v>
      </c>
      <c r="K1935" s="9">
        <f>(PricingDataTable[[#This Row],[Current Price ($)]]-PricingDataTable[[#This Row],[Prior Price ($)]])/PricingDataTable[[#This Row],[Prior Price ($)]]</f>
        <v>-1.0307506358764073E-2</v>
      </c>
      <c r="L1935" s="9">
        <f>(PricingDataTable[[#This Row],[Vendor Price ($)]]-PricingDataTable[[#This Row],[Current Price ($)]])/PricingDataTable[[#This Row],[Current Price ($)]]</f>
        <v>-4.4028039006293327E-3</v>
      </c>
      <c r="M1935" t="str">
        <f t="shared" si="60"/>
        <v>PASS</v>
      </c>
      <c r="N1935" s="10" t="str">
        <f t="shared" si="61"/>
        <v>NONE</v>
      </c>
    </row>
    <row r="1936" spans="1:14">
      <c r="A1936" s="4" t="s">
        <v>3888</v>
      </c>
      <c r="B1936" s="4" t="s">
        <v>3889</v>
      </c>
      <c r="C1936" s="4" t="s">
        <v>19</v>
      </c>
      <c r="D1936" s="4" t="s">
        <v>64</v>
      </c>
      <c r="E1936" s="5">
        <v>228.06610000000001</v>
      </c>
      <c r="F1936" s="5">
        <v>231.0318</v>
      </c>
      <c r="G1936" s="5">
        <v>231.57939999999999</v>
      </c>
      <c r="H1936" s="4">
        <v>0</v>
      </c>
      <c r="I1936" s="6">
        <v>2345266</v>
      </c>
      <c r="J1936" s="7">
        <v>775.79</v>
      </c>
      <c r="K1936" s="9">
        <f>(PricingDataTable[[#This Row],[Current Price ($)]]-PricingDataTable[[#This Row],[Prior Price ($)]])/PricingDataTable[[#This Row],[Prior Price ($)]]</f>
        <v>1.3003686212023611E-2</v>
      </c>
      <c r="L1936" s="9">
        <f>(PricingDataTable[[#This Row],[Vendor Price ($)]]-PricingDataTable[[#This Row],[Current Price ($)]])/PricingDataTable[[#This Row],[Current Price ($)]]</f>
        <v>2.3702364782683099E-3</v>
      </c>
      <c r="M1936" t="str">
        <f t="shared" si="60"/>
        <v>PASS</v>
      </c>
      <c r="N1936" s="10" t="str">
        <f t="shared" si="61"/>
        <v>NONE</v>
      </c>
    </row>
    <row r="1937" spans="1:14">
      <c r="A1937" s="4" t="s">
        <v>3890</v>
      </c>
      <c r="B1937" s="4" t="s">
        <v>3891</v>
      </c>
      <c r="C1937" s="4" t="s">
        <v>16</v>
      </c>
      <c r="D1937" s="4" t="s">
        <v>13</v>
      </c>
      <c r="E1937" s="5">
        <v>76.395099999999999</v>
      </c>
      <c r="F1937" s="5">
        <v>77.599900000000005</v>
      </c>
      <c r="G1937" s="5">
        <v>77.754599999999996</v>
      </c>
      <c r="H1937" s="4">
        <v>0</v>
      </c>
      <c r="I1937" s="6">
        <v>1549403</v>
      </c>
      <c r="J1937" s="7">
        <v>398.74</v>
      </c>
      <c r="K1937" s="9">
        <f>(PricingDataTable[[#This Row],[Current Price ($)]]-PricingDataTable[[#This Row],[Prior Price ($)]])/PricingDataTable[[#This Row],[Prior Price ($)]]</f>
        <v>1.5770644975921306E-2</v>
      </c>
      <c r="L1937" s="9">
        <f>(PricingDataTable[[#This Row],[Vendor Price ($)]]-PricingDataTable[[#This Row],[Current Price ($)]])/PricingDataTable[[#This Row],[Current Price ($)]]</f>
        <v>1.9935592700504917E-3</v>
      </c>
      <c r="M1937" t="str">
        <f t="shared" si="60"/>
        <v>PASS</v>
      </c>
      <c r="N1937" s="10" t="str">
        <f t="shared" si="61"/>
        <v>NONE</v>
      </c>
    </row>
    <row r="1938" spans="1:14">
      <c r="A1938" s="4" t="s">
        <v>3892</v>
      </c>
      <c r="B1938" s="4" t="s">
        <v>3893</v>
      </c>
      <c r="C1938" s="4" t="s">
        <v>35</v>
      </c>
      <c r="D1938" s="4" t="s">
        <v>13</v>
      </c>
      <c r="E1938" s="5">
        <v>2.2883</v>
      </c>
      <c r="F1938" s="5">
        <v>2.2410000000000001</v>
      </c>
      <c r="G1938" s="5">
        <v>2.2423000000000002</v>
      </c>
      <c r="H1938" s="4">
        <v>0</v>
      </c>
      <c r="I1938" s="6">
        <v>3539213</v>
      </c>
      <c r="J1938" s="7">
        <v>595.33000000000004</v>
      </c>
      <c r="K1938" s="9">
        <f>(PricingDataTable[[#This Row],[Current Price ($)]]-PricingDataTable[[#This Row],[Prior Price ($)]])/PricingDataTable[[#This Row],[Prior Price ($)]]</f>
        <v>-2.0670366647729713E-2</v>
      </c>
      <c r="L1938" s="9">
        <f>(PricingDataTable[[#This Row],[Vendor Price ($)]]-PricingDataTable[[#This Row],[Current Price ($)]])/PricingDataTable[[#This Row],[Current Price ($)]]</f>
        <v>5.8009817045965141E-4</v>
      </c>
      <c r="M1938" t="str">
        <f t="shared" si="60"/>
        <v>PASS</v>
      </c>
      <c r="N1938" s="10" t="str">
        <f t="shared" si="61"/>
        <v>NONE</v>
      </c>
    </row>
    <row r="1939" spans="1:14">
      <c r="A1939" s="4" t="s">
        <v>3894</v>
      </c>
      <c r="B1939" s="4" t="s">
        <v>3895</v>
      </c>
      <c r="C1939" s="4" t="s">
        <v>19</v>
      </c>
      <c r="D1939" s="4" t="s">
        <v>13</v>
      </c>
      <c r="E1939" s="5">
        <v>273.214</v>
      </c>
      <c r="F1939" s="5">
        <v>269.35359999999997</v>
      </c>
      <c r="G1939" s="5">
        <v>270.279</v>
      </c>
      <c r="H1939" s="4">
        <v>0</v>
      </c>
      <c r="I1939" s="6">
        <v>3490962</v>
      </c>
      <c r="J1939" s="7">
        <v>167.15</v>
      </c>
      <c r="K1939" s="9">
        <f>(PricingDataTable[[#This Row],[Current Price ($)]]-PricingDataTable[[#This Row],[Prior Price ($)]])/PricingDataTable[[#This Row],[Prior Price ($)]]</f>
        <v>-1.4129583403486011E-2</v>
      </c>
      <c r="L1939" s="9">
        <f>(PricingDataTable[[#This Row],[Vendor Price ($)]]-PricingDataTable[[#This Row],[Current Price ($)]])/PricingDataTable[[#This Row],[Current Price ($)]]</f>
        <v>3.4356325662624324E-3</v>
      </c>
      <c r="M1939" t="str">
        <f t="shared" si="60"/>
        <v>PASS</v>
      </c>
      <c r="N1939" s="10" t="str">
        <f t="shared" si="61"/>
        <v>NONE</v>
      </c>
    </row>
    <row r="1940" spans="1:14">
      <c r="A1940" s="4" t="s">
        <v>3896</v>
      </c>
      <c r="B1940" s="4" t="s">
        <v>3897</v>
      </c>
      <c r="C1940" s="4" t="s">
        <v>19</v>
      </c>
      <c r="D1940" s="4" t="s">
        <v>13</v>
      </c>
      <c r="E1940" s="5">
        <v>187.05500000000001</v>
      </c>
      <c r="F1940" s="5">
        <v>184.18989999999999</v>
      </c>
      <c r="G1940" s="5">
        <v>184.1181</v>
      </c>
      <c r="H1940" s="4">
        <v>0</v>
      </c>
      <c r="I1940" s="6">
        <v>1358572</v>
      </c>
      <c r="J1940" s="7">
        <v>348.53</v>
      </c>
      <c r="K1940" s="9">
        <f>(PricingDataTable[[#This Row],[Current Price ($)]]-PricingDataTable[[#This Row],[Prior Price ($)]])/PricingDataTable[[#This Row],[Prior Price ($)]]</f>
        <v>-1.5316885408035136E-2</v>
      </c>
      <c r="L1940" s="9">
        <f>(PricingDataTable[[#This Row],[Vendor Price ($)]]-PricingDataTable[[#This Row],[Current Price ($)]])/PricingDataTable[[#This Row],[Current Price ($)]]</f>
        <v>-3.8981507672242665E-4</v>
      </c>
      <c r="M1940" t="str">
        <f t="shared" si="60"/>
        <v>PASS</v>
      </c>
      <c r="N1940" s="10" t="str">
        <f t="shared" si="61"/>
        <v>NONE</v>
      </c>
    </row>
    <row r="1941" spans="1:14">
      <c r="A1941" s="4" t="s">
        <v>3898</v>
      </c>
      <c r="B1941" s="4" t="s">
        <v>3899</v>
      </c>
      <c r="C1941" s="4" t="s">
        <v>39</v>
      </c>
      <c r="D1941" s="4" t="s">
        <v>13</v>
      </c>
      <c r="E1941" s="5">
        <v>154.85470000000001</v>
      </c>
      <c r="F1941" s="5">
        <v>154.1112</v>
      </c>
      <c r="G1941" s="5">
        <v>154.69919999999999</v>
      </c>
      <c r="H1941" s="4">
        <v>1</v>
      </c>
      <c r="I1941" s="6">
        <v>172405</v>
      </c>
      <c r="J1941" s="7">
        <v>348.34</v>
      </c>
      <c r="K1941" s="9">
        <f>(PricingDataTable[[#This Row],[Current Price ($)]]-PricingDataTable[[#This Row],[Prior Price ($)]])/PricingDataTable[[#This Row],[Prior Price ($)]]</f>
        <v>-4.801275001662924E-3</v>
      </c>
      <c r="L1941" s="9">
        <f>(PricingDataTable[[#This Row],[Vendor Price ($)]]-PricingDataTable[[#This Row],[Current Price ($)]])/PricingDataTable[[#This Row],[Current Price ($)]]</f>
        <v>3.815426782738658E-3</v>
      </c>
      <c r="M1941" t="str">
        <f t="shared" si="60"/>
        <v>PASS</v>
      </c>
      <c r="N1941" s="10" t="str">
        <f t="shared" si="61"/>
        <v>NONE</v>
      </c>
    </row>
    <row r="1942" spans="1:14">
      <c r="A1942" s="4" t="s">
        <v>3900</v>
      </c>
      <c r="B1942" s="4" t="s">
        <v>3901</v>
      </c>
      <c r="C1942" s="4" t="s">
        <v>19</v>
      </c>
      <c r="D1942" s="4" t="s">
        <v>13</v>
      </c>
      <c r="E1942" s="5">
        <v>250.7021</v>
      </c>
      <c r="F1942" s="5">
        <v>250.1728</v>
      </c>
      <c r="G1942" s="5">
        <v>250.184</v>
      </c>
      <c r="H1942" s="4">
        <v>0</v>
      </c>
      <c r="I1942" s="6">
        <v>3781146</v>
      </c>
      <c r="J1942" s="7">
        <v>614.47</v>
      </c>
      <c r="K1942" s="9">
        <f>(PricingDataTable[[#This Row],[Current Price ($)]]-PricingDataTable[[#This Row],[Prior Price ($)]])/PricingDataTable[[#This Row],[Prior Price ($)]]</f>
        <v>-2.1112707073455161E-3</v>
      </c>
      <c r="L1942" s="9">
        <f>(PricingDataTable[[#This Row],[Vendor Price ($)]]-PricingDataTable[[#This Row],[Current Price ($)]])/PricingDataTable[[#This Row],[Current Price ($)]]</f>
        <v>4.4769055628758677E-5</v>
      </c>
      <c r="M1942" t="str">
        <f t="shared" si="60"/>
        <v>PASS</v>
      </c>
      <c r="N1942" s="10" t="str">
        <f t="shared" si="61"/>
        <v>NONE</v>
      </c>
    </row>
    <row r="1943" spans="1:14">
      <c r="A1943" s="4" t="s">
        <v>3902</v>
      </c>
      <c r="B1943" s="4" t="s">
        <v>3903</v>
      </c>
      <c r="C1943" s="4" t="s">
        <v>19</v>
      </c>
      <c r="D1943" s="4" t="s">
        <v>64</v>
      </c>
      <c r="E1943" s="5">
        <v>199.05940000000001</v>
      </c>
      <c r="F1943" s="5">
        <v>0</v>
      </c>
      <c r="G1943" s="5">
        <v>201.36099999999999</v>
      </c>
      <c r="H1943" s="4">
        <v>0</v>
      </c>
      <c r="I1943" s="6">
        <v>989729</v>
      </c>
      <c r="J1943" s="7">
        <v>864.66</v>
      </c>
      <c r="K1943" s="9">
        <f>(PricingDataTable[[#This Row],[Current Price ($)]]-PricingDataTable[[#This Row],[Prior Price ($)]])/PricingDataTable[[#This Row],[Prior Price ($)]]</f>
        <v>-1</v>
      </c>
      <c r="L1943" s="9" t="e">
        <f>(PricingDataTable[[#This Row],[Vendor Price ($)]]-PricingDataTable[[#This Row],[Current Price ($)]])/PricingDataTable[[#This Row],[Current Price ($)]]</f>
        <v>#DIV/0!</v>
      </c>
      <c r="M1943" t="str">
        <f t="shared" si="60"/>
        <v>MISSING</v>
      </c>
      <c r="N1943" s="10" t="str">
        <f t="shared" si="61"/>
        <v>HIGH</v>
      </c>
    </row>
    <row r="1944" spans="1:14">
      <c r="A1944" s="4" t="s">
        <v>3904</v>
      </c>
      <c r="B1944" s="4" t="s">
        <v>3905</v>
      </c>
      <c r="C1944" s="4" t="s">
        <v>12</v>
      </c>
      <c r="D1944" s="4" t="s">
        <v>13</v>
      </c>
      <c r="E1944" s="5">
        <v>94.898700000000005</v>
      </c>
      <c r="F1944" s="5">
        <v>96.394199999999998</v>
      </c>
      <c r="G1944" s="5">
        <v>96.844800000000006</v>
      </c>
      <c r="H1944" s="4">
        <v>0</v>
      </c>
      <c r="I1944" s="6">
        <v>211419</v>
      </c>
      <c r="J1944" s="7">
        <v>495.45</v>
      </c>
      <c r="K1944" s="9">
        <f>(PricingDataTable[[#This Row],[Current Price ($)]]-PricingDataTable[[#This Row],[Prior Price ($)]])/PricingDataTable[[#This Row],[Prior Price ($)]]</f>
        <v>1.575890923690201E-2</v>
      </c>
      <c r="L1944" s="9">
        <f>(PricingDataTable[[#This Row],[Vendor Price ($)]]-PricingDataTable[[#This Row],[Current Price ($)]])/PricingDataTable[[#This Row],[Current Price ($)]]</f>
        <v>4.6745551080875046E-3</v>
      </c>
      <c r="M1944" t="str">
        <f t="shared" si="60"/>
        <v>PASS</v>
      </c>
      <c r="N1944" s="10" t="str">
        <f t="shared" si="61"/>
        <v>NONE</v>
      </c>
    </row>
    <row r="1945" spans="1:14">
      <c r="A1945" s="4" t="s">
        <v>3906</v>
      </c>
      <c r="B1945" s="4" t="s">
        <v>3907</v>
      </c>
      <c r="C1945" s="4" t="s">
        <v>16</v>
      </c>
      <c r="D1945" s="4" t="s">
        <v>13</v>
      </c>
      <c r="E1945" s="5">
        <v>75.523200000000003</v>
      </c>
      <c r="F1945" s="5">
        <v>76.896699999999996</v>
      </c>
      <c r="G1945" s="5">
        <v>76.499300000000005</v>
      </c>
      <c r="H1945" s="4">
        <v>0</v>
      </c>
      <c r="I1945" s="6">
        <v>2501161</v>
      </c>
      <c r="J1945" s="7">
        <v>173.07</v>
      </c>
      <c r="K1945" s="9">
        <f>(PricingDataTable[[#This Row],[Current Price ($)]]-PricingDataTable[[#This Row],[Prior Price ($)]])/PricingDataTable[[#This Row],[Prior Price ($)]]</f>
        <v>1.8186464556586488E-2</v>
      </c>
      <c r="L1945" s="9">
        <f>(PricingDataTable[[#This Row],[Vendor Price ($)]]-PricingDataTable[[#This Row],[Current Price ($)]])/PricingDataTable[[#This Row],[Current Price ($)]]</f>
        <v>-5.1679720976321539E-3</v>
      </c>
      <c r="M1945" t="str">
        <f t="shared" si="60"/>
        <v>PASS</v>
      </c>
      <c r="N1945" s="10" t="str">
        <f t="shared" si="61"/>
        <v>NONE</v>
      </c>
    </row>
    <row r="1946" spans="1:14">
      <c r="A1946" s="4" t="s">
        <v>3908</v>
      </c>
      <c r="B1946" s="4" t="s">
        <v>3909</v>
      </c>
      <c r="C1946" s="4" t="s">
        <v>19</v>
      </c>
      <c r="D1946" s="4" t="s">
        <v>13</v>
      </c>
      <c r="E1946" s="5">
        <v>89.845100000000002</v>
      </c>
      <c r="F1946" s="5">
        <v>90.538600000000002</v>
      </c>
      <c r="G1946" s="5">
        <v>90.037899999999993</v>
      </c>
      <c r="H1946" s="4">
        <v>0</v>
      </c>
      <c r="I1946" s="6">
        <v>2896421</v>
      </c>
      <c r="J1946" s="7">
        <v>110.08</v>
      </c>
      <c r="K1946" s="9">
        <f>(PricingDataTable[[#This Row],[Current Price ($)]]-PricingDataTable[[#This Row],[Prior Price ($)]])/PricingDataTable[[#This Row],[Prior Price ($)]]</f>
        <v>7.7188405377700085E-3</v>
      </c>
      <c r="L1946" s="9">
        <f>(PricingDataTable[[#This Row],[Vendor Price ($)]]-PricingDataTable[[#This Row],[Current Price ($)]])/PricingDataTable[[#This Row],[Current Price ($)]]</f>
        <v>-5.5302379316668144E-3</v>
      </c>
      <c r="M1946" t="str">
        <f t="shared" si="60"/>
        <v>PASS</v>
      </c>
      <c r="N1946" s="10" t="str">
        <f t="shared" si="61"/>
        <v>NONE</v>
      </c>
    </row>
    <row r="1947" spans="1:14">
      <c r="A1947" s="4" t="s">
        <v>3910</v>
      </c>
      <c r="B1947" s="4" t="s">
        <v>3911</v>
      </c>
      <c r="C1947" s="4" t="s">
        <v>19</v>
      </c>
      <c r="D1947" s="4" t="s">
        <v>36</v>
      </c>
      <c r="E1947" s="5">
        <v>269.68380000000002</v>
      </c>
      <c r="F1947" s="5">
        <v>272.05340000000001</v>
      </c>
      <c r="G1947" s="5">
        <v>272.8818</v>
      </c>
      <c r="H1947" s="4">
        <v>0</v>
      </c>
      <c r="I1947" s="6">
        <v>4045911</v>
      </c>
      <c r="J1947" s="7">
        <v>509.72</v>
      </c>
      <c r="K1947" s="9">
        <f>(PricingDataTable[[#This Row],[Current Price ($)]]-PricingDataTable[[#This Row],[Prior Price ($)]])/PricingDataTable[[#This Row],[Prior Price ($)]]</f>
        <v>8.7865863652173068E-3</v>
      </c>
      <c r="L1947" s="9">
        <f>(PricingDataTable[[#This Row],[Vendor Price ($)]]-PricingDataTable[[#This Row],[Current Price ($)]])/PricingDataTable[[#This Row],[Current Price ($)]]</f>
        <v>3.0449904320254324E-3</v>
      </c>
      <c r="M1947" t="str">
        <f t="shared" si="60"/>
        <v>PASS</v>
      </c>
      <c r="N1947" s="10" t="str">
        <f t="shared" si="61"/>
        <v>NONE</v>
      </c>
    </row>
    <row r="1948" spans="1:14">
      <c r="A1948" s="4" t="s">
        <v>3912</v>
      </c>
      <c r="B1948" s="4" t="s">
        <v>3913</v>
      </c>
      <c r="C1948" s="4" t="s">
        <v>19</v>
      </c>
      <c r="D1948" s="4" t="s">
        <v>32</v>
      </c>
      <c r="E1948" s="5">
        <v>214.19110000000001</v>
      </c>
      <c r="F1948" s="5">
        <v>218.97389999999999</v>
      </c>
      <c r="G1948" s="5">
        <v>219.86160000000001</v>
      </c>
      <c r="H1948" s="4">
        <v>0</v>
      </c>
      <c r="I1948" s="6">
        <v>3791822</v>
      </c>
      <c r="J1948" s="7">
        <v>816.82</v>
      </c>
      <c r="K1948" s="9">
        <f>(PricingDataTable[[#This Row],[Current Price ($)]]-PricingDataTable[[#This Row],[Prior Price ($)]])/PricingDataTable[[#This Row],[Prior Price ($)]]</f>
        <v>2.2329592592782707E-2</v>
      </c>
      <c r="L1948" s="9">
        <f>(PricingDataTable[[#This Row],[Vendor Price ($)]]-PricingDataTable[[#This Row],[Current Price ($)]])/PricingDataTable[[#This Row],[Current Price ($)]]</f>
        <v>4.0539077944906849E-3</v>
      </c>
      <c r="M1948" t="str">
        <f t="shared" si="60"/>
        <v>PASS</v>
      </c>
      <c r="N1948" s="10" t="str">
        <f t="shared" si="61"/>
        <v>NONE</v>
      </c>
    </row>
    <row r="1949" spans="1:14">
      <c r="A1949" s="4" t="s">
        <v>3914</v>
      </c>
      <c r="B1949" s="4" t="s">
        <v>3915</v>
      </c>
      <c r="C1949" s="4" t="s">
        <v>19</v>
      </c>
      <c r="D1949" s="4" t="s">
        <v>13</v>
      </c>
      <c r="E1949" s="5">
        <v>327.03789999999998</v>
      </c>
      <c r="F1949" s="5">
        <v>324.4479</v>
      </c>
      <c r="G1949" s="5">
        <v>325.03620000000001</v>
      </c>
      <c r="H1949" s="4">
        <v>1</v>
      </c>
      <c r="I1949" s="6">
        <v>4955283</v>
      </c>
      <c r="J1949" s="7">
        <v>288.82</v>
      </c>
      <c r="K1949" s="9">
        <f>(PricingDataTable[[#This Row],[Current Price ($)]]-PricingDataTable[[#This Row],[Prior Price ($)]])/PricingDataTable[[#This Row],[Prior Price ($)]]</f>
        <v>-7.9195714013573816E-3</v>
      </c>
      <c r="L1949" s="9">
        <f>(PricingDataTable[[#This Row],[Vendor Price ($)]]-PricingDataTable[[#This Row],[Current Price ($)]])/PricingDataTable[[#This Row],[Current Price ($)]]</f>
        <v>1.813234112472307E-3</v>
      </c>
      <c r="M1949" t="str">
        <f t="shared" si="60"/>
        <v>PASS</v>
      </c>
      <c r="N1949" s="10" t="str">
        <f t="shared" si="61"/>
        <v>NONE</v>
      </c>
    </row>
    <row r="1950" spans="1:14">
      <c r="A1950" s="4" t="s">
        <v>3916</v>
      </c>
      <c r="B1950" s="4" t="s">
        <v>3917</v>
      </c>
      <c r="C1950" s="4" t="s">
        <v>16</v>
      </c>
      <c r="D1950" s="4" t="s">
        <v>13</v>
      </c>
      <c r="E1950" s="5">
        <v>112.8027</v>
      </c>
      <c r="F1950" s="5">
        <v>110.3511</v>
      </c>
      <c r="G1950" s="5">
        <v>110.5313</v>
      </c>
      <c r="H1950" s="4">
        <v>0</v>
      </c>
      <c r="I1950" s="6">
        <v>1883744</v>
      </c>
      <c r="J1950" s="7">
        <v>279.29000000000002</v>
      </c>
      <c r="K1950" s="9">
        <f>(PricingDataTable[[#This Row],[Current Price ($)]]-PricingDataTable[[#This Row],[Prior Price ($)]])/PricingDataTable[[#This Row],[Prior Price ($)]]</f>
        <v>-2.1733522335901527E-2</v>
      </c>
      <c r="L1950" s="9">
        <f>(PricingDataTable[[#This Row],[Vendor Price ($)]]-PricingDataTable[[#This Row],[Current Price ($)]])/PricingDataTable[[#This Row],[Current Price ($)]]</f>
        <v>1.6329696758799798E-3</v>
      </c>
      <c r="M1950" t="str">
        <f t="shared" si="60"/>
        <v>PASS</v>
      </c>
      <c r="N1950" s="10" t="str">
        <f t="shared" si="61"/>
        <v>NONE</v>
      </c>
    </row>
    <row r="1951" spans="1:14">
      <c r="A1951" s="4" t="s">
        <v>3918</v>
      </c>
      <c r="B1951" s="4" t="s">
        <v>3919</v>
      </c>
      <c r="C1951" s="4" t="s">
        <v>39</v>
      </c>
      <c r="D1951" s="4" t="s">
        <v>13</v>
      </c>
      <c r="E1951" s="5">
        <v>225.17769999999999</v>
      </c>
      <c r="F1951" s="5">
        <v>228.01859999999999</v>
      </c>
      <c r="G1951" s="5">
        <v>226.91669999999999</v>
      </c>
      <c r="H1951" s="4">
        <v>0</v>
      </c>
      <c r="I1951" s="6">
        <v>4867601</v>
      </c>
      <c r="J1951" s="7">
        <v>712.16</v>
      </c>
      <c r="K1951" s="9">
        <f>(PricingDataTable[[#This Row],[Current Price ($)]]-PricingDataTable[[#This Row],[Prior Price ($)]])/PricingDataTable[[#This Row],[Prior Price ($)]]</f>
        <v>1.2616258181871495E-2</v>
      </c>
      <c r="L1951" s="9">
        <f>(PricingDataTable[[#This Row],[Vendor Price ($)]]-PricingDataTable[[#This Row],[Current Price ($)]])/PricingDataTable[[#This Row],[Current Price ($)]]</f>
        <v>-4.8325005065376269E-3</v>
      </c>
      <c r="M1951" t="str">
        <f t="shared" si="60"/>
        <v>PASS</v>
      </c>
      <c r="N1951" s="10" t="str">
        <f t="shared" si="61"/>
        <v>NONE</v>
      </c>
    </row>
    <row r="1952" spans="1:14">
      <c r="A1952" s="4" t="s">
        <v>3920</v>
      </c>
      <c r="B1952" s="4" t="s">
        <v>3921</v>
      </c>
      <c r="C1952" s="4" t="s">
        <v>19</v>
      </c>
      <c r="D1952" s="4" t="s">
        <v>32</v>
      </c>
      <c r="E1952" s="5">
        <v>178.9564</v>
      </c>
      <c r="F1952" s="5">
        <v>185.8347</v>
      </c>
      <c r="G1952" s="5">
        <v>185.60939999999999</v>
      </c>
      <c r="H1952" s="4">
        <v>0</v>
      </c>
      <c r="I1952" s="6">
        <v>363297</v>
      </c>
      <c r="J1952" s="7">
        <v>528.07000000000005</v>
      </c>
      <c r="K1952" s="9">
        <f>(PricingDataTable[[#This Row],[Current Price ($)]]-PricingDataTable[[#This Row],[Prior Price ($)]])/PricingDataTable[[#This Row],[Prior Price ($)]]</f>
        <v>3.8435618955231531E-2</v>
      </c>
      <c r="L1952" s="9">
        <f>(PricingDataTable[[#This Row],[Vendor Price ($)]]-PricingDataTable[[#This Row],[Current Price ($)]])/PricingDataTable[[#This Row],[Current Price ($)]]</f>
        <v>-1.2123677655465005E-3</v>
      </c>
      <c r="M1952" t="str">
        <f t="shared" si="60"/>
        <v>PASS</v>
      </c>
      <c r="N1952" s="10" t="str">
        <f t="shared" si="61"/>
        <v>NONE</v>
      </c>
    </row>
    <row r="1953" spans="1:14">
      <c r="A1953" s="4" t="s">
        <v>3922</v>
      </c>
      <c r="B1953" s="4" t="s">
        <v>3923</v>
      </c>
      <c r="C1953" s="4" t="s">
        <v>12</v>
      </c>
      <c r="D1953" s="4" t="s">
        <v>13</v>
      </c>
      <c r="E1953" s="5">
        <v>80.853399999999993</v>
      </c>
      <c r="F1953" s="5">
        <v>97.256900000000002</v>
      </c>
      <c r="G1953" s="5">
        <v>97.404399999999995</v>
      </c>
      <c r="H1953" s="4">
        <v>0</v>
      </c>
      <c r="I1953" s="6">
        <v>3019880</v>
      </c>
      <c r="J1953" s="7">
        <v>735.9</v>
      </c>
      <c r="K1953" s="9">
        <f>(PricingDataTable[[#This Row],[Current Price ($)]]-PricingDataTable[[#This Row],[Prior Price ($)]])/PricingDataTable[[#This Row],[Prior Price ($)]]</f>
        <v>0.2028795325861375</v>
      </c>
      <c r="L1953" s="9">
        <f>(PricingDataTable[[#This Row],[Vendor Price ($)]]-PricingDataTable[[#This Row],[Current Price ($)]])/PricingDataTable[[#This Row],[Current Price ($)]]</f>
        <v>1.5166019069083401E-3</v>
      </c>
      <c r="M1953" t="str">
        <f t="shared" si="60"/>
        <v>LARGE MOVE</v>
      </c>
      <c r="N1953" s="10" t="str">
        <f t="shared" si="61"/>
        <v>HIGH</v>
      </c>
    </row>
    <row r="1954" spans="1:14">
      <c r="A1954" s="4" t="s">
        <v>3924</v>
      </c>
      <c r="B1954" s="4" t="s">
        <v>3925</v>
      </c>
      <c r="C1954" s="4" t="s">
        <v>39</v>
      </c>
      <c r="D1954" s="4" t="s">
        <v>13</v>
      </c>
      <c r="E1954" s="5">
        <v>48.139499999999998</v>
      </c>
      <c r="F1954" s="5">
        <v>48.658200000000001</v>
      </c>
      <c r="G1954" s="5">
        <v>48.763199999999998</v>
      </c>
      <c r="H1954" s="4">
        <v>0</v>
      </c>
      <c r="I1954" s="6">
        <v>2946184</v>
      </c>
      <c r="J1954" s="7">
        <v>376.61</v>
      </c>
      <c r="K1954" s="9">
        <f>(PricingDataTable[[#This Row],[Current Price ($)]]-PricingDataTable[[#This Row],[Prior Price ($)]])/PricingDataTable[[#This Row],[Prior Price ($)]]</f>
        <v>1.0774935344156101E-2</v>
      </c>
      <c r="L1954" s="9">
        <f>(PricingDataTable[[#This Row],[Vendor Price ($)]]-PricingDataTable[[#This Row],[Current Price ($)]])/PricingDataTable[[#This Row],[Current Price ($)]]</f>
        <v>2.1579096637359555E-3</v>
      </c>
      <c r="M1954" t="str">
        <f t="shared" si="60"/>
        <v>PASS</v>
      </c>
      <c r="N1954" s="10" t="str">
        <f t="shared" si="61"/>
        <v>NONE</v>
      </c>
    </row>
    <row r="1955" spans="1:14">
      <c r="A1955" s="4" t="s">
        <v>3926</v>
      </c>
      <c r="B1955" s="4" t="s">
        <v>3927</v>
      </c>
      <c r="C1955" s="4" t="s">
        <v>16</v>
      </c>
      <c r="D1955" s="4" t="s">
        <v>32</v>
      </c>
      <c r="E1955" s="5">
        <v>82.584999999999994</v>
      </c>
      <c r="F1955" s="5">
        <v>81.5976</v>
      </c>
      <c r="G1955" s="5">
        <v>81.806100000000001</v>
      </c>
      <c r="H1955" s="4">
        <v>3</v>
      </c>
      <c r="I1955" s="6">
        <v>4866141</v>
      </c>
      <c r="J1955" s="7">
        <v>9.57</v>
      </c>
      <c r="K1955" s="9">
        <f>(PricingDataTable[[#This Row],[Current Price ($)]]-PricingDataTable[[#This Row],[Prior Price ($)]])/PricingDataTable[[#This Row],[Prior Price ($)]]</f>
        <v>-1.1956166374038795E-2</v>
      </c>
      <c r="L1955" s="9">
        <f>(PricingDataTable[[#This Row],[Vendor Price ($)]]-PricingDataTable[[#This Row],[Current Price ($)]])/PricingDataTable[[#This Row],[Current Price ($)]]</f>
        <v>2.5552222124180222E-3</v>
      </c>
      <c r="M1955" t="str">
        <f t="shared" si="60"/>
        <v>STALE</v>
      </c>
      <c r="N1955" s="10" t="str">
        <f t="shared" si="61"/>
        <v>LOW</v>
      </c>
    </row>
    <row r="1956" spans="1:14">
      <c r="A1956" s="4" t="s">
        <v>3928</v>
      </c>
      <c r="B1956" s="4" t="s">
        <v>3929</v>
      </c>
      <c r="C1956" s="4" t="s">
        <v>35</v>
      </c>
      <c r="D1956" s="4" t="s">
        <v>13</v>
      </c>
      <c r="E1956" s="5">
        <v>154.7723</v>
      </c>
      <c r="F1956" s="5">
        <v>154.7576</v>
      </c>
      <c r="G1956" s="5">
        <v>154.68729999999999</v>
      </c>
      <c r="H1956" s="4">
        <v>1</v>
      </c>
      <c r="I1956" s="6">
        <v>3421233</v>
      </c>
      <c r="J1956" s="7">
        <v>61.1</v>
      </c>
      <c r="K1956" s="9">
        <f>(PricingDataTable[[#This Row],[Current Price ($)]]-PricingDataTable[[#This Row],[Prior Price ($)]])/PricingDataTable[[#This Row],[Prior Price ($)]]</f>
        <v>-9.4978235769610064E-5</v>
      </c>
      <c r="L1956" s="9">
        <f>(PricingDataTable[[#This Row],[Vendor Price ($)]]-PricingDataTable[[#This Row],[Current Price ($)]])/PricingDataTable[[#This Row],[Current Price ($)]]</f>
        <v>-4.5425878922911145E-4</v>
      </c>
      <c r="M1956" t="str">
        <f t="shared" si="60"/>
        <v>PASS</v>
      </c>
      <c r="N1956" s="10" t="str">
        <f t="shared" si="61"/>
        <v>NONE</v>
      </c>
    </row>
    <row r="1957" spans="1:14">
      <c r="A1957" s="4" t="s">
        <v>3930</v>
      </c>
      <c r="B1957" s="4" t="s">
        <v>3931</v>
      </c>
      <c r="C1957" s="4" t="s">
        <v>35</v>
      </c>
      <c r="D1957" s="4" t="s">
        <v>32</v>
      </c>
      <c r="E1957" s="5">
        <v>86.791700000000006</v>
      </c>
      <c r="F1957" s="5">
        <v>85.323300000000003</v>
      </c>
      <c r="G1957" s="5">
        <v>84.963300000000004</v>
      </c>
      <c r="H1957" s="4">
        <v>0</v>
      </c>
      <c r="I1957" s="6">
        <v>1721676</v>
      </c>
      <c r="J1957" s="7">
        <v>512.64</v>
      </c>
      <c r="K1957" s="9">
        <f>(PricingDataTable[[#This Row],[Current Price ($)]]-PricingDataTable[[#This Row],[Prior Price ($)]])/PricingDataTable[[#This Row],[Prior Price ($)]]</f>
        <v>-1.6918668490189758E-2</v>
      </c>
      <c r="L1957" s="9">
        <f>(PricingDataTable[[#This Row],[Vendor Price ($)]]-PricingDataTable[[#This Row],[Current Price ($)]])/PricingDataTable[[#This Row],[Current Price ($)]]</f>
        <v>-4.2192460910442922E-3</v>
      </c>
      <c r="M1957" t="str">
        <f t="shared" si="60"/>
        <v>PASS</v>
      </c>
      <c r="N1957" s="10" t="str">
        <f t="shared" si="61"/>
        <v>NONE</v>
      </c>
    </row>
    <row r="1958" spans="1:14">
      <c r="A1958" s="4" t="s">
        <v>3932</v>
      </c>
      <c r="B1958" s="4" t="s">
        <v>3933</v>
      </c>
      <c r="C1958" s="4" t="s">
        <v>16</v>
      </c>
      <c r="D1958" s="4" t="s">
        <v>13</v>
      </c>
      <c r="E1958" s="5">
        <v>104.46299999999999</v>
      </c>
      <c r="F1958" s="5">
        <v>106.1164</v>
      </c>
      <c r="G1958" s="5">
        <v>105.7188</v>
      </c>
      <c r="H1958" s="4">
        <v>1</v>
      </c>
      <c r="I1958" s="6">
        <v>2000532</v>
      </c>
      <c r="J1958" s="7">
        <v>889.52</v>
      </c>
      <c r="K1958" s="9">
        <f>(PricingDataTable[[#This Row],[Current Price ($)]]-PricingDataTable[[#This Row],[Prior Price ($)]])/PricingDataTable[[#This Row],[Prior Price ($)]]</f>
        <v>1.5827613604817065E-2</v>
      </c>
      <c r="L1958" s="9">
        <f>(PricingDataTable[[#This Row],[Vendor Price ($)]]-PricingDataTable[[#This Row],[Current Price ($)]])/PricingDataTable[[#This Row],[Current Price ($)]]</f>
        <v>-3.7468289538657275E-3</v>
      </c>
      <c r="M1958" t="str">
        <f t="shared" si="60"/>
        <v>PASS</v>
      </c>
      <c r="N1958" s="10" t="str">
        <f t="shared" si="61"/>
        <v>NONE</v>
      </c>
    </row>
    <row r="1959" spans="1:14">
      <c r="A1959" s="4" t="s">
        <v>3934</v>
      </c>
      <c r="B1959" s="4" t="s">
        <v>3935</v>
      </c>
      <c r="C1959" s="4" t="s">
        <v>16</v>
      </c>
      <c r="D1959" s="4" t="s">
        <v>13</v>
      </c>
      <c r="E1959" s="5">
        <v>84.371600000000001</v>
      </c>
      <c r="F1959" s="5">
        <v>84.647599999999997</v>
      </c>
      <c r="G1959" s="5">
        <v>84.397499999999994</v>
      </c>
      <c r="H1959" s="4">
        <v>0</v>
      </c>
      <c r="I1959" s="6">
        <v>2029838</v>
      </c>
      <c r="J1959" s="7">
        <v>46.89</v>
      </c>
      <c r="K1959" s="9">
        <f>(PricingDataTable[[#This Row],[Current Price ($)]]-PricingDataTable[[#This Row],[Prior Price ($)]])/PricingDataTable[[#This Row],[Prior Price ($)]]</f>
        <v>3.2712429300854346E-3</v>
      </c>
      <c r="L1959" s="9">
        <f>(PricingDataTable[[#This Row],[Vendor Price ($)]]-PricingDataTable[[#This Row],[Current Price ($)]])/PricingDataTable[[#This Row],[Current Price ($)]]</f>
        <v>-2.9546023750230761E-3</v>
      </c>
      <c r="M1959" t="str">
        <f t="shared" si="60"/>
        <v>PASS</v>
      </c>
      <c r="N1959" s="10" t="str">
        <f t="shared" si="61"/>
        <v>NONE</v>
      </c>
    </row>
    <row r="1960" spans="1:14">
      <c r="A1960" s="4" t="s">
        <v>3936</v>
      </c>
      <c r="B1960" s="4" t="s">
        <v>3937</v>
      </c>
      <c r="C1960" s="4" t="s">
        <v>12</v>
      </c>
      <c r="D1960" s="4" t="s">
        <v>36</v>
      </c>
      <c r="E1960" s="5">
        <v>87.611599999999996</v>
      </c>
      <c r="F1960" s="5">
        <v>86.27</v>
      </c>
      <c r="G1960" s="5">
        <v>86.583699999999993</v>
      </c>
      <c r="H1960" s="4">
        <v>1</v>
      </c>
      <c r="I1960" s="6">
        <v>2170210</v>
      </c>
      <c r="J1960" s="7">
        <v>637</v>
      </c>
      <c r="K1960" s="9">
        <f>(PricingDataTable[[#This Row],[Current Price ($)]]-PricingDataTable[[#This Row],[Prior Price ($)]])/PricingDataTable[[#This Row],[Prior Price ($)]]</f>
        <v>-1.5313040738897585E-2</v>
      </c>
      <c r="L1960" s="9">
        <f>(PricingDataTable[[#This Row],[Vendor Price ($)]]-PricingDataTable[[#This Row],[Current Price ($)]])/PricingDataTable[[#This Row],[Current Price ($)]]</f>
        <v>3.6362582589544129E-3</v>
      </c>
      <c r="M1960" t="str">
        <f t="shared" si="60"/>
        <v>PASS</v>
      </c>
      <c r="N1960" s="10" t="str">
        <f t="shared" si="61"/>
        <v>NONE</v>
      </c>
    </row>
    <row r="1961" spans="1:14">
      <c r="A1961" s="4" t="s">
        <v>3938</v>
      </c>
      <c r="B1961" s="4" t="s">
        <v>3939</v>
      </c>
      <c r="C1961" s="4" t="s">
        <v>16</v>
      </c>
      <c r="D1961" s="4" t="s">
        <v>13</v>
      </c>
      <c r="E1961" s="5">
        <v>81.525700000000001</v>
      </c>
      <c r="F1961" s="5">
        <v>80.867999999999995</v>
      </c>
      <c r="G1961" s="5">
        <v>81.121399999999994</v>
      </c>
      <c r="H1961" s="4">
        <v>0</v>
      </c>
      <c r="I1961" s="6">
        <v>2034734</v>
      </c>
      <c r="J1961" s="7">
        <v>434.26</v>
      </c>
      <c r="K1961" s="9">
        <f>(PricingDataTable[[#This Row],[Current Price ($)]]-PricingDataTable[[#This Row],[Prior Price ($)]])/PricingDataTable[[#This Row],[Prior Price ($)]]</f>
        <v>-8.067394698849633E-3</v>
      </c>
      <c r="L1961" s="9">
        <f>(PricingDataTable[[#This Row],[Vendor Price ($)]]-PricingDataTable[[#This Row],[Current Price ($)]])/PricingDataTable[[#This Row],[Current Price ($)]]</f>
        <v>3.1335015086313401E-3</v>
      </c>
      <c r="M1961" t="str">
        <f t="shared" si="60"/>
        <v>PASS</v>
      </c>
      <c r="N1961" s="10" t="str">
        <f t="shared" si="61"/>
        <v>NONE</v>
      </c>
    </row>
    <row r="1962" spans="1:14">
      <c r="A1962" s="4" t="s">
        <v>3940</v>
      </c>
      <c r="B1962" s="4" t="s">
        <v>3941</v>
      </c>
      <c r="C1962" s="4" t="s">
        <v>39</v>
      </c>
      <c r="D1962" s="4" t="s">
        <v>64</v>
      </c>
      <c r="E1962" s="5">
        <v>98.596199999999996</v>
      </c>
      <c r="F1962" s="5">
        <v>96.418300000000002</v>
      </c>
      <c r="G1962" s="5">
        <v>96.313000000000002</v>
      </c>
      <c r="H1962" s="4">
        <v>1</v>
      </c>
      <c r="I1962" s="6">
        <v>4855129</v>
      </c>
      <c r="J1962" s="7">
        <v>568.65</v>
      </c>
      <c r="K1962" s="9">
        <f>(PricingDataTable[[#This Row],[Current Price ($)]]-PricingDataTable[[#This Row],[Prior Price ($)]])/PricingDataTable[[#This Row],[Prior Price ($)]]</f>
        <v>-2.2089086597657862E-2</v>
      </c>
      <c r="L1962" s="9">
        <f>(PricingDataTable[[#This Row],[Vendor Price ($)]]-PricingDataTable[[#This Row],[Current Price ($)]])/PricingDataTable[[#This Row],[Current Price ($)]]</f>
        <v>-1.092116330613584E-3</v>
      </c>
      <c r="M1962" t="str">
        <f t="shared" si="60"/>
        <v>PASS</v>
      </c>
      <c r="N1962" s="10" t="str">
        <f t="shared" si="61"/>
        <v>NONE</v>
      </c>
    </row>
    <row r="1963" spans="1:14">
      <c r="A1963" s="4" t="s">
        <v>3942</v>
      </c>
      <c r="B1963" s="4" t="s">
        <v>3943</v>
      </c>
      <c r="C1963" s="4" t="s">
        <v>19</v>
      </c>
      <c r="D1963" s="4" t="s">
        <v>13</v>
      </c>
      <c r="E1963" s="5">
        <v>337.37529999999998</v>
      </c>
      <c r="F1963" s="5">
        <v>268.72210000000001</v>
      </c>
      <c r="G1963" s="5">
        <v>268.16329999999999</v>
      </c>
      <c r="H1963" s="4">
        <v>5</v>
      </c>
      <c r="I1963" s="6">
        <v>251513</v>
      </c>
      <c r="J1963" s="7">
        <v>431.81</v>
      </c>
      <c r="K1963" s="9">
        <f>(PricingDataTable[[#This Row],[Current Price ($)]]-PricingDataTable[[#This Row],[Prior Price ($)]])/PricingDataTable[[#This Row],[Prior Price ($)]]</f>
        <v>-0.20349207544239301</v>
      </c>
      <c r="L1963" s="9">
        <f>(PricingDataTable[[#This Row],[Vendor Price ($)]]-PricingDataTable[[#This Row],[Current Price ($)]])/PricingDataTable[[#This Row],[Current Price ($)]]</f>
        <v>-2.0794716921310875E-3</v>
      </c>
      <c r="M1963" t="str">
        <f t="shared" si="60"/>
        <v>STALE</v>
      </c>
      <c r="N1963" s="10" t="str">
        <f t="shared" si="61"/>
        <v>HIGH</v>
      </c>
    </row>
    <row r="1964" spans="1:14">
      <c r="A1964" s="4" t="s">
        <v>3944</v>
      </c>
      <c r="B1964" s="4" t="s">
        <v>3945</v>
      </c>
      <c r="C1964" s="4" t="s">
        <v>16</v>
      </c>
      <c r="D1964" s="4" t="s">
        <v>237</v>
      </c>
      <c r="E1964" s="5">
        <v>102.2178</v>
      </c>
      <c r="F1964" s="5">
        <v>102.9802</v>
      </c>
      <c r="G1964" s="5">
        <v>103.0136</v>
      </c>
      <c r="H1964" s="4">
        <v>0</v>
      </c>
      <c r="I1964" s="6">
        <v>4032026</v>
      </c>
      <c r="J1964" s="7">
        <v>30.96</v>
      </c>
      <c r="K1964" s="9">
        <f>(PricingDataTable[[#This Row],[Current Price ($)]]-PricingDataTable[[#This Row],[Prior Price ($)]])/PricingDataTable[[#This Row],[Prior Price ($)]]</f>
        <v>7.4585835343746352E-3</v>
      </c>
      <c r="L1964" s="9">
        <f>(PricingDataTable[[#This Row],[Vendor Price ($)]]-PricingDataTable[[#This Row],[Current Price ($)]])/PricingDataTable[[#This Row],[Current Price ($)]]</f>
        <v>3.2433419239815341E-4</v>
      </c>
      <c r="M1964" t="str">
        <f t="shared" si="60"/>
        <v>PASS</v>
      </c>
      <c r="N1964" s="10" t="str">
        <f t="shared" si="61"/>
        <v>NONE</v>
      </c>
    </row>
    <row r="1965" spans="1:14">
      <c r="A1965" s="4" t="s">
        <v>3946</v>
      </c>
      <c r="B1965" s="4" t="s">
        <v>3947</v>
      </c>
      <c r="C1965" s="4" t="s">
        <v>35</v>
      </c>
      <c r="D1965" s="4" t="s">
        <v>36</v>
      </c>
      <c r="E1965" s="5">
        <v>101.71250000000001</v>
      </c>
      <c r="F1965" s="5">
        <v>104.4044</v>
      </c>
      <c r="G1965" s="5">
        <v>104.2475</v>
      </c>
      <c r="H1965" s="4">
        <v>0</v>
      </c>
      <c r="I1965" s="6">
        <v>4400686</v>
      </c>
      <c r="J1965" s="7">
        <v>699.11</v>
      </c>
      <c r="K1965" s="9">
        <f>(PricingDataTable[[#This Row],[Current Price ($)]]-PricingDataTable[[#This Row],[Prior Price ($)]])/PricingDataTable[[#This Row],[Prior Price ($)]]</f>
        <v>2.6465773626643624E-2</v>
      </c>
      <c r="L1965" s="9">
        <f>(PricingDataTable[[#This Row],[Vendor Price ($)]]-PricingDataTable[[#This Row],[Current Price ($)]])/PricingDataTable[[#This Row],[Current Price ($)]]</f>
        <v>-1.5028102263888606E-3</v>
      </c>
      <c r="M1965" t="str">
        <f t="shared" si="60"/>
        <v>PASS</v>
      </c>
      <c r="N1965" s="10" t="str">
        <f t="shared" si="61"/>
        <v>NONE</v>
      </c>
    </row>
    <row r="1966" spans="1:14">
      <c r="A1966" s="4" t="s">
        <v>3948</v>
      </c>
      <c r="B1966" s="4" t="s">
        <v>3949</v>
      </c>
      <c r="C1966" s="4" t="s">
        <v>16</v>
      </c>
      <c r="D1966" s="4" t="s">
        <v>64</v>
      </c>
      <c r="E1966" s="5">
        <v>109.9834</v>
      </c>
      <c r="F1966" s="5">
        <v>109.9756</v>
      </c>
      <c r="G1966" s="5">
        <v>110.1688</v>
      </c>
      <c r="H1966" s="4">
        <v>0</v>
      </c>
      <c r="I1966" s="6">
        <v>4844896</v>
      </c>
      <c r="J1966" s="7">
        <v>353.19</v>
      </c>
      <c r="K1966" s="9">
        <f>(PricingDataTable[[#This Row],[Current Price ($)]]-PricingDataTable[[#This Row],[Prior Price ($)]])/PricingDataTable[[#This Row],[Prior Price ($)]]</f>
        <v>-7.0919793350661441E-5</v>
      </c>
      <c r="L1966" s="9">
        <f>(PricingDataTable[[#This Row],[Vendor Price ($)]]-PricingDataTable[[#This Row],[Current Price ($)]])/PricingDataTable[[#This Row],[Current Price ($)]]</f>
        <v>1.7567533161901773E-3</v>
      </c>
      <c r="M1966" t="str">
        <f t="shared" si="60"/>
        <v>PASS</v>
      </c>
      <c r="N1966" s="10" t="str">
        <f t="shared" si="61"/>
        <v>NONE</v>
      </c>
    </row>
    <row r="1967" spans="1:14">
      <c r="A1967" s="4" t="s">
        <v>3950</v>
      </c>
      <c r="B1967" s="4" t="s">
        <v>3951</v>
      </c>
      <c r="C1967" s="4" t="s">
        <v>16</v>
      </c>
      <c r="D1967" s="4" t="s">
        <v>13</v>
      </c>
      <c r="E1967" s="5">
        <v>113.0121</v>
      </c>
      <c r="F1967" s="5">
        <v>111.4558</v>
      </c>
      <c r="G1967" s="5">
        <v>101.1374</v>
      </c>
      <c r="H1967" s="4">
        <v>0</v>
      </c>
      <c r="I1967" s="6">
        <v>666116</v>
      </c>
      <c r="J1967" s="7">
        <v>135.22999999999999</v>
      </c>
      <c r="K1967" s="9">
        <f>(PricingDataTable[[#This Row],[Current Price ($)]]-PricingDataTable[[#This Row],[Prior Price ($)]])/PricingDataTable[[#This Row],[Prior Price ($)]]</f>
        <v>-1.377109176804968E-2</v>
      </c>
      <c r="L1967" s="9">
        <f>(PricingDataTable[[#This Row],[Vendor Price ($)]]-PricingDataTable[[#This Row],[Current Price ($)]])/PricingDataTable[[#This Row],[Current Price ($)]]</f>
        <v>-9.2578403277352977E-2</v>
      </c>
      <c r="M1967" t="str">
        <f t="shared" si="60"/>
        <v>VENDOR DIFFERENCE</v>
      </c>
      <c r="N1967" s="10" t="str">
        <f t="shared" si="61"/>
        <v>HIGH</v>
      </c>
    </row>
    <row r="1968" spans="1:14">
      <c r="A1968" s="4" t="s">
        <v>3952</v>
      </c>
      <c r="B1968" s="4" t="s">
        <v>3953</v>
      </c>
      <c r="C1968" s="4" t="s">
        <v>12</v>
      </c>
      <c r="D1968" s="4" t="s">
        <v>32</v>
      </c>
      <c r="E1968" s="5">
        <v>107.80419999999999</v>
      </c>
      <c r="F1968" s="5">
        <v>109.877</v>
      </c>
      <c r="G1968" s="5">
        <v>109.889</v>
      </c>
      <c r="H1968" s="4">
        <v>3</v>
      </c>
      <c r="I1968" s="6">
        <v>4180952</v>
      </c>
      <c r="J1968" s="7">
        <v>557.64</v>
      </c>
      <c r="K1968" s="9">
        <f>(PricingDataTable[[#This Row],[Current Price ($)]]-PricingDataTable[[#This Row],[Prior Price ($)]])/PricingDataTable[[#This Row],[Prior Price ($)]]</f>
        <v>1.9227451249580266E-2</v>
      </c>
      <c r="L1968" s="9">
        <f>(PricingDataTable[[#This Row],[Vendor Price ($)]]-PricingDataTable[[#This Row],[Current Price ($)]])/PricingDataTable[[#This Row],[Current Price ($)]]</f>
        <v>1.0921302911437749E-4</v>
      </c>
      <c r="M1968" t="str">
        <f t="shared" si="60"/>
        <v>STALE</v>
      </c>
      <c r="N1968" s="10" t="str">
        <f t="shared" si="61"/>
        <v>LOW</v>
      </c>
    </row>
    <row r="1969" spans="1:14">
      <c r="A1969" s="4" t="s">
        <v>3954</v>
      </c>
      <c r="B1969" s="4" t="s">
        <v>3955</v>
      </c>
      <c r="C1969" s="4" t="s">
        <v>19</v>
      </c>
      <c r="D1969" s="4" t="s">
        <v>64</v>
      </c>
      <c r="E1969" s="5">
        <v>146.78039999999999</v>
      </c>
      <c r="F1969" s="5">
        <v>148.1174</v>
      </c>
      <c r="G1969" s="5">
        <v>139.77850000000001</v>
      </c>
      <c r="H1969" s="4">
        <v>0</v>
      </c>
      <c r="I1969" s="6">
        <v>2314367</v>
      </c>
      <c r="J1969" s="7">
        <v>153.9</v>
      </c>
      <c r="K1969" s="9">
        <f>(PricingDataTable[[#This Row],[Current Price ($)]]-PricingDataTable[[#This Row],[Prior Price ($)]])/PricingDataTable[[#This Row],[Prior Price ($)]]</f>
        <v>9.1088455951885781E-3</v>
      </c>
      <c r="L1969" s="9">
        <f>(PricingDataTable[[#This Row],[Vendor Price ($)]]-PricingDataTable[[#This Row],[Current Price ($)]])/PricingDataTable[[#This Row],[Current Price ($)]]</f>
        <v>-5.6299259911394575E-2</v>
      </c>
      <c r="M1969" t="str">
        <f t="shared" si="60"/>
        <v>VENDOR DIFFERENCE</v>
      </c>
      <c r="N1969" s="10" t="str">
        <f t="shared" si="61"/>
        <v>HIGH</v>
      </c>
    </row>
    <row r="1970" spans="1:14">
      <c r="A1970" s="4" t="s">
        <v>3956</v>
      </c>
      <c r="B1970" s="4" t="s">
        <v>3957</v>
      </c>
      <c r="C1970" s="4" t="s">
        <v>39</v>
      </c>
      <c r="D1970" s="4" t="s">
        <v>13</v>
      </c>
      <c r="E1970" s="5">
        <v>172.59829999999999</v>
      </c>
      <c r="F1970" s="5">
        <v>174.18790000000001</v>
      </c>
      <c r="G1970" s="5">
        <v>173.9282</v>
      </c>
      <c r="H1970" s="4">
        <v>1</v>
      </c>
      <c r="I1970" s="6">
        <v>3125446</v>
      </c>
      <c r="J1970" s="7">
        <v>457.02</v>
      </c>
      <c r="K1970" s="9">
        <f>(PricingDataTable[[#This Row],[Current Price ($)]]-PricingDataTable[[#This Row],[Prior Price ($)]])/PricingDataTable[[#This Row],[Prior Price ($)]]</f>
        <v>9.2098241987320761E-3</v>
      </c>
      <c r="L1970" s="9">
        <f>(PricingDataTable[[#This Row],[Vendor Price ($)]]-PricingDataTable[[#This Row],[Current Price ($)]])/PricingDataTable[[#This Row],[Current Price ($)]]</f>
        <v>-1.4909187147902315E-3</v>
      </c>
      <c r="M1970" t="str">
        <f t="shared" si="60"/>
        <v>PASS</v>
      </c>
      <c r="N1970" s="10" t="str">
        <f t="shared" si="61"/>
        <v>NONE</v>
      </c>
    </row>
    <row r="1971" spans="1:14">
      <c r="A1971" s="4" t="s">
        <v>3958</v>
      </c>
      <c r="B1971" s="4" t="s">
        <v>3959</v>
      </c>
      <c r="C1971" s="4" t="s">
        <v>35</v>
      </c>
      <c r="D1971" s="4" t="s">
        <v>13</v>
      </c>
      <c r="E1971" s="5">
        <v>40.477800000000002</v>
      </c>
      <c r="F1971" s="5">
        <v>39.796199999999999</v>
      </c>
      <c r="G1971" s="5">
        <v>39.758800000000001</v>
      </c>
      <c r="H1971" s="4">
        <v>2</v>
      </c>
      <c r="I1971" s="6">
        <v>1288895</v>
      </c>
      <c r="J1971" s="7">
        <v>206.36</v>
      </c>
      <c r="K1971" s="9">
        <f>(PricingDataTable[[#This Row],[Current Price ($)]]-PricingDataTable[[#This Row],[Prior Price ($)]])/PricingDataTable[[#This Row],[Prior Price ($)]]</f>
        <v>-1.6838859819456667E-2</v>
      </c>
      <c r="L1971" s="9">
        <f>(PricingDataTable[[#This Row],[Vendor Price ($)]]-PricingDataTable[[#This Row],[Current Price ($)]])/PricingDataTable[[#This Row],[Current Price ($)]]</f>
        <v>-9.3978822098587564E-4</v>
      </c>
      <c r="M1971" t="str">
        <f t="shared" si="60"/>
        <v>PASS</v>
      </c>
      <c r="N1971" s="10" t="str">
        <f t="shared" si="61"/>
        <v>NONE</v>
      </c>
    </row>
    <row r="1972" spans="1:14">
      <c r="A1972" s="4" t="s">
        <v>3960</v>
      </c>
      <c r="B1972" s="4" t="s">
        <v>3961</v>
      </c>
      <c r="C1972" s="4" t="s">
        <v>19</v>
      </c>
      <c r="D1972" s="4" t="s">
        <v>32</v>
      </c>
      <c r="E1972" s="5">
        <v>189.78149999999999</v>
      </c>
      <c r="F1972" s="5">
        <v>188.73769999999999</v>
      </c>
      <c r="G1972" s="5">
        <v>194.2499</v>
      </c>
      <c r="H1972" s="4">
        <v>0</v>
      </c>
      <c r="I1972" s="6">
        <v>4055946</v>
      </c>
      <c r="J1972" s="7">
        <v>602.44000000000005</v>
      </c>
      <c r="K1972" s="9">
        <f>(PricingDataTable[[#This Row],[Current Price ($)]]-PricingDataTable[[#This Row],[Prior Price ($)]])/PricingDataTable[[#This Row],[Prior Price ($)]]</f>
        <v>-5.50000922113064E-3</v>
      </c>
      <c r="L1972" s="9">
        <f>(PricingDataTable[[#This Row],[Vendor Price ($)]]-PricingDataTable[[#This Row],[Current Price ($)]])/PricingDataTable[[#This Row],[Current Price ($)]]</f>
        <v>2.9205611809405368E-2</v>
      </c>
      <c r="M1972" t="str">
        <f t="shared" si="60"/>
        <v>VENDOR DIFFERENCE</v>
      </c>
      <c r="N1972" s="10" t="str">
        <f t="shared" si="61"/>
        <v>LOW</v>
      </c>
    </row>
    <row r="1973" spans="1:14">
      <c r="A1973" s="4" t="s">
        <v>3962</v>
      </c>
      <c r="B1973" s="4" t="s">
        <v>3963</v>
      </c>
      <c r="C1973" s="4" t="s">
        <v>19</v>
      </c>
      <c r="D1973" s="4" t="s">
        <v>13</v>
      </c>
      <c r="E1973" s="5">
        <v>52.698</v>
      </c>
      <c r="F1973" s="5">
        <v>53.293500000000002</v>
      </c>
      <c r="G1973" s="5">
        <v>53.433399999999999</v>
      </c>
      <c r="H1973" s="4">
        <v>0</v>
      </c>
      <c r="I1973" s="6">
        <v>4741419</v>
      </c>
      <c r="J1973" s="7">
        <v>405.08</v>
      </c>
      <c r="K1973" s="9">
        <f>(PricingDataTable[[#This Row],[Current Price ($)]]-PricingDataTable[[#This Row],[Prior Price ($)]])/PricingDataTable[[#This Row],[Prior Price ($)]]</f>
        <v>1.1300239098258022E-2</v>
      </c>
      <c r="L1973" s="9">
        <f>(PricingDataTable[[#This Row],[Vendor Price ($)]]-PricingDataTable[[#This Row],[Current Price ($)]])/PricingDataTable[[#This Row],[Current Price ($)]]</f>
        <v>2.6250856108155263E-3</v>
      </c>
      <c r="M1973" t="str">
        <f t="shared" si="60"/>
        <v>PASS</v>
      </c>
      <c r="N1973" s="10" t="str">
        <f t="shared" si="61"/>
        <v>NONE</v>
      </c>
    </row>
    <row r="1974" spans="1:14">
      <c r="A1974" s="4" t="s">
        <v>3964</v>
      </c>
      <c r="B1974" s="4" t="s">
        <v>3965</v>
      </c>
      <c r="C1974" s="4" t="s">
        <v>12</v>
      </c>
      <c r="D1974" s="4" t="s">
        <v>64</v>
      </c>
      <c r="E1974" s="5">
        <v>112.69750000000001</v>
      </c>
      <c r="F1974" s="5">
        <v>111.3186</v>
      </c>
      <c r="G1974" s="5">
        <v>111.11579999999999</v>
      </c>
      <c r="H1974" s="4">
        <v>0</v>
      </c>
      <c r="I1974" s="6">
        <v>2708120</v>
      </c>
      <c r="J1974" s="7">
        <v>729.54</v>
      </c>
      <c r="K1974" s="9">
        <f>(PricingDataTable[[#This Row],[Current Price ($)]]-PricingDataTable[[#This Row],[Prior Price ($)]])/PricingDataTable[[#This Row],[Prior Price ($)]]</f>
        <v>-1.2235408948734457E-2</v>
      </c>
      <c r="L1974" s="9">
        <f>(PricingDataTable[[#This Row],[Vendor Price ($)]]-PricingDataTable[[#This Row],[Current Price ($)]])/PricingDataTable[[#This Row],[Current Price ($)]]</f>
        <v>-1.8217979744625833E-3</v>
      </c>
      <c r="M1974" t="str">
        <f t="shared" si="60"/>
        <v>PASS</v>
      </c>
      <c r="N1974" s="10" t="str">
        <f t="shared" si="61"/>
        <v>NONE</v>
      </c>
    </row>
    <row r="1975" spans="1:14">
      <c r="A1975" s="4" t="s">
        <v>3966</v>
      </c>
      <c r="B1975" s="4" t="s">
        <v>3967</v>
      </c>
      <c r="C1975" s="4" t="s">
        <v>39</v>
      </c>
      <c r="D1975" s="4" t="s">
        <v>32</v>
      </c>
      <c r="E1975" s="5">
        <v>228.90620000000001</v>
      </c>
      <c r="F1975" s="5">
        <v>232.13390000000001</v>
      </c>
      <c r="G1975" s="5">
        <v>232.60599999999999</v>
      </c>
      <c r="H1975" s="4">
        <v>0</v>
      </c>
      <c r="I1975" s="6">
        <v>929613</v>
      </c>
      <c r="J1975" s="7">
        <v>895.43</v>
      </c>
      <c r="K1975" s="9">
        <f>(PricingDataTable[[#This Row],[Current Price ($)]]-PricingDataTable[[#This Row],[Prior Price ($)]])/PricingDataTable[[#This Row],[Prior Price ($)]]</f>
        <v>1.4100535503188636E-2</v>
      </c>
      <c r="L1975" s="9">
        <f>(PricingDataTable[[#This Row],[Vendor Price ($)]]-PricingDataTable[[#This Row],[Current Price ($)]])/PricingDataTable[[#This Row],[Current Price ($)]]</f>
        <v>2.0337400095375266E-3</v>
      </c>
      <c r="M1975" t="str">
        <f t="shared" si="60"/>
        <v>PASS</v>
      </c>
      <c r="N1975" s="10" t="str">
        <f t="shared" si="61"/>
        <v>NONE</v>
      </c>
    </row>
    <row r="1976" spans="1:14">
      <c r="A1976" s="4" t="s">
        <v>3968</v>
      </c>
      <c r="B1976" s="4" t="s">
        <v>3969</v>
      </c>
      <c r="C1976" s="4" t="s">
        <v>19</v>
      </c>
      <c r="D1976" s="4" t="s">
        <v>32</v>
      </c>
      <c r="E1976" s="5">
        <v>290.74020000000002</v>
      </c>
      <c r="F1976" s="5">
        <v>288.9622</v>
      </c>
      <c r="G1976" s="5">
        <v>288.709</v>
      </c>
      <c r="H1976" s="4">
        <v>0</v>
      </c>
      <c r="I1976" s="6">
        <v>1492639</v>
      </c>
      <c r="J1976" s="7">
        <v>270.48</v>
      </c>
      <c r="K1976" s="9">
        <f>(PricingDataTable[[#This Row],[Current Price ($)]]-PricingDataTable[[#This Row],[Prior Price ($)]])/PricingDataTable[[#This Row],[Prior Price ($)]]</f>
        <v>-6.115425386651106E-3</v>
      </c>
      <c r="L1976" s="9">
        <f>(PricingDataTable[[#This Row],[Vendor Price ($)]]-PricingDataTable[[#This Row],[Current Price ($)]])/PricingDataTable[[#This Row],[Current Price ($)]]</f>
        <v>-8.7623917591986961E-4</v>
      </c>
      <c r="M1976" t="str">
        <f t="shared" si="60"/>
        <v>PASS</v>
      </c>
      <c r="N1976" s="10" t="str">
        <f t="shared" si="61"/>
        <v>NONE</v>
      </c>
    </row>
    <row r="1977" spans="1:14">
      <c r="A1977" s="4" t="s">
        <v>3970</v>
      </c>
      <c r="B1977" s="4" t="s">
        <v>3971</v>
      </c>
      <c r="C1977" s="4" t="s">
        <v>12</v>
      </c>
      <c r="D1977" s="4" t="s">
        <v>13</v>
      </c>
      <c r="E1977" s="5">
        <v>121.2002</v>
      </c>
      <c r="F1977" s="5">
        <v>118.849</v>
      </c>
      <c r="G1977" s="5">
        <v>119.10169999999999</v>
      </c>
      <c r="H1977" s="4">
        <v>0</v>
      </c>
      <c r="I1977" s="6">
        <v>2875002</v>
      </c>
      <c r="J1977" s="7">
        <v>773.96</v>
      </c>
      <c r="K1977" s="9">
        <f>(PricingDataTable[[#This Row],[Current Price ($)]]-PricingDataTable[[#This Row],[Prior Price ($)]])/PricingDataTable[[#This Row],[Prior Price ($)]]</f>
        <v>-1.9399307921934054E-2</v>
      </c>
      <c r="L1977" s="9">
        <f>(PricingDataTable[[#This Row],[Vendor Price ($)]]-PricingDataTable[[#This Row],[Current Price ($)]])/PricingDataTable[[#This Row],[Current Price ($)]]</f>
        <v>2.1262273977903905E-3</v>
      </c>
      <c r="M1977" t="str">
        <f t="shared" si="60"/>
        <v>PASS</v>
      </c>
      <c r="N1977" s="10" t="str">
        <f t="shared" si="61"/>
        <v>NONE</v>
      </c>
    </row>
    <row r="1978" spans="1:14">
      <c r="A1978" s="4" t="s">
        <v>3972</v>
      </c>
      <c r="B1978" s="4" t="s">
        <v>3973</v>
      </c>
      <c r="C1978" s="4" t="s">
        <v>16</v>
      </c>
      <c r="D1978" s="4" t="s">
        <v>13</v>
      </c>
      <c r="E1978" s="5">
        <v>123.7243</v>
      </c>
      <c r="F1978" s="5">
        <v>122.5194</v>
      </c>
      <c r="G1978" s="5">
        <v>122.8125</v>
      </c>
      <c r="H1978" s="4">
        <v>1</v>
      </c>
      <c r="I1978" s="6">
        <v>361799</v>
      </c>
      <c r="J1978" s="7">
        <v>751.46</v>
      </c>
      <c r="K1978" s="9">
        <f>(PricingDataTable[[#This Row],[Current Price ($)]]-PricingDataTable[[#This Row],[Prior Price ($)]])/PricingDataTable[[#This Row],[Prior Price ($)]]</f>
        <v>-9.7385881350712435E-3</v>
      </c>
      <c r="L1978" s="9">
        <f>(PricingDataTable[[#This Row],[Vendor Price ($)]]-PricingDataTable[[#This Row],[Current Price ($)]])/PricingDataTable[[#This Row],[Current Price ($)]]</f>
        <v>2.3922742031057568E-3</v>
      </c>
      <c r="M1978" t="str">
        <f t="shared" si="60"/>
        <v>PASS</v>
      </c>
      <c r="N1978" s="10" t="str">
        <f t="shared" si="61"/>
        <v>NONE</v>
      </c>
    </row>
    <row r="1979" spans="1:14">
      <c r="A1979" s="4" t="s">
        <v>3974</v>
      </c>
      <c r="B1979" s="4" t="s">
        <v>3975</v>
      </c>
      <c r="C1979" s="4" t="s">
        <v>19</v>
      </c>
      <c r="D1979" s="4" t="s">
        <v>32</v>
      </c>
      <c r="E1979" s="5">
        <v>100.41200000000001</v>
      </c>
      <c r="F1979" s="5">
        <v>100.1828</v>
      </c>
      <c r="G1979" s="5">
        <v>100.1704</v>
      </c>
      <c r="H1979" s="4">
        <v>0</v>
      </c>
      <c r="I1979" s="6">
        <v>257449</v>
      </c>
      <c r="J1979" s="7">
        <v>648.95000000000005</v>
      </c>
      <c r="K1979" s="9">
        <f>(PricingDataTable[[#This Row],[Current Price ($)]]-PricingDataTable[[#This Row],[Prior Price ($)]])/PricingDataTable[[#This Row],[Prior Price ($)]]</f>
        <v>-2.2825957056926047E-3</v>
      </c>
      <c r="L1979" s="9">
        <f>(PricingDataTable[[#This Row],[Vendor Price ($)]]-PricingDataTable[[#This Row],[Current Price ($)]])/PricingDataTable[[#This Row],[Current Price ($)]]</f>
        <v>-1.237737416003498E-4</v>
      </c>
      <c r="M1979" t="str">
        <f t="shared" si="60"/>
        <v>PASS</v>
      </c>
      <c r="N1979" s="10" t="str">
        <f t="shared" si="61"/>
        <v>NONE</v>
      </c>
    </row>
    <row r="1980" spans="1:14">
      <c r="A1980" s="4" t="s">
        <v>3976</v>
      </c>
      <c r="B1980" s="4" t="s">
        <v>3977</v>
      </c>
      <c r="C1980" s="4" t="s">
        <v>19</v>
      </c>
      <c r="D1980" s="4" t="s">
        <v>13</v>
      </c>
      <c r="E1980" s="5">
        <v>247.05860000000001</v>
      </c>
      <c r="F1980" s="5">
        <v>243.69810000000001</v>
      </c>
      <c r="G1980" s="5">
        <v>243.78729999999999</v>
      </c>
      <c r="H1980" s="4">
        <v>0</v>
      </c>
      <c r="I1980" s="6">
        <v>1162159</v>
      </c>
      <c r="J1980" s="7">
        <v>113.48</v>
      </c>
      <c r="K1980" s="9">
        <f>(PricingDataTable[[#This Row],[Current Price ($)]]-PricingDataTable[[#This Row],[Prior Price ($)]])/PricingDataTable[[#This Row],[Prior Price ($)]]</f>
        <v>-1.3602036116127921E-2</v>
      </c>
      <c r="L1980" s="9">
        <f>(PricingDataTable[[#This Row],[Vendor Price ($)]]-PricingDataTable[[#This Row],[Current Price ($)]])/PricingDataTable[[#This Row],[Current Price ($)]]</f>
        <v>3.6602665346991564E-4</v>
      </c>
      <c r="M1980" t="str">
        <f t="shared" si="60"/>
        <v>PASS</v>
      </c>
      <c r="N1980" s="10" t="str">
        <f t="shared" si="61"/>
        <v>NONE</v>
      </c>
    </row>
    <row r="1981" spans="1:14">
      <c r="A1981" s="4" t="s">
        <v>3978</v>
      </c>
      <c r="B1981" s="4" t="s">
        <v>3979</v>
      </c>
      <c r="C1981" s="4" t="s">
        <v>19</v>
      </c>
      <c r="D1981" s="4" t="s">
        <v>13</v>
      </c>
      <c r="E1981" s="5">
        <v>149.1063</v>
      </c>
      <c r="F1981" s="5">
        <v>148.62739999999999</v>
      </c>
      <c r="G1981" s="5">
        <v>148.5412</v>
      </c>
      <c r="H1981" s="4">
        <v>0</v>
      </c>
      <c r="I1981" s="6">
        <v>842006</v>
      </c>
      <c r="J1981" s="7">
        <v>610.96</v>
      </c>
      <c r="K1981" s="9">
        <f>(PricingDataTable[[#This Row],[Current Price ($)]]-PricingDataTable[[#This Row],[Prior Price ($)]])/PricingDataTable[[#This Row],[Prior Price ($)]]</f>
        <v>-3.2118025864769635E-3</v>
      </c>
      <c r="L1981" s="9">
        <f>(PricingDataTable[[#This Row],[Vendor Price ($)]]-PricingDataTable[[#This Row],[Current Price ($)]])/PricingDataTable[[#This Row],[Current Price ($)]]</f>
        <v>-5.7997381371127361E-4</v>
      </c>
      <c r="M1981" t="str">
        <f t="shared" si="60"/>
        <v>PASS</v>
      </c>
      <c r="N1981" s="10" t="str">
        <f t="shared" si="61"/>
        <v>NONE</v>
      </c>
    </row>
    <row r="1982" spans="1:14">
      <c r="A1982" s="4" t="s">
        <v>3980</v>
      </c>
      <c r="B1982" s="4" t="s">
        <v>3981</v>
      </c>
      <c r="C1982" s="4" t="s">
        <v>19</v>
      </c>
      <c r="D1982" s="4" t="s">
        <v>36</v>
      </c>
      <c r="E1982" s="5">
        <v>46.867899999999999</v>
      </c>
      <c r="F1982" s="5">
        <v>45.8596</v>
      </c>
      <c r="G1982" s="5">
        <v>45.922699999999999</v>
      </c>
      <c r="H1982" s="4">
        <v>0</v>
      </c>
      <c r="I1982" s="6">
        <v>4795742</v>
      </c>
      <c r="J1982" s="7">
        <v>872.7</v>
      </c>
      <c r="K1982" s="9">
        <f>(PricingDataTable[[#This Row],[Current Price ($)]]-PricingDataTable[[#This Row],[Prior Price ($)]])/PricingDataTable[[#This Row],[Prior Price ($)]]</f>
        <v>-2.151365860215624E-2</v>
      </c>
      <c r="L1982" s="9">
        <f>(PricingDataTable[[#This Row],[Vendor Price ($)]]-PricingDataTable[[#This Row],[Current Price ($)]])/PricingDataTable[[#This Row],[Current Price ($)]]</f>
        <v>1.3759387347468926E-3</v>
      </c>
      <c r="M1982" t="str">
        <f t="shared" si="60"/>
        <v>PASS</v>
      </c>
      <c r="N1982" s="10" t="str">
        <f t="shared" si="61"/>
        <v>NONE</v>
      </c>
    </row>
    <row r="1983" spans="1:14">
      <c r="A1983" s="4" t="s">
        <v>3982</v>
      </c>
      <c r="B1983" s="4" t="s">
        <v>3983</v>
      </c>
      <c r="C1983" s="4" t="s">
        <v>12</v>
      </c>
      <c r="D1983" s="4" t="s">
        <v>13</v>
      </c>
      <c r="E1983" s="5">
        <v>81.293700000000001</v>
      </c>
      <c r="F1983" s="5">
        <v>80.761099999999999</v>
      </c>
      <c r="G1983" s="5">
        <v>80.6511</v>
      </c>
      <c r="H1983" s="4">
        <v>5</v>
      </c>
      <c r="I1983" s="6">
        <v>1373241</v>
      </c>
      <c r="J1983" s="7">
        <v>142.29</v>
      </c>
      <c r="K1983" s="9">
        <f>(PricingDataTable[[#This Row],[Current Price ($)]]-PricingDataTable[[#This Row],[Prior Price ($)]])/PricingDataTable[[#This Row],[Prior Price ($)]]</f>
        <v>-6.5515531953890911E-3</v>
      </c>
      <c r="L1983" s="9">
        <f>(PricingDataTable[[#This Row],[Vendor Price ($)]]-PricingDataTable[[#This Row],[Current Price ($)]])/PricingDataTable[[#This Row],[Current Price ($)]]</f>
        <v>-1.362041874120083E-3</v>
      </c>
      <c r="M1983" t="str">
        <f t="shared" si="60"/>
        <v>STALE</v>
      </c>
      <c r="N1983" s="10" t="str">
        <f t="shared" si="61"/>
        <v>MEDIUM</v>
      </c>
    </row>
    <row r="1984" spans="1:14">
      <c r="A1984" s="4" t="s">
        <v>3984</v>
      </c>
      <c r="B1984" s="4" t="s">
        <v>3985</v>
      </c>
      <c r="C1984" s="4" t="s">
        <v>39</v>
      </c>
      <c r="D1984" s="4" t="s">
        <v>237</v>
      </c>
      <c r="E1984" s="5">
        <v>229.4042</v>
      </c>
      <c r="F1984" s="5">
        <v>228.1369</v>
      </c>
      <c r="G1984" s="5">
        <v>228.77449999999999</v>
      </c>
      <c r="H1984" s="4">
        <v>1</v>
      </c>
      <c r="I1984" s="6">
        <v>2961437</v>
      </c>
      <c r="J1984" s="7">
        <v>224.43</v>
      </c>
      <c r="K1984" s="9">
        <f>(PricingDataTable[[#This Row],[Current Price ($)]]-PricingDataTable[[#This Row],[Prior Price ($)]])/PricingDataTable[[#This Row],[Prior Price ($)]]</f>
        <v>-5.5243103657213154E-3</v>
      </c>
      <c r="L1984" s="9">
        <f>(PricingDataTable[[#This Row],[Vendor Price ($)]]-PricingDataTable[[#This Row],[Current Price ($)]])/PricingDataTable[[#This Row],[Current Price ($)]]</f>
        <v>2.7948131144062706E-3</v>
      </c>
      <c r="M1984" t="str">
        <f t="shared" si="60"/>
        <v>PASS</v>
      </c>
      <c r="N1984" s="10" t="str">
        <f t="shared" si="61"/>
        <v>NONE</v>
      </c>
    </row>
    <row r="1985" spans="1:14">
      <c r="A1985" s="4" t="s">
        <v>3986</v>
      </c>
      <c r="B1985" s="4" t="s">
        <v>3987</v>
      </c>
      <c r="C1985" s="4" t="s">
        <v>39</v>
      </c>
      <c r="D1985" s="4" t="s">
        <v>13</v>
      </c>
      <c r="E1985" s="5">
        <v>271.04860000000002</v>
      </c>
      <c r="F1985" s="5">
        <v>272.47230000000002</v>
      </c>
      <c r="G1985" s="5">
        <v>273.06459999999998</v>
      </c>
      <c r="H1985" s="4">
        <v>0</v>
      </c>
      <c r="I1985" s="6">
        <v>4721836</v>
      </c>
      <c r="J1985" s="7">
        <v>14.51</v>
      </c>
      <c r="K1985" s="9">
        <f>(PricingDataTable[[#This Row],[Current Price ($)]]-PricingDataTable[[#This Row],[Prior Price ($)]])/PricingDataTable[[#This Row],[Prior Price ($)]]</f>
        <v>5.2525635624017112E-3</v>
      </c>
      <c r="L1985" s="9">
        <f>(PricingDataTable[[#This Row],[Vendor Price ($)]]-PricingDataTable[[#This Row],[Current Price ($)]])/PricingDataTable[[#This Row],[Current Price ($)]]</f>
        <v>2.1737989513061183E-3</v>
      </c>
      <c r="M1985" t="str">
        <f t="shared" si="60"/>
        <v>PASS</v>
      </c>
      <c r="N1985" s="10" t="str">
        <f t="shared" si="61"/>
        <v>NONE</v>
      </c>
    </row>
    <row r="1986" spans="1:14">
      <c r="A1986" s="4" t="s">
        <v>3988</v>
      </c>
      <c r="B1986" s="4" t="s">
        <v>3989</v>
      </c>
      <c r="C1986" s="4" t="s">
        <v>16</v>
      </c>
      <c r="D1986" s="4" t="s">
        <v>64</v>
      </c>
      <c r="E1986" s="5">
        <v>95.328999999999994</v>
      </c>
      <c r="F1986" s="5">
        <v>96.415000000000006</v>
      </c>
      <c r="G1986" s="5">
        <v>96.102199999999996</v>
      </c>
      <c r="H1986" s="4">
        <v>0</v>
      </c>
      <c r="I1986" s="6">
        <v>2669406</v>
      </c>
      <c r="J1986" s="7">
        <v>233.97</v>
      </c>
      <c r="K1986" s="9">
        <f>(PricingDataTable[[#This Row],[Current Price ($)]]-PricingDataTable[[#This Row],[Prior Price ($)]])/PricingDataTable[[#This Row],[Prior Price ($)]]</f>
        <v>1.1392126215527414E-2</v>
      </c>
      <c r="L1986" s="9">
        <f>(PricingDataTable[[#This Row],[Vendor Price ($)]]-PricingDataTable[[#This Row],[Current Price ($)]])/PricingDataTable[[#This Row],[Current Price ($)]]</f>
        <v>-3.2443084582275575E-3</v>
      </c>
      <c r="M1986" t="str">
        <f t="shared" ref="M1986:M2049" si="62">IF(OR(F1986="",F1986=0),"MISSING",IF(H1986&gt;=3,"STALE",IF(ABS(K1986)&gt;=5%,"LARGE MOVE",IF(ABS(L1986)&gt;=2%,"VENDOR DIFFERENCE","PASS"))))</f>
        <v>PASS</v>
      </c>
      <c r="N1986" s="10" t="str">
        <f t="shared" ref="N1986:N2049" si="63">IF(M1986="PASS","NONE",IF(M1986="MISSING","HIGH",IF(OR(ABS(K1986)&gt;=10%,ABS(L1986)&gt;=5%),"HIGH",IF(OR(ABS(K1986)&gt;=7%,ABS(L1986)&gt;=3%,H1986&gt;=5),"MEDIUM","LOW"))))</f>
        <v>NONE</v>
      </c>
    </row>
    <row r="1987" spans="1:14">
      <c r="A1987" s="4" t="s">
        <v>3990</v>
      </c>
      <c r="B1987" s="4" t="s">
        <v>3991</v>
      </c>
      <c r="C1987" s="4" t="s">
        <v>19</v>
      </c>
      <c r="D1987" s="4" t="s">
        <v>13</v>
      </c>
      <c r="E1987" s="5">
        <v>144.9889</v>
      </c>
      <c r="F1987" s="5">
        <v>144.02109999999999</v>
      </c>
      <c r="G1987" s="5">
        <v>144.03210000000001</v>
      </c>
      <c r="H1987" s="4">
        <v>0</v>
      </c>
      <c r="I1987" s="6">
        <v>2246122</v>
      </c>
      <c r="J1987" s="7">
        <v>851.49</v>
      </c>
      <c r="K1987" s="9">
        <f>(PricingDataTable[[#This Row],[Current Price ($)]]-PricingDataTable[[#This Row],[Prior Price ($)]])/PricingDataTable[[#This Row],[Prior Price ($)]]</f>
        <v>-6.6749937409002419E-3</v>
      </c>
      <c r="L1987" s="9">
        <f>(PricingDataTable[[#This Row],[Vendor Price ($)]]-PricingDataTable[[#This Row],[Current Price ($)]])/PricingDataTable[[#This Row],[Current Price ($)]]</f>
        <v>7.6377697434779366E-5</v>
      </c>
      <c r="M1987" t="str">
        <f t="shared" si="62"/>
        <v>PASS</v>
      </c>
      <c r="N1987" s="10" t="str">
        <f t="shared" si="63"/>
        <v>NONE</v>
      </c>
    </row>
    <row r="1988" spans="1:14">
      <c r="A1988" s="4" t="s">
        <v>3992</v>
      </c>
      <c r="B1988" s="4" t="s">
        <v>3993</v>
      </c>
      <c r="C1988" s="4" t="s">
        <v>19</v>
      </c>
      <c r="D1988" s="4" t="s">
        <v>237</v>
      </c>
      <c r="E1988" s="5">
        <v>241.8972</v>
      </c>
      <c r="F1988" s="5">
        <v>241.43389999999999</v>
      </c>
      <c r="G1988" s="5">
        <v>241.51769999999999</v>
      </c>
      <c r="H1988" s="4">
        <v>1</v>
      </c>
      <c r="I1988" s="6">
        <v>2909830</v>
      </c>
      <c r="J1988" s="7">
        <v>157.22999999999999</v>
      </c>
      <c r="K1988" s="9">
        <f>(PricingDataTable[[#This Row],[Current Price ($)]]-PricingDataTable[[#This Row],[Prior Price ($)]])/PricingDataTable[[#This Row],[Prior Price ($)]]</f>
        <v>-1.915276406671941E-3</v>
      </c>
      <c r="L1988" s="9">
        <f>(PricingDataTable[[#This Row],[Vendor Price ($)]]-PricingDataTable[[#This Row],[Current Price ($)]])/PricingDataTable[[#This Row],[Current Price ($)]]</f>
        <v>3.4709293102582758E-4</v>
      </c>
      <c r="M1988" t="str">
        <f t="shared" si="62"/>
        <v>PASS</v>
      </c>
      <c r="N1988" s="10" t="str">
        <f t="shared" si="63"/>
        <v>NONE</v>
      </c>
    </row>
    <row r="1989" spans="1:14">
      <c r="A1989" s="4" t="s">
        <v>3994</v>
      </c>
      <c r="B1989" s="4" t="s">
        <v>3995</v>
      </c>
      <c r="C1989" s="4" t="s">
        <v>12</v>
      </c>
      <c r="D1989" s="4" t="s">
        <v>13</v>
      </c>
      <c r="E1989" s="5">
        <v>84.906400000000005</v>
      </c>
      <c r="F1989" s="5">
        <v>85.795199999999994</v>
      </c>
      <c r="G1989" s="5">
        <v>85.369399999999999</v>
      </c>
      <c r="H1989" s="4">
        <v>0</v>
      </c>
      <c r="I1989" s="6">
        <v>2086006</v>
      </c>
      <c r="J1989" s="7">
        <v>566.24</v>
      </c>
      <c r="K1989" s="9">
        <f>(PricingDataTable[[#This Row],[Current Price ($)]]-PricingDataTable[[#This Row],[Prior Price ($)]])/PricingDataTable[[#This Row],[Prior Price ($)]]</f>
        <v>1.0467997700997676E-2</v>
      </c>
      <c r="L1989" s="9">
        <f>(PricingDataTable[[#This Row],[Vendor Price ($)]]-PricingDataTable[[#This Row],[Current Price ($)]])/PricingDataTable[[#This Row],[Current Price ($)]]</f>
        <v>-4.9629816120248605E-3</v>
      </c>
      <c r="M1989" t="str">
        <f t="shared" si="62"/>
        <v>PASS</v>
      </c>
      <c r="N1989" s="10" t="str">
        <f t="shared" si="63"/>
        <v>NONE</v>
      </c>
    </row>
    <row r="1990" spans="1:14">
      <c r="A1990" s="4" t="s">
        <v>3996</v>
      </c>
      <c r="B1990" s="4" t="s">
        <v>3997</v>
      </c>
      <c r="C1990" s="4" t="s">
        <v>19</v>
      </c>
      <c r="D1990" s="4" t="s">
        <v>237</v>
      </c>
      <c r="E1990" s="5">
        <v>152.7004</v>
      </c>
      <c r="F1990" s="5">
        <v>153.62440000000001</v>
      </c>
      <c r="G1990" s="5">
        <v>153.79650000000001</v>
      </c>
      <c r="H1990" s="4">
        <v>0</v>
      </c>
      <c r="I1990" s="6">
        <v>1602195</v>
      </c>
      <c r="J1990" s="7">
        <v>643.17999999999995</v>
      </c>
      <c r="K1990" s="9">
        <f>(PricingDataTable[[#This Row],[Current Price ($)]]-PricingDataTable[[#This Row],[Prior Price ($)]])/PricingDataTable[[#This Row],[Prior Price ($)]]</f>
        <v>6.0510646992411711E-3</v>
      </c>
      <c r="L1990" s="9">
        <f>(PricingDataTable[[#This Row],[Vendor Price ($)]]-PricingDataTable[[#This Row],[Current Price ($)]])/PricingDataTable[[#This Row],[Current Price ($)]]</f>
        <v>1.1202647496100903E-3</v>
      </c>
      <c r="M1990" t="str">
        <f t="shared" si="62"/>
        <v>PASS</v>
      </c>
      <c r="N1990" s="10" t="str">
        <f t="shared" si="63"/>
        <v>NONE</v>
      </c>
    </row>
    <row r="1991" spans="1:14">
      <c r="A1991" s="4" t="s">
        <v>3998</v>
      </c>
      <c r="B1991" s="4" t="s">
        <v>3999</v>
      </c>
      <c r="C1991" s="4" t="s">
        <v>19</v>
      </c>
      <c r="D1991" s="4" t="s">
        <v>13</v>
      </c>
      <c r="E1991" s="5">
        <v>23.3293</v>
      </c>
      <c r="F1991" s="5">
        <v>23.573499999999999</v>
      </c>
      <c r="G1991" s="5">
        <v>23.537400000000002</v>
      </c>
      <c r="H1991" s="4">
        <v>0</v>
      </c>
      <c r="I1991" s="6">
        <v>754082</v>
      </c>
      <c r="J1991" s="7">
        <v>329.2</v>
      </c>
      <c r="K1991" s="9">
        <f>(PricingDataTable[[#This Row],[Current Price ($)]]-PricingDataTable[[#This Row],[Prior Price ($)]])/PricingDataTable[[#This Row],[Prior Price ($)]]</f>
        <v>1.0467523671948979E-2</v>
      </c>
      <c r="L1991" s="9">
        <f>(PricingDataTable[[#This Row],[Vendor Price ($)]]-PricingDataTable[[#This Row],[Current Price ($)]])/PricingDataTable[[#This Row],[Current Price ($)]]</f>
        <v>-1.5313805756462799E-3</v>
      </c>
      <c r="M1991" t="str">
        <f t="shared" si="62"/>
        <v>PASS</v>
      </c>
      <c r="N1991" s="10" t="str">
        <f t="shared" si="63"/>
        <v>NONE</v>
      </c>
    </row>
    <row r="1992" spans="1:14">
      <c r="A1992" s="4" t="s">
        <v>4000</v>
      </c>
      <c r="B1992" s="4" t="s">
        <v>4001</v>
      </c>
      <c r="C1992" s="4" t="s">
        <v>16</v>
      </c>
      <c r="D1992" s="4" t="s">
        <v>13</v>
      </c>
      <c r="E1992" s="5">
        <v>115.1986</v>
      </c>
      <c r="F1992" s="5">
        <v>116.24630000000001</v>
      </c>
      <c r="G1992" s="5">
        <v>116.1713</v>
      </c>
      <c r="H1992" s="4">
        <v>0</v>
      </c>
      <c r="I1992" s="6">
        <v>2510483</v>
      </c>
      <c r="J1992" s="7">
        <v>851.68</v>
      </c>
      <c r="K1992" s="9">
        <f>(PricingDataTable[[#This Row],[Current Price ($)]]-PricingDataTable[[#This Row],[Prior Price ($)]])/PricingDataTable[[#This Row],[Prior Price ($)]]</f>
        <v>9.0947285817710114E-3</v>
      </c>
      <c r="L1992" s="9">
        <f>(PricingDataTable[[#This Row],[Vendor Price ($)]]-PricingDataTable[[#This Row],[Current Price ($)]])/PricingDataTable[[#This Row],[Current Price ($)]]</f>
        <v>-6.4518182514198598E-4</v>
      </c>
      <c r="M1992" t="str">
        <f t="shared" si="62"/>
        <v>PASS</v>
      </c>
      <c r="N1992" s="10" t="str">
        <f t="shared" si="63"/>
        <v>NONE</v>
      </c>
    </row>
    <row r="1993" spans="1:14">
      <c r="A1993" s="4" t="s">
        <v>4002</v>
      </c>
      <c r="B1993" s="4" t="s">
        <v>4003</v>
      </c>
      <c r="C1993" s="4" t="s">
        <v>19</v>
      </c>
      <c r="D1993" s="4" t="s">
        <v>13</v>
      </c>
      <c r="E1993" s="5">
        <v>61.444099999999999</v>
      </c>
      <c r="F1993" s="5">
        <v>62.003799999999998</v>
      </c>
      <c r="G1993" s="5">
        <v>61.665999999999997</v>
      </c>
      <c r="H1993" s="4">
        <v>1</v>
      </c>
      <c r="I1993" s="6">
        <v>4336840</v>
      </c>
      <c r="J1993" s="7">
        <v>68.02</v>
      </c>
      <c r="K1993" s="9">
        <f>(PricingDataTable[[#This Row],[Current Price ($)]]-PricingDataTable[[#This Row],[Prior Price ($)]])/PricingDataTable[[#This Row],[Prior Price ($)]]</f>
        <v>9.1090926549497742E-3</v>
      </c>
      <c r="L1993" s="9">
        <f>(PricingDataTable[[#This Row],[Vendor Price ($)]]-PricingDataTable[[#This Row],[Current Price ($)]])/PricingDataTable[[#This Row],[Current Price ($)]]</f>
        <v>-5.448053183837143E-3</v>
      </c>
      <c r="M1993" t="str">
        <f t="shared" si="62"/>
        <v>PASS</v>
      </c>
      <c r="N1993" s="10" t="str">
        <f t="shared" si="63"/>
        <v>NONE</v>
      </c>
    </row>
    <row r="1994" spans="1:14">
      <c r="A1994" s="4" t="s">
        <v>4004</v>
      </c>
      <c r="B1994" s="4" t="s">
        <v>4005</v>
      </c>
      <c r="C1994" s="4" t="s">
        <v>39</v>
      </c>
      <c r="D1994" s="4" t="s">
        <v>32</v>
      </c>
      <c r="E1994" s="5">
        <v>310.98669999999998</v>
      </c>
      <c r="F1994" s="5">
        <v>313.82859999999999</v>
      </c>
      <c r="G1994" s="5">
        <v>313.33080000000001</v>
      </c>
      <c r="H1994" s="4">
        <v>0</v>
      </c>
      <c r="I1994" s="6">
        <v>574626</v>
      </c>
      <c r="J1994" s="7">
        <v>554.9</v>
      </c>
      <c r="K1994" s="9">
        <f>(PricingDataTable[[#This Row],[Current Price ($)]]-PricingDataTable[[#This Row],[Prior Price ($)]])/PricingDataTable[[#This Row],[Prior Price ($)]]</f>
        <v>9.1383329254916996E-3</v>
      </c>
      <c r="L1994" s="9">
        <f>(PricingDataTable[[#This Row],[Vendor Price ($)]]-PricingDataTable[[#This Row],[Current Price ($)]])/PricingDataTable[[#This Row],[Current Price ($)]]</f>
        <v>-1.5862161702279009E-3</v>
      </c>
      <c r="M1994" t="str">
        <f t="shared" si="62"/>
        <v>PASS</v>
      </c>
      <c r="N1994" s="10" t="str">
        <f t="shared" si="63"/>
        <v>NONE</v>
      </c>
    </row>
    <row r="1995" spans="1:14">
      <c r="A1995" s="4" t="s">
        <v>4006</v>
      </c>
      <c r="B1995" s="4" t="s">
        <v>4007</v>
      </c>
      <c r="C1995" s="4" t="s">
        <v>19</v>
      </c>
      <c r="D1995" s="4" t="s">
        <v>13</v>
      </c>
      <c r="E1995" s="5">
        <v>266.70609999999999</v>
      </c>
      <c r="F1995" s="5">
        <v>261.80090000000001</v>
      </c>
      <c r="G1995" s="5">
        <v>263.29489999999998</v>
      </c>
      <c r="H1995" s="4">
        <v>1</v>
      </c>
      <c r="I1995" s="6">
        <v>1103774</v>
      </c>
      <c r="J1995" s="7">
        <v>882.6</v>
      </c>
      <c r="K1995" s="9">
        <f>(PricingDataTable[[#This Row],[Current Price ($)]]-PricingDataTable[[#This Row],[Prior Price ($)]])/PricingDataTable[[#This Row],[Prior Price ($)]]</f>
        <v>-1.8391780315485769E-2</v>
      </c>
      <c r="L1995" s="9">
        <f>(PricingDataTable[[#This Row],[Vendor Price ($)]]-PricingDataTable[[#This Row],[Current Price ($)]])/PricingDataTable[[#This Row],[Current Price ($)]]</f>
        <v>5.7066266769899236E-3</v>
      </c>
      <c r="M1995" t="str">
        <f t="shared" si="62"/>
        <v>PASS</v>
      </c>
      <c r="N1995" s="10" t="str">
        <f t="shared" si="63"/>
        <v>NONE</v>
      </c>
    </row>
    <row r="1996" spans="1:14">
      <c r="A1996" s="4" t="s">
        <v>4008</v>
      </c>
      <c r="B1996" s="4" t="s">
        <v>4009</v>
      </c>
      <c r="C1996" s="4" t="s">
        <v>19</v>
      </c>
      <c r="D1996" s="4" t="s">
        <v>32</v>
      </c>
      <c r="E1996" s="5">
        <v>49.151000000000003</v>
      </c>
      <c r="F1996" s="5">
        <v>48.186799999999998</v>
      </c>
      <c r="G1996" s="5">
        <v>48.335700000000003</v>
      </c>
      <c r="H1996" s="4">
        <v>0</v>
      </c>
      <c r="I1996" s="6">
        <v>3629704</v>
      </c>
      <c r="J1996" s="7">
        <v>213.85</v>
      </c>
      <c r="K1996" s="9">
        <f>(PricingDataTable[[#This Row],[Current Price ($)]]-PricingDataTable[[#This Row],[Prior Price ($)]])/PricingDataTable[[#This Row],[Prior Price ($)]]</f>
        <v>-1.9617098329637345E-2</v>
      </c>
      <c r="L1996" s="9">
        <f>(PricingDataTable[[#This Row],[Vendor Price ($)]]-PricingDataTable[[#This Row],[Current Price ($)]])/PricingDataTable[[#This Row],[Current Price ($)]]</f>
        <v>3.0900578581687247E-3</v>
      </c>
      <c r="M1996" t="str">
        <f t="shared" si="62"/>
        <v>PASS</v>
      </c>
      <c r="N1996" s="10" t="str">
        <f t="shared" si="63"/>
        <v>NONE</v>
      </c>
    </row>
    <row r="1997" spans="1:14">
      <c r="A1997" s="4" t="s">
        <v>4010</v>
      </c>
      <c r="B1997" s="4" t="s">
        <v>4011</v>
      </c>
      <c r="C1997" s="4" t="s">
        <v>39</v>
      </c>
      <c r="D1997" s="4" t="s">
        <v>13</v>
      </c>
      <c r="E1997" s="5">
        <v>157.04990000000001</v>
      </c>
      <c r="F1997" s="5">
        <v>157.5419</v>
      </c>
      <c r="G1997" s="5">
        <v>157.60290000000001</v>
      </c>
      <c r="H1997" s="4">
        <v>0</v>
      </c>
      <c r="I1997" s="6">
        <v>3524441</v>
      </c>
      <c r="J1997" s="7">
        <v>536.16</v>
      </c>
      <c r="K1997" s="9">
        <f>(PricingDataTable[[#This Row],[Current Price ($)]]-PricingDataTable[[#This Row],[Prior Price ($)]])/PricingDataTable[[#This Row],[Prior Price ($)]]</f>
        <v>3.1327622621853957E-3</v>
      </c>
      <c r="L1997" s="9">
        <f>(PricingDataTable[[#This Row],[Vendor Price ($)]]-PricingDataTable[[#This Row],[Current Price ($)]])/PricingDataTable[[#This Row],[Current Price ($)]]</f>
        <v>3.871985801872838E-4</v>
      </c>
      <c r="M1997" t="str">
        <f t="shared" si="62"/>
        <v>PASS</v>
      </c>
      <c r="N1997" s="10" t="str">
        <f t="shared" si="63"/>
        <v>NONE</v>
      </c>
    </row>
    <row r="1998" spans="1:14">
      <c r="A1998" s="4" t="s">
        <v>4012</v>
      </c>
      <c r="B1998" s="4" t="s">
        <v>4013</v>
      </c>
      <c r="C1998" s="4" t="s">
        <v>19</v>
      </c>
      <c r="D1998" s="4" t="s">
        <v>13</v>
      </c>
      <c r="E1998" s="5">
        <v>244.91380000000001</v>
      </c>
      <c r="F1998" s="5">
        <v>239.17599999999999</v>
      </c>
      <c r="G1998" s="5">
        <v>239.91820000000001</v>
      </c>
      <c r="H1998" s="4">
        <v>0</v>
      </c>
      <c r="I1998" s="6">
        <v>2387807</v>
      </c>
      <c r="J1998" s="7">
        <v>688.81</v>
      </c>
      <c r="K1998" s="9">
        <f>(PricingDataTable[[#This Row],[Current Price ($)]]-PricingDataTable[[#This Row],[Prior Price ($)]])/PricingDataTable[[#This Row],[Prior Price ($)]]</f>
        <v>-2.3427834609564758E-2</v>
      </c>
      <c r="L1998" s="9">
        <f>(PricingDataTable[[#This Row],[Vendor Price ($)]]-PricingDataTable[[#This Row],[Current Price ($)]])/PricingDataTable[[#This Row],[Current Price ($)]]</f>
        <v>3.1031541626251186E-3</v>
      </c>
      <c r="M1998" t="str">
        <f t="shared" si="62"/>
        <v>PASS</v>
      </c>
      <c r="N1998" s="10" t="str">
        <f t="shared" si="63"/>
        <v>NONE</v>
      </c>
    </row>
    <row r="1999" spans="1:14">
      <c r="A1999" s="4" t="s">
        <v>4014</v>
      </c>
      <c r="B1999" s="4" t="s">
        <v>4015</v>
      </c>
      <c r="C1999" s="4" t="s">
        <v>39</v>
      </c>
      <c r="D1999" s="4" t="s">
        <v>32</v>
      </c>
      <c r="E1999" s="5">
        <v>213.1643</v>
      </c>
      <c r="F1999" s="5">
        <v>210.10650000000001</v>
      </c>
      <c r="G1999" s="5">
        <v>210.17490000000001</v>
      </c>
      <c r="H1999" s="4">
        <v>0</v>
      </c>
      <c r="I1999" s="6">
        <v>3278757</v>
      </c>
      <c r="J1999" s="7">
        <v>590.87</v>
      </c>
      <c r="K1999" s="9">
        <f>(PricingDataTable[[#This Row],[Current Price ($)]]-PricingDataTable[[#This Row],[Prior Price ($)]])/PricingDataTable[[#This Row],[Prior Price ($)]]</f>
        <v>-1.4344803515410348E-2</v>
      </c>
      <c r="L1999" s="9">
        <f>(PricingDataTable[[#This Row],[Vendor Price ($)]]-PricingDataTable[[#This Row],[Current Price ($)]])/PricingDataTable[[#This Row],[Current Price ($)]]</f>
        <v>3.2554918577005901E-4</v>
      </c>
      <c r="M1999" t="str">
        <f t="shared" si="62"/>
        <v>PASS</v>
      </c>
      <c r="N1999" s="10" t="str">
        <f t="shared" si="63"/>
        <v>NONE</v>
      </c>
    </row>
    <row r="2000" spans="1:14">
      <c r="A2000" s="4" t="s">
        <v>4016</v>
      </c>
      <c r="B2000" s="4" t="s">
        <v>4017</v>
      </c>
      <c r="C2000" s="4" t="s">
        <v>16</v>
      </c>
      <c r="D2000" s="4" t="s">
        <v>13</v>
      </c>
      <c r="E2000" s="5">
        <v>123.3443</v>
      </c>
      <c r="F2000" s="5">
        <v>121.53700000000001</v>
      </c>
      <c r="G2000" s="5">
        <v>121.61279999999999</v>
      </c>
      <c r="H2000" s="4">
        <v>1</v>
      </c>
      <c r="I2000" s="6">
        <v>384744</v>
      </c>
      <c r="J2000" s="7">
        <v>893.71</v>
      </c>
      <c r="K2000" s="9">
        <f>(PricingDataTable[[#This Row],[Current Price ($)]]-PricingDataTable[[#This Row],[Prior Price ($)]])/PricingDataTable[[#This Row],[Prior Price ($)]]</f>
        <v>-1.4652480901022568E-2</v>
      </c>
      <c r="L2000" s="9">
        <f>(PricingDataTable[[#This Row],[Vendor Price ($)]]-PricingDataTable[[#This Row],[Current Price ($)]])/PricingDataTable[[#This Row],[Current Price ($)]]</f>
        <v>6.2367838600579874E-4</v>
      </c>
      <c r="M2000" t="str">
        <f t="shared" si="62"/>
        <v>PASS</v>
      </c>
      <c r="N2000" s="10" t="str">
        <f t="shared" si="63"/>
        <v>NONE</v>
      </c>
    </row>
    <row r="2001" spans="1:14">
      <c r="A2001" s="4" t="s">
        <v>4018</v>
      </c>
      <c r="B2001" s="4" t="s">
        <v>4019</v>
      </c>
      <c r="C2001" s="4" t="s">
        <v>12</v>
      </c>
      <c r="D2001" s="4" t="s">
        <v>13</v>
      </c>
      <c r="E2001" s="5">
        <v>124.663</v>
      </c>
      <c r="F2001" s="5">
        <v>124.7649</v>
      </c>
      <c r="G2001" s="5">
        <v>124.30159999999999</v>
      </c>
      <c r="H2001" s="4">
        <v>0</v>
      </c>
      <c r="I2001" s="6">
        <v>4096948</v>
      </c>
      <c r="J2001" s="7">
        <v>141.1</v>
      </c>
      <c r="K2001" s="9">
        <f>(PricingDataTable[[#This Row],[Current Price ($)]]-PricingDataTable[[#This Row],[Prior Price ($)]])/PricingDataTable[[#This Row],[Prior Price ($)]]</f>
        <v>8.1740372043028441E-4</v>
      </c>
      <c r="L2001" s="9">
        <f>(PricingDataTable[[#This Row],[Vendor Price ($)]]-PricingDataTable[[#This Row],[Current Price ($)]])/PricingDataTable[[#This Row],[Current Price ($)]]</f>
        <v>-3.713384132877146E-3</v>
      </c>
      <c r="M2001" t="str">
        <f t="shared" si="62"/>
        <v>PASS</v>
      </c>
      <c r="N2001" s="10" t="str">
        <f t="shared" si="63"/>
        <v>NONE</v>
      </c>
    </row>
    <row r="2002" spans="1:14">
      <c r="A2002" s="4" t="s">
        <v>4020</v>
      </c>
      <c r="B2002" s="4" t="s">
        <v>4021</v>
      </c>
      <c r="C2002" s="4" t="s">
        <v>19</v>
      </c>
      <c r="D2002" s="4" t="s">
        <v>13</v>
      </c>
      <c r="E2002" s="5">
        <v>303.76220000000001</v>
      </c>
      <c r="F2002" s="5">
        <v>298.88490000000002</v>
      </c>
      <c r="G2002" s="5">
        <v>299.29629999999997</v>
      </c>
      <c r="H2002" s="4">
        <v>0</v>
      </c>
      <c r="I2002" s="6">
        <v>242409</v>
      </c>
      <c r="J2002" s="7">
        <v>863.49</v>
      </c>
      <c r="K2002" s="9">
        <f>(PricingDataTable[[#This Row],[Current Price ($)]]-PricingDataTable[[#This Row],[Prior Price ($)]])/PricingDataTable[[#This Row],[Prior Price ($)]]</f>
        <v>-1.6056309837102808E-2</v>
      </c>
      <c r="L2002" s="9">
        <f>(PricingDataTable[[#This Row],[Vendor Price ($)]]-PricingDataTable[[#This Row],[Current Price ($)]])/PricingDataTable[[#This Row],[Current Price ($)]]</f>
        <v>1.3764495964833211E-3</v>
      </c>
      <c r="M2002" t="str">
        <f t="shared" si="62"/>
        <v>PASS</v>
      </c>
      <c r="N2002" s="10" t="str">
        <f t="shared" si="63"/>
        <v>NONE</v>
      </c>
    </row>
    <row r="2003" spans="1:14">
      <c r="A2003" s="4" t="s">
        <v>4022</v>
      </c>
      <c r="B2003" s="4" t="s">
        <v>4023</v>
      </c>
      <c r="C2003" s="4" t="s">
        <v>39</v>
      </c>
      <c r="D2003" s="4" t="s">
        <v>13</v>
      </c>
      <c r="E2003" s="5">
        <v>333.6866</v>
      </c>
      <c r="F2003" s="5">
        <v>328.32220000000001</v>
      </c>
      <c r="G2003" s="5">
        <v>328.15179999999998</v>
      </c>
      <c r="H2003" s="4">
        <v>0</v>
      </c>
      <c r="I2003" s="6">
        <v>4603197</v>
      </c>
      <c r="J2003" s="7">
        <v>184.14</v>
      </c>
      <c r="K2003" s="9">
        <f>(PricingDataTable[[#This Row],[Current Price ($)]]-PricingDataTable[[#This Row],[Prior Price ($)]])/PricingDataTable[[#This Row],[Prior Price ($)]]</f>
        <v>-1.6076162483000485E-2</v>
      </c>
      <c r="L2003" s="9">
        <f>(PricingDataTable[[#This Row],[Vendor Price ($)]]-PricingDataTable[[#This Row],[Current Price ($)]])/PricingDataTable[[#This Row],[Current Price ($)]]</f>
        <v>-5.1900237023274449E-4</v>
      </c>
      <c r="M2003" t="str">
        <f t="shared" si="62"/>
        <v>PASS</v>
      </c>
      <c r="N2003" s="10" t="str">
        <f t="shared" si="63"/>
        <v>NONE</v>
      </c>
    </row>
    <row r="2004" spans="1:14">
      <c r="A2004" s="4" t="s">
        <v>4024</v>
      </c>
      <c r="B2004" s="4" t="s">
        <v>4025</v>
      </c>
      <c r="C2004" s="4" t="s">
        <v>19</v>
      </c>
      <c r="D2004" s="4" t="s">
        <v>13</v>
      </c>
      <c r="E2004" s="5">
        <v>200.99010000000001</v>
      </c>
      <c r="F2004" s="5">
        <v>203.19900000000001</v>
      </c>
      <c r="G2004" s="5">
        <v>202.9933</v>
      </c>
      <c r="H2004" s="4">
        <v>0</v>
      </c>
      <c r="I2004" s="6">
        <v>4123358</v>
      </c>
      <c r="J2004" s="7">
        <v>803.92</v>
      </c>
      <c r="K2004" s="9">
        <f>(PricingDataTable[[#This Row],[Current Price ($)]]-PricingDataTable[[#This Row],[Prior Price ($)]])/PricingDataTable[[#This Row],[Prior Price ($)]]</f>
        <v>1.0990093541920719E-2</v>
      </c>
      <c r="L2004" s="9">
        <f>(PricingDataTable[[#This Row],[Vendor Price ($)]]-PricingDataTable[[#This Row],[Current Price ($)]])/PricingDataTable[[#This Row],[Current Price ($)]]</f>
        <v>-1.0123081314376908E-3</v>
      </c>
      <c r="M2004" t="str">
        <f t="shared" si="62"/>
        <v>PASS</v>
      </c>
      <c r="N2004" s="10" t="str">
        <f t="shared" si="63"/>
        <v>NONE</v>
      </c>
    </row>
    <row r="2005" spans="1:14">
      <c r="A2005" s="4" t="s">
        <v>4026</v>
      </c>
      <c r="B2005" s="4" t="s">
        <v>4027</v>
      </c>
      <c r="C2005" s="4" t="s">
        <v>19</v>
      </c>
      <c r="D2005" s="4" t="s">
        <v>13</v>
      </c>
      <c r="E2005" s="5">
        <v>128.07419999999999</v>
      </c>
      <c r="F2005" s="5">
        <v>126.931</v>
      </c>
      <c r="G2005" s="5">
        <v>126.7037</v>
      </c>
      <c r="H2005" s="4">
        <v>0</v>
      </c>
      <c r="I2005" s="6">
        <v>3682722</v>
      </c>
      <c r="J2005" s="7">
        <v>188.72</v>
      </c>
      <c r="K2005" s="9">
        <f>(PricingDataTable[[#This Row],[Current Price ($)]]-PricingDataTable[[#This Row],[Prior Price ($)]])/PricingDataTable[[#This Row],[Prior Price ($)]]</f>
        <v>-8.926075665512595E-3</v>
      </c>
      <c r="L2005" s="9">
        <f>(PricingDataTable[[#This Row],[Vendor Price ($)]]-PricingDataTable[[#This Row],[Current Price ($)]])/PricingDataTable[[#This Row],[Current Price ($)]]</f>
        <v>-1.7907366994666363E-3</v>
      </c>
      <c r="M2005" t="str">
        <f t="shared" si="62"/>
        <v>PASS</v>
      </c>
      <c r="N2005" s="10" t="str">
        <f t="shared" si="63"/>
        <v>NONE</v>
      </c>
    </row>
    <row r="2006" spans="1:14">
      <c r="A2006" s="4" t="s">
        <v>4028</v>
      </c>
      <c r="B2006" s="4" t="s">
        <v>4029</v>
      </c>
      <c r="C2006" s="4" t="s">
        <v>12</v>
      </c>
      <c r="D2006" s="4" t="s">
        <v>13</v>
      </c>
      <c r="E2006" s="5">
        <v>101.4628</v>
      </c>
      <c r="F2006" s="5">
        <v>102.71299999999999</v>
      </c>
      <c r="G2006" s="5">
        <v>102.6345</v>
      </c>
      <c r="H2006" s="4">
        <v>1</v>
      </c>
      <c r="I2006" s="6">
        <v>2030658</v>
      </c>
      <c r="J2006" s="7">
        <v>16.78</v>
      </c>
      <c r="K2006" s="9">
        <f>(PricingDataTable[[#This Row],[Current Price ($)]]-PricingDataTable[[#This Row],[Prior Price ($)]])/PricingDataTable[[#This Row],[Prior Price ($)]]</f>
        <v>1.2321757333722235E-2</v>
      </c>
      <c r="L2006" s="9">
        <f>(PricingDataTable[[#This Row],[Vendor Price ($)]]-PricingDataTable[[#This Row],[Current Price ($)]])/PricingDataTable[[#This Row],[Current Price ($)]]</f>
        <v>-7.6426547759281824E-4</v>
      </c>
      <c r="M2006" t="str">
        <f t="shared" si="62"/>
        <v>PASS</v>
      </c>
      <c r="N2006" s="10" t="str">
        <f t="shared" si="63"/>
        <v>NONE</v>
      </c>
    </row>
    <row r="2007" spans="1:14">
      <c r="A2007" s="4" t="s">
        <v>4030</v>
      </c>
      <c r="B2007" s="4" t="s">
        <v>4031</v>
      </c>
      <c r="C2007" s="4" t="s">
        <v>16</v>
      </c>
      <c r="D2007" s="4" t="s">
        <v>13</v>
      </c>
      <c r="E2007" s="5">
        <v>99.051599999999993</v>
      </c>
      <c r="F2007" s="5">
        <v>98.461699999999993</v>
      </c>
      <c r="G2007" s="5">
        <v>98.366200000000006</v>
      </c>
      <c r="H2007" s="4">
        <v>0</v>
      </c>
      <c r="I2007" s="6">
        <v>869190</v>
      </c>
      <c r="J2007" s="7">
        <v>129.38999999999999</v>
      </c>
      <c r="K2007" s="9">
        <f>(PricingDataTable[[#This Row],[Current Price ($)]]-PricingDataTable[[#This Row],[Prior Price ($)]])/PricingDataTable[[#This Row],[Prior Price ($)]]</f>
        <v>-5.9554817892896244E-3</v>
      </c>
      <c r="L2007" s="9">
        <f>(PricingDataTable[[#This Row],[Vendor Price ($)]]-PricingDataTable[[#This Row],[Current Price ($)]])/PricingDataTable[[#This Row],[Current Price ($)]]</f>
        <v>-9.69920283724403E-4</v>
      </c>
      <c r="M2007" t="str">
        <f t="shared" si="62"/>
        <v>PASS</v>
      </c>
      <c r="N2007" s="10" t="str">
        <f t="shared" si="63"/>
        <v>NONE</v>
      </c>
    </row>
    <row r="2008" spans="1:14">
      <c r="A2008" s="4" t="s">
        <v>4032</v>
      </c>
      <c r="B2008" s="4" t="s">
        <v>4033</v>
      </c>
      <c r="C2008" s="4" t="s">
        <v>19</v>
      </c>
      <c r="D2008" s="4" t="s">
        <v>13</v>
      </c>
      <c r="E2008" s="5">
        <v>287.77809999999999</v>
      </c>
      <c r="F2008" s="5">
        <v>287.38420000000002</v>
      </c>
      <c r="G2008" s="5">
        <v>287.54579999999999</v>
      </c>
      <c r="H2008" s="4">
        <v>0</v>
      </c>
      <c r="I2008" s="6">
        <v>306999</v>
      </c>
      <c r="J2008" s="7">
        <v>599.29</v>
      </c>
      <c r="K2008" s="9">
        <f>(PricingDataTable[[#This Row],[Current Price ($)]]-PricingDataTable[[#This Row],[Prior Price ($)]])/PricingDataTable[[#This Row],[Prior Price ($)]]</f>
        <v>-1.3687629461726716E-3</v>
      </c>
      <c r="L2008" s="9">
        <f>(PricingDataTable[[#This Row],[Vendor Price ($)]]-PricingDataTable[[#This Row],[Current Price ($)]])/PricingDataTable[[#This Row],[Current Price ($)]]</f>
        <v>5.6231344659854097E-4</v>
      </c>
      <c r="M2008" t="str">
        <f t="shared" si="62"/>
        <v>PASS</v>
      </c>
      <c r="N2008" s="10" t="str">
        <f t="shared" si="63"/>
        <v>NONE</v>
      </c>
    </row>
    <row r="2009" spans="1:14">
      <c r="A2009" s="4" t="s">
        <v>4034</v>
      </c>
      <c r="B2009" s="4" t="s">
        <v>4035</v>
      </c>
      <c r="C2009" s="4" t="s">
        <v>39</v>
      </c>
      <c r="D2009" s="4" t="s">
        <v>13</v>
      </c>
      <c r="E2009" s="5">
        <v>177.62360000000001</v>
      </c>
      <c r="F2009" s="5">
        <v>176.55860000000001</v>
      </c>
      <c r="G2009" s="5">
        <v>176.27279999999999</v>
      </c>
      <c r="H2009" s="4">
        <v>0</v>
      </c>
      <c r="I2009" s="6">
        <v>2367413</v>
      </c>
      <c r="J2009" s="7">
        <v>224.01</v>
      </c>
      <c r="K2009" s="9">
        <f>(PricingDataTable[[#This Row],[Current Price ($)]]-PricingDataTable[[#This Row],[Prior Price ($)]])/PricingDataTable[[#This Row],[Prior Price ($)]]</f>
        <v>-5.9958248791264091E-3</v>
      </c>
      <c r="L2009" s="9">
        <f>(PricingDataTable[[#This Row],[Vendor Price ($)]]-PricingDataTable[[#This Row],[Current Price ($)]])/PricingDataTable[[#This Row],[Current Price ($)]]</f>
        <v>-1.6187260207094025E-3</v>
      </c>
      <c r="M2009" t="str">
        <f t="shared" si="62"/>
        <v>PASS</v>
      </c>
      <c r="N2009" s="10" t="str">
        <f t="shared" si="63"/>
        <v>NONE</v>
      </c>
    </row>
    <row r="2010" spans="1:14">
      <c r="A2010" s="4" t="s">
        <v>4036</v>
      </c>
      <c r="B2010" s="4" t="s">
        <v>4037</v>
      </c>
      <c r="C2010" s="4" t="s">
        <v>19</v>
      </c>
      <c r="D2010" s="4" t="s">
        <v>13</v>
      </c>
      <c r="E2010" s="5">
        <v>107.539</v>
      </c>
      <c r="F2010" s="5">
        <v>106.8527</v>
      </c>
      <c r="G2010" s="5">
        <v>107.2616</v>
      </c>
      <c r="H2010" s="4">
        <v>0</v>
      </c>
      <c r="I2010" s="6">
        <v>893183</v>
      </c>
      <c r="J2010" s="7">
        <v>394.03</v>
      </c>
      <c r="K2010" s="9">
        <f>(PricingDataTable[[#This Row],[Current Price ($)]]-PricingDataTable[[#This Row],[Prior Price ($)]])/PricingDataTable[[#This Row],[Prior Price ($)]]</f>
        <v>-6.3818707631650168E-3</v>
      </c>
      <c r="L2010" s="9">
        <f>(PricingDataTable[[#This Row],[Vendor Price ($)]]-PricingDataTable[[#This Row],[Current Price ($)]])/PricingDataTable[[#This Row],[Current Price ($)]]</f>
        <v>3.8267633854830313E-3</v>
      </c>
      <c r="M2010" t="str">
        <f t="shared" si="62"/>
        <v>PASS</v>
      </c>
      <c r="N2010" s="10" t="str">
        <f t="shared" si="63"/>
        <v>NONE</v>
      </c>
    </row>
    <row r="2011" spans="1:14">
      <c r="A2011" s="4" t="s">
        <v>4038</v>
      </c>
      <c r="B2011" s="4" t="s">
        <v>4039</v>
      </c>
      <c r="C2011" s="4" t="s">
        <v>35</v>
      </c>
      <c r="D2011" s="4" t="s">
        <v>13</v>
      </c>
      <c r="E2011" s="5">
        <v>178.28579999999999</v>
      </c>
      <c r="F2011" s="5">
        <v>176.47399999999999</v>
      </c>
      <c r="G2011" s="5">
        <v>176.7456</v>
      </c>
      <c r="H2011" s="4">
        <v>0</v>
      </c>
      <c r="I2011" s="6">
        <v>3168472</v>
      </c>
      <c r="J2011" s="7">
        <v>141.25</v>
      </c>
      <c r="K2011" s="9">
        <f>(PricingDataTable[[#This Row],[Current Price ($)]]-PricingDataTable[[#This Row],[Prior Price ($)]])/PricingDataTable[[#This Row],[Prior Price ($)]]</f>
        <v>-1.0162334857851861E-2</v>
      </c>
      <c r="L2011" s="9">
        <f>(PricingDataTable[[#This Row],[Vendor Price ($)]]-PricingDataTable[[#This Row],[Current Price ($)]])/PricingDataTable[[#This Row],[Current Price ($)]]</f>
        <v>1.5390369119530724E-3</v>
      </c>
      <c r="M2011" t="str">
        <f t="shared" si="62"/>
        <v>PASS</v>
      </c>
      <c r="N2011" s="10" t="str">
        <f t="shared" si="63"/>
        <v>NONE</v>
      </c>
    </row>
    <row r="2012" spans="1:14">
      <c r="A2012" s="4" t="s">
        <v>4040</v>
      </c>
      <c r="B2012" s="4" t="s">
        <v>4041</v>
      </c>
      <c r="C2012" s="4" t="s">
        <v>16</v>
      </c>
      <c r="D2012" s="4" t="s">
        <v>13</v>
      </c>
      <c r="E2012" s="5">
        <v>95.210999999999999</v>
      </c>
      <c r="F2012" s="5">
        <v>95.807299999999998</v>
      </c>
      <c r="G2012" s="5">
        <v>95.811199999999999</v>
      </c>
      <c r="H2012" s="4">
        <v>4</v>
      </c>
      <c r="I2012" s="6">
        <v>3927688</v>
      </c>
      <c r="J2012" s="7">
        <v>406.56</v>
      </c>
      <c r="K2012" s="9">
        <f>(PricingDataTable[[#This Row],[Current Price ($)]]-PricingDataTable[[#This Row],[Prior Price ($)]])/PricingDataTable[[#This Row],[Prior Price ($)]]</f>
        <v>6.2629318040982596E-3</v>
      </c>
      <c r="L2012" s="9">
        <f>(PricingDataTable[[#This Row],[Vendor Price ($)]]-PricingDataTable[[#This Row],[Current Price ($)]])/PricingDataTable[[#This Row],[Current Price ($)]]</f>
        <v>4.0706710240259027E-5</v>
      </c>
      <c r="M2012" t="str">
        <f t="shared" si="62"/>
        <v>STALE</v>
      </c>
      <c r="N2012" s="10" t="str">
        <f t="shared" si="63"/>
        <v>LOW</v>
      </c>
    </row>
    <row r="2013" spans="1:14">
      <c r="A2013" s="4" t="s">
        <v>4042</v>
      </c>
      <c r="B2013" s="4" t="s">
        <v>4043</v>
      </c>
      <c r="C2013" s="4" t="s">
        <v>16</v>
      </c>
      <c r="D2013" s="4" t="s">
        <v>13</v>
      </c>
      <c r="E2013" s="5">
        <v>100.9329</v>
      </c>
      <c r="F2013" s="5">
        <v>100.74209999999999</v>
      </c>
      <c r="G2013" s="5">
        <v>100.1788</v>
      </c>
      <c r="H2013" s="4">
        <v>0</v>
      </c>
      <c r="I2013" s="6">
        <v>101431</v>
      </c>
      <c r="J2013" s="7">
        <v>303.27</v>
      </c>
      <c r="K2013" s="9">
        <f>(PricingDataTable[[#This Row],[Current Price ($)]]-PricingDataTable[[#This Row],[Prior Price ($)]])/PricingDataTable[[#This Row],[Prior Price ($)]]</f>
        <v>-1.8903647869030818E-3</v>
      </c>
      <c r="L2013" s="9">
        <f>(PricingDataTable[[#This Row],[Vendor Price ($)]]-PricingDataTable[[#This Row],[Current Price ($)]])/PricingDataTable[[#This Row],[Current Price ($)]]</f>
        <v>-5.5915054381435189E-3</v>
      </c>
      <c r="M2013" t="str">
        <f t="shared" si="62"/>
        <v>PASS</v>
      </c>
      <c r="N2013" s="10" t="str">
        <f t="shared" si="63"/>
        <v>NONE</v>
      </c>
    </row>
    <row r="2014" spans="1:14">
      <c r="A2014" s="4" t="s">
        <v>4044</v>
      </c>
      <c r="B2014" s="4" t="s">
        <v>4045</v>
      </c>
      <c r="C2014" s="4" t="s">
        <v>16</v>
      </c>
      <c r="D2014" s="4" t="s">
        <v>13</v>
      </c>
      <c r="E2014" s="5">
        <v>115.0519</v>
      </c>
      <c r="F2014" s="5">
        <v>115.6193</v>
      </c>
      <c r="G2014" s="5">
        <v>115.4226</v>
      </c>
      <c r="H2014" s="4">
        <v>0</v>
      </c>
      <c r="I2014" s="6">
        <v>283238</v>
      </c>
      <c r="J2014" s="7">
        <v>525.41999999999996</v>
      </c>
      <c r="K2014" s="9">
        <f>(PricingDataTable[[#This Row],[Current Price ($)]]-PricingDataTable[[#This Row],[Prior Price ($)]])/PricingDataTable[[#This Row],[Prior Price ($)]]</f>
        <v>4.9316873515343257E-3</v>
      </c>
      <c r="L2014" s="9">
        <f>(PricingDataTable[[#This Row],[Vendor Price ($)]]-PricingDataTable[[#This Row],[Current Price ($)]])/PricingDataTable[[#This Row],[Current Price ($)]]</f>
        <v>-1.701273057352819E-3</v>
      </c>
      <c r="M2014" t="str">
        <f t="shared" si="62"/>
        <v>PASS</v>
      </c>
      <c r="N2014" s="10" t="str">
        <f t="shared" si="63"/>
        <v>NONE</v>
      </c>
    </row>
    <row r="2015" spans="1:14">
      <c r="A2015" s="4" t="s">
        <v>4046</v>
      </c>
      <c r="B2015" s="4" t="s">
        <v>4047</v>
      </c>
      <c r="C2015" s="4" t="s">
        <v>16</v>
      </c>
      <c r="D2015" s="4" t="s">
        <v>13</v>
      </c>
      <c r="E2015" s="5">
        <v>98.681799999999996</v>
      </c>
      <c r="F2015" s="5">
        <v>96.98</v>
      </c>
      <c r="G2015" s="5">
        <v>96.627499999999998</v>
      </c>
      <c r="H2015" s="4">
        <v>0</v>
      </c>
      <c r="I2015" s="6">
        <v>1343770</v>
      </c>
      <c r="J2015" s="7">
        <v>719.36</v>
      </c>
      <c r="K2015" s="9">
        <f>(PricingDataTable[[#This Row],[Current Price ($)]]-PricingDataTable[[#This Row],[Prior Price ($)]])/PricingDataTable[[#This Row],[Prior Price ($)]]</f>
        <v>-1.724532791254306E-2</v>
      </c>
      <c r="L2015" s="9">
        <f>(PricingDataTable[[#This Row],[Vendor Price ($)]]-PricingDataTable[[#This Row],[Current Price ($)]])/PricingDataTable[[#This Row],[Current Price ($)]]</f>
        <v>-3.6347700556816484E-3</v>
      </c>
      <c r="M2015" t="str">
        <f t="shared" si="62"/>
        <v>PASS</v>
      </c>
      <c r="N2015" s="10" t="str">
        <f t="shared" si="63"/>
        <v>NONE</v>
      </c>
    </row>
    <row r="2016" spans="1:14">
      <c r="A2016" s="4" t="s">
        <v>4048</v>
      </c>
      <c r="B2016" s="4" t="s">
        <v>4049</v>
      </c>
      <c r="C2016" s="4" t="s">
        <v>19</v>
      </c>
      <c r="D2016" s="4" t="s">
        <v>13</v>
      </c>
      <c r="E2016" s="5">
        <v>294.04610000000002</v>
      </c>
      <c r="F2016" s="5">
        <v>294.53179999999998</v>
      </c>
      <c r="G2016" s="5">
        <v>294.84699999999998</v>
      </c>
      <c r="H2016" s="4">
        <v>0</v>
      </c>
      <c r="I2016" s="6">
        <v>619017</v>
      </c>
      <c r="J2016" s="7">
        <v>753.87</v>
      </c>
      <c r="K2016" s="9">
        <f>(PricingDataTable[[#This Row],[Current Price ($)]]-PricingDataTable[[#This Row],[Prior Price ($)]])/PricingDataTable[[#This Row],[Prior Price ($)]]</f>
        <v>1.6517818124435304E-3</v>
      </c>
      <c r="L2016" s="9">
        <f>(PricingDataTable[[#This Row],[Vendor Price ($)]]-PricingDataTable[[#This Row],[Current Price ($)]])/PricingDataTable[[#This Row],[Current Price ($)]]</f>
        <v>1.070173067899644E-3</v>
      </c>
      <c r="M2016" t="str">
        <f t="shared" si="62"/>
        <v>PASS</v>
      </c>
      <c r="N2016" s="10" t="str">
        <f t="shared" si="63"/>
        <v>NONE</v>
      </c>
    </row>
    <row r="2017" spans="1:14">
      <c r="A2017" s="4" t="s">
        <v>4050</v>
      </c>
      <c r="B2017" s="4" t="s">
        <v>4051</v>
      </c>
      <c r="C2017" s="4" t="s">
        <v>19</v>
      </c>
      <c r="D2017" s="4" t="s">
        <v>13</v>
      </c>
      <c r="E2017" s="5">
        <v>240.23169999999999</v>
      </c>
      <c r="F2017" s="5">
        <v>236.6542</v>
      </c>
      <c r="G2017" s="5">
        <v>235.70050000000001</v>
      </c>
      <c r="H2017" s="4">
        <v>0</v>
      </c>
      <c r="I2017" s="6">
        <v>54696</v>
      </c>
      <c r="J2017" s="7">
        <v>345.03</v>
      </c>
      <c r="K2017" s="9">
        <f>(PricingDataTable[[#This Row],[Current Price ($)]]-PricingDataTable[[#This Row],[Prior Price ($)]])/PricingDataTable[[#This Row],[Prior Price ($)]]</f>
        <v>-1.4891873137475139E-2</v>
      </c>
      <c r="L2017" s="9">
        <f>(PricingDataTable[[#This Row],[Vendor Price ($)]]-PricingDataTable[[#This Row],[Current Price ($)]])/PricingDataTable[[#This Row],[Current Price ($)]]</f>
        <v>-4.0299305907099802E-3</v>
      </c>
      <c r="M2017" t="str">
        <f t="shared" si="62"/>
        <v>PASS</v>
      </c>
      <c r="N2017" s="10" t="str">
        <f t="shared" si="63"/>
        <v>NONE</v>
      </c>
    </row>
    <row r="2018" spans="1:14">
      <c r="A2018" s="4" t="s">
        <v>4052</v>
      </c>
      <c r="B2018" s="4" t="s">
        <v>4053</v>
      </c>
      <c r="C2018" s="4" t="s">
        <v>16</v>
      </c>
      <c r="D2018" s="4" t="s">
        <v>32</v>
      </c>
      <c r="E2018" s="5">
        <v>79.625699999999995</v>
      </c>
      <c r="F2018" s="5">
        <v>77.817099999999996</v>
      </c>
      <c r="G2018" s="5">
        <v>77.813299999999998</v>
      </c>
      <c r="H2018" s="4">
        <v>0</v>
      </c>
      <c r="I2018" s="6">
        <v>2646166</v>
      </c>
      <c r="J2018" s="7">
        <v>762.33</v>
      </c>
      <c r="K2018" s="9">
        <f>(PricingDataTable[[#This Row],[Current Price ($)]]-PricingDataTable[[#This Row],[Prior Price ($)]])/PricingDataTable[[#This Row],[Prior Price ($)]]</f>
        <v>-2.2713772061030528E-2</v>
      </c>
      <c r="L2018" s="9">
        <f>(PricingDataTable[[#This Row],[Vendor Price ($)]]-PricingDataTable[[#This Row],[Current Price ($)]])/PricingDataTable[[#This Row],[Current Price ($)]]</f>
        <v>-4.8832454563306127E-5</v>
      </c>
      <c r="M2018" t="str">
        <f t="shared" si="62"/>
        <v>PASS</v>
      </c>
      <c r="N2018" s="10" t="str">
        <f t="shared" si="63"/>
        <v>NONE</v>
      </c>
    </row>
    <row r="2019" spans="1:14">
      <c r="A2019" s="4" t="s">
        <v>4054</v>
      </c>
      <c r="B2019" s="4" t="s">
        <v>4055</v>
      </c>
      <c r="C2019" s="4" t="s">
        <v>19</v>
      </c>
      <c r="D2019" s="4" t="s">
        <v>13</v>
      </c>
      <c r="E2019" s="5">
        <v>174.28110000000001</v>
      </c>
      <c r="F2019" s="5">
        <v>171.39060000000001</v>
      </c>
      <c r="G2019" s="5">
        <v>171.10830000000001</v>
      </c>
      <c r="H2019" s="4">
        <v>0</v>
      </c>
      <c r="I2019" s="6">
        <v>1661979</v>
      </c>
      <c r="J2019" s="7">
        <v>680.11</v>
      </c>
      <c r="K2019" s="9">
        <f>(PricingDataTable[[#This Row],[Current Price ($)]]-PricingDataTable[[#This Row],[Prior Price ($)]])/PricingDataTable[[#This Row],[Prior Price ($)]]</f>
        <v>-1.658527516753109E-2</v>
      </c>
      <c r="L2019" s="9">
        <f>(PricingDataTable[[#This Row],[Vendor Price ($)]]-PricingDataTable[[#This Row],[Current Price ($)]])/PricingDataTable[[#This Row],[Current Price ($)]]</f>
        <v>-1.6471148359361145E-3</v>
      </c>
      <c r="M2019" t="str">
        <f t="shared" si="62"/>
        <v>PASS</v>
      </c>
      <c r="N2019" s="10" t="str">
        <f t="shared" si="63"/>
        <v>NONE</v>
      </c>
    </row>
    <row r="2020" spans="1:14">
      <c r="A2020" s="4" t="s">
        <v>4056</v>
      </c>
      <c r="B2020" s="4" t="s">
        <v>4057</v>
      </c>
      <c r="C2020" s="4" t="s">
        <v>19</v>
      </c>
      <c r="D2020" s="4" t="s">
        <v>64</v>
      </c>
      <c r="E2020" s="5">
        <v>300.37419999999997</v>
      </c>
      <c r="F2020" s="5">
        <v>298.29039999999998</v>
      </c>
      <c r="G2020" s="5">
        <v>297.71469999999999</v>
      </c>
      <c r="H2020" s="4">
        <v>0</v>
      </c>
      <c r="I2020" s="6">
        <v>972771</v>
      </c>
      <c r="J2020" s="7">
        <v>400.55</v>
      </c>
      <c r="K2020" s="9">
        <f>(PricingDataTable[[#This Row],[Current Price ($)]]-PricingDataTable[[#This Row],[Prior Price ($)]])/PricingDataTable[[#This Row],[Prior Price ($)]]</f>
        <v>-6.9373468160714097E-3</v>
      </c>
      <c r="L2020" s="9">
        <f>(PricingDataTable[[#This Row],[Vendor Price ($)]]-PricingDataTable[[#This Row],[Current Price ($)]])/PricingDataTable[[#This Row],[Current Price ($)]]</f>
        <v>-1.9299984176493225E-3</v>
      </c>
      <c r="M2020" t="str">
        <f t="shared" si="62"/>
        <v>PASS</v>
      </c>
      <c r="N2020" s="10" t="str">
        <f t="shared" si="63"/>
        <v>NONE</v>
      </c>
    </row>
    <row r="2021" spans="1:14">
      <c r="A2021" s="4" t="s">
        <v>4058</v>
      </c>
      <c r="B2021" s="4" t="s">
        <v>4059</v>
      </c>
      <c r="C2021" s="4" t="s">
        <v>19</v>
      </c>
      <c r="D2021" s="4" t="s">
        <v>13</v>
      </c>
      <c r="E2021" s="5">
        <v>179.7962</v>
      </c>
      <c r="F2021" s="5">
        <v>177.38339999999999</v>
      </c>
      <c r="G2021" s="5">
        <v>177.74010000000001</v>
      </c>
      <c r="H2021" s="4">
        <v>5</v>
      </c>
      <c r="I2021" s="6">
        <v>4223226</v>
      </c>
      <c r="J2021" s="7">
        <v>413</v>
      </c>
      <c r="K2021" s="9">
        <f>(PricingDataTable[[#This Row],[Current Price ($)]]-PricingDataTable[[#This Row],[Prior Price ($)]])/PricingDataTable[[#This Row],[Prior Price ($)]]</f>
        <v>-1.3419638457320034E-2</v>
      </c>
      <c r="L2021" s="9">
        <f>(PricingDataTable[[#This Row],[Vendor Price ($)]]-PricingDataTable[[#This Row],[Current Price ($)]])/PricingDataTable[[#This Row],[Current Price ($)]]</f>
        <v>2.0108984267976472E-3</v>
      </c>
      <c r="M2021" t="str">
        <f t="shared" si="62"/>
        <v>STALE</v>
      </c>
      <c r="N2021" s="10" t="str">
        <f t="shared" si="63"/>
        <v>MEDIUM</v>
      </c>
    </row>
    <row r="2022" spans="1:14">
      <c r="A2022" s="4" t="s">
        <v>4060</v>
      </c>
      <c r="B2022" s="4" t="s">
        <v>4061</v>
      </c>
      <c r="C2022" s="4" t="s">
        <v>19</v>
      </c>
      <c r="D2022" s="4" t="s">
        <v>13</v>
      </c>
      <c r="E2022" s="5">
        <v>284.78890000000001</v>
      </c>
      <c r="F2022" s="5">
        <v>280.23680000000002</v>
      </c>
      <c r="G2022" s="5">
        <v>281.7054</v>
      </c>
      <c r="H2022" s="4">
        <v>3</v>
      </c>
      <c r="I2022" s="6">
        <v>3963749</v>
      </c>
      <c r="J2022" s="7">
        <v>539.76</v>
      </c>
      <c r="K2022" s="9">
        <f>(PricingDataTable[[#This Row],[Current Price ($)]]-PricingDataTable[[#This Row],[Prior Price ($)]])/PricingDataTable[[#This Row],[Prior Price ($)]]</f>
        <v>-1.598412016760483E-2</v>
      </c>
      <c r="L2022" s="9">
        <f>(PricingDataTable[[#This Row],[Vendor Price ($)]]-PricingDataTable[[#This Row],[Current Price ($)]])/PricingDataTable[[#This Row],[Current Price ($)]]</f>
        <v>5.2405679767966971E-3</v>
      </c>
      <c r="M2022" t="str">
        <f t="shared" si="62"/>
        <v>STALE</v>
      </c>
      <c r="N2022" s="10" t="str">
        <f t="shared" si="63"/>
        <v>LOW</v>
      </c>
    </row>
    <row r="2023" spans="1:14">
      <c r="A2023" s="4" t="s">
        <v>4062</v>
      </c>
      <c r="B2023" s="4" t="s">
        <v>4063</v>
      </c>
      <c r="C2023" s="4" t="s">
        <v>12</v>
      </c>
      <c r="D2023" s="4" t="s">
        <v>13</v>
      </c>
      <c r="E2023" s="5">
        <v>85.739699999999999</v>
      </c>
      <c r="F2023" s="5">
        <v>86.863299999999995</v>
      </c>
      <c r="G2023" s="5">
        <v>86.850999999999999</v>
      </c>
      <c r="H2023" s="4">
        <v>0</v>
      </c>
      <c r="I2023" s="6">
        <v>1927615</v>
      </c>
      <c r="J2023" s="7">
        <v>222.39</v>
      </c>
      <c r="K2023" s="9">
        <f>(PricingDataTable[[#This Row],[Current Price ($)]]-PricingDataTable[[#This Row],[Prior Price ($)]])/PricingDataTable[[#This Row],[Prior Price ($)]]</f>
        <v>1.3104781099070748E-2</v>
      </c>
      <c r="L2023" s="9">
        <f>(PricingDataTable[[#This Row],[Vendor Price ($)]]-PricingDataTable[[#This Row],[Current Price ($)]])/PricingDataTable[[#This Row],[Current Price ($)]]</f>
        <v>-1.4160180421416414E-4</v>
      </c>
      <c r="M2023" t="str">
        <f t="shared" si="62"/>
        <v>PASS</v>
      </c>
      <c r="N2023" s="10" t="str">
        <f t="shared" si="63"/>
        <v>NONE</v>
      </c>
    </row>
    <row r="2024" spans="1:14">
      <c r="A2024" s="4" t="s">
        <v>4064</v>
      </c>
      <c r="B2024" s="4" t="s">
        <v>4065</v>
      </c>
      <c r="C2024" s="4" t="s">
        <v>16</v>
      </c>
      <c r="D2024" s="4" t="s">
        <v>237</v>
      </c>
      <c r="E2024" s="5">
        <v>105.7435</v>
      </c>
      <c r="F2024" s="5">
        <v>107.72239999999999</v>
      </c>
      <c r="G2024" s="5">
        <v>108.0377</v>
      </c>
      <c r="H2024" s="4">
        <v>0</v>
      </c>
      <c r="I2024" s="6">
        <v>3579809</v>
      </c>
      <c r="J2024" s="7">
        <v>683.22</v>
      </c>
      <c r="K2024" s="9">
        <f>(PricingDataTable[[#This Row],[Current Price ($)]]-PricingDataTable[[#This Row],[Prior Price ($)]])/PricingDataTable[[#This Row],[Prior Price ($)]]</f>
        <v>1.8714152642952012E-2</v>
      </c>
      <c r="L2024" s="9">
        <f>(PricingDataTable[[#This Row],[Vendor Price ($)]]-PricingDataTable[[#This Row],[Current Price ($)]])/PricingDataTable[[#This Row],[Current Price ($)]]</f>
        <v>2.9269678358447983E-3</v>
      </c>
      <c r="M2024" t="str">
        <f t="shared" si="62"/>
        <v>PASS</v>
      </c>
      <c r="N2024" s="10" t="str">
        <f t="shared" si="63"/>
        <v>NONE</v>
      </c>
    </row>
    <row r="2025" spans="1:14">
      <c r="A2025" s="4" t="s">
        <v>4066</v>
      </c>
      <c r="B2025" s="4" t="s">
        <v>4067</v>
      </c>
      <c r="C2025" s="4" t="s">
        <v>19</v>
      </c>
      <c r="D2025" s="4" t="s">
        <v>13</v>
      </c>
      <c r="E2025" s="5">
        <v>228.8991</v>
      </c>
      <c r="F2025" s="5">
        <v>231.95259999999999</v>
      </c>
      <c r="G2025" s="5">
        <v>232.1798</v>
      </c>
      <c r="H2025" s="4">
        <v>1</v>
      </c>
      <c r="I2025" s="6">
        <v>4478968</v>
      </c>
      <c r="J2025" s="7">
        <v>542.38</v>
      </c>
      <c r="K2025" s="9">
        <f>(PricingDataTable[[#This Row],[Current Price ($)]]-PricingDataTable[[#This Row],[Prior Price ($)]])/PricingDataTable[[#This Row],[Prior Price ($)]]</f>
        <v>1.3339938863892368E-2</v>
      </c>
      <c r="L2025" s="9">
        <f>(PricingDataTable[[#This Row],[Vendor Price ($)]]-PricingDataTable[[#This Row],[Current Price ($)]])/PricingDataTable[[#This Row],[Current Price ($)]]</f>
        <v>9.7951046894930479E-4</v>
      </c>
      <c r="M2025" t="str">
        <f t="shared" si="62"/>
        <v>PASS</v>
      </c>
      <c r="N2025" s="10" t="str">
        <f t="shared" si="63"/>
        <v>NONE</v>
      </c>
    </row>
    <row r="2026" spans="1:14">
      <c r="A2026" s="4" t="s">
        <v>4068</v>
      </c>
      <c r="B2026" s="4" t="s">
        <v>4069</v>
      </c>
      <c r="C2026" s="4" t="s">
        <v>19</v>
      </c>
      <c r="D2026" s="4" t="s">
        <v>32</v>
      </c>
      <c r="E2026" s="5">
        <v>64.684299999999993</v>
      </c>
      <c r="F2026" s="5">
        <v>64.716700000000003</v>
      </c>
      <c r="G2026" s="5">
        <v>69.097800000000007</v>
      </c>
      <c r="H2026" s="4">
        <v>4</v>
      </c>
      <c r="I2026" s="6">
        <v>4710621</v>
      </c>
      <c r="J2026" s="7">
        <v>340.84</v>
      </c>
      <c r="K2026" s="9">
        <f>(PricingDataTable[[#This Row],[Current Price ($)]]-PricingDataTable[[#This Row],[Prior Price ($)]])/PricingDataTable[[#This Row],[Prior Price ($)]]</f>
        <v>5.0089434375899186E-4</v>
      </c>
      <c r="L2026" s="9">
        <f>(PricingDataTable[[#This Row],[Vendor Price ($)]]-PricingDataTable[[#This Row],[Current Price ($)]])/PricingDataTable[[#This Row],[Current Price ($)]]</f>
        <v>6.7696591451665539E-2</v>
      </c>
      <c r="M2026" t="str">
        <f t="shared" si="62"/>
        <v>STALE</v>
      </c>
      <c r="N2026" s="10" t="str">
        <f t="shared" si="63"/>
        <v>HIGH</v>
      </c>
    </row>
    <row r="2027" spans="1:14">
      <c r="A2027" s="4" t="s">
        <v>4070</v>
      </c>
      <c r="B2027" s="4" t="s">
        <v>4071</v>
      </c>
      <c r="C2027" s="4" t="s">
        <v>39</v>
      </c>
      <c r="D2027" s="4" t="s">
        <v>13</v>
      </c>
      <c r="E2027" s="5">
        <v>181.99780000000001</v>
      </c>
      <c r="F2027" s="5">
        <v>179.56030000000001</v>
      </c>
      <c r="G2027" s="5">
        <v>179.49680000000001</v>
      </c>
      <c r="H2027" s="4">
        <v>1</v>
      </c>
      <c r="I2027" s="6">
        <v>3826162</v>
      </c>
      <c r="J2027" s="7">
        <v>718.18</v>
      </c>
      <c r="K2027" s="9">
        <f>(PricingDataTable[[#This Row],[Current Price ($)]]-PricingDataTable[[#This Row],[Prior Price ($)]])/PricingDataTable[[#This Row],[Prior Price ($)]]</f>
        <v>-1.3393019036493847E-2</v>
      </c>
      <c r="L2027" s="9">
        <f>(PricingDataTable[[#This Row],[Vendor Price ($)]]-PricingDataTable[[#This Row],[Current Price ($)]])/PricingDataTable[[#This Row],[Current Price ($)]]</f>
        <v>-3.5364164573129344E-4</v>
      </c>
      <c r="M2027" t="str">
        <f t="shared" si="62"/>
        <v>PASS</v>
      </c>
      <c r="N2027" s="10" t="str">
        <f t="shared" si="63"/>
        <v>NONE</v>
      </c>
    </row>
    <row r="2028" spans="1:14">
      <c r="A2028" s="4" t="s">
        <v>4072</v>
      </c>
      <c r="B2028" s="4" t="s">
        <v>4073</v>
      </c>
      <c r="C2028" s="4" t="s">
        <v>16</v>
      </c>
      <c r="D2028" s="4" t="s">
        <v>36</v>
      </c>
      <c r="E2028" s="5">
        <v>113.26090000000001</v>
      </c>
      <c r="F2028" s="5">
        <v>113.5339</v>
      </c>
      <c r="G2028" s="5">
        <v>113.9177</v>
      </c>
      <c r="H2028" s="4">
        <v>0</v>
      </c>
      <c r="I2028" s="6">
        <v>311145</v>
      </c>
      <c r="J2028" s="7">
        <v>399.85</v>
      </c>
      <c r="K2028" s="9">
        <f>(PricingDataTable[[#This Row],[Current Price ($)]]-PricingDataTable[[#This Row],[Prior Price ($)]])/PricingDataTable[[#This Row],[Prior Price ($)]]</f>
        <v>2.4103640356027199E-3</v>
      </c>
      <c r="L2028" s="9">
        <f>(PricingDataTable[[#This Row],[Vendor Price ($)]]-PricingDataTable[[#This Row],[Current Price ($)]])/PricingDataTable[[#This Row],[Current Price ($)]]</f>
        <v>3.3804881185266577E-3</v>
      </c>
      <c r="M2028" t="str">
        <f t="shared" si="62"/>
        <v>PASS</v>
      </c>
      <c r="N2028" s="10" t="str">
        <f t="shared" si="63"/>
        <v>NONE</v>
      </c>
    </row>
    <row r="2029" spans="1:14">
      <c r="A2029" s="4" t="s">
        <v>4074</v>
      </c>
      <c r="B2029" s="4" t="s">
        <v>4075</v>
      </c>
      <c r="C2029" s="4" t="s">
        <v>35</v>
      </c>
      <c r="D2029" s="4" t="s">
        <v>13</v>
      </c>
      <c r="E2029" s="5">
        <v>20.977799999999998</v>
      </c>
      <c r="F2029" s="5">
        <v>20.901800000000001</v>
      </c>
      <c r="G2029" s="5">
        <v>20.838799999999999</v>
      </c>
      <c r="H2029" s="4">
        <v>0</v>
      </c>
      <c r="I2029" s="6">
        <v>2405292</v>
      </c>
      <c r="J2029" s="7">
        <v>264.49</v>
      </c>
      <c r="K2029" s="9">
        <f>(PricingDataTable[[#This Row],[Current Price ($)]]-PricingDataTable[[#This Row],[Prior Price ($)]])/PricingDataTable[[#This Row],[Prior Price ($)]]</f>
        <v>-3.6228775181380776E-3</v>
      </c>
      <c r="L2029" s="9">
        <f>(PricingDataTable[[#This Row],[Vendor Price ($)]]-PricingDataTable[[#This Row],[Current Price ($)]])/PricingDataTable[[#This Row],[Current Price ($)]]</f>
        <v>-3.0140944799013666E-3</v>
      </c>
      <c r="M2029" t="str">
        <f t="shared" si="62"/>
        <v>PASS</v>
      </c>
      <c r="N2029" s="10" t="str">
        <f t="shared" si="63"/>
        <v>NONE</v>
      </c>
    </row>
    <row r="2030" spans="1:14">
      <c r="A2030" s="4" t="s">
        <v>4076</v>
      </c>
      <c r="B2030" s="4" t="s">
        <v>4077</v>
      </c>
      <c r="C2030" s="4" t="s">
        <v>39</v>
      </c>
      <c r="D2030" s="4" t="s">
        <v>13</v>
      </c>
      <c r="E2030" s="5">
        <v>103.5261</v>
      </c>
      <c r="F2030" s="5">
        <v>103.7295</v>
      </c>
      <c r="G2030" s="5">
        <v>104.1872</v>
      </c>
      <c r="H2030" s="4">
        <v>1</v>
      </c>
      <c r="I2030" s="6">
        <v>3138554</v>
      </c>
      <c r="J2030" s="7">
        <v>846.12</v>
      </c>
      <c r="K2030" s="9">
        <f>(PricingDataTable[[#This Row],[Current Price ($)]]-PricingDataTable[[#This Row],[Prior Price ($)]])/PricingDataTable[[#This Row],[Prior Price ($)]]</f>
        <v>1.9647219396847948E-3</v>
      </c>
      <c r="L2030" s="9">
        <f>(PricingDataTable[[#This Row],[Vendor Price ($)]]-PricingDataTable[[#This Row],[Current Price ($)]])/PricingDataTable[[#This Row],[Current Price ($)]]</f>
        <v>4.4124381203033145E-3</v>
      </c>
      <c r="M2030" t="str">
        <f t="shared" si="62"/>
        <v>PASS</v>
      </c>
      <c r="N2030" s="10" t="str">
        <f t="shared" si="63"/>
        <v>NONE</v>
      </c>
    </row>
    <row r="2031" spans="1:14">
      <c r="A2031" s="4" t="s">
        <v>4078</v>
      </c>
      <c r="B2031" s="4" t="s">
        <v>4079</v>
      </c>
      <c r="C2031" s="4" t="s">
        <v>35</v>
      </c>
      <c r="D2031" s="4" t="s">
        <v>13</v>
      </c>
      <c r="E2031" s="5">
        <v>122.9877</v>
      </c>
      <c r="F2031" s="5">
        <v>123.9804</v>
      </c>
      <c r="G2031" s="5">
        <v>123.4358</v>
      </c>
      <c r="H2031" s="4">
        <v>2</v>
      </c>
      <c r="I2031" s="6">
        <v>4913927</v>
      </c>
      <c r="J2031" s="7">
        <v>525.33000000000004</v>
      </c>
      <c r="K2031" s="9">
        <f>(PricingDataTable[[#This Row],[Current Price ($)]]-PricingDataTable[[#This Row],[Prior Price ($)]])/PricingDataTable[[#This Row],[Prior Price ($)]]</f>
        <v>8.0715388612031865E-3</v>
      </c>
      <c r="L2031" s="9">
        <f>(PricingDataTable[[#This Row],[Vendor Price ($)]]-PricingDataTable[[#This Row],[Current Price ($)]])/PricingDataTable[[#This Row],[Current Price ($)]]</f>
        <v>-4.3926298027752988E-3</v>
      </c>
      <c r="M2031" t="str">
        <f t="shared" si="62"/>
        <v>PASS</v>
      </c>
      <c r="N2031" s="10" t="str">
        <f t="shared" si="63"/>
        <v>NONE</v>
      </c>
    </row>
    <row r="2032" spans="1:14">
      <c r="A2032" s="4" t="s">
        <v>4080</v>
      </c>
      <c r="B2032" s="4" t="s">
        <v>4081</v>
      </c>
      <c r="C2032" s="4" t="s">
        <v>35</v>
      </c>
      <c r="D2032" s="4" t="s">
        <v>13</v>
      </c>
      <c r="E2032" s="5">
        <v>70.693200000000004</v>
      </c>
      <c r="F2032" s="5">
        <v>71.756299999999996</v>
      </c>
      <c r="G2032" s="5">
        <v>71.984200000000001</v>
      </c>
      <c r="H2032" s="4">
        <v>0</v>
      </c>
      <c r="I2032" s="6">
        <v>4765100</v>
      </c>
      <c r="J2032" s="7">
        <v>782.17</v>
      </c>
      <c r="K2032" s="9">
        <f>(PricingDataTable[[#This Row],[Current Price ($)]]-PricingDataTable[[#This Row],[Prior Price ($)]])/PricingDataTable[[#This Row],[Prior Price ($)]]</f>
        <v>1.5038221497965737E-2</v>
      </c>
      <c r="L2032" s="9">
        <f>(PricingDataTable[[#This Row],[Vendor Price ($)]]-PricingDataTable[[#This Row],[Current Price ($)]])/PricingDataTable[[#This Row],[Current Price ($)]]</f>
        <v>3.176027749479911E-3</v>
      </c>
      <c r="M2032" t="str">
        <f t="shared" si="62"/>
        <v>PASS</v>
      </c>
      <c r="N2032" s="10" t="str">
        <f t="shared" si="63"/>
        <v>NONE</v>
      </c>
    </row>
    <row r="2033" spans="1:14">
      <c r="A2033" s="4" t="s">
        <v>4082</v>
      </c>
      <c r="B2033" s="4" t="s">
        <v>4083</v>
      </c>
      <c r="C2033" s="4" t="s">
        <v>19</v>
      </c>
      <c r="D2033" s="4" t="s">
        <v>13</v>
      </c>
      <c r="E2033" s="5">
        <v>255.18889999999999</v>
      </c>
      <c r="F2033" s="5">
        <v>257.01459999999997</v>
      </c>
      <c r="G2033" s="5">
        <v>256.79500000000002</v>
      </c>
      <c r="H2033" s="4">
        <v>0</v>
      </c>
      <c r="I2033" s="6">
        <v>2044476</v>
      </c>
      <c r="J2033" s="7">
        <v>752.07</v>
      </c>
      <c r="K2033" s="9">
        <f>(PricingDataTable[[#This Row],[Current Price ($)]]-PricingDataTable[[#This Row],[Prior Price ($)]])/PricingDataTable[[#This Row],[Prior Price ($)]]</f>
        <v>7.1543080439626624E-3</v>
      </c>
      <c r="L2033" s="9">
        <f>(PricingDataTable[[#This Row],[Vendor Price ($)]]-PricingDataTable[[#This Row],[Current Price ($)]])/PricingDataTable[[#This Row],[Current Price ($)]]</f>
        <v>-8.544261687855755E-4</v>
      </c>
      <c r="M2033" t="str">
        <f t="shared" si="62"/>
        <v>PASS</v>
      </c>
      <c r="N2033" s="10" t="str">
        <f t="shared" si="63"/>
        <v>NONE</v>
      </c>
    </row>
    <row r="2034" spans="1:14">
      <c r="A2034" s="4" t="s">
        <v>4084</v>
      </c>
      <c r="B2034" s="4" t="s">
        <v>4085</v>
      </c>
      <c r="C2034" s="4" t="s">
        <v>12</v>
      </c>
      <c r="D2034" s="4" t="s">
        <v>13</v>
      </c>
      <c r="E2034" s="5">
        <v>97.661799999999999</v>
      </c>
      <c r="F2034" s="5">
        <v>99.1845</v>
      </c>
      <c r="G2034" s="5">
        <v>99.438500000000005</v>
      </c>
      <c r="H2034" s="4">
        <v>0</v>
      </c>
      <c r="I2034" s="6">
        <v>4040995</v>
      </c>
      <c r="J2034" s="7">
        <v>825.69</v>
      </c>
      <c r="K2034" s="9">
        <f>(PricingDataTable[[#This Row],[Current Price ($)]]-PricingDataTable[[#This Row],[Prior Price ($)]])/PricingDataTable[[#This Row],[Prior Price ($)]]</f>
        <v>1.5591561900354083E-2</v>
      </c>
      <c r="L2034" s="9">
        <f>(PricingDataTable[[#This Row],[Vendor Price ($)]]-PricingDataTable[[#This Row],[Current Price ($)]])/PricingDataTable[[#This Row],[Current Price ($)]]</f>
        <v>2.5608840090942122E-3</v>
      </c>
      <c r="M2034" t="str">
        <f t="shared" si="62"/>
        <v>PASS</v>
      </c>
      <c r="N2034" s="10" t="str">
        <f t="shared" si="63"/>
        <v>NONE</v>
      </c>
    </row>
    <row r="2035" spans="1:14">
      <c r="A2035" s="4" t="s">
        <v>4086</v>
      </c>
      <c r="B2035" s="4" t="s">
        <v>4087</v>
      </c>
      <c r="C2035" s="4" t="s">
        <v>35</v>
      </c>
      <c r="D2035" s="4" t="s">
        <v>13</v>
      </c>
      <c r="E2035" s="5">
        <v>67.021900000000002</v>
      </c>
      <c r="F2035" s="5">
        <v>66.675600000000003</v>
      </c>
      <c r="G2035" s="5">
        <v>66.641999999999996</v>
      </c>
      <c r="H2035" s="4">
        <v>0</v>
      </c>
      <c r="I2035" s="6">
        <v>1019671</v>
      </c>
      <c r="J2035" s="7">
        <v>349.85</v>
      </c>
      <c r="K2035" s="9">
        <f>(PricingDataTable[[#This Row],[Current Price ($)]]-PricingDataTable[[#This Row],[Prior Price ($)]])/PricingDataTable[[#This Row],[Prior Price ($)]]</f>
        <v>-5.1669678120136757E-3</v>
      </c>
      <c r="L2035" s="9">
        <f>(PricingDataTable[[#This Row],[Vendor Price ($)]]-PricingDataTable[[#This Row],[Current Price ($)]])/PricingDataTable[[#This Row],[Current Price ($)]]</f>
        <v>-5.0393247304871577E-4</v>
      </c>
      <c r="M2035" t="str">
        <f t="shared" si="62"/>
        <v>PASS</v>
      </c>
      <c r="N2035" s="10" t="str">
        <f t="shared" si="63"/>
        <v>NONE</v>
      </c>
    </row>
    <row r="2036" spans="1:14">
      <c r="A2036" s="4" t="s">
        <v>4088</v>
      </c>
      <c r="B2036" s="4" t="s">
        <v>4089</v>
      </c>
      <c r="C2036" s="4" t="s">
        <v>16</v>
      </c>
      <c r="D2036" s="4" t="s">
        <v>32</v>
      </c>
      <c r="E2036" s="5">
        <v>102.8646</v>
      </c>
      <c r="F2036" s="5">
        <v>103.8245</v>
      </c>
      <c r="G2036" s="5">
        <v>104.41419999999999</v>
      </c>
      <c r="H2036" s="4">
        <v>0</v>
      </c>
      <c r="I2036" s="6">
        <v>3757925</v>
      </c>
      <c r="J2036" s="7">
        <v>14.21</v>
      </c>
      <c r="K2036" s="9">
        <f>(PricingDataTable[[#This Row],[Current Price ($)]]-PricingDataTable[[#This Row],[Prior Price ($)]])/PricingDataTable[[#This Row],[Prior Price ($)]]</f>
        <v>9.3316845639802685E-3</v>
      </c>
      <c r="L2036" s="9">
        <f>(PricingDataTable[[#This Row],[Vendor Price ($)]]-PricingDataTable[[#This Row],[Current Price ($)]])/PricingDataTable[[#This Row],[Current Price ($)]]</f>
        <v>5.679776931263752E-3</v>
      </c>
      <c r="M2036" t="str">
        <f t="shared" si="62"/>
        <v>PASS</v>
      </c>
      <c r="N2036" s="10" t="str">
        <f t="shared" si="63"/>
        <v>NONE</v>
      </c>
    </row>
    <row r="2037" spans="1:14">
      <c r="A2037" s="4" t="s">
        <v>4090</v>
      </c>
      <c r="B2037" s="4" t="s">
        <v>4091</v>
      </c>
      <c r="C2037" s="4" t="s">
        <v>16</v>
      </c>
      <c r="D2037" s="4" t="s">
        <v>13</v>
      </c>
      <c r="E2037" s="5">
        <v>118.6966</v>
      </c>
      <c r="F2037" s="5">
        <v>117.8456</v>
      </c>
      <c r="G2037" s="5">
        <v>117.6935</v>
      </c>
      <c r="H2037" s="4">
        <v>1</v>
      </c>
      <c r="I2037" s="6">
        <v>3315504</v>
      </c>
      <c r="J2037" s="7">
        <v>357.9</v>
      </c>
      <c r="K2037" s="9">
        <f>(PricingDataTable[[#This Row],[Current Price ($)]]-PricingDataTable[[#This Row],[Prior Price ($)]])/PricingDataTable[[#This Row],[Prior Price ($)]]</f>
        <v>-7.169539818326718E-3</v>
      </c>
      <c r="L2037" s="9">
        <f>(PricingDataTable[[#This Row],[Vendor Price ($)]]-PricingDataTable[[#This Row],[Current Price ($)]])/PricingDataTable[[#This Row],[Current Price ($)]]</f>
        <v>-1.2906718621654464E-3</v>
      </c>
      <c r="M2037" t="str">
        <f t="shared" si="62"/>
        <v>PASS</v>
      </c>
      <c r="N2037" s="10" t="str">
        <f t="shared" si="63"/>
        <v>NONE</v>
      </c>
    </row>
    <row r="2038" spans="1:14">
      <c r="A2038" s="4" t="s">
        <v>4092</v>
      </c>
      <c r="B2038" s="4" t="s">
        <v>4093</v>
      </c>
      <c r="C2038" s="4" t="s">
        <v>35</v>
      </c>
      <c r="D2038" s="4" t="s">
        <v>13</v>
      </c>
      <c r="E2038" s="5">
        <v>24.453499999999998</v>
      </c>
      <c r="F2038" s="5">
        <v>24.666599999999999</v>
      </c>
      <c r="G2038" s="5">
        <v>24.574100000000001</v>
      </c>
      <c r="H2038" s="4">
        <v>0</v>
      </c>
      <c r="I2038" s="6">
        <v>673802</v>
      </c>
      <c r="J2038" s="7">
        <v>705.44</v>
      </c>
      <c r="K2038" s="9">
        <f>(PricingDataTable[[#This Row],[Current Price ($)]]-PricingDataTable[[#This Row],[Prior Price ($)]])/PricingDataTable[[#This Row],[Prior Price ($)]]</f>
        <v>8.7144989469810346E-3</v>
      </c>
      <c r="L2038" s="9">
        <f>(PricingDataTable[[#This Row],[Vendor Price ($)]]-PricingDataTable[[#This Row],[Current Price ($)]])/PricingDataTable[[#This Row],[Current Price ($)]]</f>
        <v>-3.7500101351624297E-3</v>
      </c>
      <c r="M2038" t="str">
        <f t="shared" si="62"/>
        <v>PASS</v>
      </c>
      <c r="N2038" s="10" t="str">
        <f t="shared" si="63"/>
        <v>NONE</v>
      </c>
    </row>
    <row r="2039" spans="1:14">
      <c r="A2039" s="4" t="s">
        <v>4094</v>
      </c>
      <c r="B2039" s="4" t="s">
        <v>4095</v>
      </c>
      <c r="C2039" s="4" t="s">
        <v>19</v>
      </c>
      <c r="D2039" s="4" t="s">
        <v>13</v>
      </c>
      <c r="E2039" s="5">
        <v>33.2395</v>
      </c>
      <c r="F2039" s="5">
        <v>33.717799999999997</v>
      </c>
      <c r="G2039" s="5">
        <v>33.775300000000001</v>
      </c>
      <c r="H2039" s="4">
        <v>0</v>
      </c>
      <c r="I2039" s="6">
        <v>4315009</v>
      </c>
      <c r="J2039" s="7">
        <v>73.89</v>
      </c>
      <c r="K2039" s="9">
        <f>(PricingDataTable[[#This Row],[Current Price ($)]]-PricingDataTable[[#This Row],[Prior Price ($)]])/PricingDataTable[[#This Row],[Prior Price ($)]]</f>
        <v>1.4389506460686752E-2</v>
      </c>
      <c r="L2039" s="9">
        <f>(PricingDataTable[[#This Row],[Vendor Price ($)]]-PricingDataTable[[#This Row],[Current Price ($)]])/PricingDataTable[[#This Row],[Current Price ($)]]</f>
        <v>1.7053307155272454E-3</v>
      </c>
      <c r="M2039" t="str">
        <f t="shared" si="62"/>
        <v>PASS</v>
      </c>
      <c r="N2039" s="10" t="str">
        <f t="shared" si="63"/>
        <v>NONE</v>
      </c>
    </row>
    <row r="2040" spans="1:14">
      <c r="A2040" s="4" t="s">
        <v>4096</v>
      </c>
      <c r="B2040" s="4" t="s">
        <v>4097</v>
      </c>
      <c r="C2040" s="4" t="s">
        <v>19</v>
      </c>
      <c r="D2040" s="4" t="s">
        <v>13</v>
      </c>
      <c r="E2040" s="5">
        <v>198.1661</v>
      </c>
      <c r="F2040" s="5">
        <v>200.74250000000001</v>
      </c>
      <c r="G2040" s="5">
        <v>201.53049999999999</v>
      </c>
      <c r="H2040" s="4">
        <v>4</v>
      </c>
      <c r="I2040" s="6">
        <v>4704343</v>
      </c>
      <c r="J2040" s="7">
        <v>767.46</v>
      </c>
      <c r="K2040" s="9">
        <f>(PricingDataTable[[#This Row],[Current Price ($)]]-PricingDataTable[[#This Row],[Prior Price ($)]])/PricingDataTable[[#This Row],[Prior Price ($)]]</f>
        <v>1.3001214637619687E-2</v>
      </c>
      <c r="L2040" s="9">
        <f>(PricingDataTable[[#This Row],[Vendor Price ($)]]-PricingDataTable[[#This Row],[Current Price ($)]])/PricingDataTable[[#This Row],[Current Price ($)]]</f>
        <v>3.9254268528088592E-3</v>
      </c>
      <c r="M2040" t="str">
        <f t="shared" si="62"/>
        <v>STALE</v>
      </c>
      <c r="N2040" s="10" t="str">
        <f t="shared" si="63"/>
        <v>LOW</v>
      </c>
    </row>
    <row r="2041" spans="1:14">
      <c r="A2041" s="4" t="s">
        <v>4098</v>
      </c>
      <c r="B2041" s="4" t="s">
        <v>4099</v>
      </c>
      <c r="C2041" s="4" t="s">
        <v>19</v>
      </c>
      <c r="D2041" s="4" t="s">
        <v>36</v>
      </c>
      <c r="E2041" s="5">
        <v>33.1631</v>
      </c>
      <c r="F2041" s="5">
        <v>33.136400000000002</v>
      </c>
      <c r="G2041" s="5">
        <v>33.213700000000003</v>
      </c>
      <c r="H2041" s="4">
        <v>3</v>
      </c>
      <c r="I2041" s="6">
        <v>3462910</v>
      </c>
      <c r="J2041" s="7">
        <v>770.5</v>
      </c>
      <c r="K2041" s="9">
        <f>(PricingDataTable[[#This Row],[Current Price ($)]]-PricingDataTable[[#This Row],[Prior Price ($)]])/PricingDataTable[[#This Row],[Prior Price ($)]]</f>
        <v>-8.0511170547983054E-4</v>
      </c>
      <c r="L2041" s="9">
        <f>(PricingDataTable[[#This Row],[Vendor Price ($)]]-PricingDataTable[[#This Row],[Current Price ($)]])/PricingDataTable[[#This Row],[Current Price ($)]]</f>
        <v>2.3327820765080406E-3</v>
      </c>
      <c r="M2041" t="str">
        <f t="shared" si="62"/>
        <v>STALE</v>
      </c>
      <c r="N2041" s="10" t="str">
        <f t="shared" si="63"/>
        <v>LOW</v>
      </c>
    </row>
    <row r="2042" spans="1:14">
      <c r="A2042" s="4" t="s">
        <v>4100</v>
      </c>
      <c r="B2042" s="4" t="s">
        <v>4101</v>
      </c>
      <c r="C2042" s="4" t="s">
        <v>12</v>
      </c>
      <c r="D2042" s="4" t="s">
        <v>13</v>
      </c>
      <c r="E2042" s="5">
        <v>81.9251</v>
      </c>
      <c r="F2042" s="5">
        <v>83.610900000000001</v>
      </c>
      <c r="G2042" s="5">
        <v>83.578000000000003</v>
      </c>
      <c r="H2042" s="4">
        <v>0</v>
      </c>
      <c r="I2042" s="6">
        <v>4415666</v>
      </c>
      <c r="J2042" s="7">
        <v>654.57000000000005</v>
      </c>
      <c r="K2042" s="9">
        <f>(PricingDataTable[[#This Row],[Current Price ($)]]-PricingDataTable[[#This Row],[Prior Price ($)]])/PricingDataTable[[#This Row],[Prior Price ($)]]</f>
        <v>2.0577332221748894E-2</v>
      </c>
      <c r="L2042" s="9">
        <f>(PricingDataTable[[#This Row],[Vendor Price ($)]]-PricingDataTable[[#This Row],[Current Price ($)]])/PricingDataTable[[#This Row],[Current Price ($)]]</f>
        <v>-3.9348936562096483E-4</v>
      </c>
      <c r="M2042" t="str">
        <f t="shared" si="62"/>
        <v>PASS</v>
      </c>
      <c r="N2042" s="10" t="str">
        <f t="shared" si="63"/>
        <v>NONE</v>
      </c>
    </row>
    <row r="2043" spans="1:14">
      <c r="A2043" s="4" t="s">
        <v>4102</v>
      </c>
      <c r="B2043" s="4" t="s">
        <v>4103</v>
      </c>
      <c r="C2043" s="4" t="s">
        <v>19</v>
      </c>
      <c r="D2043" s="4" t="s">
        <v>13</v>
      </c>
      <c r="E2043" s="5">
        <v>226.2216</v>
      </c>
      <c r="F2043" s="5">
        <v>223.21430000000001</v>
      </c>
      <c r="G2043" s="5">
        <v>222.44990000000001</v>
      </c>
      <c r="H2043" s="4">
        <v>0</v>
      </c>
      <c r="I2043" s="6">
        <v>3661469</v>
      </c>
      <c r="J2043" s="7">
        <v>546.87</v>
      </c>
      <c r="K2043" s="9">
        <f>(PricingDataTable[[#This Row],[Current Price ($)]]-PricingDataTable[[#This Row],[Prior Price ($)]])/PricingDataTable[[#This Row],[Prior Price ($)]]</f>
        <v>-1.3293602379259924E-2</v>
      </c>
      <c r="L2043" s="9">
        <f>(PricingDataTable[[#This Row],[Vendor Price ($)]]-PricingDataTable[[#This Row],[Current Price ($)]])/PricingDataTable[[#This Row],[Current Price ($)]]</f>
        <v>-3.4245117808312229E-3</v>
      </c>
      <c r="M2043" t="str">
        <f t="shared" si="62"/>
        <v>PASS</v>
      </c>
      <c r="N2043" s="10" t="str">
        <f t="shared" si="63"/>
        <v>NONE</v>
      </c>
    </row>
    <row r="2044" spans="1:14">
      <c r="A2044" s="4" t="s">
        <v>4104</v>
      </c>
      <c r="B2044" s="4" t="s">
        <v>4105</v>
      </c>
      <c r="C2044" s="4" t="s">
        <v>19</v>
      </c>
      <c r="D2044" s="4" t="s">
        <v>36</v>
      </c>
      <c r="E2044" s="5">
        <v>216.4453</v>
      </c>
      <c r="F2044" s="5">
        <v>221.05500000000001</v>
      </c>
      <c r="G2044" s="5">
        <v>212.95359999999999</v>
      </c>
      <c r="H2044" s="4">
        <v>1</v>
      </c>
      <c r="I2044" s="6">
        <v>1914575</v>
      </c>
      <c r="J2044" s="7">
        <v>592.79999999999995</v>
      </c>
      <c r="K2044" s="9">
        <f>(PricingDataTable[[#This Row],[Current Price ($)]]-PricingDataTable[[#This Row],[Prior Price ($)]])/PricingDataTable[[#This Row],[Prior Price ($)]]</f>
        <v>2.1297297746821039E-2</v>
      </c>
      <c r="L2044" s="9">
        <f>(PricingDataTable[[#This Row],[Vendor Price ($)]]-PricingDataTable[[#This Row],[Current Price ($)]])/PricingDataTable[[#This Row],[Current Price ($)]]</f>
        <v>-3.6648797810499706E-2</v>
      </c>
      <c r="M2044" t="str">
        <f t="shared" si="62"/>
        <v>VENDOR DIFFERENCE</v>
      </c>
      <c r="N2044" s="10" t="str">
        <f t="shared" si="63"/>
        <v>MEDIUM</v>
      </c>
    </row>
    <row r="2045" spans="1:14">
      <c r="A2045" s="4" t="s">
        <v>4106</v>
      </c>
      <c r="B2045" s="4" t="s">
        <v>4107</v>
      </c>
      <c r="C2045" s="4" t="s">
        <v>39</v>
      </c>
      <c r="D2045" s="4" t="s">
        <v>13</v>
      </c>
      <c r="E2045" s="5">
        <v>310.84480000000002</v>
      </c>
      <c r="F2045" s="5">
        <v>308.34320000000002</v>
      </c>
      <c r="G2045" s="5">
        <v>307.63889999999998</v>
      </c>
      <c r="H2045" s="4">
        <v>0</v>
      </c>
      <c r="I2045" s="6">
        <v>2182346</v>
      </c>
      <c r="J2045" s="7">
        <v>544.59</v>
      </c>
      <c r="K2045" s="9">
        <f>(PricingDataTable[[#This Row],[Current Price ($)]]-PricingDataTable[[#This Row],[Prior Price ($)]])/PricingDataTable[[#This Row],[Prior Price ($)]]</f>
        <v>-8.0477460134446392E-3</v>
      </c>
      <c r="L2045" s="9">
        <f>(PricingDataTable[[#This Row],[Vendor Price ($)]]-PricingDataTable[[#This Row],[Current Price ($)]])/PricingDataTable[[#This Row],[Current Price ($)]]</f>
        <v>-2.284143123636409E-3</v>
      </c>
      <c r="M2045" t="str">
        <f t="shared" si="62"/>
        <v>PASS</v>
      </c>
      <c r="N2045" s="10" t="str">
        <f t="shared" si="63"/>
        <v>NONE</v>
      </c>
    </row>
    <row r="2046" spans="1:14">
      <c r="A2046" s="4" t="s">
        <v>4108</v>
      </c>
      <c r="B2046" s="4" t="s">
        <v>4109</v>
      </c>
      <c r="C2046" s="4" t="s">
        <v>19</v>
      </c>
      <c r="D2046" s="4" t="s">
        <v>64</v>
      </c>
      <c r="E2046" s="5">
        <v>328.20859999999999</v>
      </c>
      <c r="F2046" s="5">
        <v>324.89769999999999</v>
      </c>
      <c r="G2046" s="5">
        <v>326.85759999999999</v>
      </c>
      <c r="H2046" s="4">
        <v>0</v>
      </c>
      <c r="I2046" s="6">
        <v>2083996</v>
      </c>
      <c r="J2046" s="7">
        <v>721.33</v>
      </c>
      <c r="K2046" s="9">
        <f>(PricingDataTable[[#This Row],[Current Price ($)]]-PricingDataTable[[#This Row],[Prior Price ($)]])/PricingDataTable[[#This Row],[Prior Price ($)]]</f>
        <v>-1.0087791727578144E-2</v>
      </c>
      <c r="L2046" s="9">
        <f>(PricingDataTable[[#This Row],[Vendor Price ($)]]-PricingDataTable[[#This Row],[Current Price ($)]])/PricingDataTable[[#This Row],[Current Price ($)]]</f>
        <v>6.0323603398854614E-3</v>
      </c>
      <c r="M2046" t="str">
        <f t="shared" si="62"/>
        <v>PASS</v>
      </c>
      <c r="N2046" s="10" t="str">
        <f t="shared" si="63"/>
        <v>NONE</v>
      </c>
    </row>
    <row r="2047" spans="1:14">
      <c r="A2047" s="4" t="s">
        <v>4110</v>
      </c>
      <c r="B2047" s="4" t="s">
        <v>4111</v>
      </c>
      <c r="C2047" s="4" t="s">
        <v>39</v>
      </c>
      <c r="D2047" s="4" t="s">
        <v>32</v>
      </c>
      <c r="E2047" s="5">
        <v>156.77209999999999</v>
      </c>
      <c r="F2047" s="5">
        <v>160.58789999999999</v>
      </c>
      <c r="G2047" s="5">
        <v>161.42740000000001</v>
      </c>
      <c r="H2047" s="4">
        <v>4</v>
      </c>
      <c r="I2047" s="6">
        <v>204911</v>
      </c>
      <c r="J2047" s="7">
        <v>544.58000000000004</v>
      </c>
      <c r="K2047" s="9">
        <f>(PricingDataTable[[#This Row],[Current Price ($)]]-PricingDataTable[[#This Row],[Prior Price ($)]])/PricingDataTable[[#This Row],[Prior Price ($)]]</f>
        <v>2.4339790051928857E-2</v>
      </c>
      <c r="L2047" s="9">
        <f>(PricingDataTable[[#This Row],[Vendor Price ($)]]-PricingDataTable[[#This Row],[Current Price ($)]])/PricingDataTable[[#This Row],[Current Price ($)]]</f>
        <v>5.2276665925640427E-3</v>
      </c>
      <c r="M2047" t="str">
        <f t="shared" si="62"/>
        <v>STALE</v>
      </c>
      <c r="N2047" s="10" t="str">
        <f t="shared" si="63"/>
        <v>LOW</v>
      </c>
    </row>
    <row r="2048" spans="1:14">
      <c r="A2048" s="4" t="s">
        <v>4112</v>
      </c>
      <c r="B2048" s="4" t="s">
        <v>4113</v>
      </c>
      <c r="C2048" s="4" t="s">
        <v>19</v>
      </c>
      <c r="D2048" s="4" t="s">
        <v>13</v>
      </c>
      <c r="E2048" s="5">
        <v>37.129100000000001</v>
      </c>
      <c r="F2048" s="5">
        <v>36.779899999999998</v>
      </c>
      <c r="G2048" s="5">
        <v>36.928400000000003</v>
      </c>
      <c r="H2048" s="4">
        <v>1</v>
      </c>
      <c r="I2048" s="6">
        <v>1401054</v>
      </c>
      <c r="J2048" s="7">
        <v>702.04</v>
      </c>
      <c r="K2048" s="9">
        <f>(PricingDataTable[[#This Row],[Current Price ($)]]-PricingDataTable[[#This Row],[Prior Price ($)]])/PricingDataTable[[#This Row],[Prior Price ($)]]</f>
        <v>-9.4050219369713594E-3</v>
      </c>
      <c r="L2048" s="9">
        <f>(PricingDataTable[[#This Row],[Vendor Price ($)]]-PricingDataTable[[#This Row],[Current Price ($)]])/PricingDataTable[[#This Row],[Current Price ($)]]</f>
        <v>4.0375313690359585E-3</v>
      </c>
      <c r="M2048" t="str">
        <f t="shared" si="62"/>
        <v>PASS</v>
      </c>
      <c r="N2048" s="10" t="str">
        <f t="shared" si="63"/>
        <v>NONE</v>
      </c>
    </row>
    <row r="2049" spans="1:14">
      <c r="A2049" s="4" t="s">
        <v>4114</v>
      </c>
      <c r="B2049" s="4" t="s">
        <v>4115</v>
      </c>
      <c r="C2049" s="4" t="s">
        <v>35</v>
      </c>
      <c r="D2049" s="4" t="s">
        <v>13</v>
      </c>
      <c r="E2049" s="5">
        <v>166.16839999999999</v>
      </c>
      <c r="F2049" s="5">
        <v>198.74760000000001</v>
      </c>
      <c r="G2049" s="5">
        <v>198.3236</v>
      </c>
      <c r="H2049" s="4">
        <v>0</v>
      </c>
      <c r="I2049" s="6">
        <v>3329909</v>
      </c>
      <c r="J2049" s="7">
        <v>355.86</v>
      </c>
      <c r="K2049" s="9">
        <f>(PricingDataTable[[#This Row],[Current Price ($)]]-PricingDataTable[[#This Row],[Prior Price ($)]])/PricingDataTable[[#This Row],[Prior Price ($)]]</f>
        <v>0.19606134499700315</v>
      </c>
      <c r="L2049" s="9">
        <f>(PricingDataTable[[#This Row],[Vendor Price ($)]]-PricingDataTable[[#This Row],[Current Price ($)]])/PricingDataTable[[#This Row],[Current Price ($)]]</f>
        <v>-2.1333590946507356E-3</v>
      </c>
      <c r="M2049" t="str">
        <f t="shared" si="62"/>
        <v>LARGE MOVE</v>
      </c>
      <c r="N2049" s="10" t="str">
        <f t="shared" si="63"/>
        <v>HIGH</v>
      </c>
    </row>
    <row r="2050" spans="1:14">
      <c r="A2050" s="4" t="s">
        <v>4116</v>
      </c>
      <c r="B2050" s="4" t="s">
        <v>4117</v>
      </c>
      <c r="C2050" s="4" t="s">
        <v>19</v>
      </c>
      <c r="D2050" s="4" t="s">
        <v>13</v>
      </c>
      <c r="E2050" s="5">
        <v>109.5592</v>
      </c>
      <c r="F2050" s="5">
        <v>109.41030000000001</v>
      </c>
      <c r="G2050" s="5">
        <v>109.402</v>
      </c>
      <c r="H2050" s="4">
        <v>0</v>
      </c>
      <c r="I2050" s="6">
        <v>1908389</v>
      </c>
      <c r="J2050" s="7">
        <v>649.39</v>
      </c>
      <c r="K2050" s="9">
        <f>(PricingDataTable[[#This Row],[Current Price ($)]]-PricingDataTable[[#This Row],[Prior Price ($)]])/PricingDataTable[[#This Row],[Prior Price ($)]]</f>
        <v>-1.3590825781860181E-3</v>
      </c>
      <c r="L2050" s="9">
        <f>(PricingDataTable[[#This Row],[Vendor Price ($)]]-PricingDataTable[[#This Row],[Current Price ($)]])/PricingDataTable[[#This Row],[Current Price ($)]]</f>
        <v>-7.5861230615449599E-5</v>
      </c>
      <c r="M2050" t="str">
        <f t="shared" ref="M2050:M2113" si="64">IF(OR(F2050="",F2050=0),"MISSING",IF(H2050&gt;=3,"STALE",IF(ABS(K2050)&gt;=5%,"LARGE MOVE",IF(ABS(L2050)&gt;=2%,"VENDOR DIFFERENCE","PASS"))))</f>
        <v>PASS</v>
      </c>
      <c r="N2050" s="10" t="str">
        <f t="shared" ref="N2050:N2113" si="65">IF(M2050="PASS","NONE",IF(M2050="MISSING","HIGH",IF(OR(ABS(K2050)&gt;=10%,ABS(L2050)&gt;=5%),"HIGH",IF(OR(ABS(K2050)&gt;=7%,ABS(L2050)&gt;=3%,H2050&gt;=5),"MEDIUM","LOW"))))</f>
        <v>NONE</v>
      </c>
    </row>
    <row r="2051" spans="1:14">
      <c r="A2051" s="4" t="s">
        <v>4118</v>
      </c>
      <c r="B2051" s="4" t="s">
        <v>4119</v>
      </c>
      <c r="C2051" s="4" t="s">
        <v>12</v>
      </c>
      <c r="D2051" s="4" t="s">
        <v>13</v>
      </c>
      <c r="E2051" s="5">
        <v>99.443200000000004</v>
      </c>
      <c r="F2051" s="5">
        <v>97.660200000000003</v>
      </c>
      <c r="G2051" s="5">
        <v>97.423599999999993</v>
      </c>
      <c r="H2051" s="4">
        <v>1</v>
      </c>
      <c r="I2051" s="6">
        <v>716870</v>
      </c>
      <c r="J2051" s="7">
        <v>66.33</v>
      </c>
      <c r="K2051" s="9">
        <f>(PricingDataTable[[#This Row],[Current Price ($)]]-PricingDataTable[[#This Row],[Prior Price ($)]])/PricingDataTable[[#This Row],[Prior Price ($)]]</f>
        <v>-1.7929833311880562E-2</v>
      </c>
      <c r="L2051" s="9">
        <f>(PricingDataTable[[#This Row],[Vendor Price ($)]]-PricingDataTable[[#This Row],[Current Price ($)]])/PricingDataTable[[#This Row],[Current Price ($)]]</f>
        <v>-2.4226860071964824E-3</v>
      </c>
      <c r="M2051" t="str">
        <f t="shared" si="64"/>
        <v>PASS</v>
      </c>
      <c r="N2051" s="10" t="str">
        <f t="shared" si="65"/>
        <v>NONE</v>
      </c>
    </row>
    <row r="2052" spans="1:14">
      <c r="A2052" s="4" t="s">
        <v>4120</v>
      </c>
      <c r="B2052" s="4" t="s">
        <v>4121</v>
      </c>
      <c r="C2052" s="4" t="s">
        <v>35</v>
      </c>
      <c r="D2052" s="4" t="s">
        <v>237</v>
      </c>
      <c r="E2052" s="5">
        <v>83.1768</v>
      </c>
      <c r="F2052" s="5">
        <v>83.4178</v>
      </c>
      <c r="G2052" s="5">
        <v>83.718400000000003</v>
      </c>
      <c r="H2052" s="4">
        <v>4</v>
      </c>
      <c r="I2052" s="6">
        <v>868466</v>
      </c>
      <c r="J2052" s="7">
        <v>144.44999999999999</v>
      </c>
      <c r="K2052" s="9">
        <f>(PricingDataTable[[#This Row],[Current Price ($)]]-PricingDataTable[[#This Row],[Prior Price ($)]])/PricingDataTable[[#This Row],[Prior Price ($)]]</f>
        <v>2.8974425560973692E-3</v>
      </c>
      <c r="L2052" s="9">
        <f>(PricingDataTable[[#This Row],[Vendor Price ($)]]-PricingDataTable[[#This Row],[Current Price ($)]])/PricingDataTable[[#This Row],[Current Price ($)]]</f>
        <v>3.6035474443104811E-3</v>
      </c>
      <c r="M2052" t="str">
        <f t="shared" si="64"/>
        <v>STALE</v>
      </c>
      <c r="N2052" s="10" t="str">
        <f t="shared" si="65"/>
        <v>LOW</v>
      </c>
    </row>
    <row r="2053" spans="1:14">
      <c r="A2053" s="4" t="s">
        <v>4122</v>
      </c>
      <c r="B2053" s="4" t="s">
        <v>4123</v>
      </c>
      <c r="C2053" s="4" t="s">
        <v>39</v>
      </c>
      <c r="D2053" s="4" t="s">
        <v>13</v>
      </c>
      <c r="E2053" s="5">
        <v>79.134</v>
      </c>
      <c r="F2053" s="5">
        <v>79.476200000000006</v>
      </c>
      <c r="G2053" s="5">
        <v>79.1905</v>
      </c>
      <c r="H2053" s="4">
        <v>0</v>
      </c>
      <c r="I2053" s="6">
        <v>4849921</v>
      </c>
      <c r="J2053" s="7">
        <v>867.61</v>
      </c>
      <c r="K2053" s="9">
        <f>(PricingDataTable[[#This Row],[Current Price ($)]]-PricingDataTable[[#This Row],[Prior Price ($)]])/PricingDataTable[[#This Row],[Prior Price ($)]]</f>
        <v>4.3243106629262439E-3</v>
      </c>
      <c r="L2053" s="9">
        <f>(PricingDataTable[[#This Row],[Vendor Price ($)]]-PricingDataTable[[#This Row],[Current Price ($)]])/PricingDataTable[[#This Row],[Current Price ($)]]</f>
        <v>-3.5947868670118299E-3</v>
      </c>
      <c r="M2053" t="str">
        <f t="shared" si="64"/>
        <v>PASS</v>
      </c>
      <c r="N2053" s="10" t="str">
        <f t="shared" si="65"/>
        <v>NONE</v>
      </c>
    </row>
    <row r="2054" spans="1:14">
      <c r="A2054" s="4" t="s">
        <v>4124</v>
      </c>
      <c r="B2054" s="4" t="s">
        <v>4125</v>
      </c>
      <c r="C2054" s="4" t="s">
        <v>35</v>
      </c>
      <c r="D2054" s="4" t="s">
        <v>13</v>
      </c>
      <c r="E2054" s="5">
        <v>93.007199999999997</v>
      </c>
      <c r="F2054" s="5">
        <v>93.417299999999997</v>
      </c>
      <c r="G2054" s="5">
        <v>94.022300000000001</v>
      </c>
      <c r="H2054" s="4">
        <v>0</v>
      </c>
      <c r="I2054" s="6">
        <v>4403039</v>
      </c>
      <c r="J2054" s="7">
        <v>182.61</v>
      </c>
      <c r="K2054" s="9">
        <f>(PricingDataTable[[#This Row],[Current Price ($)]]-PricingDataTable[[#This Row],[Prior Price ($)]])/PricingDataTable[[#This Row],[Prior Price ($)]]</f>
        <v>4.4093360514024715E-3</v>
      </c>
      <c r="L2054" s="9">
        <f>(PricingDataTable[[#This Row],[Vendor Price ($)]]-PricingDataTable[[#This Row],[Current Price ($)]])/PricingDataTable[[#This Row],[Current Price ($)]]</f>
        <v>6.4763164852763245E-3</v>
      </c>
      <c r="M2054" t="str">
        <f t="shared" si="64"/>
        <v>PASS</v>
      </c>
      <c r="N2054" s="10" t="str">
        <f t="shared" si="65"/>
        <v>NONE</v>
      </c>
    </row>
    <row r="2055" spans="1:14">
      <c r="A2055" s="4" t="s">
        <v>4126</v>
      </c>
      <c r="B2055" s="4" t="s">
        <v>4127</v>
      </c>
      <c r="C2055" s="4" t="s">
        <v>19</v>
      </c>
      <c r="D2055" s="4" t="s">
        <v>13</v>
      </c>
      <c r="E2055" s="5">
        <v>128.77449999999999</v>
      </c>
      <c r="F2055" s="5">
        <v>130.47139999999999</v>
      </c>
      <c r="G2055" s="5">
        <v>126.8905</v>
      </c>
      <c r="H2055" s="4">
        <v>0</v>
      </c>
      <c r="I2055" s="6">
        <v>1156335</v>
      </c>
      <c r="J2055" s="7">
        <v>490.38</v>
      </c>
      <c r="K2055" s="9">
        <f>(PricingDataTable[[#This Row],[Current Price ($)]]-PricingDataTable[[#This Row],[Prior Price ($)]])/PricingDataTable[[#This Row],[Prior Price ($)]]</f>
        <v>1.3177298300517568E-2</v>
      </c>
      <c r="L2055" s="9">
        <f>(PricingDataTable[[#This Row],[Vendor Price ($)]]-PricingDataTable[[#This Row],[Current Price ($)]])/PricingDataTable[[#This Row],[Current Price ($)]]</f>
        <v>-2.7445861698425753E-2</v>
      </c>
      <c r="M2055" t="str">
        <f t="shared" si="64"/>
        <v>VENDOR DIFFERENCE</v>
      </c>
      <c r="N2055" s="10" t="str">
        <f t="shared" si="65"/>
        <v>LOW</v>
      </c>
    </row>
    <row r="2056" spans="1:14">
      <c r="A2056" s="4" t="s">
        <v>4128</v>
      </c>
      <c r="B2056" s="4" t="s">
        <v>4129</v>
      </c>
      <c r="C2056" s="4" t="s">
        <v>16</v>
      </c>
      <c r="D2056" s="4" t="s">
        <v>13</v>
      </c>
      <c r="E2056" s="5">
        <v>99.502799999999993</v>
      </c>
      <c r="F2056" s="5">
        <v>98.855699999999999</v>
      </c>
      <c r="G2056" s="5">
        <v>98.379599999999996</v>
      </c>
      <c r="H2056" s="4">
        <v>0</v>
      </c>
      <c r="I2056" s="6">
        <v>2966225</v>
      </c>
      <c r="J2056" s="7">
        <v>298.95</v>
      </c>
      <c r="K2056" s="9">
        <f>(PricingDataTable[[#This Row],[Current Price ($)]]-PricingDataTable[[#This Row],[Prior Price ($)]])/PricingDataTable[[#This Row],[Prior Price ($)]]</f>
        <v>-6.5033345795293676E-3</v>
      </c>
      <c r="L2056" s="9">
        <f>(PricingDataTable[[#This Row],[Vendor Price ($)]]-PricingDataTable[[#This Row],[Current Price ($)]])/PricingDataTable[[#This Row],[Current Price ($)]]</f>
        <v>-4.8161107553737663E-3</v>
      </c>
      <c r="M2056" t="str">
        <f t="shared" si="64"/>
        <v>PASS</v>
      </c>
      <c r="N2056" s="10" t="str">
        <f t="shared" si="65"/>
        <v>NONE</v>
      </c>
    </row>
    <row r="2057" spans="1:14">
      <c r="A2057" s="4" t="s">
        <v>4130</v>
      </c>
      <c r="B2057" s="4" t="s">
        <v>4131</v>
      </c>
      <c r="C2057" s="4" t="s">
        <v>19</v>
      </c>
      <c r="D2057" s="4" t="s">
        <v>13</v>
      </c>
      <c r="E2057" s="5">
        <v>35.621299999999998</v>
      </c>
      <c r="F2057" s="5">
        <v>35.03</v>
      </c>
      <c r="G2057" s="5">
        <v>35.017800000000001</v>
      </c>
      <c r="H2057" s="4">
        <v>1</v>
      </c>
      <c r="I2057" s="6">
        <v>1745756</v>
      </c>
      <c r="J2057" s="7">
        <v>621.14</v>
      </c>
      <c r="K2057" s="9">
        <f>(PricingDataTable[[#This Row],[Current Price ($)]]-PricingDataTable[[#This Row],[Prior Price ($)]])/PricingDataTable[[#This Row],[Prior Price ($)]]</f>
        <v>-1.6599618767422775E-2</v>
      </c>
      <c r="L2057" s="9">
        <f>(PricingDataTable[[#This Row],[Vendor Price ($)]]-PricingDataTable[[#This Row],[Current Price ($)]])/PricingDataTable[[#This Row],[Current Price ($)]]</f>
        <v>-3.4827290893519805E-4</v>
      </c>
      <c r="M2057" t="str">
        <f t="shared" si="64"/>
        <v>PASS</v>
      </c>
      <c r="N2057" s="10" t="str">
        <f t="shared" si="65"/>
        <v>NONE</v>
      </c>
    </row>
    <row r="2058" spans="1:14">
      <c r="A2058" s="4" t="s">
        <v>4132</v>
      </c>
      <c r="B2058" s="4" t="s">
        <v>4133</v>
      </c>
      <c r="C2058" s="4" t="s">
        <v>16</v>
      </c>
      <c r="D2058" s="4" t="s">
        <v>237</v>
      </c>
      <c r="E2058" s="5">
        <v>81.731999999999999</v>
      </c>
      <c r="F2058" s="5">
        <v>81.748099999999994</v>
      </c>
      <c r="G2058" s="5">
        <v>81.816599999999994</v>
      </c>
      <c r="H2058" s="4">
        <v>0</v>
      </c>
      <c r="I2058" s="6">
        <v>1195080</v>
      </c>
      <c r="J2058" s="7">
        <v>789.46</v>
      </c>
      <c r="K2058" s="9">
        <f>(PricingDataTable[[#This Row],[Current Price ($)]]-PricingDataTable[[#This Row],[Prior Price ($)]])/PricingDataTable[[#This Row],[Prior Price ($)]]</f>
        <v>1.969852689276471E-4</v>
      </c>
      <c r="L2058" s="9">
        <f>(PricingDataTable[[#This Row],[Vendor Price ($)]]-PricingDataTable[[#This Row],[Current Price ($)]])/PricingDataTable[[#This Row],[Current Price ($)]]</f>
        <v>8.3793996435391443E-4</v>
      </c>
      <c r="M2058" t="str">
        <f t="shared" si="64"/>
        <v>PASS</v>
      </c>
      <c r="N2058" s="10" t="str">
        <f t="shared" si="65"/>
        <v>NONE</v>
      </c>
    </row>
    <row r="2059" spans="1:14">
      <c r="A2059" s="4" t="s">
        <v>4134</v>
      </c>
      <c r="B2059" s="4" t="s">
        <v>4135</v>
      </c>
      <c r="C2059" s="4" t="s">
        <v>19</v>
      </c>
      <c r="D2059" s="4" t="s">
        <v>13</v>
      </c>
      <c r="E2059" s="5">
        <v>283.95249999999999</v>
      </c>
      <c r="F2059" s="5">
        <v>275.40800000000002</v>
      </c>
      <c r="G2059" s="5">
        <v>274.36349999999999</v>
      </c>
      <c r="H2059" s="4">
        <v>4</v>
      </c>
      <c r="I2059" s="6">
        <v>3486826</v>
      </c>
      <c r="J2059" s="7">
        <v>638.58000000000004</v>
      </c>
      <c r="K2059" s="9">
        <f>(PricingDataTable[[#This Row],[Current Price ($)]]-PricingDataTable[[#This Row],[Prior Price ($)]])/PricingDataTable[[#This Row],[Prior Price ($)]]</f>
        <v>-3.0091300481594533E-2</v>
      </c>
      <c r="L2059" s="9">
        <f>(PricingDataTable[[#This Row],[Vendor Price ($)]]-PricingDataTable[[#This Row],[Current Price ($)]])/PricingDataTable[[#This Row],[Current Price ($)]]</f>
        <v>-3.7925550456051663E-3</v>
      </c>
      <c r="M2059" t="str">
        <f t="shared" si="64"/>
        <v>STALE</v>
      </c>
      <c r="N2059" s="10" t="str">
        <f t="shared" si="65"/>
        <v>LOW</v>
      </c>
    </row>
    <row r="2060" spans="1:14">
      <c r="A2060" s="4" t="s">
        <v>4136</v>
      </c>
      <c r="B2060" s="4" t="s">
        <v>4137</v>
      </c>
      <c r="C2060" s="4" t="s">
        <v>16</v>
      </c>
      <c r="D2060" s="4" t="s">
        <v>36</v>
      </c>
      <c r="E2060" s="5">
        <v>96.313599999999994</v>
      </c>
      <c r="F2060" s="5">
        <v>95.202500000000001</v>
      </c>
      <c r="G2060" s="5">
        <v>95.442999999999998</v>
      </c>
      <c r="H2060" s="4">
        <v>0</v>
      </c>
      <c r="I2060" s="6">
        <v>2336792</v>
      </c>
      <c r="J2060" s="7">
        <v>818.91</v>
      </c>
      <c r="K2060" s="9">
        <f>(PricingDataTable[[#This Row],[Current Price ($)]]-PricingDataTable[[#This Row],[Prior Price ($)]])/PricingDataTable[[#This Row],[Prior Price ($)]]</f>
        <v>-1.1536273174297227E-2</v>
      </c>
      <c r="L2060" s="9">
        <f>(PricingDataTable[[#This Row],[Vendor Price ($)]]-PricingDataTable[[#This Row],[Current Price ($)]])/PricingDataTable[[#This Row],[Current Price ($)]]</f>
        <v>2.5261941650691661E-3</v>
      </c>
      <c r="M2060" t="str">
        <f t="shared" si="64"/>
        <v>PASS</v>
      </c>
      <c r="N2060" s="10" t="str">
        <f t="shared" si="65"/>
        <v>NONE</v>
      </c>
    </row>
    <row r="2061" spans="1:14">
      <c r="A2061" s="4" t="s">
        <v>4138</v>
      </c>
      <c r="B2061" s="4" t="s">
        <v>4139</v>
      </c>
      <c r="C2061" s="4" t="s">
        <v>16</v>
      </c>
      <c r="D2061" s="4" t="s">
        <v>13</v>
      </c>
      <c r="E2061" s="5">
        <v>88.1952</v>
      </c>
      <c r="F2061" s="5">
        <v>87.937799999999996</v>
      </c>
      <c r="G2061" s="5">
        <v>87.952399999999997</v>
      </c>
      <c r="H2061" s="4">
        <v>1</v>
      </c>
      <c r="I2061" s="6">
        <v>797780</v>
      </c>
      <c r="J2061" s="7">
        <v>440.92</v>
      </c>
      <c r="K2061" s="9">
        <f>(PricingDataTable[[#This Row],[Current Price ($)]]-PricingDataTable[[#This Row],[Prior Price ($)]])/PricingDataTable[[#This Row],[Prior Price ($)]]</f>
        <v>-2.9185261782954637E-3</v>
      </c>
      <c r="L2061" s="9">
        <f>(PricingDataTable[[#This Row],[Vendor Price ($)]]-PricingDataTable[[#This Row],[Current Price ($)]])/PricingDataTable[[#This Row],[Current Price ($)]]</f>
        <v>1.6602644141656378E-4</v>
      </c>
      <c r="M2061" t="str">
        <f t="shared" si="64"/>
        <v>PASS</v>
      </c>
      <c r="N2061" s="10" t="str">
        <f t="shared" si="65"/>
        <v>NONE</v>
      </c>
    </row>
    <row r="2062" spans="1:14">
      <c r="A2062" s="4" t="s">
        <v>4140</v>
      </c>
      <c r="B2062" s="4" t="s">
        <v>4141</v>
      </c>
      <c r="C2062" s="4" t="s">
        <v>12</v>
      </c>
      <c r="D2062" s="4" t="s">
        <v>13</v>
      </c>
      <c r="E2062" s="5">
        <v>109.6649</v>
      </c>
      <c r="F2062" s="5">
        <v>107.92489999999999</v>
      </c>
      <c r="G2062" s="5">
        <v>107.8824</v>
      </c>
      <c r="H2062" s="4">
        <v>0</v>
      </c>
      <c r="I2062" s="6">
        <v>3423094</v>
      </c>
      <c r="J2062" s="7">
        <v>553.82000000000005</v>
      </c>
      <c r="K2062" s="9">
        <f>(PricingDataTable[[#This Row],[Current Price ($)]]-PricingDataTable[[#This Row],[Prior Price ($)]])/PricingDataTable[[#This Row],[Prior Price ($)]]</f>
        <v>-1.5866516998602188E-2</v>
      </c>
      <c r="L2062" s="9">
        <f>(PricingDataTable[[#This Row],[Vendor Price ($)]]-PricingDataTable[[#This Row],[Current Price ($)]])/PricingDataTable[[#This Row],[Current Price ($)]]</f>
        <v>-3.9379235005072762E-4</v>
      </c>
      <c r="M2062" t="str">
        <f t="shared" si="64"/>
        <v>PASS</v>
      </c>
      <c r="N2062" s="10" t="str">
        <f t="shared" si="65"/>
        <v>NONE</v>
      </c>
    </row>
    <row r="2063" spans="1:14">
      <c r="A2063" s="4" t="s">
        <v>4142</v>
      </c>
      <c r="B2063" s="4" t="s">
        <v>4143</v>
      </c>
      <c r="C2063" s="4" t="s">
        <v>19</v>
      </c>
      <c r="D2063" s="4" t="s">
        <v>13</v>
      </c>
      <c r="E2063" s="5">
        <v>74.738600000000005</v>
      </c>
      <c r="F2063" s="5">
        <v>74.4816</v>
      </c>
      <c r="G2063" s="5">
        <v>74.598200000000006</v>
      </c>
      <c r="H2063" s="4">
        <v>0</v>
      </c>
      <c r="I2063" s="6">
        <v>4637169</v>
      </c>
      <c r="J2063" s="7">
        <v>841.92</v>
      </c>
      <c r="K2063" s="9">
        <f>(PricingDataTable[[#This Row],[Current Price ($)]]-PricingDataTable[[#This Row],[Prior Price ($)]])/PricingDataTable[[#This Row],[Prior Price ($)]]</f>
        <v>-3.4386515134081316E-3</v>
      </c>
      <c r="L2063" s="9">
        <f>(PricingDataTable[[#This Row],[Vendor Price ($)]]-PricingDataTable[[#This Row],[Current Price ($)]])/PricingDataTable[[#This Row],[Current Price ($)]]</f>
        <v>1.5654873149879348E-3</v>
      </c>
      <c r="M2063" t="str">
        <f t="shared" si="64"/>
        <v>PASS</v>
      </c>
      <c r="N2063" s="10" t="str">
        <f t="shared" si="65"/>
        <v>NONE</v>
      </c>
    </row>
    <row r="2064" spans="1:14">
      <c r="A2064" s="4" t="s">
        <v>4144</v>
      </c>
      <c r="B2064" s="4" t="s">
        <v>4145</v>
      </c>
      <c r="C2064" s="4" t="s">
        <v>39</v>
      </c>
      <c r="D2064" s="4" t="s">
        <v>13</v>
      </c>
      <c r="E2064" s="5">
        <v>163.96199999999999</v>
      </c>
      <c r="F2064" s="5">
        <v>162.3852</v>
      </c>
      <c r="G2064" s="5">
        <v>162.5256</v>
      </c>
      <c r="H2064" s="4">
        <v>0</v>
      </c>
      <c r="I2064" s="6">
        <v>4169668</v>
      </c>
      <c r="J2064" s="7">
        <v>895.55</v>
      </c>
      <c r="K2064" s="9">
        <f>(PricingDataTable[[#This Row],[Current Price ($)]]-PricingDataTable[[#This Row],[Prior Price ($)]])/PricingDataTable[[#This Row],[Prior Price ($)]]</f>
        <v>-9.6168624437369121E-3</v>
      </c>
      <c r="L2064" s="9">
        <f>(PricingDataTable[[#This Row],[Vendor Price ($)]]-PricingDataTable[[#This Row],[Current Price ($)]])/PricingDataTable[[#This Row],[Current Price ($)]]</f>
        <v>8.6461081428602872E-4</v>
      </c>
      <c r="M2064" t="str">
        <f t="shared" si="64"/>
        <v>PASS</v>
      </c>
      <c r="N2064" s="10" t="str">
        <f t="shared" si="65"/>
        <v>NONE</v>
      </c>
    </row>
    <row r="2065" spans="1:14">
      <c r="A2065" s="4" t="s">
        <v>4146</v>
      </c>
      <c r="B2065" s="4" t="s">
        <v>4147</v>
      </c>
      <c r="C2065" s="4" t="s">
        <v>39</v>
      </c>
      <c r="D2065" s="4" t="s">
        <v>13</v>
      </c>
      <c r="E2065" s="5">
        <v>211.76849999999999</v>
      </c>
      <c r="F2065" s="5">
        <v>212.923</v>
      </c>
      <c r="G2065" s="5">
        <v>213.01070000000001</v>
      </c>
      <c r="H2065" s="4">
        <v>0</v>
      </c>
      <c r="I2065" s="6">
        <v>3653416</v>
      </c>
      <c r="J2065" s="7">
        <v>751.37</v>
      </c>
      <c r="K2065" s="9">
        <f>(PricingDataTable[[#This Row],[Current Price ($)]]-PricingDataTable[[#This Row],[Prior Price ($)]])/PricingDataTable[[#This Row],[Prior Price ($)]]</f>
        <v>5.4517078791227825E-3</v>
      </c>
      <c r="L2065" s="9">
        <f>(PricingDataTable[[#This Row],[Vendor Price ($)]]-PricingDataTable[[#This Row],[Current Price ($)]])/PricingDataTable[[#This Row],[Current Price ($)]]</f>
        <v>4.1188598695308785E-4</v>
      </c>
      <c r="M2065" t="str">
        <f t="shared" si="64"/>
        <v>PASS</v>
      </c>
      <c r="N2065" s="10" t="str">
        <f t="shared" si="65"/>
        <v>NONE</v>
      </c>
    </row>
    <row r="2066" spans="1:14">
      <c r="A2066" s="4" t="s">
        <v>4148</v>
      </c>
      <c r="B2066" s="4" t="s">
        <v>4149</v>
      </c>
      <c r="C2066" s="4" t="s">
        <v>12</v>
      </c>
      <c r="D2066" s="4" t="s">
        <v>13</v>
      </c>
      <c r="E2066" s="5">
        <v>83.858400000000003</v>
      </c>
      <c r="F2066" s="5">
        <v>84.262500000000003</v>
      </c>
      <c r="G2066" s="5">
        <v>84.288799999999995</v>
      </c>
      <c r="H2066" s="4">
        <v>0</v>
      </c>
      <c r="I2066" s="6">
        <v>3010366</v>
      </c>
      <c r="J2066" s="7">
        <v>722.15</v>
      </c>
      <c r="K2066" s="9">
        <f>(PricingDataTable[[#This Row],[Current Price ($)]]-PricingDataTable[[#This Row],[Prior Price ($)]])/PricingDataTable[[#This Row],[Prior Price ($)]]</f>
        <v>4.8188374688761014E-3</v>
      </c>
      <c r="L2066" s="9">
        <f>(PricingDataTable[[#This Row],[Vendor Price ($)]]-PricingDataTable[[#This Row],[Current Price ($)]])/PricingDataTable[[#This Row],[Current Price ($)]]</f>
        <v>3.1211986352163768E-4</v>
      </c>
      <c r="M2066" t="str">
        <f t="shared" si="64"/>
        <v>PASS</v>
      </c>
      <c r="N2066" s="10" t="str">
        <f t="shared" si="65"/>
        <v>NONE</v>
      </c>
    </row>
    <row r="2067" spans="1:14">
      <c r="A2067" s="4" t="s">
        <v>4150</v>
      </c>
      <c r="B2067" s="4" t="s">
        <v>4151</v>
      </c>
      <c r="C2067" s="4" t="s">
        <v>19</v>
      </c>
      <c r="D2067" s="4" t="s">
        <v>32</v>
      </c>
      <c r="E2067" s="5">
        <v>169.0436</v>
      </c>
      <c r="F2067" s="5">
        <v>170.16210000000001</v>
      </c>
      <c r="G2067" s="5">
        <v>169.69800000000001</v>
      </c>
      <c r="H2067" s="4">
        <v>0</v>
      </c>
      <c r="I2067" s="6">
        <v>1848048</v>
      </c>
      <c r="J2067" s="7">
        <v>331.3</v>
      </c>
      <c r="K2067" s="9">
        <f>(PricingDataTable[[#This Row],[Current Price ($)]]-PricingDataTable[[#This Row],[Prior Price ($)]])/PricingDataTable[[#This Row],[Prior Price ($)]]</f>
        <v>6.6166361814349178E-3</v>
      </c>
      <c r="L2067" s="9">
        <f>(PricingDataTable[[#This Row],[Vendor Price ($)]]-PricingDataTable[[#This Row],[Current Price ($)]])/PricingDataTable[[#This Row],[Current Price ($)]]</f>
        <v>-2.7273993445073958E-3</v>
      </c>
      <c r="M2067" t="str">
        <f t="shared" si="64"/>
        <v>PASS</v>
      </c>
      <c r="N2067" s="10" t="str">
        <f t="shared" si="65"/>
        <v>NONE</v>
      </c>
    </row>
    <row r="2068" spans="1:14">
      <c r="A2068" s="4" t="s">
        <v>4152</v>
      </c>
      <c r="B2068" s="4" t="s">
        <v>4153</v>
      </c>
      <c r="C2068" s="4" t="s">
        <v>35</v>
      </c>
      <c r="D2068" s="4" t="s">
        <v>32</v>
      </c>
      <c r="E2068" s="5">
        <v>119.61369999999999</v>
      </c>
      <c r="F2068" s="5">
        <v>117.6692</v>
      </c>
      <c r="G2068" s="5">
        <v>118.2153</v>
      </c>
      <c r="H2068" s="4">
        <v>0</v>
      </c>
      <c r="I2068" s="6">
        <v>4161123</v>
      </c>
      <c r="J2068" s="7">
        <v>539.71</v>
      </c>
      <c r="K2068" s="9">
        <f>(PricingDataTable[[#This Row],[Current Price ($)]]-PricingDataTable[[#This Row],[Prior Price ($)]])/PricingDataTable[[#This Row],[Prior Price ($)]]</f>
        <v>-1.6256499046513828E-2</v>
      </c>
      <c r="L2068" s="9">
        <f>(PricingDataTable[[#This Row],[Vendor Price ($)]]-PricingDataTable[[#This Row],[Current Price ($)]])/PricingDataTable[[#This Row],[Current Price ($)]]</f>
        <v>4.6409765682098253E-3</v>
      </c>
      <c r="M2068" t="str">
        <f t="shared" si="64"/>
        <v>PASS</v>
      </c>
      <c r="N2068" s="10" t="str">
        <f t="shared" si="65"/>
        <v>NONE</v>
      </c>
    </row>
    <row r="2069" spans="1:14">
      <c r="A2069" s="4" t="s">
        <v>4154</v>
      </c>
      <c r="B2069" s="4" t="s">
        <v>4155</v>
      </c>
      <c r="C2069" s="4" t="s">
        <v>12</v>
      </c>
      <c r="D2069" s="4" t="s">
        <v>32</v>
      </c>
      <c r="E2069" s="5">
        <v>124.47199999999999</v>
      </c>
      <c r="F2069" s="5">
        <v>124.7842</v>
      </c>
      <c r="G2069" s="5">
        <v>124.52970000000001</v>
      </c>
      <c r="H2069" s="4">
        <v>0</v>
      </c>
      <c r="I2069" s="6">
        <v>2099109</v>
      </c>
      <c r="J2069" s="7">
        <v>292.76</v>
      </c>
      <c r="K2069" s="9">
        <f>(PricingDataTable[[#This Row],[Current Price ($)]]-PricingDataTable[[#This Row],[Prior Price ($)]])/PricingDataTable[[#This Row],[Prior Price ($)]]</f>
        <v>2.5081946140497803E-3</v>
      </c>
      <c r="L2069" s="9">
        <f>(PricingDataTable[[#This Row],[Vendor Price ($)]]-PricingDataTable[[#This Row],[Current Price ($)]])/PricingDataTable[[#This Row],[Current Price ($)]]</f>
        <v>-2.0395210291045906E-3</v>
      </c>
      <c r="M2069" t="str">
        <f t="shared" si="64"/>
        <v>PASS</v>
      </c>
      <c r="N2069" s="10" t="str">
        <f t="shared" si="65"/>
        <v>NONE</v>
      </c>
    </row>
    <row r="2070" spans="1:14">
      <c r="A2070" s="4" t="s">
        <v>4156</v>
      </c>
      <c r="B2070" s="4" t="s">
        <v>4157</v>
      </c>
      <c r="C2070" s="4" t="s">
        <v>19</v>
      </c>
      <c r="D2070" s="4" t="s">
        <v>13</v>
      </c>
      <c r="E2070" s="5">
        <v>195.9264</v>
      </c>
      <c r="F2070" s="5">
        <v>200.45689999999999</v>
      </c>
      <c r="G2070" s="5">
        <v>200.30240000000001</v>
      </c>
      <c r="H2070" s="4">
        <v>3</v>
      </c>
      <c r="I2070" s="6">
        <v>2925524</v>
      </c>
      <c r="J2070" s="7">
        <v>593.44000000000005</v>
      </c>
      <c r="K2070" s="9">
        <f>(PricingDataTable[[#This Row],[Current Price ($)]]-PricingDataTable[[#This Row],[Prior Price ($)]])/PricingDataTable[[#This Row],[Prior Price ($)]]</f>
        <v>2.3123479020693432E-2</v>
      </c>
      <c r="L2070" s="9">
        <f>(PricingDataTable[[#This Row],[Vendor Price ($)]]-PricingDataTable[[#This Row],[Current Price ($)]])/PricingDataTable[[#This Row],[Current Price ($)]]</f>
        <v>-7.7073924619199712E-4</v>
      </c>
      <c r="M2070" t="str">
        <f t="shared" si="64"/>
        <v>STALE</v>
      </c>
      <c r="N2070" s="10" t="str">
        <f t="shared" si="65"/>
        <v>LOW</v>
      </c>
    </row>
    <row r="2071" spans="1:14">
      <c r="A2071" s="4" t="s">
        <v>4158</v>
      </c>
      <c r="B2071" s="4" t="s">
        <v>4159</v>
      </c>
      <c r="C2071" s="4" t="s">
        <v>19</v>
      </c>
      <c r="D2071" s="4" t="s">
        <v>13</v>
      </c>
      <c r="E2071" s="5">
        <v>137.58920000000001</v>
      </c>
      <c r="F2071" s="5">
        <v>134.756</v>
      </c>
      <c r="G2071" s="5">
        <v>134.6609</v>
      </c>
      <c r="H2071" s="4">
        <v>0</v>
      </c>
      <c r="I2071" s="6">
        <v>591121</v>
      </c>
      <c r="J2071" s="7">
        <v>117.09</v>
      </c>
      <c r="K2071" s="9">
        <f>(PricingDataTable[[#This Row],[Current Price ($)]]-PricingDataTable[[#This Row],[Prior Price ($)]])/PricingDataTable[[#This Row],[Prior Price ($)]]</f>
        <v>-2.0591732490631568E-2</v>
      </c>
      <c r="L2071" s="9">
        <f>(PricingDataTable[[#This Row],[Vendor Price ($)]]-PricingDataTable[[#This Row],[Current Price ($)]])/PricingDataTable[[#This Row],[Current Price ($)]]</f>
        <v>-7.0571996794207442E-4</v>
      </c>
      <c r="M2071" t="str">
        <f t="shared" si="64"/>
        <v>PASS</v>
      </c>
      <c r="N2071" s="10" t="str">
        <f t="shared" si="65"/>
        <v>NONE</v>
      </c>
    </row>
    <row r="2072" spans="1:14">
      <c r="A2072" s="4" t="s">
        <v>4160</v>
      </c>
      <c r="B2072" s="4" t="s">
        <v>4161</v>
      </c>
      <c r="C2072" s="4" t="s">
        <v>35</v>
      </c>
      <c r="D2072" s="4" t="s">
        <v>13</v>
      </c>
      <c r="E2072" s="5">
        <v>130.43020000000001</v>
      </c>
      <c r="F2072" s="5">
        <v>135.09800000000001</v>
      </c>
      <c r="G2072" s="5">
        <v>135.1515</v>
      </c>
      <c r="H2072" s="4">
        <v>0</v>
      </c>
      <c r="I2072" s="6">
        <v>4801338</v>
      </c>
      <c r="J2072" s="7">
        <v>543.95000000000005</v>
      </c>
      <c r="K2072" s="9">
        <f>(PricingDataTable[[#This Row],[Current Price ($)]]-PricingDataTable[[#This Row],[Prior Price ($)]])/PricingDataTable[[#This Row],[Prior Price ($)]]</f>
        <v>3.5787724008703503E-2</v>
      </c>
      <c r="L2072" s="9">
        <f>(PricingDataTable[[#This Row],[Vendor Price ($)]]-PricingDataTable[[#This Row],[Current Price ($)]])/PricingDataTable[[#This Row],[Current Price ($)]]</f>
        <v>3.9600882322451438E-4</v>
      </c>
      <c r="M2072" t="str">
        <f t="shared" si="64"/>
        <v>PASS</v>
      </c>
      <c r="N2072" s="10" t="str">
        <f t="shared" si="65"/>
        <v>NONE</v>
      </c>
    </row>
    <row r="2073" spans="1:14">
      <c r="A2073" s="4" t="s">
        <v>4162</v>
      </c>
      <c r="B2073" s="4" t="s">
        <v>4163</v>
      </c>
      <c r="C2073" s="4" t="s">
        <v>12</v>
      </c>
      <c r="D2073" s="4" t="s">
        <v>64</v>
      </c>
      <c r="E2073" s="5">
        <v>104.7197</v>
      </c>
      <c r="F2073" s="5">
        <v>102.9786</v>
      </c>
      <c r="G2073" s="5">
        <v>103.07</v>
      </c>
      <c r="H2073" s="4">
        <v>3</v>
      </c>
      <c r="I2073" s="6">
        <v>1849234</v>
      </c>
      <c r="J2073" s="7">
        <v>190.28</v>
      </c>
      <c r="K2073" s="9">
        <f>(PricingDataTable[[#This Row],[Current Price ($)]]-PricingDataTable[[#This Row],[Prior Price ($)]])/PricingDataTable[[#This Row],[Prior Price ($)]]</f>
        <v>-1.6626289036351355E-2</v>
      </c>
      <c r="L2073" s="9">
        <f>(PricingDataTable[[#This Row],[Vendor Price ($)]]-PricingDataTable[[#This Row],[Current Price ($)]])/PricingDataTable[[#This Row],[Current Price ($)]]</f>
        <v>8.8756304707961696E-4</v>
      </c>
      <c r="M2073" t="str">
        <f t="shared" si="64"/>
        <v>STALE</v>
      </c>
      <c r="N2073" s="10" t="str">
        <f t="shared" si="65"/>
        <v>LOW</v>
      </c>
    </row>
    <row r="2074" spans="1:14">
      <c r="A2074" s="4" t="s">
        <v>4164</v>
      </c>
      <c r="B2074" s="4" t="s">
        <v>4165</v>
      </c>
      <c r="C2074" s="4" t="s">
        <v>39</v>
      </c>
      <c r="D2074" s="4" t="s">
        <v>64</v>
      </c>
      <c r="E2074" s="5">
        <v>239.40610000000001</v>
      </c>
      <c r="F2074" s="5">
        <v>240.59800000000001</v>
      </c>
      <c r="G2074" s="5">
        <v>240.32560000000001</v>
      </c>
      <c r="H2074" s="4">
        <v>3</v>
      </c>
      <c r="I2074" s="6">
        <v>4300409</v>
      </c>
      <c r="J2074" s="7">
        <v>586.83000000000004</v>
      </c>
      <c r="K2074" s="9">
        <f>(PricingDataTable[[#This Row],[Current Price ($)]]-PricingDataTable[[#This Row],[Prior Price ($)]])/PricingDataTable[[#This Row],[Prior Price ($)]]</f>
        <v>4.9785698860639049E-3</v>
      </c>
      <c r="L2074" s="9">
        <f>(PricingDataTable[[#This Row],[Vendor Price ($)]]-PricingDataTable[[#This Row],[Current Price ($)]])/PricingDataTable[[#This Row],[Current Price ($)]]</f>
        <v>-1.1321789873565227E-3</v>
      </c>
      <c r="M2074" t="str">
        <f t="shared" si="64"/>
        <v>STALE</v>
      </c>
      <c r="N2074" s="10" t="str">
        <f t="shared" si="65"/>
        <v>LOW</v>
      </c>
    </row>
    <row r="2075" spans="1:14">
      <c r="A2075" s="4" t="s">
        <v>4166</v>
      </c>
      <c r="B2075" s="4" t="s">
        <v>4167</v>
      </c>
      <c r="C2075" s="4" t="s">
        <v>39</v>
      </c>
      <c r="D2075" s="4" t="s">
        <v>237</v>
      </c>
      <c r="E2075" s="5">
        <v>167.85480000000001</v>
      </c>
      <c r="F2075" s="5">
        <v>167.64019999999999</v>
      </c>
      <c r="G2075" s="5">
        <v>167.4862</v>
      </c>
      <c r="H2075" s="4">
        <v>0</v>
      </c>
      <c r="I2075" s="6">
        <v>2388122</v>
      </c>
      <c r="J2075" s="7">
        <v>554.01</v>
      </c>
      <c r="K2075" s="9">
        <f>(PricingDataTable[[#This Row],[Current Price ($)]]-PricingDataTable[[#This Row],[Prior Price ($)]])/PricingDataTable[[#This Row],[Prior Price ($)]]</f>
        <v>-1.2784859295058499E-3</v>
      </c>
      <c r="L2075" s="9">
        <f>(PricingDataTable[[#This Row],[Vendor Price ($)]]-PricingDataTable[[#This Row],[Current Price ($)]])/PricingDataTable[[#This Row],[Current Price ($)]]</f>
        <v>-9.1863407464317249E-4</v>
      </c>
      <c r="M2075" t="str">
        <f t="shared" si="64"/>
        <v>PASS</v>
      </c>
      <c r="N2075" s="10" t="str">
        <f t="shared" si="65"/>
        <v>NONE</v>
      </c>
    </row>
    <row r="2076" spans="1:14">
      <c r="A2076" s="4" t="s">
        <v>4168</v>
      </c>
      <c r="B2076" s="4" t="s">
        <v>4169</v>
      </c>
      <c r="C2076" s="4" t="s">
        <v>39</v>
      </c>
      <c r="D2076" s="4" t="s">
        <v>13</v>
      </c>
      <c r="E2076" s="5">
        <v>241.92490000000001</v>
      </c>
      <c r="F2076" s="5">
        <v>240.54040000000001</v>
      </c>
      <c r="G2076" s="5">
        <v>240.1105</v>
      </c>
      <c r="H2076" s="4">
        <v>2</v>
      </c>
      <c r="I2076" s="6">
        <v>1430052</v>
      </c>
      <c r="J2076" s="7">
        <v>669.49</v>
      </c>
      <c r="K2076" s="9">
        <f>(PricingDataTable[[#This Row],[Current Price ($)]]-PricingDataTable[[#This Row],[Prior Price ($)]])/PricingDataTable[[#This Row],[Prior Price ($)]]</f>
        <v>-5.7228503556269019E-3</v>
      </c>
      <c r="L2076" s="9">
        <f>(PricingDataTable[[#This Row],[Vendor Price ($)]]-PricingDataTable[[#This Row],[Current Price ($)]])/PricingDataTable[[#This Row],[Current Price ($)]]</f>
        <v>-1.7872257633229323E-3</v>
      </c>
      <c r="M2076" t="str">
        <f t="shared" si="64"/>
        <v>PASS</v>
      </c>
      <c r="N2076" s="10" t="str">
        <f t="shared" si="65"/>
        <v>NONE</v>
      </c>
    </row>
    <row r="2077" spans="1:14">
      <c r="A2077" s="4" t="s">
        <v>4170</v>
      </c>
      <c r="B2077" s="4" t="s">
        <v>4171</v>
      </c>
      <c r="C2077" s="4" t="s">
        <v>12</v>
      </c>
      <c r="D2077" s="4" t="s">
        <v>36</v>
      </c>
      <c r="E2077" s="5">
        <v>89.240499999999997</v>
      </c>
      <c r="F2077" s="5">
        <v>89.444299999999998</v>
      </c>
      <c r="G2077" s="5">
        <v>89.900499999999994</v>
      </c>
      <c r="H2077" s="4">
        <v>0</v>
      </c>
      <c r="I2077" s="6">
        <v>2174618</v>
      </c>
      <c r="J2077" s="7">
        <v>224.69</v>
      </c>
      <c r="K2077" s="9">
        <f>(PricingDataTable[[#This Row],[Current Price ($)]]-PricingDataTable[[#This Row],[Prior Price ($)]])/PricingDataTable[[#This Row],[Prior Price ($)]]</f>
        <v>2.2837164740224574E-3</v>
      </c>
      <c r="L2077" s="9">
        <f>(PricingDataTable[[#This Row],[Vendor Price ($)]]-PricingDataTable[[#This Row],[Current Price ($)]])/PricingDataTable[[#This Row],[Current Price ($)]]</f>
        <v>5.1003809074473784E-3</v>
      </c>
      <c r="M2077" t="str">
        <f t="shared" si="64"/>
        <v>PASS</v>
      </c>
      <c r="N2077" s="10" t="str">
        <f t="shared" si="65"/>
        <v>NONE</v>
      </c>
    </row>
    <row r="2078" spans="1:14">
      <c r="A2078" s="4" t="s">
        <v>4172</v>
      </c>
      <c r="B2078" s="4" t="s">
        <v>4173</v>
      </c>
      <c r="C2078" s="4" t="s">
        <v>19</v>
      </c>
      <c r="D2078" s="4" t="s">
        <v>13</v>
      </c>
      <c r="E2078" s="5">
        <v>120.65130000000001</v>
      </c>
      <c r="F2078" s="5">
        <v>119.0561</v>
      </c>
      <c r="G2078" s="5">
        <v>118.6542</v>
      </c>
      <c r="H2078" s="4">
        <v>1</v>
      </c>
      <c r="I2078" s="6">
        <v>3601334</v>
      </c>
      <c r="J2078" s="7">
        <v>327.61</v>
      </c>
      <c r="K2078" s="9">
        <f>(PricingDataTable[[#This Row],[Current Price ($)]]-PricingDataTable[[#This Row],[Prior Price ($)]])/PricingDataTable[[#This Row],[Prior Price ($)]]</f>
        <v>-1.3221573244548592E-2</v>
      </c>
      <c r="L2078" s="9">
        <f>(PricingDataTable[[#This Row],[Vendor Price ($)]]-PricingDataTable[[#This Row],[Current Price ($)]])/PricingDataTable[[#This Row],[Current Price ($)]]</f>
        <v>-3.3757195137418218E-3</v>
      </c>
      <c r="M2078" t="str">
        <f t="shared" si="64"/>
        <v>PASS</v>
      </c>
      <c r="N2078" s="10" t="str">
        <f t="shared" si="65"/>
        <v>NONE</v>
      </c>
    </row>
    <row r="2079" spans="1:14">
      <c r="A2079" s="4" t="s">
        <v>4174</v>
      </c>
      <c r="B2079" s="4" t="s">
        <v>4175</v>
      </c>
      <c r="C2079" s="4" t="s">
        <v>16</v>
      </c>
      <c r="D2079" s="4" t="s">
        <v>13</v>
      </c>
      <c r="E2079" s="5">
        <v>108.5966</v>
      </c>
      <c r="F2079" s="5">
        <v>107.6682</v>
      </c>
      <c r="G2079" s="5">
        <v>108.08759999999999</v>
      </c>
      <c r="H2079" s="4">
        <v>0</v>
      </c>
      <c r="I2079" s="6">
        <v>2572804</v>
      </c>
      <c r="J2079" s="7">
        <v>609.54</v>
      </c>
      <c r="K2079" s="9">
        <f>(PricingDataTable[[#This Row],[Current Price ($)]]-PricingDataTable[[#This Row],[Prior Price ($)]])/PricingDataTable[[#This Row],[Prior Price ($)]]</f>
        <v>-8.5490705970536502E-3</v>
      </c>
      <c r="L2079" s="9">
        <f>(PricingDataTable[[#This Row],[Vendor Price ($)]]-PricingDataTable[[#This Row],[Current Price ($)]])/PricingDataTable[[#This Row],[Current Price ($)]]</f>
        <v>3.8953005622829767E-3</v>
      </c>
      <c r="M2079" t="str">
        <f t="shared" si="64"/>
        <v>PASS</v>
      </c>
      <c r="N2079" s="10" t="str">
        <f t="shared" si="65"/>
        <v>NONE</v>
      </c>
    </row>
    <row r="2080" spans="1:14">
      <c r="A2080" s="4" t="s">
        <v>4176</v>
      </c>
      <c r="B2080" s="4" t="s">
        <v>4177</v>
      </c>
      <c r="C2080" s="4" t="s">
        <v>19</v>
      </c>
      <c r="D2080" s="4" t="s">
        <v>13</v>
      </c>
      <c r="E2080" s="5">
        <v>237.114</v>
      </c>
      <c r="F2080" s="5">
        <v>239.00389999999999</v>
      </c>
      <c r="G2080" s="5">
        <v>237.71600000000001</v>
      </c>
      <c r="H2080" s="4">
        <v>2</v>
      </c>
      <c r="I2080" s="6">
        <v>2654341</v>
      </c>
      <c r="J2080" s="7">
        <v>591.9</v>
      </c>
      <c r="K2080" s="9">
        <f>(PricingDataTable[[#This Row],[Current Price ($)]]-PricingDataTable[[#This Row],[Prior Price ($)]])/PricingDataTable[[#This Row],[Prior Price ($)]]</f>
        <v>7.9704277267474005E-3</v>
      </c>
      <c r="L2080" s="9">
        <f>(PricingDataTable[[#This Row],[Vendor Price ($)]]-PricingDataTable[[#This Row],[Current Price ($)]])/PricingDataTable[[#This Row],[Current Price ($)]]</f>
        <v>-5.3886149974957699E-3</v>
      </c>
      <c r="M2080" t="str">
        <f t="shared" si="64"/>
        <v>PASS</v>
      </c>
      <c r="N2080" s="10" t="str">
        <f t="shared" si="65"/>
        <v>NONE</v>
      </c>
    </row>
    <row r="2081" spans="1:14">
      <c r="A2081" s="4" t="s">
        <v>4178</v>
      </c>
      <c r="B2081" s="4" t="s">
        <v>4179</v>
      </c>
      <c r="C2081" s="4" t="s">
        <v>16</v>
      </c>
      <c r="D2081" s="4" t="s">
        <v>13</v>
      </c>
      <c r="E2081" s="5">
        <v>94.395200000000003</v>
      </c>
      <c r="F2081" s="5">
        <v>94.802800000000005</v>
      </c>
      <c r="G2081" s="5">
        <v>94.956999999999994</v>
      </c>
      <c r="H2081" s="4">
        <v>0</v>
      </c>
      <c r="I2081" s="6">
        <v>4880173</v>
      </c>
      <c r="J2081" s="7">
        <v>529.16</v>
      </c>
      <c r="K2081" s="9">
        <f>(PricingDataTable[[#This Row],[Current Price ($)]]-PricingDataTable[[#This Row],[Prior Price ($)]])/PricingDataTable[[#This Row],[Prior Price ($)]]</f>
        <v>4.3180161703137675E-3</v>
      </c>
      <c r="L2081" s="9">
        <f>(PricingDataTable[[#This Row],[Vendor Price ($)]]-PricingDataTable[[#This Row],[Current Price ($)]])/PricingDataTable[[#This Row],[Current Price ($)]]</f>
        <v>1.6265342373852753E-3</v>
      </c>
      <c r="M2081" t="str">
        <f t="shared" si="64"/>
        <v>PASS</v>
      </c>
      <c r="N2081" s="10" t="str">
        <f t="shared" si="65"/>
        <v>NONE</v>
      </c>
    </row>
    <row r="2082" spans="1:14">
      <c r="A2082" s="4" t="s">
        <v>4180</v>
      </c>
      <c r="B2082" s="4" t="s">
        <v>4181</v>
      </c>
      <c r="C2082" s="4" t="s">
        <v>35</v>
      </c>
      <c r="D2082" s="4" t="s">
        <v>13</v>
      </c>
      <c r="E2082" s="5">
        <v>138.31729999999999</v>
      </c>
      <c r="F2082" s="5">
        <v>138.15469999999999</v>
      </c>
      <c r="G2082" s="5">
        <v>137.8621</v>
      </c>
      <c r="H2082" s="4">
        <v>3</v>
      </c>
      <c r="I2082" s="6">
        <v>1641538</v>
      </c>
      <c r="J2082" s="7">
        <v>142.93</v>
      </c>
      <c r="K2082" s="9">
        <f>(PricingDataTable[[#This Row],[Current Price ($)]]-PricingDataTable[[#This Row],[Prior Price ($)]])/PricingDataTable[[#This Row],[Prior Price ($)]]</f>
        <v>-1.1755579381610083E-3</v>
      </c>
      <c r="L2082" s="9">
        <f>(PricingDataTable[[#This Row],[Vendor Price ($)]]-PricingDataTable[[#This Row],[Current Price ($)]])/PricingDataTable[[#This Row],[Current Price ($)]]</f>
        <v>-2.1179156409444856E-3</v>
      </c>
      <c r="M2082" t="str">
        <f t="shared" si="64"/>
        <v>STALE</v>
      </c>
      <c r="N2082" s="10" t="str">
        <f t="shared" si="65"/>
        <v>LOW</v>
      </c>
    </row>
    <row r="2083" spans="1:14">
      <c r="A2083" s="4" t="s">
        <v>4182</v>
      </c>
      <c r="B2083" s="4" t="s">
        <v>4183</v>
      </c>
      <c r="C2083" s="4" t="s">
        <v>12</v>
      </c>
      <c r="D2083" s="4" t="s">
        <v>13</v>
      </c>
      <c r="E2083" s="5">
        <v>115.4431</v>
      </c>
      <c r="F2083" s="5">
        <v>115.1148</v>
      </c>
      <c r="G2083" s="5">
        <v>115.4837</v>
      </c>
      <c r="H2083" s="4">
        <v>0</v>
      </c>
      <c r="I2083" s="6">
        <v>4044908</v>
      </c>
      <c r="J2083" s="7">
        <v>438.67</v>
      </c>
      <c r="K2083" s="9">
        <f>(PricingDataTable[[#This Row],[Current Price ($)]]-PricingDataTable[[#This Row],[Prior Price ($)]])/PricingDataTable[[#This Row],[Prior Price ($)]]</f>
        <v>-2.8438252264535403E-3</v>
      </c>
      <c r="L2083" s="9">
        <f>(PricingDataTable[[#This Row],[Vendor Price ($)]]-PricingDataTable[[#This Row],[Current Price ($)]])/PricingDataTable[[#This Row],[Current Price ($)]]</f>
        <v>3.2046270331877085E-3</v>
      </c>
      <c r="M2083" t="str">
        <f t="shared" si="64"/>
        <v>PASS</v>
      </c>
      <c r="N2083" s="10" t="str">
        <f t="shared" si="65"/>
        <v>NONE</v>
      </c>
    </row>
    <row r="2084" spans="1:14">
      <c r="A2084" s="4" t="s">
        <v>4184</v>
      </c>
      <c r="B2084" s="4" t="s">
        <v>4185</v>
      </c>
      <c r="C2084" s="4" t="s">
        <v>39</v>
      </c>
      <c r="D2084" s="4" t="s">
        <v>13</v>
      </c>
      <c r="E2084" s="5">
        <v>19.415900000000001</v>
      </c>
      <c r="F2084" s="5">
        <v>19.4255</v>
      </c>
      <c r="G2084" s="5">
        <v>19.4802</v>
      </c>
      <c r="H2084" s="4">
        <v>5</v>
      </c>
      <c r="I2084" s="6">
        <v>309263</v>
      </c>
      <c r="J2084" s="7">
        <v>37.049999999999997</v>
      </c>
      <c r="K2084" s="9">
        <f>(PricingDataTable[[#This Row],[Current Price ($)]]-PricingDataTable[[#This Row],[Prior Price ($)]])/PricingDataTable[[#This Row],[Prior Price ($)]]</f>
        <v>4.9444012381599323E-4</v>
      </c>
      <c r="L2084" s="9">
        <f>(PricingDataTable[[#This Row],[Vendor Price ($)]]-PricingDataTable[[#This Row],[Current Price ($)]])/PricingDataTable[[#This Row],[Current Price ($)]]</f>
        <v>2.8158863349720944E-3</v>
      </c>
      <c r="M2084" t="str">
        <f t="shared" si="64"/>
        <v>STALE</v>
      </c>
      <c r="N2084" s="10" t="str">
        <f t="shared" si="65"/>
        <v>MEDIUM</v>
      </c>
    </row>
    <row r="2085" spans="1:14">
      <c r="A2085" s="4" t="s">
        <v>4186</v>
      </c>
      <c r="B2085" s="4" t="s">
        <v>4187</v>
      </c>
      <c r="C2085" s="4" t="s">
        <v>19</v>
      </c>
      <c r="D2085" s="4" t="s">
        <v>13</v>
      </c>
      <c r="E2085" s="5">
        <v>341.23630000000003</v>
      </c>
      <c r="F2085" s="5">
        <v>340.31139999999999</v>
      </c>
      <c r="G2085" s="5">
        <v>342.67630000000003</v>
      </c>
      <c r="H2085" s="4">
        <v>0</v>
      </c>
      <c r="I2085" s="6">
        <v>905070</v>
      </c>
      <c r="J2085" s="7">
        <v>496</v>
      </c>
      <c r="K2085" s="9">
        <f>(PricingDataTable[[#This Row],[Current Price ($)]]-PricingDataTable[[#This Row],[Prior Price ($)]])/PricingDataTable[[#This Row],[Prior Price ($)]]</f>
        <v>-2.7104384850030212E-3</v>
      </c>
      <c r="L2085" s="9">
        <f>(PricingDataTable[[#This Row],[Vendor Price ($)]]-PricingDataTable[[#This Row],[Current Price ($)]])/PricingDataTable[[#This Row],[Current Price ($)]]</f>
        <v>6.9492235640652477E-3</v>
      </c>
      <c r="M2085" t="str">
        <f t="shared" si="64"/>
        <v>PASS</v>
      </c>
      <c r="N2085" s="10" t="str">
        <f t="shared" si="65"/>
        <v>NONE</v>
      </c>
    </row>
    <row r="2086" spans="1:14">
      <c r="A2086" s="4" t="s">
        <v>4188</v>
      </c>
      <c r="B2086" s="4" t="s">
        <v>4189</v>
      </c>
      <c r="C2086" s="4" t="s">
        <v>19</v>
      </c>
      <c r="D2086" s="4" t="s">
        <v>13</v>
      </c>
      <c r="E2086" s="5">
        <v>171.34229999999999</v>
      </c>
      <c r="F2086" s="5">
        <v>170.94450000000001</v>
      </c>
      <c r="G2086" s="5">
        <v>170.0498</v>
      </c>
      <c r="H2086" s="4">
        <v>0</v>
      </c>
      <c r="I2086" s="6">
        <v>1417499</v>
      </c>
      <c r="J2086" s="7">
        <v>782.4</v>
      </c>
      <c r="K2086" s="9">
        <f>(PricingDataTable[[#This Row],[Current Price ($)]]-PricingDataTable[[#This Row],[Prior Price ($)]])/PricingDataTable[[#This Row],[Prior Price ($)]]</f>
        <v>-2.3216683796119784E-3</v>
      </c>
      <c r="L2086" s="9">
        <f>(PricingDataTable[[#This Row],[Vendor Price ($)]]-PricingDataTable[[#This Row],[Current Price ($)]])/PricingDataTable[[#This Row],[Current Price ($)]]</f>
        <v>-5.2338624524333934E-3</v>
      </c>
      <c r="M2086" t="str">
        <f t="shared" si="64"/>
        <v>PASS</v>
      </c>
      <c r="N2086" s="10" t="str">
        <f t="shared" si="65"/>
        <v>NONE</v>
      </c>
    </row>
    <row r="2087" spans="1:14">
      <c r="A2087" s="4" t="s">
        <v>4190</v>
      </c>
      <c r="B2087" s="4" t="s">
        <v>4191</v>
      </c>
      <c r="C2087" s="4" t="s">
        <v>12</v>
      </c>
      <c r="D2087" s="4" t="s">
        <v>13</v>
      </c>
      <c r="E2087" s="5">
        <v>93.233900000000006</v>
      </c>
      <c r="F2087" s="5">
        <v>92.901200000000003</v>
      </c>
      <c r="G2087" s="5">
        <v>93.179699999999997</v>
      </c>
      <c r="H2087" s="4">
        <v>0</v>
      </c>
      <c r="I2087" s="6">
        <v>2854044</v>
      </c>
      <c r="J2087" s="7">
        <v>522.65</v>
      </c>
      <c r="K2087" s="9">
        <f>(PricingDataTable[[#This Row],[Current Price ($)]]-PricingDataTable[[#This Row],[Prior Price ($)]])/PricingDataTable[[#This Row],[Prior Price ($)]]</f>
        <v>-3.5684445250064906E-3</v>
      </c>
      <c r="L2087" s="9">
        <f>(PricingDataTable[[#This Row],[Vendor Price ($)]]-PricingDataTable[[#This Row],[Current Price ($)]])/PricingDataTable[[#This Row],[Current Price ($)]]</f>
        <v>2.9978084244336343E-3</v>
      </c>
      <c r="M2087" t="str">
        <f t="shared" si="64"/>
        <v>PASS</v>
      </c>
      <c r="N2087" s="10" t="str">
        <f t="shared" si="65"/>
        <v>NONE</v>
      </c>
    </row>
    <row r="2088" spans="1:14">
      <c r="A2088" s="4" t="s">
        <v>4192</v>
      </c>
      <c r="B2088" s="4" t="s">
        <v>4193</v>
      </c>
      <c r="C2088" s="4" t="s">
        <v>35</v>
      </c>
      <c r="D2088" s="4" t="s">
        <v>13</v>
      </c>
      <c r="E2088" s="5">
        <v>61.2438</v>
      </c>
      <c r="F2088" s="5">
        <v>62.106400000000001</v>
      </c>
      <c r="G2088" s="5">
        <v>62.115499999999997</v>
      </c>
      <c r="H2088" s="4">
        <v>1</v>
      </c>
      <c r="I2088" s="6">
        <v>1149387</v>
      </c>
      <c r="J2088" s="7">
        <v>439.45</v>
      </c>
      <c r="K2088" s="9">
        <f>(PricingDataTable[[#This Row],[Current Price ($)]]-PricingDataTable[[#This Row],[Prior Price ($)]])/PricingDataTable[[#This Row],[Prior Price ($)]]</f>
        <v>1.408469102178507E-2</v>
      </c>
      <c r="L2088" s="9">
        <f>(PricingDataTable[[#This Row],[Vendor Price ($)]]-PricingDataTable[[#This Row],[Current Price ($)]])/PricingDataTable[[#This Row],[Current Price ($)]]</f>
        <v>1.4652274161755559E-4</v>
      </c>
      <c r="M2088" t="str">
        <f t="shared" si="64"/>
        <v>PASS</v>
      </c>
      <c r="N2088" s="10" t="str">
        <f t="shared" si="65"/>
        <v>NONE</v>
      </c>
    </row>
    <row r="2089" spans="1:14">
      <c r="A2089" s="4" t="s">
        <v>4194</v>
      </c>
      <c r="B2089" s="4" t="s">
        <v>4195</v>
      </c>
      <c r="C2089" s="4" t="s">
        <v>12</v>
      </c>
      <c r="D2089" s="4" t="s">
        <v>13</v>
      </c>
      <c r="E2089" s="5">
        <v>108.9187</v>
      </c>
      <c r="F2089" s="5">
        <v>108.64879999999999</v>
      </c>
      <c r="G2089" s="5">
        <v>108.6909</v>
      </c>
      <c r="H2089" s="4">
        <v>0</v>
      </c>
      <c r="I2089" s="6">
        <v>1193163</v>
      </c>
      <c r="J2089" s="7">
        <v>853.25</v>
      </c>
      <c r="K2089" s="9">
        <f>(PricingDataTable[[#This Row],[Current Price ($)]]-PricingDataTable[[#This Row],[Prior Price ($)]])/PricingDataTable[[#This Row],[Prior Price ($)]]</f>
        <v>-2.4779950550273453E-3</v>
      </c>
      <c r="L2089" s="9">
        <f>(PricingDataTable[[#This Row],[Vendor Price ($)]]-PricingDataTable[[#This Row],[Current Price ($)]])/PricingDataTable[[#This Row],[Current Price ($)]]</f>
        <v>3.8748702240618319E-4</v>
      </c>
      <c r="M2089" t="str">
        <f t="shared" si="64"/>
        <v>PASS</v>
      </c>
      <c r="N2089" s="10" t="str">
        <f t="shared" si="65"/>
        <v>NONE</v>
      </c>
    </row>
    <row r="2090" spans="1:14">
      <c r="A2090" s="4" t="s">
        <v>4196</v>
      </c>
      <c r="B2090" s="4" t="s">
        <v>4197</v>
      </c>
      <c r="C2090" s="4" t="s">
        <v>19</v>
      </c>
      <c r="D2090" s="4" t="s">
        <v>36</v>
      </c>
      <c r="E2090" s="5">
        <v>70.846500000000006</v>
      </c>
      <c r="F2090" s="5">
        <v>71.698599999999999</v>
      </c>
      <c r="G2090" s="5">
        <v>71.787199999999999</v>
      </c>
      <c r="H2090" s="4">
        <v>0</v>
      </c>
      <c r="I2090" s="6">
        <v>3622076</v>
      </c>
      <c r="J2090" s="7">
        <v>579.04999999999995</v>
      </c>
      <c r="K2090" s="9">
        <f>(PricingDataTable[[#This Row],[Current Price ($)]]-PricingDataTable[[#This Row],[Prior Price ($)]])/PricingDataTable[[#This Row],[Prior Price ($)]]</f>
        <v>1.2027411375297198E-2</v>
      </c>
      <c r="L2090" s="9">
        <f>(PricingDataTable[[#This Row],[Vendor Price ($)]]-PricingDataTable[[#This Row],[Current Price ($)]])/PricingDataTable[[#This Row],[Current Price ($)]]</f>
        <v>1.2357284521594505E-3</v>
      </c>
      <c r="M2090" t="str">
        <f t="shared" si="64"/>
        <v>PASS</v>
      </c>
      <c r="N2090" s="10" t="str">
        <f t="shared" si="65"/>
        <v>NONE</v>
      </c>
    </row>
    <row r="2091" spans="1:14">
      <c r="A2091" s="4" t="s">
        <v>4198</v>
      </c>
      <c r="B2091" s="4" t="s">
        <v>4199</v>
      </c>
      <c r="C2091" s="4" t="s">
        <v>35</v>
      </c>
      <c r="D2091" s="4" t="s">
        <v>13</v>
      </c>
      <c r="E2091" s="5">
        <v>62.655299999999997</v>
      </c>
      <c r="F2091" s="5">
        <v>62.819899999999997</v>
      </c>
      <c r="G2091" s="5">
        <v>62.853099999999998</v>
      </c>
      <c r="H2091" s="4">
        <v>0</v>
      </c>
      <c r="I2091" s="6">
        <v>3990817</v>
      </c>
      <c r="J2091" s="7">
        <v>804.66</v>
      </c>
      <c r="K2091" s="9">
        <f>(PricingDataTable[[#This Row],[Current Price ($)]]-PricingDataTable[[#This Row],[Prior Price ($)]])/PricingDataTable[[#This Row],[Prior Price ($)]]</f>
        <v>2.6270722508710369E-3</v>
      </c>
      <c r="L2091" s="9">
        <f>(PricingDataTable[[#This Row],[Vendor Price ($)]]-PricingDataTable[[#This Row],[Current Price ($)]])/PricingDataTable[[#This Row],[Current Price ($)]]</f>
        <v>5.2849495144055927E-4</v>
      </c>
      <c r="M2091" t="str">
        <f t="shared" si="64"/>
        <v>PASS</v>
      </c>
      <c r="N2091" s="10" t="str">
        <f t="shared" si="65"/>
        <v>NONE</v>
      </c>
    </row>
    <row r="2092" spans="1:14">
      <c r="A2092" s="4" t="s">
        <v>4200</v>
      </c>
      <c r="B2092" s="4" t="s">
        <v>4201</v>
      </c>
      <c r="C2092" s="4" t="s">
        <v>19</v>
      </c>
      <c r="D2092" s="4" t="s">
        <v>13</v>
      </c>
      <c r="E2092" s="5">
        <v>229.97630000000001</v>
      </c>
      <c r="F2092" s="5">
        <v>228.16139999999999</v>
      </c>
      <c r="G2092" s="5">
        <v>227.10550000000001</v>
      </c>
      <c r="H2092" s="4">
        <v>0</v>
      </c>
      <c r="I2092" s="6">
        <v>1322636</v>
      </c>
      <c r="J2092" s="7">
        <v>520.28</v>
      </c>
      <c r="K2092" s="9">
        <f>(PricingDataTable[[#This Row],[Current Price ($)]]-PricingDataTable[[#This Row],[Prior Price ($)]])/PricingDataTable[[#This Row],[Prior Price ($)]]</f>
        <v>-7.8916827516575527E-3</v>
      </c>
      <c r="L2092" s="9">
        <f>(PricingDataTable[[#This Row],[Vendor Price ($)]]-PricingDataTable[[#This Row],[Current Price ($)]])/PricingDataTable[[#This Row],[Current Price ($)]]</f>
        <v>-4.6278643100891737E-3</v>
      </c>
      <c r="M2092" t="str">
        <f t="shared" si="64"/>
        <v>PASS</v>
      </c>
      <c r="N2092" s="10" t="str">
        <f t="shared" si="65"/>
        <v>NONE</v>
      </c>
    </row>
    <row r="2093" spans="1:14">
      <c r="A2093" s="4" t="s">
        <v>4202</v>
      </c>
      <c r="B2093" s="4" t="s">
        <v>4203</v>
      </c>
      <c r="C2093" s="4" t="s">
        <v>19</v>
      </c>
      <c r="D2093" s="4" t="s">
        <v>13</v>
      </c>
      <c r="E2093" s="5">
        <v>123.3139</v>
      </c>
      <c r="F2093" s="5">
        <v>123.9301</v>
      </c>
      <c r="G2093" s="5">
        <v>123.9545</v>
      </c>
      <c r="H2093" s="4">
        <v>2</v>
      </c>
      <c r="I2093" s="6">
        <v>1220012</v>
      </c>
      <c r="J2093" s="7">
        <v>459.91</v>
      </c>
      <c r="K2093" s="9">
        <f>(PricingDataTable[[#This Row],[Current Price ($)]]-PricingDataTable[[#This Row],[Prior Price ($)]])/PricingDataTable[[#This Row],[Prior Price ($)]]</f>
        <v>4.9970035819156804E-3</v>
      </c>
      <c r="L2093" s="9">
        <f>(PricingDataTable[[#This Row],[Vendor Price ($)]]-PricingDataTable[[#This Row],[Current Price ($)]])/PricingDataTable[[#This Row],[Current Price ($)]]</f>
        <v>1.9688517962948451E-4</v>
      </c>
      <c r="M2093" t="str">
        <f t="shared" si="64"/>
        <v>PASS</v>
      </c>
      <c r="N2093" s="10" t="str">
        <f t="shared" si="65"/>
        <v>NONE</v>
      </c>
    </row>
    <row r="2094" spans="1:14">
      <c r="A2094" s="4" t="s">
        <v>4204</v>
      </c>
      <c r="B2094" s="4" t="s">
        <v>4205</v>
      </c>
      <c r="C2094" s="4" t="s">
        <v>16</v>
      </c>
      <c r="D2094" s="4" t="s">
        <v>13</v>
      </c>
      <c r="E2094" s="5">
        <v>97.701499999999996</v>
      </c>
      <c r="F2094" s="5">
        <v>98.608800000000002</v>
      </c>
      <c r="G2094" s="5">
        <v>98.689899999999994</v>
      </c>
      <c r="H2094" s="4">
        <v>0</v>
      </c>
      <c r="I2094" s="6">
        <v>4593780</v>
      </c>
      <c r="J2094" s="7">
        <v>840.19</v>
      </c>
      <c r="K2094" s="9">
        <f>(PricingDataTable[[#This Row],[Current Price ($)]]-PricingDataTable[[#This Row],[Prior Price ($)]])/PricingDataTable[[#This Row],[Prior Price ($)]]</f>
        <v>9.286449030977072E-3</v>
      </c>
      <c r="L2094" s="9">
        <f>(PricingDataTable[[#This Row],[Vendor Price ($)]]-PricingDataTable[[#This Row],[Current Price ($)]])/PricingDataTable[[#This Row],[Current Price ($)]]</f>
        <v>8.2244181046714059E-4</v>
      </c>
      <c r="M2094" t="str">
        <f t="shared" si="64"/>
        <v>PASS</v>
      </c>
      <c r="N2094" s="10" t="str">
        <f t="shared" si="65"/>
        <v>NONE</v>
      </c>
    </row>
    <row r="2095" spans="1:14">
      <c r="A2095" s="4" t="s">
        <v>4206</v>
      </c>
      <c r="B2095" s="4" t="s">
        <v>4207</v>
      </c>
      <c r="C2095" s="4" t="s">
        <v>19</v>
      </c>
      <c r="D2095" s="4" t="s">
        <v>13</v>
      </c>
      <c r="E2095" s="5">
        <v>233.8</v>
      </c>
      <c r="F2095" s="5">
        <v>185.38210000000001</v>
      </c>
      <c r="G2095" s="5">
        <v>184.5754</v>
      </c>
      <c r="H2095" s="4">
        <v>4</v>
      </c>
      <c r="I2095" s="6">
        <v>2171017</v>
      </c>
      <c r="J2095" s="7">
        <v>374.48</v>
      </c>
      <c r="K2095" s="9">
        <f>(PricingDataTable[[#This Row],[Current Price ($)]]-PricingDataTable[[#This Row],[Prior Price ($)]])/PricingDataTable[[#This Row],[Prior Price ($)]]</f>
        <v>-0.20709110350727117</v>
      </c>
      <c r="L2095" s="9">
        <f>(PricingDataTable[[#This Row],[Vendor Price ($)]]-PricingDataTable[[#This Row],[Current Price ($)]])/PricingDataTable[[#This Row],[Current Price ($)]]</f>
        <v>-4.3515528198246022E-3</v>
      </c>
      <c r="M2095" t="str">
        <f t="shared" si="64"/>
        <v>STALE</v>
      </c>
      <c r="N2095" s="10" t="str">
        <f t="shared" si="65"/>
        <v>HIGH</v>
      </c>
    </row>
    <row r="2096" spans="1:14">
      <c r="A2096" s="4" t="s">
        <v>4208</v>
      </c>
      <c r="B2096" s="4" t="s">
        <v>4209</v>
      </c>
      <c r="C2096" s="4" t="s">
        <v>16</v>
      </c>
      <c r="D2096" s="4" t="s">
        <v>13</v>
      </c>
      <c r="E2096" s="5">
        <v>112.0326</v>
      </c>
      <c r="F2096" s="5">
        <v>111.8535</v>
      </c>
      <c r="G2096" s="5">
        <v>112.1944</v>
      </c>
      <c r="H2096" s="4">
        <v>1</v>
      </c>
      <c r="I2096" s="6">
        <v>2226241</v>
      </c>
      <c r="J2096" s="7">
        <v>396.08</v>
      </c>
      <c r="K2096" s="9">
        <f>(PricingDataTable[[#This Row],[Current Price ($)]]-PricingDataTable[[#This Row],[Prior Price ($)]])/PricingDataTable[[#This Row],[Prior Price ($)]]</f>
        <v>-1.5986418238977348E-3</v>
      </c>
      <c r="L2096" s="9">
        <f>(PricingDataTable[[#This Row],[Vendor Price ($)]]-PricingDataTable[[#This Row],[Current Price ($)]])/PricingDataTable[[#This Row],[Current Price ($)]]</f>
        <v>3.047736548252892E-3</v>
      </c>
      <c r="M2096" t="str">
        <f t="shared" si="64"/>
        <v>PASS</v>
      </c>
      <c r="N2096" s="10" t="str">
        <f t="shared" si="65"/>
        <v>NONE</v>
      </c>
    </row>
    <row r="2097" spans="1:14">
      <c r="A2097" s="4" t="s">
        <v>4210</v>
      </c>
      <c r="B2097" s="4" t="s">
        <v>4211</v>
      </c>
      <c r="C2097" s="4" t="s">
        <v>35</v>
      </c>
      <c r="D2097" s="4" t="s">
        <v>237</v>
      </c>
      <c r="E2097" s="5">
        <v>33.485399999999998</v>
      </c>
      <c r="F2097" s="5">
        <v>33.057099999999998</v>
      </c>
      <c r="G2097" s="5">
        <v>33.083500000000001</v>
      </c>
      <c r="H2097" s="4">
        <v>0</v>
      </c>
      <c r="I2097" s="6">
        <v>3704728</v>
      </c>
      <c r="J2097" s="7">
        <v>3.44</v>
      </c>
      <c r="K2097" s="9">
        <f>(PricingDataTable[[#This Row],[Current Price ($)]]-PricingDataTable[[#This Row],[Prior Price ($)]])/PricingDataTable[[#This Row],[Prior Price ($)]]</f>
        <v>-1.2790649058992879E-2</v>
      </c>
      <c r="L2097" s="9">
        <f>(PricingDataTable[[#This Row],[Vendor Price ($)]]-PricingDataTable[[#This Row],[Current Price ($)]])/PricingDataTable[[#This Row],[Current Price ($)]]</f>
        <v>7.9861814859750015E-4</v>
      </c>
      <c r="M2097" t="str">
        <f t="shared" si="64"/>
        <v>PASS</v>
      </c>
      <c r="N2097" s="10" t="str">
        <f t="shared" si="65"/>
        <v>NONE</v>
      </c>
    </row>
    <row r="2098" spans="1:14">
      <c r="A2098" s="4" t="s">
        <v>4212</v>
      </c>
      <c r="B2098" s="4" t="s">
        <v>4213</v>
      </c>
      <c r="C2098" s="4" t="s">
        <v>19</v>
      </c>
      <c r="D2098" s="4" t="s">
        <v>13</v>
      </c>
      <c r="E2098" s="5">
        <v>168.09110000000001</v>
      </c>
      <c r="F2098" s="5">
        <v>168.1969</v>
      </c>
      <c r="G2098" s="5">
        <v>168.03270000000001</v>
      </c>
      <c r="H2098" s="4">
        <v>0</v>
      </c>
      <c r="I2098" s="6">
        <v>1285741</v>
      </c>
      <c r="J2098" s="7">
        <v>491.27</v>
      </c>
      <c r="K2098" s="9">
        <f>(PricingDataTable[[#This Row],[Current Price ($)]]-PricingDataTable[[#This Row],[Prior Price ($)]])/PricingDataTable[[#This Row],[Prior Price ($)]]</f>
        <v>6.294205939516601E-4</v>
      </c>
      <c r="L2098" s="9">
        <f>(PricingDataTable[[#This Row],[Vendor Price ($)]]-PricingDataTable[[#This Row],[Current Price ($)]])/PricingDataTable[[#This Row],[Current Price ($)]]</f>
        <v>-9.7623677963145522E-4</v>
      </c>
      <c r="M2098" t="str">
        <f t="shared" si="64"/>
        <v>PASS</v>
      </c>
      <c r="N2098" s="10" t="str">
        <f t="shared" si="65"/>
        <v>NONE</v>
      </c>
    </row>
    <row r="2099" spans="1:14">
      <c r="A2099" s="4" t="s">
        <v>4214</v>
      </c>
      <c r="B2099" s="4" t="s">
        <v>4215</v>
      </c>
      <c r="C2099" s="4" t="s">
        <v>16</v>
      </c>
      <c r="D2099" s="4" t="s">
        <v>32</v>
      </c>
      <c r="E2099" s="5">
        <v>81.816500000000005</v>
      </c>
      <c r="F2099" s="5">
        <v>81.976299999999995</v>
      </c>
      <c r="G2099" s="5">
        <v>81.843699999999998</v>
      </c>
      <c r="H2099" s="4">
        <v>1</v>
      </c>
      <c r="I2099" s="6">
        <v>3671408</v>
      </c>
      <c r="J2099" s="7">
        <v>24.36</v>
      </c>
      <c r="K2099" s="9">
        <f>(PricingDataTable[[#This Row],[Current Price ($)]]-PricingDataTable[[#This Row],[Prior Price ($)]])/PricingDataTable[[#This Row],[Prior Price ($)]]</f>
        <v>1.9531512592202054E-3</v>
      </c>
      <c r="L2099" s="9">
        <f>(PricingDataTable[[#This Row],[Vendor Price ($)]]-PricingDataTable[[#This Row],[Current Price ($)]])/PricingDataTable[[#This Row],[Current Price ($)]]</f>
        <v>-1.6175406794402345E-3</v>
      </c>
      <c r="M2099" t="str">
        <f t="shared" si="64"/>
        <v>PASS</v>
      </c>
      <c r="N2099" s="10" t="str">
        <f t="shared" si="65"/>
        <v>NONE</v>
      </c>
    </row>
    <row r="2100" spans="1:14">
      <c r="A2100" s="4" t="s">
        <v>4216</v>
      </c>
      <c r="B2100" s="4" t="s">
        <v>4217</v>
      </c>
      <c r="C2100" s="4" t="s">
        <v>39</v>
      </c>
      <c r="D2100" s="4" t="s">
        <v>13</v>
      </c>
      <c r="E2100" s="5">
        <v>184.45349999999999</v>
      </c>
      <c r="F2100" s="5">
        <v>182.67740000000001</v>
      </c>
      <c r="G2100" s="5">
        <v>182.9041</v>
      </c>
      <c r="H2100" s="4">
        <v>0</v>
      </c>
      <c r="I2100" s="6">
        <v>3368349</v>
      </c>
      <c r="J2100" s="7">
        <v>340.32</v>
      </c>
      <c r="K2100" s="9">
        <f>(PricingDataTable[[#This Row],[Current Price ($)]]-PricingDataTable[[#This Row],[Prior Price ($)]])/PricingDataTable[[#This Row],[Prior Price ($)]]</f>
        <v>-9.6289850829612087E-3</v>
      </c>
      <c r="L2100" s="9">
        <f>(PricingDataTable[[#This Row],[Vendor Price ($)]]-PricingDataTable[[#This Row],[Current Price ($)]])/PricingDataTable[[#This Row],[Current Price ($)]]</f>
        <v>1.2409854749410377E-3</v>
      </c>
      <c r="M2100" t="str">
        <f t="shared" si="64"/>
        <v>PASS</v>
      </c>
      <c r="N2100" s="10" t="str">
        <f t="shared" si="65"/>
        <v>NONE</v>
      </c>
    </row>
    <row r="2101" spans="1:14">
      <c r="A2101" s="4" t="s">
        <v>4218</v>
      </c>
      <c r="B2101" s="4" t="s">
        <v>4219</v>
      </c>
      <c r="C2101" s="4" t="s">
        <v>39</v>
      </c>
      <c r="D2101" s="4" t="s">
        <v>13</v>
      </c>
      <c r="E2101" s="5">
        <v>57.366100000000003</v>
      </c>
      <c r="F2101" s="5">
        <v>56.976999999999997</v>
      </c>
      <c r="G2101" s="5">
        <v>56.921799999999998</v>
      </c>
      <c r="H2101" s="4">
        <v>1</v>
      </c>
      <c r="I2101" s="6">
        <v>3028983</v>
      </c>
      <c r="J2101" s="7">
        <v>214.55</v>
      </c>
      <c r="K2101" s="9">
        <f>(PricingDataTable[[#This Row],[Current Price ($)]]-PricingDataTable[[#This Row],[Prior Price ($)]])/PricingDataTable[[#This Row],[Prior Price ($)]]</f>
        <v>-6.7827514856336098E-3</v>
      </c>
      <c r="L2101" s="9">
        <f>(PricingDataTable[[#This Row],[Vendor Price ($)]]-PricingDataTable[[#This Row],[Current Price ($)]])/PricingDataTable[[#This Row],[Current Price ($)]]</f>
        <v>-9.6881197676254019E-4</v>
      </c>
      <c r="M2101" t="str">
        <f t="shared" si="64"/>
        <v>PASS</v>
      </c>
      <c r="N2101" s="10" t="str">
        <f t="shared" si="65"/>
        <v>NONE</v>
      </c>
    </row>
    <row r="2102" spans="1:14">
      <c r="A2102" s="4" t="s">
        <v>4220</v>
      </c>
      <c r="B2102" s="4" t="s">
        <v>4221</v>
      </c>
      <c r="C2102" s="4" t="s">
        <v>19</v>
      </c>
      <c r="D2102" s="4" t="s">
        <v>13</v>
      </c>
      <c r="E2102" s="5">
        <v>14.157999999999999</v>
      </c>
      <c r="F2102" s="5">
        <v>14.0943</v>
      </c>
      <c r="G2102" s="5"/>
      <c r="H2102" s="4">
        <v>0</v>
      </c>
      <c r="I2102" s="6">
        <v>995048</v>
      </c>
      <c r="J2102" s="7">
        <v>424.26</v>
      </c>
      <c r="K2102" s="9">
        <f>(PricingDataTable[[#This Row],[Current Price ($)]]-PricingDataTable[[#This Row],[Prior Price ($)]])/PricingDataTable[[#This Row],[Prior Price ($)]]</f>
        <v>-4.4992230541036149E-3</v>
      </c>
      <c r="L2102" s="9">
        <f>(PricingDataTable[[#This Row],[Vendor Price ($)]]-PricingDataTable[[#This Row],[Current Price ($)]])/PricingDataTable[[#This Row],[Current Price ($)]]</f>
        <v>-1</v>
      </c>
      <c r="M2102" t="str">
        <f t="shared" si="64"/>
        <v>VENDOR DIFFERENCE</v>
      </c>
      <c r="N2102" s="10" t="str">
        <f t="shared" si="65"/>
        <v>HIGH</v>
      </c>
    </row>
    <row r="2103" spans="1:14">
      <c r="A2103" s="4" t="s">
        <v>4222</v>
      </c>
      <c r="B2103" s="4" t="s">
        <v>4223</v>
      </c>
      <c r="C2103" s="4" t="s">
        <v>39</v>
      </c>
      <c r="D2103" s="4" t="s">
        <v>13</v>
      </c>
      <c r="E2103" s="5">
        <v>174.17740000000001</v>
      </c>
      <c r="F2103" s="5">
        <v>175.78280000000001</v>
      </c>
      <c r="G2103" s="5">
        <v>175.48230000000001</v>
      </c>
      <c r="H2103" s="4">
        <v>0</v>
      </c>
      <c r="I2103" s="6">
        <v>2393698</v>
      </c>
      <c r="J2103" s="7">
        <v>52.58</v>
      </c>
      <c r="K2103" s="9">
        <f>(PricingDataTable[[#This Row],[Current Price ($)]]-PricingDataTable[[#This Row],[Prior Price ($)]])/PricingDataTable[[#This Row],[Prior Price ($)]]</f>
        <v>9.2170396388969126E-3</v>
      </c>
      <c r="L2103" s="9">
        <f>(PricingDataTable[[#This Row],[Vendor Price ($)]]-PricingDataTable[[#This Row],[Current Price ($)]])/PricingDataTable[[#This Row],[Current Price ($)]]</f>
        <v>-1.7094960371549408E-3</v>
      </c>
      <c r="M2103" t="str">
        <f t="shared" si="64"/>
        <v>PASS</v>
      </c>
      <c r="N2103" s="10" t="str">
        <f t="shared" si="65"/>
        <v>NONE</v>
      </c>
    </row>
    <row r="2104" spans="1:14">
      <c r="A2104" s="4" t="s">
        <v>4224</v>
      </c>
      <c r="B2104" s="4" t="s">
        <v>4225</v>
      </c>
      <c r="C2104" s="4" t="s">
        <v>16</v>
      </c>
      <c r="D2104" s="4" t="s">
        <v>13</v>
      </c>
      <c r="E2104" s="5">
        <v>93.649500000000003</v>
      </c>
      <c r="F2104" s="5">
        <v>92.622500000000002</v>
      </c>
      <c r="G2104" s="5">
        <v>92.718199999999996</v>
      </c>
      <c r="H2104" s="4">
        <v>0</v>
      </c>
      <c r="I2104" s="6">
        <v>566171</v>
      </c>
      <c r="J2104" s="7">
        <v>82.61</v>
      </c>
      <c r="K2104" s="9">
        <f>(PricingDataTable[[#This Row],[Current Price ($)]]-PricingDataTable[[#This Row],[Prior Price ($)]])/PricingDataTable[[#This Row],[Prior Price ($)]]</f>
        <v>-1.0966422671770816E-2</v>
      </c>
      <c r="L2104" s="9">
        <f>(PricingDataTable[[#This Row],[Vendor Price ($)]]-PricingDataTable[[#This Row],[Current Price ($)]])/PricingDataTable[[#This Row],[Current Price ($)]]</f>
        <v>1.0332262679153951E-3</v>
      </c>
      <c r="M2104" t="str">
        <f t="shared" si="64"/>
        <v>PASS</v>
      </c>
      <c r="N2104" s="10" t="str">
        <f t="shared" si="65"/>
        <v>NONE</v>
      </c>
    </row>
    <row r="2105" spans="1:14">
      <c r="A2105" s="4" t="s">
        <v>4226</v>
      </c>
      <c r="B2105" s="4" t="s">
        <v>4227</v>
      </c>
      <c r="C2105" s="4" t="s">
        <v>19</v>
      </c>
      <c r="D2105" s="4" t="s">
        <v>13</v>
      </c>
      <c r="E2105" s="5">
        <v>286.81279999999998</v>
      </c>
      <c r="F2105" s="5">
        <v>266.27280000000002</v>
      </c>
      <c r="G2105" s="5">
        <v>266.30270000000002</v>
      </c>
      <c r="H2105" s="4">
        <v>0</v>
      </c>
      <c r="I2105" s="6">
        <v>1927389</v>
      </c>
      <c r="J2105" s="7">
        <v>633.05999999999995</v>
      </c>
      <c r="K2105" s="9">
        <f>(PricingDataTable[[#This Row],[Current Price ($)]]-PricingDataTable[[#This Row],[Prior Price ($)]])/PricingDataTable[[#This Row],[Prior Price ($)]]</f>
        <v>-7.161465597072364E-2</v>
      </c>
      <c r="L2105" s="9">
        <f>(PricingDataTable[[#This Row],[Vendor Price ($)]]-PricingDataTable[[#This Row],[Current Price ($)]])/PricingDataTable[[#This Row],[Current Price ($)]]</f>
        <v>1.1229085359074534E-4</v>
      </c>
      <c r="M2105" t="str">
        <f t="shared" si="64"/>
        <v>LARGE MOVE</v>
      </c>
      <c r="N2105" s="10" t="str">
        <f t="shared" si="65"/>
        <v>MEDIUM</v>
      </c>
    </row>
    <row r="2106" spans="1:14">
      <c r="A2106" s="4" t="s">
        <v>4228</v>
      </c>
      <c r="B2106" s="4" t="s">
        <v>4229</v>
      </c>
      <c r="C2106" s="4" t="s">
        <v>19</v>
      </c>
      <c r="D2106" s="4" t="s">
        <v>13</v>
      </c>
      <c r="E2106" s="5">
        <v>238.70679999999999</v>
      </c>
      <c r="F2106" s="5">
        <v>234.3605</v>
      </c>
      <c r="G2106" s="5">
        <v>233.35740000000001</v>
      </c>
      <c r="H2106" s="4">
        <v>0</v>
      </c>
      <c r="I2106" s="6">
        <v>2800804</v>
      </c>
      <c r="J2106" s="7">
        <v>576.08000000000004</v>
      </c>
      <c r="K2106" s="9">
        <f>(PricingDataTable[[#This Row],[Current Price ($)]]-PricingDataTable[[#This Row],[Prior Price ($)]])/PricingDataTable[[#This Row],[Prior Price ($)]]</f>
        <v>-1.8207692449481897E-2</v>
      </c>
      <c r="L2106" s="9">
        <f>(PricingDataTable[[#This Row],[Vendor Price ($)]]-PricingDataTable[[#This Row],[Current Price ($)]])/PricingDataTable[[#This Row],[Current Price ($)]]</f>
        <v>-4.2801581324497483E-3</v>
      </c>
      <c r="M2106" t="str">
        <f t="shared" si="64"/>
        <v>PASS</v>
      </c>
      <c r="N2106" s="10" t="str">
        <f t="shared" si="65"/>
        <v>NONE</v>
      </c>
    </row>
    <row r="2107" spans="1:14">
      <c r="A2107" s="4" t="s">
        <v>4230</v>
      </c>
      <c r="B2107" s="4" t="s">
        <v>4231</v>
      </c>
      <c r="C2107" s="4" t="s">
        <v>19</v>
      </c>
      <c r="D2107" s="4" t="s">
        <v>64</v>
      </c>
      <c r="E2107" s="5">
        <v>345.81529999999998</v>
      </c>
      <c r="F2107" s="5">
        <v>345.77870000000001</v>
      </c>
      <c r="G2107" s="5">
        <v>344.98390000000001</v>
      </c>
      <c r="H2107" s="4">
        <v>0</v>
      </c>
      <c r="I2107" s="6">
        <v>2164548</v>
      </c>
      <c r="J2107" s="7">
        <v>602.12</v>
      </c>
      <c r="K2107" s="9">
        <f>(PricingDataTable[[#This Row],[Current Price ($)]]-PricingDataTable[[#This Row],[Prior Price ($)]])/PricingDataTable[[#This Row],[Prior Price ($)]]</f>
        <v>-1.0583684411870857E-4</v>
      </c>
      <c r="L2107" s="9">
        <f>(PricingDataTable[[#This Row],[Vendor Price ($)]]-PricingDataTable[[#This Row],[Current Price ($)]])/PricingDataTable[[#This Row],[Current Price ($)]]</f>
        <v>-2.2985799877204964E-3</v>
      </c>
      <c r="M2107" t="str">
        <f t="shared" si="64"/>
        <v>PASS</v>
      </c>
      <c r="N2107" s="10" t="str">
        <f t="shared" si="65"/>
        <v>NONE</v>
      </c>
    </row>
    <row r="2108" spans="1:14">
      <c r="A2108" s="4" t="s">
        <v>4232</v>
      </c>
      <c r="B2108" s="4" t="s">
        <v>4233</v>
      </c>
      <c r="C2108" s="4" t="s">
        <v>19</v>
      </c>
      <c r="D2108" s="4" t="s">
        <v>13</v>
      </c>
      <c r="E2108" s="5">
        <v>46.648000000000003</v>
      </c>
      <c r="F2108" s="5">
        <v>46.716799999999999</v>
      </c>
      <c r="G2108" s="5">
        <v>46.6218</v>
      </c>
      <c r="H2108" s="4">
        <v>1</v>
      </c>
      <c r="I2108" s="6">
        <v>1575157</v>
      </c>
      <c r="J2108" s="7">
        <v>214.67</v>
      </c>
      <c r="K2108" s="9">
        <f>(PricingDataTable[[#This Row],[Current Price ($)]]-PricingDataTable[[#This Row],[Prior Price ($)]])/PricingDataTable[[#This Row],[Prior Price ($)]]</f>
        <v>1.4748756645514484E-3</v>
      </c>
      <c r="L2108" s="9">
        <f>(PricingDataTable[[#This Row],[Vendor Price ($)]]-PricingDataTable[[#This Row],[Current Price ($)]])/PricingDataTable[[#This Row],[Current Price ($)]]</f>
        <v>-2.0335296938146204E-3</v>
      </c>
      <c r="M2108" t="str">
        <f t="shared" si="64"/>
        <v>PASS</v>
      </c>
      <c r="N2108" s="10" t="str">
        <f t="shared" si="65"/>
        <v>NONE</v>
      </c>
    </row>
    <row r="2109" spans="1:14">
      <c r="A2109" s="4" t="s">
        <v>4234</v>
      </c>
      <c r="B2109" s="4" t="s">
        <v>4235</v>
      </c>
      <c r="C2109" s="4" t="s">
        <v>39</v>
      </c>
      <c r="D2109" s="4" t="s">
        <v>32</v>
      </c>
      <c r="E2109" s="5">
        <v>280.30770000000001</v>
      </c>
      <c r="F2109" s="5">
        <v>276.8304</v>
      </c>
      <c r="G2109" s="5">
        <v>277.4923</v>
      </c>
      <c r="H2109" s="4">
        <v>0</v>
      </c>
      <c r="I2109" s="6">
        <v>3161190</v>
      </c>
      <c r="J2109" s="7">
        <v>690.46</v>
      </c>
      <c r="K2109" s="9">
        <f>(PricingDataTable[[#This Row],[Current Price ($)]]-PricingDataTable[[#This Row],[Prior Price ($)]])/PricingDataTable[[#This Row],[Prior Price ($)]]</f>
        <v>-1.2405296037176338E-2</v>
      </c>
      <c r="L2109" s="9">
        <f>(PricingDataTable[[#This Row],[Vendor Price ($)]]-PricingDataTable[[#This Row],[Current Price ($)]])/PricingDataTable[[#This Row],[Current Price ($)]]</f>
        <v>2.3909946306475112E-3</v>
      </c>
      <c r="M2109" t="str">
        <f t="shared" si="64"/>
        <v>PASS</v>
      </c>
      <c r="N2109" s="10" t="str">
        <f t="shared" si="65"/>
        <v>NONE</v>
      </c>
    </row>
    <row r="2110" spans="1:14">
      <c r="A2110" s="4" t="s">
        <v>4236</v>
      </c>
      <c r="B2110" s="4" t="s">
        <v>4237</v>
      </c>
      <c r="C2110" s="4" t="s">
        <v>19</v>
      </c>
      <c r="D2110" s="4" t="s">
        <v>13</v>
      </c>
      <c r="E2110" s="5">
        <v>38.234000000000002</v>
      </c>
      <c r="F2110" s="5">
        <v>38.344099999999997</v>
      </c>
      <c r="G2110" s="5">
        <v>38.250700000000002</v>
      </c>
      <c r="H2110" s="4">
        <v>0</v>
      </c>
      <c r="I2110" s="6">
        <v>4271975</v>
      </c>
      <c r="J2110" s="7">
        <v>71.14</v>
      </c>
      <c r="K2110" s="9">
        <f>(PricingDataTable[[#This Row],[Current Price ($)]]-PricingDataTable[[#This Row],[Prior Price ($)]])/PricingDataTable[[#This Row],[Prior Price ($)]]</f>
        <v>2.8796359261389244E-3</v>
      </c>
      <c r="L2110" s="9">
        <f>(PricingDataTable[[#This Row],[Vendor Price ($)]]-PricingDataTable[[#This Row],[Current Price ($)]])/PricingDataTable[[#This Row],[Current Price ($)]]</f>
        <v>-2.4358375864864607E-3</v>
      </c>
      <c r="M2110" t="str">
        <f t="shared" si="64"/>
        <v>PASS</v>
      </c>
      <c r="N2110" s="10" t="str">
        <f t="shared" si="65"/>
        <v>NONE</v>
      </c>
    </row>
    <row r="2111" spans="1:14">
      <c r="A2111" s="4" t="s">
        <v>4238</v>
      </c>
      <c r="B2111" s="4" t="s">
        <v>4239</v>
      </c>
      <c r="C2111" s="4" t="s">
        <v>12</v>
      </c>
      <c r="D2111" s="4" t="s">
        <v>13</v>
      </c>
      <c r="E2111" s="5">
        <v>85.571899999999999</v>
      </c>
      <c r="F2111" s="5">
        <v>85.965900000000005</v>
      </c>
      <c r="G2111" s="5">
        <v>85.753900000000002</v>
      </c>
      <c r="H2111" s="4">
        <v>0</v>
      </c>
      <c r="I2111" s="6">
        <v>2775121</v>
      </c>
      <c r="J2111" s="7">
        <v>24.32</v>
      </c>
      <c r="K2111" s="9">
        <f>(PricingDataTable[[#This Row],[Current Price ($)]]-PricingDataTable[[#This Row],[Prior Price ($)]])/PricingDataTable[[#This Row],[Prior Price ($)]]</f>
        <v>4.604315201602459E-3</v>
      </c>
      <c r="L2111" s="9">
        <f>(PricingDataTable[[#This Row],[Vendor Price ($)]]-PricingDataTable[[#This Row],[Current Price ($)]])/PricingDataTable[[#This Row],[Current Price ($)]]</f>
        <v>-2.4660941140615439E-3</v>
      </c>
      <c r="M2111" t="str">
        <f t="shared" si="64"/>
        <v>PASS</v>
      </c>
      <c r="N2111" s="10" t="str">
        <f t="shared" si="65"/>
        <v>NONE</v>
      </c>
    </row>
    <row r="2112" spans="1:14">
      <c r="A2112" s="4" t="s">
        <v>4240</v>
      </c>
      <c r="B2112" s="4" t="s">
        <v>4241</v>
      </c>
      <c r="C2112" s="4" t="s">
        <v>16</v>
      </c>
      <c r="D2112" s="4" t="s">
        <v>13</v>
      </c>
      <c r="E2112" s="5">
        <v>87.921899999999994</v>
      </c>
      <c r="F2112" s="5">
        <v>88.007800000000003</v>
      </c>
      <c r="G2112" s="5">
        <v>87.778099999999995</v>
      </c>
      <c r="H2112" s="4">
        <v>0</v>
      </c>
      <c r="I2112" s="6">
        <v>477084</v>
      </c>
      <c r="J2112" s="7">
        <v>819.96</v>
      </c>
      <c r="K2112" s="9">
        <f>(PricingDataTable[[#This Row],[Current Price ($)]]-PricingDataTable[[#This Row],[Prior Price ($)]])/PricingDataTable[[#This Row],[Prior Price ($)]]</f>
        <v>9.7700345420207498E-4</v>
      </c>
      <c r="L2112" s="9">
        <f>(PricingDataTable[[#This Row],[Vendor Price ($)]]-PricingDataTable[[#This Row],[Current Price ($)]])/PricingDataTable[[#This Row],[Current Price ($)]]</f>
        <v>-2.6099959321788323E-3</v>
      </c>
      <c r="M2112" t="str">
        <f t="shared" si="64"/>
        <v>PASS</v>
      </c>
      <c r="N2112" s="10" t="str">
        <f t="shared" si="65"/>
        <v>NONE</v>
      </c>
    </row>
    <row r="2113" spans="1:14">
      <c r="A2113" s="4" t="s">
        <v>4242</v>
      </c>
      <c r="B2113" s="4" t="s">
        <v>4243</v>
      </c>
      <c r="C2113" s="4" t="s">
        <v>39</v>
      </c>
      <c r="D2113" s="4" t="s">
        <v>64</v>
      </c>
      <c r="E2113" s="5">
        <v>337.05869999999999</v>
      </c>
      <c r="F2113" s="5">
        <v>337.0478</v>
      </c>
      <c r="G2113" s="5">
        <v>338.56880000000001</v>
      </c>
      <c r="H2113" s="4">
        <v>0</v>
      </c>
      <c r="I2113" s="6">
        <v>1393046</v>
      </c>
      <c r="J2113" s="7">
        <v>68.92</v>
      </c>
      <c r="K2113" s="9">
        <f>(PricingDataTable[[#This Row],[Current Price ($)]]-PricingDataTable[[#This Row],[Prior Price ($)]])/PricingDataTable[[#This Row],[Prior Price ($)]]</f>
        <v>-3.2338580787240798E-5</v>
      </c>
      <c r="L2113" s="9">
        <f>(PricingDataTable[[#This Row],[Vendor Price ($)]]-PricingDataTable[[#This Row],[Current Price ($)]])/PricingDataTable[[#This Row],[Current Price ($)]]</f>
        <v>4.5127130335816312E-3</v>
      </c>
      <c r="M2113" t="str">
        <f t="shared" si="64"/>
        <v>PASS</v>
      </c>
      <c r="N2113" s="10" t="str">
        <f t="shared" si="65"/>
        <v>NONE</v>
      </c>
    </row>
    <row r="2114" spans="1:14">
      <c r="A2114" s="4" t="s">
        <v>4244</v>
      </c>
      <c r="B2114" s="4" t="s">
        <v>4245</v>
      </c>
      <c r="C2114" s="4" t="s">
        <v>16</v>
      </c>
      <c r="D2114" s="4" t="s">
        <v>13</v>
      </c>
      <c r="E2114" s="5">
        <v>85.482200000000006</v>
      </c>
      <c r="F2114" s="5">
        <v>85.954599999999999</v>
      </c>
      <c r="G2114" s="5">
        <v>85.696899999999999</v>
      </c>
      <c r="H2114" s="4">
        <v>1</v>
      </c>
      <c r="I2114" s="6">
        <v>335564</v>
      </c>
      <c r="J2114" s="7">
        <v>796.3</v>
      </c>
      <c r="K2114" s="9">
        <f>(PricingDataTable[[#This Row],[Current Price ($)]]-PricingDataTable[[#This Row],[Prior Price ($)]])/PricingDataTable[[#This Row],[Prior Price ($)]]</f>
        <v>5.5262967027052794E-3</v>
      </c>
      <c r="L2114" s="9">
        <f>(PricingDataTable[[#This Row],[Vendor Price ($)]]-PricingDataTable[[#This Row],[Current Price ($)]])/PricingDataTable[[#This Row],[Current Price ($)]]</f>
        <v>-2.9980943428274905E-3</v>
      </c>
      <c r="M2114" t="str">
        <f t="shared" ref="M2114:M2177" si="66">IF(OR(F2114="",F2114=0),"MISSING",IF(H2114&gt;=3,"STALE",IF(ABS(K2114)&gt;=5%,"LARGE MOVE",IF(ABS(L2114)&gt;=2%,"VENDOR DIFFERENCE","PASS"))))</f>
        <v>PASS</v>
      </c>
      <c r="N2114" s="10" t="str">
        <f t="shared" ref="N2114:N2177" si="67">IF(M2114="PASS","NONE",IF(M2114="MISSING","HIGH",IF(OR(ABS(K2114)&gt;=10%,ABS(L2114)&gt;=5%),"HIGH",IF(OR(ABS(K2114)&gt;=7%,ABS(L2114)&gt;=3%,H2114&gt;=5),"MEDIUM","LOW"))))</f>
        <v>NONE</v>
      </c>
    </row>
    <row r="2115" spans="1:14">
      <c r="A2115" s="4" t="s">
        <v>4246</v>
      </c>
      <c r="B2115" s="4" t="s">
        <v>4247</v>
      </c>
      <c r="C2115" s="4" t="s">
        <v>19</v>
      </c>
      <c r="D2115" s="4" t="s">
        <v>13</v>
      </c>
      <c r="E2115" s="5">
        <v>338.98950000000002</v>
      </c>
      <c r="F2115" s="5">
        <v>363.58690000000001</v>
      </c>
      <c r="G2115" s="5">
        <v>363.661</v>
      </c>
      <c r="H2115" s="4">
        <v>1</v>
      </c>
      <c r="I2115" s="6">
        <v>4063348</v>
      </c>
      <c r="J2115" s="7">
        <v>829.27</v>
      </c>
      <c r="K2115" s="9">
        <f>(PricingDataTable[[#This Row],[Current Price ($)]]-PricingDataTable[[#This Row],[Prior Price ($)]])/PricingDataTable[[#This Row],[Prior Price ($)]]</f>
        <v>7.2560949527935209E-2</v>
      </c>
      <c r="L2115" s="9">
        <f>(PricingDataTable[[#This Row],[Vendor Price ($)]]-PricingDataTable[[#This Row],[Current Price ($)]])/PricingDataTable[[#This Row],[Current Price ($)]]</f>
        <v>2.0380272226526086E-4</v>
      </c>
      <c r="M2115" t="str">
        <f t="shared" si="66"/>
        <v>LARGE MOVE</v>
      </c>
      <c r="N2115" s="10" t="str">
        <f t="shared" si="67"/>
        <v>MEDIUM</v>
      </c>
    </row>
    <row r="2116" spans="1:14">
      <c r="A2116" s="4" t="s">
        <v>4248</v>
      </c>
      <c r="B2116" s="4" t="s">
        <v>4249</v>
      </c>
      <c r="C2116" s="4" t="s">
        <v>12</v>
      </c>
      <c r="D2116" s="4" t="s">
        <v>13</v>
      </c>
      <c r="E2116" s="5">
        <v>78.2119</v>
      </c>
      <c r="F2116" s="5">
        <v>78.253600000000006</v>
      </c>
      <c r="G2116" s="5">
        <v>78.062799999999996</v>
      </c>
      <c r="H2116" s="4">
        <v>1</v>
      </c>
      <c r="I2116" s="6">
        <v>42270</v>
      </c>
      <c r="J2116" s="7">
        <v>265.36</v>
      </c>
      <c r="K2116" s="9">
        <f>(PricingDataTable[[#This Row],[Current Price ($)]]-PricingDataTable[[#This Row],[Prior Price ($)]])/PricingDataTable[[#This Row],[Prior Price ($)]]</f>
        <v>5.3316694774076375E-4</v>
      </c>
      <c r="L2116" s="9">
        <f>(PricingDataTable[[#This Row],[Vendor Price ($)]]-PricingDataTable[[#This Row],[Current Price ($)]])/PricingDataTable[[#This Row],[Current Price ($)]]</f>
        <v>-2.4382264841491005E-3</v>
      </c>
      <c r="M2116" t="str">
        <f t="shared" si="66"/>
        <v>PASS</v>
      </c>
      <c r="N2116" s="10" t="str">
        <f t="shared" si="67"/>
        <v>NONE</v>
      </c>
    </row>
    <row r="2117" spans="1:14">
      <c r="A2117" s="4" t="s">
        <v>4250</v>
      </c>
      <c r="B2117" s="4" t="s">
        <v>4251</v>
      </c>
      <c r="C2117" s="4" t="s">
        <v>35</v>
      </c>
      <c r="D2117" s="4" t="s">
        <v>237</v>
      </c>
      <c r="E2117" s="5">
        <v>87.756699999999995</v>
      </c>
      <c r="F2117" s="5">
        <v>86.989699999999999</v>
      </c>
      <c r="G2117" s="5">
        <v>86.931100000000001</v>
      </c>
      <c r="H2117" s="4">
        <v>0</v>
      </c>
      <c r="I2117" s="6">
        <v>1537470</v>
      </c>
      <c r="J2117" s="7">
        <v>449.23</v>
      </c>
      <c r="K2117" s="9">
        <f>(PricingDataTable[[#This Row],[Current Price ($)]]-PricingDataTable[[#This Row],[Prior Price ($)]])/PricingDataTable[[#This Row],[Prior Price ($)]]</f>
        <v>-8.7400734075004632E-3</v>
      </c>
      <c r="L2117" s="9">
        <f>(PricingDataTable[[#This Row],[Vendor Price ($)]]-PricingDataTable[[#This Row],[Current Price ($)]])/PricingDataTable[[#This Row],[Current Price ($)]]</f>
        <v>-6.7364297152419693E-4</v>
      </c>
      <c r="M2117" t="str">
        <f t="shared" si="66"/>
        <v>PASS</v>
      </c>
      <c r="N2117" s="10" t="str">
        <f t="shared" si="67"/>
        <v>NONE</v>
      </c>
    </row>
    <row r="2118" spans="1:14">
      <c r="A2118" s="4" t="s">
        <v>4252</v>
      </c>
      <c r="B2118" s="4" t="s">
        <v>4253</v>
      </c>
      <c r="C2118" s="4" t="s">
        <v>39</v>
      </c>
      <c r="D2118" s="4" t="s">
        <v>13</v>
      </c>
      <c r="E2118" s="5">
        <v>57.267400000000002</v>
      </c>
      <c r="F2118" s="5">
        <v>57.4818</v>
      </c>
      <c r="G2118" s="5">
        <v>57.387099999999997</v>
      </c>
      <c r="H2118" s="4">
        <v>0</v>
      </c>
      <c r="I2118" s="6">
        <v>3817783</v>
      </c>
      <c r="J2118" s="7">
        <v>530.79</v>
      </c>
      <c r="K2118" s="9">
        <f>(PricingDataTable[[#This Row],[Current Price ($)]]-PricingDataTable[[#This Row],[Prior Price ($)]])/PricingDataTable[[#This Row],[Prior Price ($)]]</f>
        <v>3.743840300065966E-3</v>
      </c>
      <c r="L2118" s="9">
        <f>(PricingDataTable[[#This Row],[Vendor Price ($)]]-PricingDataTable[[#This Row],[Current Price ($)]])/PricingDataTable[[#This Row],[Current Price ($)]]</f>
        <v>-1.6474779843359657E-3</v>
      </c>
      <c r="M2118" t="str">
        <f t="shared" si="66"/>
        <v>PASS</v>
      </c>
      <c r="N2118" s="10" t="str">
        <f t="shared" si="67"/>
        <v>NONE</v>
      </c>
    </row>
    <row r="2119" spans="1:14">
      <c r="A2119" s="4" t="s">
        <v>4254</v>
      </c>
      <c r="B2119" s="4" t="s">
        <v>4255</v>
      </c>
      <c r="C2119" s="4" t="s">
        <v>16</v>
      </c>
      <c r="D2119" s="4" t="s">
        <v>13</v>
      </c>
      <c r="E2119" s="5">
        <v>89.659700000000001</v>
      </c>
      <c r="F2119" s="5">
        <v>89.262100000000004</v>
      </c>
      <c r="G2119" s="5">
        <v>89.443700000000007</v>
      </c>
      <c r="H2119" s="4">
        <v>0</v>
      </c>
      <c r="I2119" s="6">
        <v>1143466</v>
      </c>
      <c r="J2119" s="7">
        <v>649.89</v>
      </c>
      <c r="K2119" s="9">
        <f>(PricingDataTable[[#This Row],[Current Price ($)]]-PricingDataTable[[#This Row],[Prior Price ($)]])/PricingDataTable[[#This Row],[Prior Price ($)]]</f>
        <v>-4.4345452862322434E-3</v>
      </c>
      <c r="L2119" s="9">
        <f>(PricingDataTable[[#This Row],[Vendor Price ($)]]-PricingDataTable[[#This Row],[Current Price ($)]])/PricingDataTable[[#This Row],[Current Price ($)]]</f>
        <v>2.0344580734713061E-3</v>
      </c>
      <c r="M2119" t="str">
        <f t="shared" si="66"/>
        <v>PASS</v>
      </c>
      <c r="N2119" s="10" t="str">
        <f t="shared" si="67"/>
        <v>NONE</v>
      </c>
    </row>
    <row r="2120" spans="1:14">
      <c r="A2120" s="4" t="s">
        <v>4256</v>
      </c>
      <c r="B2120" s="4" t="s">
        <v>4257</v>
      </c>
      <c r="C2120" s="4" t="s">
        <v>16</v>
      </c>
      <c r="D2120" s="4" t="s">
        <v>36</v>
      </c>
      <c r="E2120" s="5">
        <v>75.1631</v>
      </c>
      <c r="F2120" s="5">
        <v>74.584699999999998</v>
      </c>
      <c r="G2120" s="5">
        <v>74.852400000000003</v>
      </c>
      <c r="H2120" s="4">
        <v>0</v>
      </c>
      <c r="I2120" s="6">
        <v>1752498</v>
      </c>
      <c r="J2120" s="7">
        <v>226.2</v>
      </c>
      <c r="K2120" s="9">
        <f>(PricingDataTable[[#This Row],[Current Price ($)]]-PricingDataTable[[#This Row],[Prior Price ($)]])/PricingDataTable[[#This Row],[Prior Price ($)]]</f>
        <v>-7.6952653629241211E-3</v>
      </c>
      <c r="L2120" s="9">
        <f>(PricingDataTable[[#This Row],[Vendor Price ($)]]-PricingDataTable[[#This Row],[Current Price ($)]])/PricingDataTable[[#This Row],[Current Price ($)]]</f>
        <v>3.5892079742896993E-3</v>
      </c>
      <c r="M2120" t="str">
        <f t="shared" si="66"/>
        <v>PASS</v>
      </c>
      <c r="N2120" s="10" t="str">
        <f t="shared" si="67"/>
        <v>NONE</v>
      </c>
    </row>
    <row r="2121" spans="1:14">
      <c r="A2121" s="4" t="s">
        <v>4258</v>
      </c>
      <c r="B2121" s="4" t="s">
        <v>4259</v>
      </c>
      <c r="C2121" s="4" t="s">
        <v>12</v>
      </c>
      <c r="D2121" s="4" t="s">
        <v>13</v>
      </c>
      <c r="E2121" s="5">
        <v>117.01479999999999</v>
      </c>
      <c r="F2121" s="5">
        <v>117.9503</v>
      </c>
      <c r="G2121" s="5">
        <v>117.5864</v>
      </c>
      <c r="H2121" s="4">
        <v>0</v>
      </c>
      <c r="I2121" s="6">
        <v>3416199</v>
      </c>
      <c r="J2121" s="7">
        <v>107.12</v>
      </c>
      <c r="K2121" s="9">
        <f>(PricingDataTable[[#This Row],[Current Price ($)]]-PricingDataTable[[#This Row],[Prior Price ($)]])/PricingDataTable[[#This Row],[Prior Price ($)]]</f>
        <v>7.9947151984193863E-3</v>
      </c>
      <c r="L2121" s="9">
        <f>(PricingDataTable[[#This Row],[Vendor Price ($)]]-PricingDataTable[[#This Row],[Current Price ($)]])/PricingDataTable[[#This Row],[Current Price ($)]]</f>
        <v>-3.0851977485432508E-3</v>
      </c>
      <c r="M2121" t="str">
        <f t="shared" si="66"/>
        <v>PASS</v>
      </c>
      <c r="N2121" s="10" t="str">
        <f t="shared" si="67"/>
        <v>NONE</v>
      </c>
    </row>
    <row r="2122" spans="1:14">
      <c r="A2122" s="4" t="s">
        <v>4260</v>
      </c>
      <c r="B2122" s="4" t="s">
        <v>4261</v>
      </c>
      <c r="C2122" s="4" t="s">
        <v>16</v>
      </c>
      <c r="D2122" s="4" t="s">
        <v>32</v>
      </c>
      <c r="E2122" s="5">
        <v>81.805199999999999</v>
      </c>
      <c r="F2122" s="5">
        <v>83.297899999999998</v>
      </c>
      <c r="G2122" s="5">
        <v>83.714500000000001</v>
      </c>
      <c r="H2122" s="4">
        <v>3</v>
      </c>
      <c r="I2122" s="6">
        <v>2813598</v>
      </c>
      <c r="J2122" s="7">
        <v>552.04</v>
      </c>
      <c r="K2122" s="9">
        <f>(PricingDataTable[[#This Row],[Current Price ($)]]-PricingDataTable[[#This Row],[Prior Price ($)]])/PricingDataTable[[#This Row],[Prior Price ($)]]</f>
        <v>1.8247006302777809E-2</v>
      </c>
      <c r="L2122" s="9">
        <f>(PricingDataTable[[#This Row],[Vendor Price ($)]]-PricingDataTable[[#This Row],[Current Price ($)]])/PricingDataTable[[#This Row],[Current Price ($)]]</f>
        <v>5.0013265640550669E-3</v>
      </c>
      <c r="M2122" t="str">
        <f t="shared" si="66"/>
        <v>STALE</v>
      </c>
      <c r="N2122" s="10" t="str">
        <f t="shared" si="67"/>
        <v>LOW</v>
      </c>
    </row>
    <row r="2123" spans="1:14">
      <c r="A2123" s="4" t="s">
        <v>4262</v>
      </c>
      <c r="B2123" s="4" t="s">
        <v>4263</v>
      </c>
      <c r="C2123" s="4" t="s">
        <v>39</v>
      </c>
      <c r="D2123" s="4" t="s">
        <v>237</v>
      </c>
      <c r="E2123" s="5">
        <v>42.931199999999997</v>
      </c>
      <c r="F2123" s="5">
        <v>43.718400000000003</v>
      </c>
      <c r="G2123" s="5">
        <v>43.763300000000001</v>
      </c>
      <c r="H2123" s="4">
        <v>0</v>
      </c>
      <c r="I2123" s="6">
        <v>1479583</v>
      </c>
      <c r="J2123" s="7">
        <v>727.62</v>
      </c>
      <c r="K2123" s="9">
        <f>(PricingDataTable[[#This Row],[Current Price ($)]]-PricingDataTable[[#This Row],[Prior Price ($)]])/PricingDataTable[[#This Row],[Prior Price ($)]]</f>
        <v>1.8336314847942889E-2</v>
      </c>
      <c r="L2123" s="9">
        <f>(PricingDataTable[[#This Row],[Vendor Price ($)]]-PricingDataTable[[#This Row],[Current Price ($)]])/PricingDataTable[[#This Row],[Current Price ($)]]</f>
        <v>1.027027521592702E-3</v>
      </c>
      <c r="M2123" t="str">
        <f t="shared" si="66"/>
        <v>PASS</v>
      </c>
      <c r="N2123" s="10" t="str">
        <f t="shared" si="67"/>
        <v>NONE</v>
      </c>
    </row>
    <row r="2124" spans="1:14">
      <c r="A2124" s="4" t="s">
        <v>4264</v>
      </c>
      <c r="B2124" s="4" t="s">
        <v>4265</v>
      </c>
      <c r="C2124" s="4" t="s">
        <v>19</v>
      </c>
      <c r="D2124" s="4" t="s">
        <v>13</v>
      </c>
      <c r="E2124" s="5">
        <v>229.85550000000001</v>
      </c>
      <c r="F2124" s="5">
        <v>229.2046</v>
      </c>
      <c r="G2124" s="5">
        <v>229.94649999999999</v>
      </c>
      <c r="H2124" s="4">
        <v>2</v>
      </c>
      <c r="I2124" s="6">
        <v>642711</v>
      </c>
      <c r="J2124" s="7">
        <v>188.89</v>
      </c>
      <c r="K2124" s="9">
        <f>(PricingDataTable[[#This Row],[Current Price ($)]]-PricingDataTable[[#This Row],[Prior Price ($)]])/PricingDataTable[[#This Row],[Prior Price ($)]]</f>
        <v>-2.8317790959972986E-3</v>
      </c>
      <c r="L2124" s="9">
        <f>(PricingDataTable[[#This Row],[Vendor Price ($)]]-PricingDataTable[[#This Row],[Current Price ($)]])/PricingDataTable[[#This Row],[Current Price ($)]]</f>
        <v>3.2368460318858649E-3</v>
      </c>
      <c r="M2124" t="str">
        <f t="shared" si="66"/>
        <v>PASS</v>
      </c>
      <c r="N2124" s="10" t="str">
        <f t="shared" si="67"/>
        <v>NONE</v>
      </c>
    </row>
    <row r="2125" spans="1:14">
      <c r="A2125" s="4" t="s">
        <v>4266</v>
      </c>
      <c r="B2125" s="4" t="s">
        <v>4267</v>
      </c>
      <c r="C2125" s="4" t="s">
        <v>16</v>
      </c>
      <c r="D2125" s="4" t="s">
        <v>64</v>
      </c>
      <c r="E2125" s="5">
        <v>102.88</v>
      </c>
      <c r="F2125" s="5">
        <v>100.8051</v>
      </c>
      <c r="G2125" s="5">
        <v>100.84269999999999</v>
      </c>
      <c r="H2125" s="4">
        <v>0</v>
      </c>
      <c r="I2125" s="6">
        <v>4284701</v>
      </c>
      <c r="J2125" s="7">
        <v>298.33</v>
      </c>
      <c r="K2125" s="9">
        <f>(PricingDataTable[[#This Row],[Current Price ($)]]-PricingDataTable[[#This Row],[Prior Price ($)]])/PricingDataTable[[#This Row],[Prior Price ($)]]</f>
        <v>-2.0168157076205284E-2</v>
      </c>
      <c r="L2125" s="9">
        <f>(PricingDataTable[[#This Row],[Vendor Price ($)]]-PricingDataTable[[#This Row],[Current Price ($)]])/PricingDataTable[[#This Row],[Current Price ($)]]</f>
        <v>3.7299700114376788E-4</v>
      </c>
      <c r="M2125" t="str">
        <f t="shared" si="66"/>
        <v>PASS</v>
      </c>
      <c r="N2125" s="10" t="str">
        <f t="shared" si="67"/>
        <v>NONE</v>
      </c>
    </row>
    <row r="2126" spans="1:14">
      <c r="A2126" s="4" t="s">
        <v>4268</v>
      </c>
      <c r="B2126" s="4" t="s">
        <v>4269</v>
      </c>
      <c r="C2126" s="4" t="s">
        <v>19</v>
      </c>
      <c r="D2126" s="4" t="s">
        <v>13</v>
      </c>
      <c r="E2126" s="5">
        <v>250.3586</v>
      </c>
      <c r="F2126" s="5">
        <v>222.3784</v>
      </c>
      <c r="G2126" s="5">
        <v>223.15559999999999</v>
      </c>
      <c r="H2126" s="4">
        <v>0</v>
      </c>
      <c r="I2126" s="6">
        <v>3198953</v>
      </c>
      <c r="J2126" s="7">
        <v>389.63</v>
      </c>
      <c r="K2126" s="9">
        <f>(PricingDataTable[[#This Row],[Current Price ($)]]-PricingDataTable[[#This Row],[Prior Price ($)]])/PricingDataTable[[#This Row],[Prior Price ($)]]</f>
        <v>-0.11176049075206522</v>
      </c>
      <c r="L2126" s="9">
        <f>(PricingDataTable[[#This Row],[Vendor Price ($)]]-PricingDataTable[[#This Row],[Current Price ($)]])/PricingDataTable[[#This Row],[Current Price ($)]]</f>
        <v>3.4949437535299896E-3</v>
      </c>
      <c r="M2126" t="str">
        <f t="shared" si="66"/>
        <v>LARGE MOVE</v>
      </c>
      <c r="N2126" s="10" t="str">
        <f t="shared" si="67"/>
        <v>HIGH</v>
      </c>
    </row>
    <row r="2127" spans="1:14">
      <c r="A2127" s="4" t="s">
        <v>4270</v>
      </c>
      <c r="B2127" s="4" t="s">
        <v>4271</v>
      </c>
      <c r="C2127" s="4" t="s">
        <v>39</v>
      </c>
      <c r="D2127" s="4" t="s">
        <v>13</v>
      </c>
      <c r="E2127" s="5">
        <v>141.4187</v>
      </c>
      <c r="F2127" s="5">
        <v>143.46379999999999</v>
      </c>
      <c r="G2127" s="5">
        <v>143.18860000000001</v>
      </c>
      <c r="H2127" s="4">
        <v>0</v>
      </c>
      <c r="I2127" s="6">
        <v>4468903</v>
      </c>
      <c r="J2127" s="7">
        <v>891.14</v>
      </c>
      <c r="K2127" s="9">
        <f>(PricingDataTable[[#This Row],[Current Price ($)]]-PricingDataTable[[#This Row],[Prior Price ($)]])/PricingDataTable[[#This Row],[Prior Price ($)]]</f>
        <v>1.4461312400693762E-2</v>
      </c>
      <c r="L2127" s="9">
        <f>(PricingDataTable[[#This Row],[Vendor Price ($)]]-PricingDataTable[[#This Row],[Current Price ($)]])/PricingDataTable[[#This Row],[Current Price ($)]]</f>
        <v>-1.9182539428063659E-3</v>
      </c>
      <c r="M2127" t="str">
        <f t="shared" si="66"/>
        <v>PASS</v>
      </c>
      <c r="N2127" s="10" t="str">
        <f t="shared" si="67"/>
        <v>NONE</v>
      </c>
    </row>
    <row r="2128" spans="1:14">
      <c r="A2128" s="4" t="s">
        <v>4272</v>
      </c>
      <c r="B2128" s="4" t="s">
        <v>4273</v>
      </c>
      <c r="C2128" s="4" t="s">
        <v>19</v>
      </c>
      <c r="D2128" s="4" t="s">
        <v>13</v>
      </c>
      <c r="E2128" s="5">
        <v>35.100900000000003</v>
      </c>
      <c r="F2128" s="5">
        <v>35.218299999999999</v>
      </c>
      <c r="G2128" s="5">
        <v>35.373899999999999</v>
      </c>
      <c r="H2128" s="4">
        <v>2</v>
      </c>
      <c r="I2128" s="6">
        <v>1406821</v>
      </c>
      <c r="J2128" s="7">
        <v>188.81</v>
      </c>
      <c r="K2128" s="9">
        <f>(PricingDataTable[[#This Row],[Current Price ($)]]-PricingDataTable[[#This Row],[Prior Price ($)]])/PricingDataTable[[#This Row],[Prior Price ($)]]</f>
        <v>3.3446435846373281E-3</v>
      </c>
      <c r="L2128" s="9">
        <f>(PricingDataTable[[#This Row],[Vendor Price ($)]]-PricingDataTable[[#This Row],[Current Price ($)]])/PricingDataTable[[#This Row],[Current Price ($)]]</f>
        <v>4.4181576055630093E-3</v>
      </c>
      <c r="M2128" t="str">
        <f t="shared" si="66"/>
        <v>PASS</v>
      </c>
      <c r="N2128" s="10" t="str">
        <f t="shared" si="67"/>
        <v>NONE</v>
      </c>
    </row>
    <row r="2129" spans="1:14">
      <c r="A2129" s="4" t="s">
        <v>4274</v>
      </c>
      <c r="B2129" s="4" t="s">
        <v>4275</v>
      </c>
      <c r="C2129" s="4" t="s">
        <v>19</v>
      </c>
      <c r="D2129" s="4" t="s">
        <v>13</v>
      </c>
      <c r="E2129" s="5">
        <v>138.51929999999999</v>
      </c>
      <c r="F2129" s="5">
        <v>137.2439</v>
      </c>
      <c r="G2129" s="5">
        <v>137.37710000000001</v>
      </c>
      <c r="H2129" s="4">
        <v>1</v>
      </c>
      <c r="I2129" s="6">
        <v>4544090</v>
      </c>
      <c r="J2129" s="7">
        <v>632.24</v>
      </c>
      <c r="K2129" s="9">
        <f>(PricingDataTable[[#This Row],[Current Price ($)]]-PricingDataTable[[#This Row],[Prior Price ($)]])/PricingDataTable[[#This Row],[Prior Price ($)]]</f>
        <v>-9.2073812096941775E-3</v>
      </c>
      <c r="L2129" s="9">
        <f>(PricingDataTable[[#This Row],[Vendor Price ($)]]-PricingDataTable[[#This Row],[Current Price ($)]])/PricingDataTable[[#This Row],[Current Price ($)]]</f>
        <v>9.7053493816494883E-4</v>
      </c>
      <c r="M2129" t="str">
        <f t="shared" si="66"/>
        <v>PASS</v>
      </c>
      <c r="N2129" s="10" t="str">
        <f t="shared" si="67"/>
        <v>NONE</v>
      </c>
    </row>
    <row r="2130" spans="1:14">
      <c r="A2130" s="4" t="s">
        <v>4276</v>
      </c>
      <c r="B2130" s="4" t="s">
        <v>4277</v>
      </c>
      <c r="C2130" s="4" t="s">
        <v>16</v>
      </c>
      <c r="D2130" s="4" t="s">
        <v>13</v>
      </c>
      <c r="E2130" s="5">
        <v>111.9391</v>
      </c>
      <c r="F2130" s="5">
        <v>114.07510000000001</v>
      </c>
      <c r="G2130" s="5">
        <v>114.01179999999999</v>
      </c>
      <c r="H2130" s="4">
        <v>3</v>
      </c>
      <c r="I2130" s="6">
        <v>2254495</v>
      </c>
      <c r="J2130" s="7">
        <v>393.98</v>
      </c>
      <c r="K2130" s="9">
        <f>(PricingDataTable[[#This Row],[Current Price ($)]]-PricingDataTable[[#This Row],[Prior Price ($)]])/PricingDataTable[[#This Row],[Prior Price ($)]]</f>
        <v>1.9081804302518154E-2</v>
      </c>
      <c r="L2130" s="9">
        <f>(PricingDataTable[[#This Row],[Vendor Price ($)]]-PricingDataTable[[#This Row],[Current Price ($)]])/PricingDataTable[[#This Row],[Current Price ($)]]</f>
        <v>-5.5489760692747447E-4</v>
      </c>
      <c r="M2130" t="str">
        <f t="shared" si="66"/>
        <v>STALE</v>
      </c>
      <c r="N2130" s="10" t="str">
        <f t="shared" si="67"/>
        <v>LOW</v>
      </c>
    </row>
    <row r="2131" spans="1:14">
      <c r="A2131" s="4" t="s">
        <v>4278</v>
      </c>
      <c r="B2131" s="4" t="s">
        <v>4279</v>
      </c>
      <c r="C2131" s="4" t="s">
        <v>16</v>
      </c>
      <c r="D2131" s="4" t="s">
        <v>13</v>
      </c>
      <c r="E2131" s="5">
        <v>86.377799999999993</v>
      </c>
      <c r="F2131" s="5">
        <v>86.637600000000006</v>
      </c>
      <c r="G2131" s="5">
        <v>87.002200000000002</v>
      </c>
      <c r="H2131" s="4">
        <v>1</v>
      </c>
      <c r="I2131" s="6">
        <v>4030372</v>
      </c>
      <c r="J2131" s="7">
        <v>218.6</v>
      </c>
      <c r="K2131" s="9">
        <f>(PricingDataTable[[#This Row],[Current Price ($)]]-PricingDataTable[[#This Row],[Prior Price ($)]])/PricingDataTable[[#This Row],[Prior Price ($)]]</f>
        <v>3.0077172606851844E-3</v>
      </c>
      <c r="L2131" s="9">
        <f>(PricingDataTable[[#This Row],[Vendor Price ($)]]-PricingDataTable[[#This Row],[Current Price ($)]])/PricingDataTable[[#This Row],[Current Price ($)]]</f>
        <v>4.2083344875665507E-3</v>
      </c>
      <c r="M2131" t="str">
        <f t="shared" si="66"/>
        <v>PASS</v>
      </c>
      <c r="N2131" s="10" t="str">
        <f t="shared" si="67"/>
        <v>NONE</v>
      </c>
    </row>
    <row r="2132" spans="1:14">
      <c r="A2132" s="4" t="s">
        <v>4280</v>
      </c>
      <c r="B2132" s="4" t="s">
        <v>4281</v>
      </c>
      <c r="C2132" s="4" t="s">
        <v>19</v>
      </c>
      <c r="D2132" s="4" t="s">
        <v>13</v>
      </c>
      <c r="E2132" s="5">
        <v>301.7022</v>
      </c>
      <c r="F2132" s="5">
        <v>304.06709999999998</v>
      </c>
      <c r="G2132" s="5">
        <v>303.26159999999999</v>
      </c>
      <c r="H2132" s="4">
        <v>0</v>
      </c>
      <c r="I2132" s="6">
        <v>2991143</v>
      </c>
      <c r="J2132" s="7">
        <v>635.21</v>
      </c>
      <c r="K2132" s="9">
        <f>(PricingDataTable[[#This Row],[Current Price ($)]]-PricingDataTable[[#This Row],[Prior Price ($)]])/PricingDataTable[[#This Row],[Prior Price ($)]]</f>
        <v>7.8385242136118898E-3</v>
      </c>
      <c r="L2132" s="9">
        <f>(PricingDataTable[[#This Row],[Vendor Price ($)]]-PricingDataTable[[#This Row],[Current Price ($)]])/PricingDataTable[[#This Row],[Current Price ($)]]</f>
        <v>-2.6490863365355708E-3</v>
      </c>
      <c r="M2132" t="str">
        <f t="shared" si="66"/>
        <v>PASS</v>
      </c>
      <c r="N2132" s="10" t="str">
        <f t="shared" si="67"/>
        <v>NONE</v>
      </c>
    </row>
    <row r="2133" spans="1:14">
      <c r="A2133" s="4" t="s">
        <v>4282</v>
      </c>
      <c r="B2133" s="4" t="s">
        <v>4283</v>
      </c>
      <c r="C2133" s="4" t="s">
        <v>19</v>
      </c>
      <c r="D2133" s="4" t="s">
        <v>13</v>
      </c>
      <c r="E2133" s="5">
        <v>166.10050000000001</v>
      </c>
      <c r="F2133" s="5">
        <v>166.01599999999999</v>
      </c>
      <c r="G2133" s="5">
        <v>165.27549999999999</v>
      </c>
      <c r="H2133" s="4">
        <v>1</v>
      </c>
      <c r="I2133" s="6">
        <v>190961</v>
      </c>
      <c r="J2133" s="7">
        <v>281.08999999999997</v>
      </c>
      <c r="K2133" s="9">
        <f>(PricingDataTable[[#This Row],[Current Price ($)]]-PricingDataTable[[#This Row],[Prior Price ($)]])/PricingDataTable[[#This Row],[Prior Price ($)]]</f>
        <v>-5.0872814952405184E-4</v>
      </c>
      <c r="L2133" s="9">
        <f>(PricingDataTable[[#This Row],[Vendor Price ($)]]-PricingDataTable[[#This Row],[Current Price ($)]])/PricingDataTable[[#This Row],[Current Price ($)]]</f>
        <v>-4.4604134541248877E-3</v>
      </c>
      <c r="M2133" t="str">
        <f t="shared" si="66"/>
        <v>PASS</v>
      </c>
      <c r="N2133" s="10" t="str">
        <f t="shared" si="67"/>
        <v>NONE</v>
      </c>
    </row>
    <row r="2134" spans="1:14">
      <c r="A2134" s="4" t="s">
        <v>4284</v>
      </c>
      <c r="B2134" s="4" t="s">
        <v>4285</v>
      </c>
      <c r="C2134" s="4" t="s">
        <v>19</v>
      </c>
      <c r="D2134" s="4" t="s">
        <v>32</v>
      </c>
      <c r="E2134" s="5">
        <v>60.118400000000001</v>
      </c>
      <c r="F2134" s="5">
        <v>59.791400000000003</v>
      </c>
      <c r="G2134" s="5">
        <v>59.915700000000001</v>
      </c>
      <c r="H2134" s="4">
        <v>1</v>
      </c>
      <c r="I2134" s="6">
        <v>3774767</v>
      </c>
      <c r="J2134" s="7">
        <v>803.16</v>
      </c>
      <c r="K2134" s="9">
        <f>(PricingDataTable[[#This Row],[Current Price ($)]]-PricingDataTable[[#This Row],[Prior Price ($)]])/PricingDataTable[[#This Row],[Prior Price ($)]]</f>
        <v>-5.439266514078854E-3</v>
      </c>
      <c r="L2134" s="9">
        <f>(PricingDataTable[[#This Row],[Vendor Price ($)]]-PricingDataTable[[#This Row],[Current Price ($)]])/PricingDataTable[[#This Row],[Current Price ($)]]</f>
        <v>2.0788942891452294E-3</v>
      </c>
      <c r="M2134" t="str">
        <f t="shared" si="66"/>
        <v>PASS</v>
      </c>
      <c r="N2134" s="10" t="str">
        <f t="shared" si="67"/>
        <v>NONE</v>
      </c>
    </row>
    <row r="2135" spans="1:14">
      <c r="A2135" s="4" t="s">
        <v>4286</v>
      </c>
      <c r="B2135" s="4" t="s">
        <v>4287</v>
      </c>
      <c r="C2135" s="4" t="s">
        <v>19</v>
      </c>
      <c r="D2135" s="4" t="s">
        <v>13</v>
      </c>
      <c r="E2135" s="5">
        <v>171.0232</v>
      </c>
      <c r="F2135" s="5">
        <v>167.26220000000001</v>
      </c>
      <c r="G2135" s="5">
        <v>166.9119</v>
      </c>
      <c r="H2135" s="4">
        <v>0</v>
      </c>
      <c r="I2135" s="6">
        <v>3861728</v>
      </c>
      <c r="J2135" s="7">
        <v>209.72</v>
      </c>
      <c r="K2135" s="9">
        <f>(PricingDataTable[[#This Row],[Current Price ($)]]-PricingDataTable[[#This Row],[Prior Price ($)]])/PricingDataTable[[#This Row],[Prior Price ($)]]</f>
        <v>-2.1991168449660606E-2</v>
      </c>
      <c r="L2135" s="9">
        <f>(PricingDataTable[[#This Row],[Vendor Price ($)]]-PricingDataTable[[#This Row],[Current Price ($)]])/PricingDataTable[[#This Row],[Current Price ($)]]</f>
        <v>-2.0943165879678985E-3</v>
      </c>
      <c r="M2135" t="str">
        <f t="shared" si="66"/>
        <v>PASS</v>
      </c>
      <c r="N2135" s="10" t="str">
        <f t="shared" si="67"/>
        <v>NONE</v>
      </c>
    </row>
    <row r="2136" spans="1:14">
      <c r="A2136" s="4" t="s">
        <v>4288</v>
      </c>
      <c r="B2136" s="4" t="s">
        <v>4289</v>
      </c>
      <c r="C2136" s="4" t="s">
        <v>16</v>
      </c>
      <c r="D2136" s="4" t="s">
        <v>13</v>
      </c>
      <c r="E2136" s="5">
        <v>123.1955</v>
      </c>
      <c r="F2136" s="5">
        <v>122.8022</v>
      </c>
      <c r="G2136" s="5">
        <v>123.3429</v>
      </c>
      <c r="H2136" s="4">
        <v>0</v>
      </c>
      <c r="I2136" s="6">
        <v>1496821</v>
      </c>
      <c r="J2136" s="7">
        <v>561.30999999999995</v>
      </c>
      <c r="K2136" s="9">
        <f>(PricingDataTable[[#This Row],[Current Price ($)]]-PricingDataTable[[#This Row],[Prior Price ($)]])/PricingDataTable[[#This Row],[Prior Price ($)]]</f>
        <v>-3.1924867385577918E-3</v>
      </c>
      <c r="L2136" s="9">
        <f>(PricingDataTable[[#This Row],[Vendor Price ($)]]-PricingDataTable[[#This Row],[Current Price ($)]])/PricingDataTable[[#This Row],[Current Price ($)]]</f>
        <v>4.4030155811540924E-3</v>
      </c>
      <c r="M2136" t="str">
        <f t="shared" si="66"/>
        <v>PASS</v>
      </c>
      <c r="N2136" s="10" t="str">
        <f t="shared" si="67"/>
        <v>NONE</v>
      </c>
    </row>
    <row r="2137" spans="1:14">
      <c r="A2137" s="4" t="s">
        <v>4290</v>
      </c>
      <c r="B2137" s="4" t="s">
        <v>4291</v>
      </c>
      <c r="C2137" s="4" t="s">
        <v>19</v>
      </c>
      <c r="D2137" s="4" t="s">
        <v>13</v>
      </c>
      <c r="E2137" s="5">
        <v>128.4693</v>
      </c>
      <c r="F2137" s="5">
        <v>152.0539</v>
      </c>
      <c r="G2137" s="5">
        <v>152.20500000000001</v>
      </c>
      <c r="H2137" s="4">
        <v>0</v>
      </c>
      <c r="I2137" s="6">
        <v>4973973</v>
      </c>
      <c r="J2137" s="7">
        <v>609.79999999999995</v>
      </c>
      <c r="K2137" s="9">
        <f>(PricingDataTable[[#This Row],[Current Price ($)]]-PricingDataTable[[#This Row],[Prior Price ($)]])/PricingDataTable[[#This Row],[Prior Price ($)]]</f>
        <v>0.18358160276424013</v>
      </c>
      <c r="L2137" s="9">
        <f>(PricingDataTable[[#This Row],[Vendor Price ($)]]-PricingDataTable[[#This Row],[Current Price ($)]])/PricingDataTable[[#This Row],[Current Price ($)]]</f>
        <v>9.9372656669782095E-4</v>
      </c>
      <c r="M2137" t="str">
        <f t="shared" si="66"/>
        <v>LARGE MOVE</v>
      </c>
      <c r="N2137" s="10" t="str">
        <f t="shared" si="67"/>
        <v>HIGH</v>
      </c>
    </row>
    <row r="2138" spans="1:14">
      <c r="A2138" s="4" t="s">
        <v>4292</v>
      </c>
      <c r="B2138" s="4" t="s">
        <v>4293</v>
      </c>
      <c r="C2138" s="4" t="s">
        <v>16</v>
      </c>
      <c r="D2138" s="4" t="s">
        <v>13</v>
      </c>
      <c r="E2138" s="5">
        <v>95.629000000000005</v>
      </c>
      <c r="F2138" s="5">
        <v>94.617800000000003</v>
      </c>
      <c r="G2138" s="5">
        <v>94.329800000000006</v>
      </c>
      <c r="H2138" s="4">
        <v>3</v>
      </c>
      <c r="I2138" s="6">
        <v>2055697</v>
      </c>
      <c r="J2138" s="7">
        <v>518.41</v>
      </c>
      <c r="K2138" s="9">
        <f>(PricingDataTable[[#This Row],[Current Price ($)]]-PricingDataTable[[#This Row],[Prior Price ($)]])/PricingDataTable[[#This Row],[Prior Price ($)]]</f>
        <v>-1.0574198203473866E-2</v>
      </c>
      <c r="L2138" s="9">
        <f>(PricingDataTable[[#This Row],[Vendor Price ($)]]-PricingDataTable[[#This Row],[Current Price ($)]])/PricingDataTable[[#This Row],[Current Price ($)]]</f>
        <v>-3.0438247348807167E-3</v>
      </c>
      <c r="M2138" t="str">
        <f t="shared" si="66"/>
        <v>STALE</v>
      </c>
      <c r="N2138" s="10" t="str">
        <f t="shared" si="67"/>
        <v>LOW</v>
      </c>
    </row>
    <row r="2139" spans="1:14">
      <c r="A2139" s="4" t="s">
        <v>4294</v>
      </c>
      <c r="B2139" s="4" t="s">
        <v>4295</v>
      </c>
      <c r="C2139" s="4" t="s">
        <v>19</v>
      </c>
      <c r="D2139" s="4" t="s">
        <v>36</v>
      </c>
      <c r="E2139" s="5">
        <v>178.58930000000001</v>
      </c>
      <c r="F2139" s="5">
        <v>179.9864</v>
      </c>
      <c r="G2139" s="5">
        <v>179.59780000000001</v>
      </c>
      <c r="H2139" s="4">
        <v>0</v>
      </c>
      <c r="I2139" s="6">
        <v>4598917</v>
      </c>
      <c r="J2139" s="7">
        <v>697.6</v>
      </c>
      <c r="K2139" s="9">
        <f>(PricingDataTable[[#This Row],[Current Price ($)]]-PricingDataTable[[#This Row],[Prior Price ($)]])/PricingDataTable[[#This Row],[Prior Price ($)]]</f>
        <v>7.822977076454159E-3</v>
      </c>
      <c r="L2139" s="9">
        <f>(PricingDataTable[[#This Row],[Vendor Price ($)]]-PricingDataTable[[#This Row],[Current Price ($)]])/PricingDataTable[[#This Row],[Current Price ($)]]</f>
        <v>-2.1590520172635082E-3</v>
      </c>
      <c r="M2139" t="str">
        <f t="shared" si="66"/>
        <v>PASS</v>
      </c>
      <c r="N2139" s="10" t="str">
        <f t="shared" si="67"/>
        <v>NONE</v>
      </c>
    </row>
    <row r="2140" spans="1:14">
      <c r="A2140" s="4" t="s">
        <v>4296</v>
      </c>
      <c r="B2140" s="4" t="s">
        <v>4297</v>
      </c>
      <c r="C2140" s="4" t="s">
        <v>16</v>
      </c>
      <c r="D2140" s="4" t="s">
        <v>13</v>
      </c>
      <c r="E2140" s="5">
        <v>80.848399999999998</v>
      </c>
      <c r="F2140" s="5">
        <v>81.124300000000005</v>
      </c>
      <c r="G2140" s="5">
        <v>80.973799999999997</v>
      </c>
      <c r="H2140" s="4">
        <v>0</v>
      </c>
      <c r="I2140" s="6">
        <v>3774630</v>
      </c>
      <c r="J2140" s="7">
        <v>442</v>
      </c>
      <c r="K2140" s="9">
        <f>(PricingDataTable[[#This Row],[Current Price ($)]]-PricingDataTable[[#This Row],[Prior Price ($)]])/PricingDataTable[[#This Row],[Prior Price ($)]]</f>
        <v>3.4125598032862386E-3</v>
      </c>
      <c r="L2140" s="9">
        <f>(PricingDataTable[[#This Row],[Vendor Price ($)]]-PricingDataTable[[#This Row],[Current Price ($)]])/PricingDataTable[[#This Row],[Current Price ($)]]</f>
        <v>-1.8551777950627378E-3</v>
      </c>
      <c r="M2140" t="str">
        <f t="shared" si="66"/>
        <v>PASS</v>
      </c>
      <c r="N2140" s="10" t="str">
        <f t="shared" si="67"/>
        <v>NONE</v>
      </c>
    </row>
    <row r="2141" spans="1:14">
      <c r="A2141" s="4" t="s">
        <v>4298</v>
      </c>
      <c r="B2141" s="4" t="s">
        <v>4299</v>
      </c>
      <c r="C2141" s="4" t="s">
        <v>19</v>
      </c>
      <c r="D2141" s="4" t="s">
        <v>13</v>
      </c>
      <c r="E2141" s="5">
        <v>138.29230000000001</v>
      </c>
      <c r="F2141" s="5">
        <v>136.39599999999999</v>
      </c>
      <c r="G2141" s="5">
        <v>136.01830000000001</v>
      </c>
      <c r="H2141" s="4">
        <v>0</v>
      </c>
      <c r="I2141" s="6">
        <v>4150319</v>
      </c>
      <c r="J2141" s="7">
        <v>306.7</v>
      </c>
      <c r="K2141" s="9">
        <f>(PricingDataTable[[#This Row],[Current Price ($)]]-PricingDataTable[[#This Row],[Prior Price ($)]])/PricingDataTable[[#This Row],[Prior Price ($)]]</f>
        <v>-1.371226019091464E-2</v>
      </c>
      <c r="L2141" s="9">
        <f>(PricingDataTable[[#This Row],[Vendor Price ($)]]-PricingDataTable[[#This Row],[Current Price ($)]])/PricingDataTable[[#This Row],[Current Price ($)]]</f>
        <v>-2.7691427901109711E-3</v>
      </c>
      <c r="M2141" t="str">
        <f t="shared" si="66"/>
        <v>PASS</v>
      </c>
      <c r="N2141" s="10" t="str">
        <f t="shared" si="67"/>
        <v>NONE</v>
      </c>
    </row>
    <row r="2142" spans="1:14">
      <c r="A2142" s="4" t="s">
        <v>4300</v>
      </c>
      <c r="B2142" s="4" t="s">
        <v>4301</v>
      </c>
      <c r="C2142" s="4" t="s">
        <v>12</v>
      </c>
      <c r="D2142" s="4" t="s">
        <v>237</v>
      </c>
      <c r="E2142" s="5">
        <v>76.270899999999997</v>
      </c>
      <c r="F2142" s="5">
        <v>75.1995</v>
      </c>
      <c r="G2142" s="5">
        <v>75.600999999999999</v>
      </c>
      <c r="H2142" s="4">
        <v>0</v>
      </c>
      <c r="I2142" s="6">
        <v>963449</v>
      </c>
      <c r="J2142" s="7">
        <v>270.47000000000003</v>
      </c>
      <c r="K2142" s="9">
        <f>(PricingDataTable[[#This Row],[Current Price ($)]]-PricingDataTable[[#This Row],[Prior Price ($)]])/PricingDataTable[[#This Row],[Prior Price ($)]]</f>
        <v>-1.4047297199849445E-2</v>
      </c>
      <c r="L2142" s="9">
        <f>(PricingDataTable[[#This Row],[Vendor Price ($)]]-PricingDataTable[[#This Row],[Current Price ($)]])/PricingDataTable[[#This Row],[Current Price ($)]]</f>
        <v>5.3391312442236799E-3</v>
      </c>
      <c r="M2142" t="str">
        <f t="shared" si="66"/>
        <v>PASS</v>
      </c>
      <c r="N2142" s="10" t="str">
        <f t="shared" si="67"/>
        <v>NONE</v>
      </c>
    </row>
    <row r="2143" spans="1:14">
      <c r="A2143" s="4" t="s">
        <v>4302</v>
      </c>
      <c r="B2143" s="4" t="s">
        <v>4303</v>
      </c>
      <c r="C2143" s="4" t="s">
        <v>35</v>
      </c>
      <c r="D2143" s="4" t="s">
        <v>13</v>
      </c>
      <c r="E2143" s="5">
        <v>113.1193</v>
      </c>
      <c r="F2143" s="5">
        <v>115.0598</v>
      </c>
      <c r="G2143" s="5">
        <v>114.87179999999999</v>
      </c>
      <c r="H2143" s="4">
        <v>2</v>
      </c>
      <c r="I2143" s="6">
        <v>3802138</v>
      </c>
      <c r="J2143" s="7">
        <v>804.82</v>
      </c>
      <c r="K2143" s="9">
        <f>(PricingDataTable[[#This Row],[Current Price ($)]]-PricingDataTable[[#This Row],[Prior Price ($)]])/PricingDataTable[[#This Row],[Prior Price ($)]]</f>
        <v>1.7154455517316675E-2</v>
      </c>
      <c r="L2143" s="9">
        <f>(PricingDataTable[[#This Row],[Vendor Price ($)]]-PricingDataTable[[#This Row],[Current Price ($)]])/PricingDataTable[[#This Row],[Current Price ($)]]</f>
        <v>-1.6339329635546246E-3</v>
      </c>
      <c r="M2143" t="str">
        <f t="shared" si="66"/>
        <v>PASS</v>
      </c>
      <c r="N2143" s="10" t="str">
        <f t="shared" si="67"/>
        <v>NONE</v>
      </c>
    </row>
    <row r="2144" spans="1:14">
      <c r="A2144" s="4" t="s">
        <v>4304</v>
      </c>
      <c r="B2144" s="4" t="s">
        <v>4305</v>
      </c>
      <c r="C2144" s="4" t="s">
        <v>19</v>
      </c>
      <c r="D2144" s="4" t="s">
        <v>32</v>
      </c>
      <c r="E2144" s="5">
        <v>142.87029999999999</v>
      </c>
      <c r="F2144" s="5">
        <v>141.5188</v>
      </c>
      <c r="G2144" s="5">
        <v>142.315</v>
      </c>
      <c r="H2144" s="4">
        <v>0</v>
      </c>
      <c r="I2144" s="6">
        <v>2478963</v>
      </c>
      <c r="J2144" s="7">
        <v>639.54</v>
      </c>
      <c r="K2144" s="9">
        <f>(PricingDataTable[[#This Row],[Current Price ($)]]-PricingDataTable[[#This Row],[Prior Price ($)]])/PricingDataTable[[#This Row],[Prior Price ($)]]</f>
        <v>-9.4596287681903615E-3</v>
      </c>
      <c r="L2144" s="9">
        <f>(PricingDataTable[[#This Row],[Vendor Price ($)]]-PricingDataTable[[#This Row],[Current Price ($)]])/PricingDataTable[[#This Row],[Current Price ($)]]</f>
        <v>5.6261076266898736E-3</v>
      </c>
      <c r="M2144" t="str">
        <f t="shared" si="66"/>
        <v>PASS</v>
      </c>
      <c r="N2144" s="10" t="str">
        <f t="shared" si="67"/>
        <v>NONE</v>
      </c>
    </row>
    <row r="2145" spans="1:14">
      <c r="A2145" s="4" t="s">
        <v>4306</v>
      </c>
      <c r="B2145" s="4" t="s">
        <v>4307</v>
      </c>
      <c r="C2145" s="4" t="s">
        <v>19</v>
      </c>
      <c r="D2145" s="4" t="s">
        <v>13</v>
      </c>
      <c r="E2145" s="5">
        <v>278.00630000000001</v>
      </c>
      <c r="F2145" s="5">
        <v>276.07859999999999</v>
      </c>
      <c r="G2145" s="5">
        <v>275.27159999999998</v>
      </c>
      <c r="H2145" s="4">
        <v>0</v>
      </c>
      <c r="I2145" s="6">
        <v>4588941</v>
      </c>
      <c r="J2145" s="7">
        <v>127.52</v>
      </c>
      <c r="K2145" s="9">
        <f>(PricingDataTable[[#This Row],[Current Price ($)]]-PricingDataTable[[#This Row],[Prior Price ($)]])/PricingDataTable[[#This Row],[Prior Price ($)]]</f>
        <v>-6.9340155241086826E-3</v>
      </c>
      <c r="L2145" s="9">
        <f>(PricingDataTable[[#This Row],[Vendor Price ($)]]-PricingDataTable[[#This Row],[Current Price ($)]])/PricingDataTable[[#This Row],[Current Price ($)]]</f>
        <v>-2.9230806009593515E-3</v>
      </c>
      <c r="M2145" t="str">
        <f t="shared" si="66"/>
        <v>PASS</v>
      </c>
      <c r="N2145" s="10" t="str">
        <f t="shared" si="67"/>
        <v>NONE</v>
      </c>
    </row>
    <row r="2146" spans="1:14">
      <c r="A2146" s="4" t="s">
        <v>4308</v>
      </c>
      <c r="B2146" s="4" t="s">
        <v>4309</v>
      </c>
      <c r="C2146" s="4" t="s">
        <v>39</v>
      </c>
      <c r="D2146" s="4" t="s">
        <v>13</v>
      </c>
      <c r="E2146" s="5">
        <v>301.51909999999998</v>
      </c>
      <c r="F2146" s="5">
        <v>305.51179999999999</v>
      </c>
      <c r="G2146" s="5">
        <v>307.41629999999998</v>
      </c>
      <c r="H2146" s="4">
        <v>0</v>
      </c>
      <c r="I2146" s="6">
        <v>1451159</v>
      </c>
      <c r="J2146" s="7">
        <v>524.55999999999995</v>
      </c>
      <c r="K2146" s="9">
        <f>(PricingDataTable[[#This Row],[Current Price ($)]]-PricingDataTable[[#This Row],[Prior Price ($)]])/PricingDataTable[[#This Row],[Prior Price ($)]]</f>
        <v>1.324194719339509E-2</v>
      </c>
      <c r="L2146" s="9">
        <f>(PricingDataTable[[#This Row],[Vendor Price ($)]]-PricingDataTable[[#This Row],[Current Price ($)]])/PricingDataTable[[#This Row],[Current Price ($)]]</f>
        <v>6.2338017713226938E-3</v>
      </c>
      <c r="M2146" t="str">
        <f t="shared" si="66"/>
        <v>PASS</v>
      </c>
      <c r="N2146" s="10" t="str">
        <f t="shared" si="67"/>
        <v>NONE</v>
      </c>
    </row>
    <row r="2147" spans="1:14">
      <c r="A2147" s="4" t="s">
        <v>4310</v>
      </c>
      <c r="B2147" s="4" t="s">
        <v>4311</v>
      </c>
      <c r="C2147" s="4" t="s">
        <v>19</v>
      </c>
      <c r="D2147" s="4" t="s">
        <v>64</v>
      </c>
      <c r="E2147" s="5">
        <v>276.8075</v>
      </c>
      <c r="F2147" s="5">
        <v>275.52390000000003</v>
      </c>
      <c r="G2147" s="5">
        <v>275.35890000000001</v>
      </c>
      <c r="H2147" s="4">
        <v>0</v>
      </c>
      <c r="I2147" s="6">
        <v>1383157</v>
      </c>
      <c r="J2147" s="7">
        <v>318.35000000000002</v>
      </c>
      <c r="K2147" s="9">
        <f>(PricingDataTable[[#This Row],[Current Price ($)]]-PricingDataTable[[#This Row],[Prior Price ($)]])/PricingDataTable[[#This Row],[Prior Price ($)]]</f>
        <v>-4.6371575914669165E-3</v>
      </c>
      <c r="L2147" s="9">
        <f>(PricingDataTable[[#This Row],[Vendor Price ($)]]-PricingDataTable[[#This Row],[Current Price ($)]])/PricingDataTable[[#This Row],[Current Price ($)]]</f>
        <v>-5.9885911893676179E-4</v>
      </c>
      <c r="M2147" t="str">
        <f t="shared" si="66"/>
        <v>PASS</v>
      </c>
      <c r="N2147" s="10" t="str">
        <f t="shared" si="67"/>
        <v>NONE</v>
      </c>
    </row>
    <row r="2148" spans="1:14">
      <c r="A2148" s="4" t="s">
        <v>4312</v>
      </c>
      <c r="B2148" s="4" t="s">
        <v>4313</v>
      </c>
      <c r="C2148" s="4" t="s">
        <v>12</v>
      </c>
      <c r="D2148" s="4" t="s">
        <v>13</v>
      </c>
      <c r="E2148" s="5">
        <v>76.345500000000001</v>
      </c>
      <c r="F2148" s="5">
        <v>77.277100000000004</v>
      </c>
      <c r="G2148" s="5">
        <v>77.1571</v>
      </c>
      <c r="H2148" s="4">
        <v>1</v>
      </c>
      <c r="I2148" s="6">
        <v>2726605</v>
      </c>
      <c r="J2148" s="7">
        <v>272.38</v>
      </c>
      <c r="K2148" s="9">
        <f>(PricingDataTable[[#This Row],[Current Price ($)]]-PricingDataTable[[#This Row],[Prior Price ($)]])/PricingDataTable[[#This Row],[Prior Price ($)]]</f>
        <v>1.2202421884721471E-2</v>
      </c>
      <c r="L2148" s="9">
        <f>(PricingDataTable[[#This Row],[Vendor Price ($)]]-PricingDataTable[[#This Row],[Current Price ($)]])/PricingDataTable[[#This Row],[Current Price ($)]]</f>
        <v>-1.552853303242546E-3</v>
      </c>
      <c r="M2148" t="str">
        <f t="shared" si="66"/>
        <v>PASS</v>
      </c>
      <c r="N2148" s="10" t="str">
        <f t="shared" si="67"/>
        <v>NONE</v>
      </c>
    </row>
    <row r="2149" spans="1:14">
      <c r="A2149" s="4" t="s">
        <v>4314</v>
      </c>
      <c r="B2149" s="4" t="s">
        <v>4315</v>
      </c>
      <c r="C2149" s="4" t="s">
        <v>16</v>
      </c>
      <c r="D2149" s="4" t="s">
        <v>13</v>
      </c>
      <c r="E2149" s="5">
        <v>122.7406</v>
      </c>
      <c r="F2149" s="5">
        <v>122.9376</v>
      </c>
      <c r="G2149" s="5">
        <v>122.6934</v>
      </c>
      <c r="H2149" s="4">
        <v>4</v>
      </c>
      <c r="I2149" s="6">
        <v>3078694</v>
      </c>
      <c r="J2149" s="7">
        <v>425.8</v>
      </c>
      <c r="K2149" s="9">
        <f>(PricingDataTable[[#This Row],[Current Price ($)]]-PricingDataTable[[#This Row],[Prior Price ($)]])/PricingDataTable[[#This Row],[Prior Price ($)]]</f>
        <v>1.6050108928912089E-3</v>
      </c>
      <c r="L2149" s="9">
        <f>(PricingDataTable[[#This Row],[Vendor Price ($)]]-PricingDataTable[[#This Row],[Current Price ($)]])/PricingDataTable[[#This Row],[Current Price ($)]]</f>
        <v>-1.986373574886824E-3</v>
      </c>
      <c r="M2149" t="str">
        <f t="shared" si="66"/>
        <v>STALE</v>
      </c>
      <c r="N2149" s="10" t="str">
        <f t="shared" si="67"/>
        <v>LOW</v>
      </c>
    </row>
    <row r="2150" spans="1:14">
      <c r="A2150" s="4" t="s">
        <v>4316</v>
      </c>
      <c r="B2150" s="4" t="s">
        <v>4317</v>
      </c>
      <c r="C2150" s="4" t="s">
        <v>12</v>
      </c>
      <c r="D2150" s="4" t="s">
        <v>13</v>
      </c>
      <c r="E2150" s="5">
        <v>96.6203</v>
      </c>
      <c r="F2150" s="5">
        <v>97.199600000000004</v>
      </c>
      <c r="G2150" s="5">
        <v>97.489599999999996</v>
      </c>
      <c r="H2150" s="4">
        <v>0</v>
      </c>
      <c r="I2150" s="6">
        <v>978249</v>
      </c>
      <c r="J2150" s="7">
        <v>135.83000000000001</v>
      </c>
      <c r="K2150" s="9">
        <f>(PricingDataTable[[#This Row],[Current Price ($)]]-PricingDataTable[[#This Row],[Prior Price ($)]])/PricingDataTable[[#This Row],[Prior Price ($)]]</f>
        <v>5.9956344577692623E-3</v>
      </c>
      <c r="L2150" s="9">
        <f>(PricingDataTable[[#This Row],[Vendor Price ($)]]-PricingDataTable[[#This Row],[Current Price ($)]])/PricingDataTable[[#This Row],[Current Price ($)]]</f>
        <v>2.9835513726393114E-3</v>
      </c>
      <c r="M2150" t="str">
        <f t="shared" si="66"/>
        <v>PASS</v>
      </c>
      <c r="N2150" s="10" t="str">
        <f t="shared" si="67"/>
        <v>NONE</v>
      </c>
    </row>
    <row r="2151" spans="1:14">
      <c r="A2151" s="4" t="s">
        <v>4318</v>
      </c>
      <c r="B2151" s="4" t="s">
        <v>4319</v>
      </c>
      <c r="C2151" s="4" t="s">
        <v>19</v>
      </c>
      <c r="D2151" s="4" t="s">
        <v>13</v>
      </c>
      <c r="E2151" s="5">
        <v>77.705200000000005</v>
      </c>
      <c r="F2151" s="5">
        <v>78.279499999999999</v>
      </c>
      <c r="G2151" s="5">
        <v>78.363299999999995</v>
      </c>
      <c r="H2151" s="4">
        <v>0</v>
      </c>
      <c r="I2151" s="6">
        <v>426632</v>
      </c>
      <c r="J2151" s="7">
        <v>500.54</v>
      </c>
      <c r="K2151" s="9">
        <f>(PricingDataTable[[#This Row],[Current Price ($)]]-PricingDataTable[[#This Row],[Prior Price ($)]])/PricingDataTable[[#This Row],[Prior Price ($)]]</f>
        <v>7.3907537719482578E-3</v>
      </c>
      <c r="L2151" s="9">
        <f>(PricingDataTable[[#This Row],[Vendor Price ($)]]-PricingDataTable[[#This Row],[Current Price ($)]])/PricingDataTable[[#This Row],[Current Price ($)]]</f>
        <v>1.0705229338459821E-3</v>
      </c>
      <c r="M2151" t="str">
        <f t="shared" si="66"/>
        <v>PASS</v>
      </c>
      <c r="N2151" s="10" t="str">
        <f t="shared" si="67"/>
        <v>NONE</v>
      </c>
    </row>
    <row r="2152" spans="1:14">
      <c r="A2152" s="4" t="s">
        <v>4320</v>
      </c>
      <c r="B2152" s="4" t="s">
        <v>4321</v>
      </c>
      <c r="C2152" s="4" t="s">
        <v>12</v>
      </c>
      <c r="D2152" s="4" t="s">
        <v>13</v>
      </c>
      <c r="E2152" s="5">
        <v>108.87139999999999</v>
      </c>
      <c r="F2152" s="5">
        <v>108.4748</v>
      </c>
      <c r="G2152" s="5">
        <v>108.7662</v>
      </c>
      <c r="H2152" s="4">
        <v>0</v>
      </c>
      <c r="I2152" s="6">
        <v>4305504</v>
      </c>
      <c r="J2152" s="7">
        <v>138.84</v>
      </c>
      <c r="K2152" s="9">
        <f>(PricingDataTable[[#This Row],[Current Price ($)]]-PricingDataTable[[#This Row],[Prior Price ($)]])/PricingDataTable[[#This Row],[Prior Price ($)]]</f>
        <v>-3.6428299810601526E-3</v>
      </c>
      <c r="L2152" s="9">
        <f>(PricingDataTable[[#This Row],[Vendor Price ($)]]-PricingDataTable[[#This Row],[Current Price ($)]])/PricingDataTable[[#This Row],[Current Price ($)]]</f>
        <v>2.686338209427405E-3</v>
      </c>
      <c r="M2152" t="str">
        <f t="shared" si="66"/>
        <v>PASS</v>
      </c>
      <c r="N2152" s="10" t="str">
        <f t="shared" si="67"/>
        <v>NONE</v>
      </c>
    </row>
    <row r="2153" spans="1:14">
      <c r="A2153" s="4" t="s">
        <v>4322</v>
      </c>
      <c r="B2153" s="4" t="s">
        <v>4323</v>
      </c>
      <c r="C2153" s="4" t="s">
        <v>19</v>
      </c>
      <c r="D2153" s="4" t="s">
        <v>13</v>
      </c>
      <c r="E2153" s="5">
        <v>200.06309999999999</v>
      </c>
      <c r="F2153" s="5">
        <v>200.7277</v>
      </c>
      <c r="G2153" s="5">
        <v>200.35310000000001</v>
      </c>
      <c r="H2153" s="4">
        <v>1</v>
      </c>
      <c r="I2153" s="6">
        <v>4103499</v>
      </c>
      <c r="J2153" s="7">
        <v>48.64</v>
      </c>
      <c r="K2153" s="9">
        <f>(PricingDataTable[[#This Row],[Current Price ($)]]-PricingDataTable[[#This Row],[Prior Price ($)]])/PricingDataTable[[#This Row],[Prior Price ($)]]</f>
        <v>3.321951924167961E-3</v>
      </c>
      <c r="L2153" s="9">
        <f>(PricingDataTable[[#This Row],[Vendor Price ($)]]-PricingDataTable[[#This Row],[Current Price ($)]])/PricingDataTable[[#This Row],[Current Price ($)]]</f>
        <v>-1.8662097956584304E-3</v>
      </c>
      <c r="M2153" t="str">
        <f t="shared" si="66"/>
        <v>PASS</v>
      </c>
      <c r="N2153" s="10" t="str">
        <f t="shared" si="67"/>
        <v>NONE</v>
      </c>
    </row>
    <row r="2154" spans="1:14">
      <c r="A2154" s="4" t="s">
        <v>4324</v>
      </c>
      <c r="B2154" s="4" t="s">
        <v>4325</v>
      </c>
      <c r="C2154" s="4" t="s">
        <v>35</v>
      </c>
      <c r="D2154" s="4" t="s">
        <v>13</v>
      </c>
      <c r="E2154" s="5">
        <v>154.7698</v>
      </c>
      <c r="F2154" s="5">
        <v>155.24209999999999</v>
      </c>
      <c r="G2154" s="5">
        <v>155.8169</v>
      </c>
      <c r="H2154" s="4">
        <v>2</v>
      </c>
      <c r="I2154" s="6">
        <v>301016</v>
      </c>
      <c r="J2154" s="7">
        <v>289.08999999999997</v>
      </c>
      <c r="K2154" s="9">
        <f>(PricingDataTable[[#This Row],[Current Price ($)]]-PricingDataTable[[#This Row],[Prior Price ($)]])/PricingDataTable[[#This Row],[Prior Price ($)]]</f>
        <v>3.0516289353607097E-3</v>
      </c>
      <c r="L2154" s="9">
        <f>(PricingDataTable[[#This Row],[Vendor Price ($)]]-PricingDataTable[[#This Row],[Current Price ($)]])/PricingDataTable[[#This Row],[Current Price ($)]]</f>
        <v>3.7026038684094742E-3</v>
      </c>
      <c r="M2154" t="str">
        <f t="shared" si="66"/>
        <v>PASS</v>
      </c>
      <c r="N2154" s="10" t="str">
        <f t="shared" si="67"/>
        <v>NONE</v>
      </c>
    </row>
    <row r="2155" spans="1:14">
      <c r="A2155" s="4" t="s">
        <v>4326</v>
      </c>
      <c r="B2155" s="4" t="s">
        <v>4327</v>
      </c>
      <c r="C2155" s="4" t="s">
        <v>19</v>
      </c>
      <c r="D2155" s="4" t="s">
        <v>13</v>
      </c>
      <c r="E2155" s="5">
        <v>62.339799999999997</v>
      </c>
      <c r="F2155" s="5">
        <v>62.524299999999997</v>
      </c>
      <c r="G2155" s="5">
        <v>61.977699999999999</v>
      </c>
      <c r="H2155" s="4">
        <v>0</v>
      </c>
      <c r="I2155" s="6">
        <v>643677</v>
      </c>
      <c r="J2155" s="7">
        <v>230.64</v>
      </c>
      <c r="K2155" s="9">
        <f>(PricingDataTable[[#This Row],[Current Price ($)]]-PricingDataTable[[#This Row],[Prior Price ($)]])/PricingDataTable[[#This Row],[Prior Price ($)]]</f>
        <v>2.9595860108630424E-3</v>
      </c>
      <c r="L2155" s="9">
        <f>(PricingDataTable[[#This Row],[Vendor Price ($)]]-PricingDataTable[[#This Row],[Current Price ($)]])/PricingDataTable[[#This Row],[Current Price ($)]]</f>
        <v>-8.7422010322386334E-3</v>
      </c>
      <c r="M2155" t="str">
        <f t="shared" si="66"/>
        <v>PASS</v>
      </c>
      <c r="N2155" s="10" t="str">
        <f t="shared" si="67"/>
        <v>NONE</v>
      </c>
    </row>
    <row r="2156" spans="1:14">
      <c r="A2156" s="4" t="s">
        <v>4328</v>
      </c>
      <c r="B2156" s="4" t="s">
        <v>4329</v>
      </c>
      <c r="C2156" s="4" t="s">
        <v>39</v>
      </c>
      <c r="D2156" s="4" t="s">
        <v>13</v>
      </c>
      <c r="E2156" s="5">
        <v>290.6207</v>
      </c>
      <c r="F2156" s="5">
        <v>287.40350000000001</v>
      </c>
      <c r="G2156" s="5">
        <v>287.42380000000003</v>
      </c>
      <c r="H2156" s="4">
        <v>2</v>
      </c>
      <c r="I2156" s="6">
        <v>3166225</v>
      </c>
      <c r="J2156" s="7">
        <v>680.36</v>
      </c>
      <c r="K2156" s="9">
        <f>(PricingDataTable[[#This Row],[Current Price ($)]]-PricingDataTable[[#This Row],[Prior Price ($)]])/PricingDataTable[[#This Row],[Prior Price ($)]]</f>
        <v>-1.1070099273726859E-2</v>
      </c>
      <c r="L2156" s="9">
        <f>(PricingDataTable[[#This Row],[Vendor Price ($)]]-PricingDataTable[[#This Row],[Current Price ($)]])/PricingDataTable[[#This Row],[Current Price ($)]]</f>
        <v>7.0632403572051805E-5</v>
      </c>
      <c r="M2156" t="str">
        <f t="shared" si="66"/>
        <v>PASS</v>
      </c>
      <c r="N2156" s="10" t="str">
        <f t="shared" si="67"/>
        <v>NONE</v>
      </c>
    </row>
    <row r="2157" spans="1:14">
      <c r="A2157" s="4" t="s">
        <v>4330</v>
      </c>
      <c r="B2157" s="4" t="s">
        <v>4331</v>
      </c>
      <c r="C2157" s="4" t="s">
        <v>16</v>
      </c>
      <c r="D2157" s="4" t="s">
        <v>64</v>
      </c>
      <c r="E2157" s="5">
        <v>108.1069</v>
      </c>
      <c r="F2157" s="5">
        <v>109.5937</v>
      </c>
      <c r="G2157" s="5">
        <v>109.4962</v>
      </c>
      <c r="H2157" s="4">
        <v>2</v>
      </c>
      <c r="I2157" s="6">
        <v>2647247</v>
      </c>
      <c r="J2157" s="7">
        <v>693.53</v>
      </c>
      <c r="K2157" s="9">
        <f>(PricingDataTable[[#This Row],[Current Price ($)]]-PricingDataTable[[#This Row],[Prior Price ($)]])/PricingDataTable[[#This Row],[Prior Price ($)]]</f>
        <v>1.3753053690375012E-2</v>
      </c>
      <c r="L2157" s="9">
        <f>(PricingDataTable[[#This Row],[Vendor Price ($)]]-PricingDataTable[[#This Row],[Current Price ($)]])/PricingDataTable[[#This Row],[Current Price ($)]]</f>
        <v>-8.8964967876800031E-4</v>
      </c>
      <c r="M2157" t="str">
        <f t="shared" si="66"/>
        <v>PASS</v>
      </c>
      <c r="N2157" s="10" t="str">
        <f t="shared" si="67"/>
        <v>NONE</v>
      </c>
    </row>
    <row r="2158" spans="1:14">
      <c r="A2158" s="4" t="s">
        <v>4332</v>
      </c>
      <c r="B2158" s="4" t="s">
        <v>4333</v>
      </c>
      <c r="C2158" s="4" t="s">
        <v>35</v>
      </c>
      <c r="D2158" s="4" t="s">
        <v>237</v>
      </c>
      <c r="E2158" s="5">
        <v>171.83090000000001</v>
      </c>
      <c r="F2158" s="5">
        <v>171.99469999999999</v>
      </c>
      <c r="G2158" s="5">
        <v>171.32249999999999</v>
      </c>
      <c r="H2158" s="4">
        <v>0</v>
      </c>
      <c r="I2158" s="6">
        <v>115624</v>
      </c>
      <c r="J2158" s="7">
        <v>310.95999999999998</v>
      </c>
      <c r="K2158" s="9">
        <f>(PricingDataTable[[#This Row],[Current Price ($)]]-PricingDataTable[[#This Row],[Prior Price ($)]])/PricingDataTable[[#This Row],[Prior Price ($)]]</f>
        <v>9.5326277171324026E-4</v>
      </c>
      <c r="L2158" s="9">
        <f>(PricingDataTable[[#This Row],[Vendor Price ($)]]-PricingDataTable[[#This Row],[Current Price ($)]])/PricingDataTable[[#This Row],[Current Price ($)]]</f>
        <v>-3.908259963824488E-3</v>
      </c>
      <c r="M2158" t="str">
        <f t="shared" si="66"/>
        <v>PASS</v>
      </c>
      <c r="N2158" s="10" t="str">
        <f t="shared" si="67"/>
        <v>NONE</v>
      </c>
    </row>
    <row r="2159" spans="1:14">
      <c r="A2159" s="4" t="s">
        <v>4334</v>
      </c>
      <c r="B2159" s="4" t="s">
        <v>4335</v>
      </c>
      <c r="C2159" s="4" t="s">
        <v>16</v>
      </c>
      <c r="D2159" s="4" t="s">
        <v>13</v>
      </c>
      <c r="E2159" s="5">
        <v>116.86490000000001</v>
      </c>
      <c r="F2159" s="5">
        <v>115.1618</v>
      </c>
      <c r="G2159" s="5">
        <v>115.47929999999999</v>
      </c>
      <c r="H2159" s="4">
        <v>5</v>
      </c>
      <c r="I2159" s="6">
        <v>498152</v>
      </c>
      <c r="J2159" s="7">
        <v>26.54</v>
      </c>
      <c r="K2159" s="9">
        <f>(PricingDataTable[[#This Row],[Current Price ($)]]-PricingDataTable[[#This Row],[Prior Price ($)]])/PricingDataTable[[#This Row],[Prior Price ($)]]</f>
        <v>-1.4573237986769391E-2</v>
      </c>
      <c r="L2159" s="9">
        <f>(PricingDataTable[[#This Row],[Vendor Price ($)]]-PricingDataTable[[#This Row],[Current Price ($)]])/PricingDataTable[[#This Row],[Current Price ($)]]</f>
        <v>2.7569905993132743E-3</v>
      </c>
      <c r="M2159" t="str">
        <f t="shared" si="66"/>
        <v>STALE</v>
      </c>
      <c r="N2159" s="10" t="str">
        <f t="shared" si="67"/>
        <v>MEDIUM</v>
      </c>
    </row>
    <row r="2160" spans="1:14">
      <c r="A2160" s="4" t="s">
        <v>4336</v>
      </c>
      <c r="B2160" s="4" t="s">
        <v>4337</v>
      </c>
      <c r="C2160" s="4" t="s">
        <v>16</v>
      </c>
      <c r="D2160" s="4" t="s">
        <v>13</v>
      </c>
      <c r="E2160" s="5">
        <v>76.321399999999997</v>
      </c>
      <c r="F2160" s="5">
        <v>74.297899999999998</v>
      </c>
      <c r="G2160" s="5">
        <v>74.311899999999994</v>
      </c>
      <c r="H2160" s="4">
        <v>0</v>
      </c>
      <c r="I2160" s="6">
        <v>1808682</v>
      </c>
      <c r="J2160" s="7">
        <v>759.97</v>
      </c>
      <c r="K2160" s="9">
        <f>(PricingDataTable[[#This Row],[Current Price ($)]]-PricingDataTable[[#This Row],[Prior Price ($)]])/PricingDataTable[[#This Row],[Prior Price ($)]]</f>
        <v>-2.6512878432523493E-2</v>
      </c>
      <c r="L2160" s="9">
        <f>(PricingDataTable[[#This Row],[Vendor Price ($)]]-PricingDataTable[[#This Row],[Current Price ($)]])/PricingDataTable[[#This Row],[Current Price ($)]]</f>
        <v>1.8843062859106105E-4</v>
      </c>
      <c r="M2160" t="str">
        <f t="shared" si="66"/>
        <v>PASS</v>
      </c>
      <c r="N2160" s="10" t="str">
        <f t="shared" si="67"/>
        <v>NONE</v>
      </c>
    </row>
    <row r="2161" spans="1:14">
      <c r="A2161" s="4" t="s">
        <v>4338</v>
      </c>
      <c r="B2161" s="4" t="s">
        <v>4339</v>
      </c>
      <c r="C2161" s="4" t="s">
        <v>35</v>
      </c>
      <c r="D2161" s="4" t="s">
        <v>32</v>
      </c>
      <c r="E2161" s="5">
        <v>54.181199999999997</v>
      </c>
      <c r="F2161" s="5">
        <v>54.7791</v>
      </c>
      <c r="G2161" s="5">
        <v>54.640099999999997</v>
      </c>
      <c r="H2161" s="4">
        <v>2</v>
      </c>
      <c r="I2161" s="6">
        <v>44655</v>
      </c>
      <c r="J2161" s="7">
        <v>756.69</v>
      </c>
      <c r="K2161" s="9">
        <f>(PricingDataTable[[#This Row],[Current Price ($)]]-PricingDataTable[[#This Row],[Prior Price ($)]])/PricingDataTable[[#This Row],[Prior Price ($)]]</f>
        <v>1.1035193018980805E-2</v>
      </c>
      <c r="L2161" s="9">
        <f>(PricingDataTable[[#This Row],[Vendor Price ($)]]-PricingDataTable[[#This Row],[Current Price ($)]])/PricingDataTable[[#This Row],[Current Price ($)]]</f>
        <v>-2.537464105836038E-3</v>
      </c>
      <c r="M2161" t="str">
        <f t="shared" si="66"/>
        <v>PASS</v>
      </c>
      <c r="N2161" s="10" t="str">
        <f t="shared" si="67"/>
        <v>NONE</v>
      </c>
    </row>
    <row r="2162" spans="1:14">
      <c r="A2162" s="4" t="s">
        <v>4340</v>
      </c>
      <c r="B2162" s="4" t="s">
        <v>4341</v>
      </c>
      <c r="C2162" s="4" t="s">
        <v>19</v>
      </c>
      <c r="D2162" s="4" t="s">
        <v>64</v>
      </c>
      <c r="E2162" s="5">
        <v>119.15770000000001</v>
      </c>
      <c r="F2162" s="5">
        <v>117.0369</v>
      </c>
      <c r="G2162" s="5">
        <v>116.8972</v>
      </c>
      <c r="H2162" s="4">
        <v>0</v>
      </c>
      <c r="I2162" s="6">
        <v>945303</v>
      </c>
      <c r="J2162" s="7">
        <v>190.57</v>
      </c>
      <c r="K2162" s="9">
        <f>(PricingDataTable[[#This Row],[Current Price ($)]]-PricingDataTable[[#This Row],[Prior Price ($)]])/PricingDataTable[[#This Row],[Prior Price ($)]]</f>
        <v>-1.7798262302813856E-2</v>
      </c>
      <c r="L2162" s="9">
        <f>(PricingDataTable[[#This Row],[Vendor Price ($)]]-PricingDataTable[[#This Row],[Current Price ($)]])/PricingDataTable[[#This Row],[Current Price ($)]]</f>
        <v>-1.1936406381235732E-3</v>
      </c>
      <c r="M2162" t="str">
        <f t="shared" si="66"/>
        <v>PASS</v>
      </c>
      <c r="N2162" s="10" t="str">
        <f t="shared" si="67"/>
        <v>NONE</v>
      </c>
    </row>
    <row r="2163" spans="1:14">
      <c r="A2163" s="4" t="s">
        <v>4342</v>
      </c>
      <c r="B2163" s="4" t="s">
        <v>4343</v>
      </c>
      <c r="C2163" s="4" t="s">
        <v>35</v>
      </c>
      <c r="D2163" s="4" t="s">
        <v>32</v>
      </c>
      <c r="E2163" s="5">
        <v>173.56620000000001</v>
      </c>
      <c r="F2163" s="5">
        <v>175.7706</v>
      </c>
      <c r="G2163" s="5">
        <v>175.4607</v>
      </c>
      <c r="H2163" s="4">
        <v>0</v>
      </c>
      <c r="I2163" s="6">
        <v>4596314</v>
      </c>
      <c r="J2163" s="7">
        <v>639.45000000000005</v>
      </c>
      <c r="K2163" s="9">
        <f>(PricingDataTable[[#This Row],[Current Price ($)]]-PricingDataTable[[#This Row],[Prior Price ($)]])/PricingDataTable[[#This Row],[Prior Price ($)]]</f>
        <v>1.2700629500444167E-2</v>
      </c>
      <c r="L2163" s="9">
        <f>(PricingDataTable[[#This Row],[Vendor Price ($)]]-PricingDataTable[[#This Row],[Current Price ($)]])/PricingDataTable[[#This Row],[Current Price ($)]]</f>
        <v>-1.7630934866240369E-3</v>
      </c>
      <c r="M2163" t="str">
        <f t="shared" si="66"/>
        <v>PASS</v>
      </c>
      <c r="N2163" s="10" t="str">
        <f t="shared" si="67"/>
        <v>NONE</v>
      </c>
    </row>
    <row r="2164" spans="1:14">
      <c r="A2164" s="4" t="s">
        <v>4344</v>
      </c>
      <c r="B2164" s="4" t="s">
        <v>4345</v>
      </c>
      <c r="C2164" s="4" t="s">
        <v>39</v>
      </c>
      <c r="D2164" s="4" t="s">
        <v>64</v>
      </c>
      <c r="E2164" s="5">
        <v>73.837900000000005</v>
      </c>
      <c r="F2164" s="5">
        <v>66.028700000000001</v>
      </c>
      <c r="G2164" s="5">
        <v>65.957400000000007</v>
      </c>
      <c r="H2164" s="4">
        <v>0</v>
      </c>
      <c r="I2164" s="6">
        <v>2295032</v>
      </c>
      <c r="J2164" s="7">
        <v>465.63</v>
      </c>
      <c r="K2164" s="9">
        <f>(PricingDataTable[[#This Row],[Current Price ($)]]-PricingDataTable[[#This Row],[Prior Price ($)]])/PricingDataTable[[#This Row],[Prior Price ($)]]</f>
        <v>-0.10576140437363472</v>
      </c>
      <c r="L2164" s="9">
        <f>(PricingDataTable[[#This Row],[Vendor Price ($)]]-PricingDataTable[[#This Row],[Current Price ($)]])/PricingDataTable[[#This Row],[Current Price ($)]]</f>
        <v>-1.0798334663562011E-3</v>
      </c>
      <c r="M2164" t="str">
        <f t="shared" si="66"/>
        <v>LARGE MOVE</v>
      </c>
      <c r="N2164" s="10" t="str">
        <f t="shared" si="67"/>
        <v>HIGH</v>
      </c>
    </row>
    <row r="2165" spans="1:14">
      <c r="A2165" s="4" t="s">
        <v>4346</v>
      </c>
      <c r="B2165" s="4" t="s">
        <v>4347</v>
      </c>
      <c r="C2165" s="4" t="s">
        <v>35</v>
      </c>
      <c r="D2165" s="4" t="s">
        <v>13</v>
      </c>
      <c r="E2165" s="5">
        <v>71.935299999999998</v>
      </c>
      <c r="F2165" s="5">
        <v>71.564599999999999</v>
      </c>
      <c r="G2165" s="5">
        <v>71.569800000000001</v>
      </c>
      <c r="H2165" s="4">
        <v>0</v>
      </c>
      <c r="I2165" s="6">
        <v>3710987</v>
      </c>
      <c r="J2165" s="7">
        <v>432.81</v>
      </c>
      <c r="K2165" s="9">
        <f>(PricingDataTable[[#This Row],[Current Price ($)]]-PricingDataTable[[#This Row],[Prior Price ($)]])/PricingDataTable[[#This Row],[Prior Price ($)]]</f>
        <v>-5.1532418715150886E-3</v>
      </c>
      <c r="L2165" s="9">
        <f>(PricingDataTable[[#This Row],[Vendor Price ($)]]-PricingDataTable[[#This Row],[Current Price ($)]])/PricingDataTable[[#This Row],[Current Price ($)]]</f>
        <v>7.2661623204798071E-5</v>
      </c>
      <c r="M2165" t="str">
        <f t="shared" si="66"/>
        <v>PASS</v>
      </c>
      <c r="N2165" s="10" t="str">
        <f t="shared" si="67"/>
        <v>NONE</v>
      </c>
    </row>
    <row r="2166" spans="1:14">
      <c r="A2166" s="4" t="s">
        <v>4348</v>
      </c>
      <c r="B2166" s="4" t="s">
        <v>4349</v>
      </c>
      <c r="C2166" s="4" t="s">
        <v>19</v>
      </c>
      <c r="D2166" s="4" t="s">
        <v>13</v>
      </c>
      <c r="E2166" s="5">
        <v>9.6658000000000008</v>
      </c>
      <c r="F2166" s="5">
        <v>9.8193999999999999</v>
      </c>
      <c r="G2166" s="5">
        <v>9.8491</v>
      </c>
      <c r="H2166" s="4">
        <v>0</v>
      </c>
      <c r="I2166" s="6">
        <v>2614939</v>
      </c>
      <c r="J2166" s="7">
        <v>640.26</v>
      </c>
      <c r="K2166" s="9">
        <f>(PricingDataTable[[#This Row],[Current Price ($)]]-PricingDataTable[[#This Row],[Prior Price ($)]])/PricingDataTable[[#This Row],[Prior Price ($)]]</f>
        <v>1.5891079889921066E-2</v>
      </c>
      <c r="L2166" s="9">
        <f>(PricingDataTable[[#This Row],[Vendor Price ($)]]-PricingDataTable[[#This Row],[Current Price ($)]])/PricingDataTable[[#This Row],[Current Price ($)]]</f>
        <v>3.0246247224881419E-3</v>
      </c>
      <c r="M2166" t="str">
        <f t="shared" si="66"/>
        <v>PASS</v>
      </c>
      <c r="N2166" s="10" t="str">
        <f t="shared" si="67"/>
        <v>NONE</v>
      </c>
    </row>
    <row r="2167" spans="1:14">
      <c r="A2167" s="4" t="s">
        <v>4350</v>
      </c>
      <c r="B2167" s="4" t="s">
        <v>4351</v>
      </c>
      <c r="C2167" s="4" t="s">
        <v>35</v>
      </c>
      <c r="D2167" s="4" t="s">
        <v>13</v>
      </c>
      <c r="E2167" s="5">
        <v>97.944699999999997</v>
      </c>
      <c r="F2167" s="5">
        <v>98.6858</v>
      </c>
      <c r="G2167" s="5">
        <v>98.857299999999995</v>
      </c>
      <c r="H2167" s="4">
        <v>2</v>
      </c>
      <c r="I2167" s="6">
        <v>1396746</v>
      </c>
      <c r="J2167" s="7">
        <v>359.82</v>
      </c>
      <c r="K2167" s="9">
        <f>(PricingDataTable[[#This Row],[Current Price ($)]]-PricingDataTable[[#This Row],[Prior Price ($)]])/PricingDataTable[[#This Row],[Prior Price ($)]]</f>
        <v>7.5665145740402796E-3</v>
      </c>
      <c r="L2167" s="9">
        <f>(PricingDataTable[[#This Row],[Vendor Price ($)]]-PricingDataTable[[#This Row],[Current Price ($)]])/PricingDataTable[[#This Row],[Current Price ($)]]</f>
        <v>1.7378386758783396E-3</v>
      </c>
      <c r="M2167" t="str">
        <f t="shared" si="66"/>
        <v>PASS</v>
      </c>
      <c r="N2167" s="10" t="str">
        <f t="shared" si="67"/>
        <v>NONE</v>
      </c>
    </row>
    <row r="2168" spans="1:14">
      <c r="A2168" s="4" t="s">
        <v>4352</v>
      </c>
      <c r="B2168" s="4" t="s">
        <v>4353</v>
      </c>
      <c r="C2168" s="4" t="s">
        <v>39</v>
      </c>
      <c r="D2168" s="4" t="s">
        <v>13</v>
      </c>
      <c r="E2168" s="5">
        <v>250.5728</v>
      </c>
      <c r="F2168" s="5">
        <v>249.58760000000001</v>
      </c>
      <c r="G2168" s="5">
        <v>251.56829999999999</v>
      </c>
      <c r="H2168" s="4">
        <v>0</v>
      </c>
      <c r="I2168" s="6">
        <v>2144188</v>
      </c>
      <c r="J2168" s="7">
        <v>832.42</v>
      </c>
      <c r="K2168" s="9">
        <f>(PricingDataTable[[#This Row],[Current Price ($)]]-PricingDataTable[[#This Row],[Prior Price ($)]])/PricingDataTable[[#This Row],[Prior Price ($)]]</f>
        <v>-3.9317914793624521E-3</v>
      </c>
      <c r="L2168" s="9">
        <f>(PricingDataTable[[#This Row],[Vendor Price ($)]]-PricingDataTable[[#This Row],[Current Price ($)]])/PricingDataTable[[#This Row],[Current Price ($)]]</f>
        <v>7.9358910458692047E-3</v>
      </c>
      <c r="M2168" t="str">
        <f t="shared" si="66"/>
        <v>PASS</v>
      </c>
      <c r="N2168" s="10" t="str">
        <f t="shared" si="67"/>
        <v>NONE</v>
      </c>
    </row>
    <row r="2169" spans="1:14">
      <c r="A2169" s="4" t="s">
        <v>4354</v>
      </c>
      <c r="B2169" s="4" t="s">
        <v>4355</v>
      </c>
      <c r="C2169" s="4" t="s">
        <v>16</v>
      </c>
      <c r="D2169" s="4" t="s">
        <v>237</v>
      </c>
      <c r="E2169" s="5">
        <v>115.3477</v>
      </c>
      <c r="F2169" s="5">
        <v>116.2509</v>
      </c>
      <c r="G2169" s="5">
        <v>116.928</v>
      </c>
      <c r="H2169" s="4">
        <v>0</v>
      </c>
      <c r="I2169" s="6">
        <v>2972012</v>
      </c>
      <c r="J2169" s="7">
        <v>607.17999999999995</v>
      </c>
      <c r="K2169" s="9">
        <f>(PricingDataTable[[#This Row],[Current Price ($)]]-PricingDataTable[[#This Row],[Prior Price ($)]])/PricingDataTable[[#This Row],[Prior Price ($)]]</f>
        <v>7.8302384876334612E-3</v>
      </c>
      <c r="L2169" s="9">
        <f>(PricingDataTable[[#This Row],[Vendor Price ($)]]-PricingDataTable[[#This Row],[Current Price ($)]])/PricingDataTable[[#This Row],[Current Price ($)]]</f>
        <v>5.8244710363532307E-3</v>
      </c>
      <c r="M2169" t="str">
        <f t="shared" si="66"/>
        <v>PASS</v>
      </c>
      <c r="N2169" s="10" t="str">
        <f t="shared" si="67"/>
        <v>NONE</v>
      </c>
    </row>
    <row r="2170" spans="1:14">
      <c r="A2170" s="4" t="s">
        <v>4356</v>
      </c>
      <c r="B2170" s="4" t="s">
        <v>4357</v>
      </c>
      <c r="C2170" s="4" t="s">
        <v>19</v>
      </c>
      <c r="D2170" s="4" t="s">
        <v>237</v>
      </c>
      <c r="E2170" s="5">
        <v>299.11959999999999</v>
      </c>
      <c r="F2170" s="5">
        <v>306.59190000000001</v>
      </c>
      <c r="G2170" s="5">
        <v>307.85340000000002</v>
      </c>
      <c r="H2170" s="4">
        <v>0</v>
      </c>
      <c r="I2170" s="6">
        <v>4385384</v>
      </c>
      <c r="J2170" s="7">
        <v>338.89</v>
      </c>
      <c r="K2170" s="9">
        <f>(PricingDataTable[[#This Row],[Current Price ($)]]-PricingDataTable[[#This Row],[Prior Price ($)]])/PricingDataTable[[#This Row],[Prior Price ($)]]</f>
        <v>2.4980977508662149E-2</v>
      </c>
      <c r="L2170" s="9">
        <f>(PricingDataTable[[#This Row],[Vendor Price ($)]]-PricingDataTable[[#This Row],[Current Price ($)]])/PricingDataTable[[#This Row],[Current Price ($)]]</f>
        <v>4.1145901114804798E-3</v>
      </c>
      <c r="M2170" t="str">
        <f t="shared" si="66"/>
        <v>PASS</v>
      </c>
      <c r="N2170" s="10" t="str">
        <f t="shared" si="67"/>
        <v>NONE</v>
      </c>
    </row>
    <row r="2171" spans="1:14">
      <c r="A2171" s="4" t="s">
        <v>4358</v>
      </c>
      <c r="B2171" s="4" t="s">
        <v>4359</v>
      </c>
      <c r="C2171" s="4" t="s">
        <v>35</v>
      </c>
      <c r="D2171" s="4" t="s">
        <v>13</v>
      </c>
      <c r="E2171" s="5">
        <v>124.9029</v>
      </c>
      <c r="F2171" s="5">
        <v>123.5038</v>
      </c>
      <c r="G2171" s="5">
        <v>123.01739999999999</v>
      </c>
      <c r="H2171" s="4">
        <v>1</v>
      </c>
      <c r="I2171" s="6">
        <v>4489570</v>
      </c>
      <c r="J2171" s="7">
        <v>331.01</v>
      </c>
      <c r="K2171" s="9">
        <f>(PricingDataTable[[#This Row],[Current Price ($)]]-PricingDataTable[[#This Row],[Prior Price ($)]])/PricingDataTable[[#This Row],[Prior Price ($)]]</f>
        <v>-1.1201501326230249E-2</v>
      </c>
      <c r="L2171" s="9">
        <f>(PricingDataTable[[#This Row],[Vendor Price ($)]]-PricingDataTable[[#This Row],[Current Price ($)]])/PricingDataTable[[#This Row],[Current Price ($)]]</f>
        <v>-3.9383403587582187E-3</v>
      </c>
      <c r="M2171" t="str">
        <f t="shared" si="66"/>
        <v>PASS</v>
      </c>
      <c r="N2171" s="10" t="str">
        <f t="shared" si="67"/>
        <v>NONE</v>
      </c>
    </row>
    <row r="2172" spans="1:14">
      <c r="A2172" s="4" t="s">
        <v>4360</v>
      </c>
      <c r="B2172" s="4" t="s">
        <v>4361</v>
      </c>
      <c r="C2172" s="4" t="s">
        <v>19</v>
      </c>
      <c r="D2172" s="4" t="s">
        <v>13</v>
      </c>
      <c r="E2172" s="5">
        <v>162.23570000000001</v>
      </c>
      <c r="F2172" s="5">
        <v>164.79859999999999</v>
      </c>
      <c r="G2172" s="5">
        <v>164.7158</v>
      </c>
      <c r="H2172" s="4">
        <v>0</v>
      </c>
      <c r="I2172" s="6">
        <v>3026866</v>
      </c>
      <c r="J2172" s="7">
        <v>30.03</v>
      </c>
      <c r="K2172" s="9">
        <f>(PricingDataTable[[#This Row],[Current Price ($)]]-PricingDataTable[[#This Row],[Prior Price ($)]])/PricingDataTable[[#This Row],[Prior Price ($)]]</f>
        <v>1.5797386148671252E-2</v>
      </c>
      <c r="L2172" s="9">
        <f>(PricingDataTable[[#This Row],[Vendor Price ($)]]-PricingDataTable[[#This Row],[Current Price ($)]])/PricingDataTable[[#This Row],[Current Price ($)]]</f>
        <v>-5.0243145269432974E-4</v>
      </c>
      <c r="M2172" t="str">
        <f t="shared" si="66"/>
        <v>PASS</v>
      </c>
      <c r="N2172" s="10" t="str">
        <f t="shared" si="67"/>
        <v>NONE</v>
      </c>
    </row>
    <row r="2173" spans="1:14">
      <c r="A2173" s="4" t="s">
        <v>4362</v>
      </c>
      <c r="B2173" s="4" t="s">
        <v>4363</v>
      </c>
      <c r="C2173" s="4" t="s">
        <v>19</v>
      </c>
      <c r="D2173" s="4" t="s">
        <v>32</v>
      </c>
      <c r="E2173" s="5">
        <v>278.42649999999998</v>
      </c>
      <c r="F2173" s="5">
        <v>281.88549999999998</v>
      </c>
      <c r="G2173" s="5">
        <v>280.77330000000001</v>
      </c>
      <c r="H2173" s="4">
        <v>1</v>
      </c>
      <c r="I2173" s="6">
        <v>1584932</v>
      </c>
      <c r="J2173" s="7">
        <v>784.47</v>
      </c>
      <c r="K2173" s="9">
        <f>(PricingDataTable[[#This Row],[Current Price ($)]]-PricingDataTable[[#This Row],[Prior Price ($)]])/PricingDataTable[[#This Row],[Prior Price ($)]]</f>
        <v>1.2423386423346928E-2</v>
      </c>
      <c r="L2173" s="9">
        <f>(PricingDataTable[[#This Row],[Vendor Price ($)]]-PricingDataTable[[#This Row],[Current Price ($)]])/PricingDataTable[[#This Row],[Current Price ($)]]</f>
        <v>-3.9455736460370363E-3</v>
      </c>
      <c r="M2173" t="str">
        <f t="shared" si="66"/>
        <v>PASS</v>
      </c>
      <c r="N2173" s="10" t="str">
        <f t="shared" si="67"/>
        <v>NONE</v>
      </c>
    </row>
    <row r="2174" spans="1:14">
      <c r="A2174" s="4" t="s">
        <v>4364</v>
      </c>
      <c r="B2174" s="4" t="s">
        <v>4365</v>
      </c>
      <c r="C2174" s="4" t="s">
        <v>19</v>
      </c>
      <c r="D2174" s="4" t="s">
        <v>13</v>
      </c>
      <c r="E2174" s="5">
        <v>67.070400000000006</v>
      </c>
      <c r="F2174" s="5">
        <v>66.027600000000007</v>
      </c>
      <c r="G2174" s="5">
        <v>66.048599999999993</v>
      </c>
      <c r="H2174" s="4">
        <v>2</v>
      </c>
      <c r="I2174" s="6">
        <v>4983143</v>
      </c>
      <c r="J2174" s="7">
        <v>859.2</v>
      </c>
      <c r="K2174" s="9">
        <f>(PricingDataTable[[#This Row],[Current Price ($)]]-PricingDataTable[[#This Row],[Prior Price ($)]])/PricingDataTable[[#This Row],[Prior Price ($)]]</f>
        <v>-1.5547842267229651E-2</v>
      </c>
      <c r="L2174" s="9">
        <f>(PricingDataTable[[#This Row],[Vendor Price ($)]]-PricingDataTable[[#This Row],[Current Price ($)]])/PricingDataTable[[#This Row],[Current Price ($)]]</f>
        <v>3.1804881594949057E-4</v>
      </c>
      <c r="M2174" t="str">
        <f t="shared" si="66"/>
        <v>PASS</v>
      </c>
      <c r="N2174" s="10" t="str">
        <f t="shared" si="67"/>
        <v>NONE</v>
      </c>
    </row>
    <row r="2175" spans="1:14">
      <c r="A2175" s="4" t="s">
        <v>4366</v>
      </c>
      <c r="B2175" s="4" t="s">
        <v>4367</v>
      </c>
      <c r="C2175" s="4" t="s">
        <v>12</v>
      </c>
      <c r="D2175" s="4" t="s">
        <v>13</v>
      </c>
      <c r="E2175" s="5">
        <v>103.8039</v>
      </c>
      <c r="F2175" s="5">
        <v>103.1626</v>
      </c>
      <c r="G2175" s="5">
        <v>103.7285</v>
      </c>
      <c r="H2175" s="4">
        <v>0</v>
      </c>
      <c r="I2175" s="6">
        <v>3651078</v>
      </c>
      <c r="J2175" s="7">
        <v>117.56</v>
      </c>
      <c r="K2175" s="9">
        <f>(PricingDataTable[[#This Row],[Current Price ($)]]-PricingDataTable[[#This Row],[Prior Price ($)]])/PricingDataTable[[#This Row],[Prior Price ($)]]</f>
        <v>-6.1779952390998904E-3</v>
      </c>
      <c r="L2175" s="9">
        <f>(PricingDataTable[[#This Row],[Vendor Price ($)]]-PricingDataTable[[#This Row],[Current Price ($)]])/PricingDataTable[[#This Row],[Current Price ($)]]</f>
        <v>5.4855150994643333E-3</v>
      </c>
      <c r="M2175" t="str">
        <f t="shared" si="66"/>
        <v>PASS</v>
      </c>
      <c r="N2175" s="10" t="str">
        <f t="shared" si="67"/>
        <v>NONE</v>
      </c>
    </row>
    <row r="2176" spans="1:14">
      <c r="A2176" s="4" t="s">
        <v>4368</v>
      </c>
      <c r="B2176" s="4" t="s">
        <v>4369</v>
      </c>
      <c r="C2176" s="4" t="s">
        <v>16</v>
      </c>
      <c r="D2176" s="4" t="s">
        <v>237</v>
      </c>
      <c r="E2176" s="5">
        <v>80.612300000000005</v>
      </c>
      <c r="F2176" s="5">
        <v>82.171300000000002</v>
      </c>
      <c r="G2176" s="5">
        <v>82.087299999999999</v>
      </c>
      <c r="H2176" s="4">
        <v>2</v>
      </c>
      <c r="I2176" s="6">
        <v>2273491</v>
      </c>
      <c r="J2176" s="7">
        <v>275.57</v>
      </c>
      <c r="K2176" s="9">
        <f>(PricingDataTable[[#This Row],[Current Price ($)]]-PricingDataTable[[#This Row],[Prior Price ($)]])/PricingDataTable[[#This Row],[Prior Price ($)]]</f>
        <v>1.9339480451494341E-2</v>
      </c>
      <c r="L2176" s="9">
        <f>(PricingDataTable[[#This Row],[Vendor Price ($)]]-PricingDataTable[[#This Row],[Current Price ($)]])/PricingDataTable[[#This Row],[Current Price ($)]]</f>
        <v>-1.022254728840887E-3</v>
      </c>
      <c r="M2176" t="str">
        <f t="shared" si="66"/>
        <v>PASS</v>
      </c>
      <c r="N2176" s="10" t="str">
        <f t="shared" si="67"/>
        <v>NONE</v>
      </c>
    </row>
    <row r="2177" spans="1:14">
      <c r="A2177" s="4" t="s">
        <v>4370</v>
      </c>
      <c r="B2177" s="4" t="s">
        <v>4371</v>
      </c>
      <c r="C2177" s="4" t="s">
        <v>12</v>
      </c>
      <c r="D2177" s="4" t="s">
        <v>13</v>
      </c>
      <c r="E2177" s="5">
        <v>84.206199999999995</v>
      </c>
      <c r="F2177" s="5">
        <v>84.011300000000006</v>
      </c>
      <c r="G2177" s="5">
        <v>84.127499999999998</v>
      </c>
      <c r="H2177" s="4">
        <v>0</v>
      </c>
      <c r="I2177" s="6">
        <v>4315991</v>
      </c>
      <c r="J2177" s="7">
        <v>545.51</v>
      </c>
      <c r="K2177" s="9">
        <f>(PricingDataTable[[#This Row],[Current Price ($)]]-PricingDataTable[[#This Row],[Prior Price ($)]])/PricingDataTable[[#This Row],[Prior Price ($)]]</f>
        <v>-2.3145564103354607E-3</v>
      </c>
      <c r="L2177" s="9">
        <f>(PricingDataTable[[#This Row],[Vendor Price ($)]]-PricingDataTable[[#This Row],[Current Price ($)]])/PricingDataTable[[#This Row],[Current Price ($)]]</f>
        <v>1.3831472670937373E-3</v>
      </c>
      <c r="M2177" t="str">
        <f t="shared" si="66"/>
        <v>PASS</v>
      </c>
      <c r="N2177" s="10" t="str">
        <f t="shared" si="67"/>
        <v>NONE</v>
      </c>
    </row>
    <row r="2178" spans="1:14">
      <c r="A2178" s="4" t="s">
        <v>4372</v>
      </c>
      <c r="B2178" s="4" t="s">
        <v>4373</v>
      </c>
      <c r="C2178" s="4" t="s">
        <v>12</v>
      </c>
      <c r="D2178" s="4" t="s">
        <v>13</v>
      </c>
      <c r="E2178" s="5">
        <v>77.309100000000001</v>
      </c>
      <c r="F2178" s="5">
        <v>77.434399999999997</v>
      </c>
      <c r="G2178" s="5">
        <v>77.454499999999996</v>
      </c>
      <c r="H2178" s="4">
        <v>0</v>
      </c>
      <c r="I2178" s="6">
        <v>2835014</v>
      </c>
      <c r="J2178" s="7">
        <v>403.73</v>
      </c>
      <c r="K2178" s="9">
        <f>(PricingDataTable[[#This Row],[Current Price ($)]]-PricingDataTable[[#This Row],[Prior Price ($)]])/PricingDataTable[[#This Row],[Prior Price ($)]]</f>
        <v>1.6207665074356803E-3</v>
      </c>
      <c r="L2178" s="9">
        <f>(PricingDataTable[[#This Row],[Vendor Price ($)]]-PricingDataTable[[#This Row],[Current Price ($)]])/PricingDataTable[[#This Row],[Current Price ($)]]</f>
        <v>2.5957455601127331E-4</v>
      </c>
      <c r="M2178" t="str">
        <f t="shared" ref="M2178:M2241" si="68">IF(OR(F2178="",F2178=0),"MISSING",IF(H2178&gt;=3,"STALE",IF(ABS(K2178)&gt;=5%,"LARGE MOVE",IF(ABS(L2178)&gt;=2%,"VENDOR DIFFERENCE","PASS"))))</f>
        <v>PASS</v>
      </c>
      <c r="N2178" s="10" t="str">
        <f t="shared" ref="N2178:N2241" si="69">IF(M2178="PASS","NONE",IF(M2178="MISSING","HIGH",IF(OR(ABS(K2178)&gt;=10%,ABS(L2178)&gt;=5%),"HIGH",IF(OR(ABS(K2178)&gt;=7%,ABS(L2178)&gt;=3%,H2178&gt;=5),"MEDIUM","LOW"))))</f>
        <v>NONE</v>
      </c>
    </row>
    <row r="2179" spans="1:14">
      <c r="A2179" s="4" t="s">
        <v>4374</v>
      </c>
      <c r="B2179" s="4" t="s">
        <v>4375</v>
      </c>
      <c r="C2179" s="4" t="s">
        <v>19</v>
      </c>
      <c r="D2179" s="4" t="s">
        <v>13</v>
      </c>
      <c r="E2179" s="5">
        <v>349.6832</v>
      </c>
      <c r="F2179" s="5">
        <v>354.80329999999998</v>
      </c>
      <c r="G2179" s="5">
        <v>354.34930000000003</v>
      </c>
      <c r="H2179" s="4">
        <v>3</v>
      </c>
      <c r="I2179" s="6">
        <v>2058083</v>
      </c>
      <c r="J2179" s="7">
        <v>282.18</v>
      </c>
      <c r="K2179" s="9">
        <f>(PricingDataTable[[#This Row],[Current Price ($)]]-PricingDataTable[[#This Row],[Prior Price ($)]])/PricingDataTable[[#This Row],[Prior Price ($)]]</f>
        <v>1.464211034444886E-2</v>
      </c>
      <c r="L2179" s="9">
        <f>(PricingDataTable[[#This Row],[Vendor Price ($)]]-PricingDataTable[[#This Row],[Current Price ($)]])/PricingDataTable[[#This Row],[Current Price ($)]]</f>
        <v>-1.279582236129007E-3</v>
      </c>
      <c r="M2179" t="str">
        <f t="shared" si="68"/>
        <v>STALE</v>
      </c>
      <c r="N2179" s="10" t="str">
        <f t="shared" si="69"/>
        <v>LOW</v>
      </c>
    </row>
    <row r="2180" spans="1:14">
      <c r="A2180" s="4" t="s">
        <v>4376</v>
      </c>
      <c r="B2180" s="4" t="s">
        <v>4377</v>
      </c>
      <c r="C2180" s="4" t="s">
        <v>39</v>
      </c>
      <c r="D2180" s="4" t="s">
        <v>64</v>
      </c>
      <c r="E2180" s="5">
        <v>313.04270000000002</v>
      </c>
      <c r="F2180" s="5">
        <v>313.81560000000002</v>
      </c>
      <c r="G2180" s="5">
        <v>314.43830000000003</v>
      </c>
      <c r="H2180" s="4">
        <v>0</v>
      </c>
      <c r="I2180" s="6">
        <v>4127714</v>
      </c>
      <c r="J2180" s="7">
        <v>516.49</v>
      </c>
      <c r="K2180" s="9">
        <f>(PricingDataTable[[#This Row],[Current Price ($)]]-PricingDataTable[[#This Row],[Prior Price ($)]])/PricingDataTable[[#This Row],[Prior Price ($)]]</f>
        <v>2.4689922493001523E-3</v>
      </c>
      <c r="L2180" s="9">
        <f>(PricingDataTable[[#This Row],[Vendor Price ($)]]-PricingDataTable[[#This Row],[Current Price ($)]])/PricingDataTable[[#This Row],[Current Price ($)]]</f>
        <v>1.9842863133636723E-3</v>
      </c>
      <c r="M2180" t="str">
        <f t="shared" si="68"/>
        <v>PASS</v>
      </c>
      <c r="N2180" s="10" t="str">
        <f t="shared" si="69"/>
        <v>NONE</v>
      </c>
    </row>
    <row r="2181" spans="1:14">
      <c r="A2181" s="4" t="s">
        <v>4378</v>
      </c>
      <c r="B2181" s="4" t="s">
        <v>4379</v>
      </c>
      <c r="C2181" s="4" t="s">
        <v>12</v>
      </c>
      <c r="D2181" s="4" t="s">
        <v>13</v>
      </c>
      <c r="E2181" s="5">
        <v>81.926100000000005</v>
      </c>
      <c r="F2181" s="5">
        <v>82.646199999999993</v>
      </c>
      <c r="G2181" s="5">
        <v>82.486599999999996</v>
      </c>
      <c r="H2181" s="4">
        <v>0</v>
      </c>
      <c r="I2181" s="6">
        <v>4701704</v>
      </c>
      <c r="J2181" s="7">
        <v>117.08</v>
      </c>
      <c r="K2181" s="9">
        <f>(PricingDataTable[[#This Row],[Current Price ($)]]-PricingDataTable[[#This Row],[Prior Price ($)]])/PricingDataTable[[#This Row],[Prior Price ($)]]</f>
        <v>8.7896287019641837E-3</v>
      </c>
      <c r="L2181" s="9">
        <f>(PricingDataTable[[#This Row],[Vendor Price ($)]]-PricingDataTable[[#This Row],[Current Price ($)]])/PricingDataTable[[#This Row],[Current Price ($)]]</f>
        <v>-1.9311232700353741E-3</v>
      </c>
      <c r="M2181" t="str">
        <f t="shared" si="68"/>
        <v>PASS</v>
      </c>
      <c r="N2181" s="10" t="str">
        <f t="shared" si="69"/>
        <v>NONE</v>
      </c>
    </row>
    <row r="2182" spans="1:14">
      <c r="A2182" s="4" t="s">
        <v>4380</v>
      </c>
      <c r="B2182" s="4" t="s">
        <v>4381</v>
      </c>
      <c r="C2182" s="4" t="s">
        <v>39</v>
      </c>
      <c r="D2182" s="4" t="s">
        <v>64</v>
      </c>
      <c r="E2182" s="5">
        <v>336.36579999999998</v>
      </c>
      <c r="F2182" s="5">
        <v>342.22640000000001</v>
      </c>
      <c r="G2182" s="5"/>
      <c r="H2182" s="4">
        <v>0</v>
      </c>
      <c r="I2182" s="6">
        <v>4840033</v>
      </c>
      <c r="J2182" s="7">
        <v>108.91</v>
      </c>
      <c r="K2182" s="9">
        <f>(PricingDataTable[[#This Row],[Current Price ($)]]-PricingDataTable[[#This Row],[Prior Price ($)]])/PricingDataTable[[#This Row],[Prior Price ($)]]</f>
        <v>1.7423293331248403E-2</v>
      </c>
      <c r="L2182" s="9">
        <f>(PricingDataTable[[#This Row],[Vendor Price ($)]]-PricingDataTable[[#This Row],[Current Price ($)]])/PricingDataTable[[#This Row],[Current Price ($)]]</f>
        <v>-1</v>
      </c>
      <c r="M2182" t="str">
        <f t="shared" si="68"/>
        <v>VENDOR DIFFERENCE</v>
      </c>
      <c r="N2182" s="10" t="str">
        <f t="shared" si="69"/>
        <v>HIGH</v>
      </c>
    </row>
    <row r="2183" spans="1:14">
      <c r="A2183" s="4" t="s">
        <v>4382</v>
      </c>
      <c r="B2183" s="4" t="s">
        <v>4383</v>
      </c>
      <c r="C2183" s="4" t="s">
        <v>19</v>
      </c>
      <c r="D2183" s="4" t="s">
        <v>36</v>
      </c>
      <c r="E2183" s="5">
        <v>96.165899999999993</v>
      </c>
      <c r="F2183" s="5">
        <v>94.934600000000003</v>
      </c>
      <c r="G2183" s="5">
        <v>95.213399999999993</v>
      </c>
      <c r="H2183" s="4">
        <v>2</v>
      </c>
      <c r="I2183" s="6">
        <v>3838591</v>
      </c>
      <c r="J2183" s="7">
        <v>327.04000000000002</v>
      </c>
      <c r="K2183" s="9">
        <f>(PricingDataTable[[#This Row],[Current Price ($)]]-PricingDataTable[[#This Row],[Prior Price ($)]])/PricingDataTable[[#This Row],[Prior Price ($)]]</f>
        <v>-1.2803914901227882E-2</v>
      </c>
      <c r="L2183" s="9">
        <f>(PricingDataTable[[#This Row],[Vendor Price ($)]]-PricingDataTable[[#This Row],[Current Price ($)]])/PricingDataTable[[#This Row],[Current Price ($)]]</f>
        <v>2.9367585685302271E-3</v>
      </c>
      <c r="M2183" t="str">
        <f t="shared" si="68"/>
        <v>PASS</v>
      </c>
      <c r="N2183" s="10" t="str">
        <f t="shared" si="69"/>
        <v>NONE</v>
      </c>
    </row>
    <row r="2184" spans="1:14">
      <c r="A2184" s="4" t="s">
        <v>4384</v>
      </c>
      <c r="B2184" s="4" t="s">
        <v>4385</v>
      </c>
      <c r="C2184" s="4" t="s">
        <v>39</v>
      </c>
      <c r="D2184" s="4" t="s">
        <v>13</v>
      </c>
      <c r="E2184" s="5">
        <v>322.06290000000001</v>
      </c>
      <c r="F2184" s="5">
        <v>323.51159999999999</v>
      </c>
      <c r="G2184" s="5">
        <v>325.04320000000001</v>
      </c>
      <c r="H2184" s="4">
        <v>0</v>
      </c>
      <c r="I2184" s="6">
        <v>1550582</v>
      </c>
      <c r="J2184" s="7">
        <v>217.21</v>
      </c>
      <c r="K2184" s="9">
        <f>(PricingDataTable[[#This Row],[Current Price ($)]]-PricingDataTable[[#This Row],[Prior Price ($)]])/PricingDataTable[[#This Row],[Prior Price ($)]]</f>
        <v>4.4981896393529765E-3</v>
      </c>
      <c r="L2184" s="9">
        <f>(PricingDataTable[[#This Row],[Vendor Price ($)]]-PricingDataTable[[#This Row],[Current Price ($)]])/PricingDataTable[[#This Row],[Current Price ($)]]</f>
        <v>4.734297008206277E-3</v>
      </c>
      <c r="M2184" t="str">
        <f t="shared" si="68"/>
        <v>PASS</v>
      </c>
      <c r="N2184" s="10" t="str">
        <f t="shared" si="69"/>
        <v>NONE</v>
      </c>
    </row>
    <row r="2185" spans="1:14">
      <c r="A2185" s="4" t="s">
        <v>4386</v>
      </c>
      <c r="B2185" s="4" t="s">
        <v>4387</v>
      </c>
      <c r="C2185" s="4" t="s">
        <v>35</v>
      </c>
      <c r="D2185" s="4" t="s">
        <v>13</v>
      </c>
      <c r="E2185" s="5">
        <v>151.30330000000001</v>
      </c>
      <c r="F2185" s="5">
        <v>151.02629999999999</v>
      </c>
      <c r="G2185" s="5">
        <v>150.5292</v>
      </c>
      <c r="H2185" s="4">
        <v>2</v>
      </c>
      <c r="I2185" s="6">
        <v>1448721</v>
      </c>
      <c r="J2185" s="7">
        <v>301.02999999999997</v>
      </c>
      <c r="K2185" s="9">
        <f>(PricingDataTable[[#This Row],[Current Price ($)]]-PricingDataTable[[#This Row],[Prior Price ($)]])/PricingDataTable[[#This Row],[Prior Price ($)]]</f>
        <v>-1.8307598049746121E-3</v>
      </c>
      <c r="L2185" s="9">
        <f>(PricingDataTable[[#This Row],[Vendor Price ($)]]-PricingDataTable[[#This Row],[Current Price ($)]])/PricingDataTable[[#This Row],[Current Price ($)]]</f>
        <v>-3.2914796959204393E-3</v>
      </c>
      <c r="M2185" t="str">
        <f t="shared" si="68"/>
        <v>PASS</v>
      </c>
      <c r="N2185" s="10" t="str">
        <f t="shared" si="69"/>
        <v>NONE</v>
      </c>
    </row>
    <row r="2186" spans="1:14">
      <c r="A2186" s="4" t="s">
        <v>4388</v>
      </c>
      <c r="B2186" s="4" t="s">
        <v>4389</v>
      </c>
      <c r="C2186" s="4" t="s">
        <v>19</v>
      </c>
      <c r="D2186" s="4" t="s">
        <v>13</v>
      </c>
      <c r="E2186" s="5">
        <v>271.64589999999998</v>
      </c>
      <c r="F2186" s="5">
        <v>273.59370000000001</v>
      </c>
      <c r="G2186" s="5">
        <v>272.67869999999999</v>
      </c>
      <c r="H2186" s="4">
        <v>0</v>
      </c>
      <c r="I2186" s="6">
        <v>3432775</v>
      </c>
      <c r="J2186" s="7">
        <v>599.33000000000004</v>
      </c>
      <c r="K2186" s="9">
        <f>(PricingDataTable[[#This Row],[Current Price ($)]]-PricingDataTable[[#This Row],[Prior Price ($)]])/PricingDataTable[[#This Row],[Prior Price ($)]]</f>
        <v>7.1703640658667385E-3</v>
      </c>
      <c r="L2186" s="9">
        <f>(PricingDataTable[[#This Row],[Vendor Price ($)]]-PricingDataTable[[#This Row],[Current Price ($)]])/PricingDataTable[[#This Row],[Current Price ($)]]</f>
        <v>-3.3443752542548326E-3</v>
      </c>
      <c r="M2186" t="str">
        <f t="shared" si="68"/>
        <v>PASS</v>
      </c>
      <c r="N2186" s="10" t="str">
        <f t="shared" si="69"/>
        <v>NONE</v>
      </c>
    </row>
    <row r="2187" spans="1:14">
      <c r="A2187" s="4" t="s">
        <v>4390</v>
      </c>
      <c r="B2187" s="4" t="s">
        <v>4391</v>
      </c>
      <c r="C2187" s="4" t="s">
        <v>19</v>
      </c>
      <c r="D2187" s="4" t="s">
        <v>13</v>
      </c>
      <c r="E2187" s="5">
        <v>319.41309999999999</v>
      </c>
      <c r="F2187" s="5">
        <v>322.09750000000003</v>
      </c>
      <c r="G2187" s="5">
        <v>321.08240000000001</v>
      </c>
      <c r="H2187" s="4">
        <v>5</v>
      </c>
      <c r="I2187" s="6">
        <v>3377507</v>
      </c>
      <c r="J2187" s="7">
        <v>682.23</v>
      </c>
      <c r="K2187" s="9">
        <f>(PricingDataTable[[#This Row],[Current Price ($)]]-PricingDataTable[[#This Row],[Prior Price ($)]])/PricingDataTable[[#This Row],[Prior Price ($)]]</f>
        <v>8.4041637615991302E-3</v>
      </c>
      <c r="L2187" s="9">
        <f>(PricingDataTable[[#This Row],[Vendor Price ($)]]-PricingDataTable[[#This Row],[Current Price ($)]])/PricingDataTable[[#This Row],[Current Price ($)]]</f>
        <v>-3.1515302043636415E-3</v>
      </c>
      <c r="M2187" t="str">
        <f t="shared" si="68"/>
        <v>STALE</v>
      </c>
      <c r="N2187" s="10" t="str">
        <f t="shared" si="69"/>
        <v>MEDIUM</v>
      </c>
    </row>
    <row r="2188" spans="1:14">
      <c r="A2188" s="4" t="s">
        <v>4392</v>
      </c>
      <c r="B2188" s="4" t="s">
        <v>4393</v>
      </c>
      <c r="C2188" s="4" t="s">
        <v>19</v>
      </c>
      <c r="D2188" s="4" t="s">
        <v>13</v>
      </c>
      <c r="E2188" s="5">
        <v>253.30950000000001</v>
      </c>
      <c r="F2188" s="5">
        <v>254.2474</v>
      </c>
      <c r="G2188" s="5">
        <v>253.81360000000001</v>
      </c>
      <c r="H2188" s="4">
        <v>1</v>
      </c>
      <c r="I2188" s="6">
        <v>178628</v>
      </c>
      <c r="J2188" s="7">
        <v>402.43</v>
      </c>
      <c r="K2188" s="9">
        <f>(PricingDataTable[[#This Row],[Current Price ($)]]-PricingDataTable[[#This Row],[Prior Price ($)]])/PricingDataTable[[#This Row],[Prior Price ($)]]</f>
        <v>3.702585177421237E-3</v>
      </c>
      <c r="L2188" s="9">
        <f>(PricingDataTable[[#This Row],[Vendor Price ($)]]-PricingDataTable[[#This Row],[Current Price ($)]])/PricingDataTable[[#This Row],[Current Price ($)]]</f>
        <v>-1.7062121382558518E-3</v>
      </c>
      <c r="M2188" t="str">
        <f t="shared" si="68"/>
        <v>PASS</v>
      </c>
      <c r="N2188" s="10" t="str">
        <f t="shared" si="69"/>
        <v>NONE</v>
      </c>
    </row>
    <row r="2189" spans="1:14">
      <c r="A2189" s="4" t="s">
        <v>4394</v>
      </c>
      <c r="B2189" s="4" t="s">
        <v>4395</v>
      </c>
      <c r="C2189" s="4" t="s">
        <v>16</v>
      </c>
      <c r="D2189" s="4" t="s">
        <v>13</v>
      </c>
      <c r="E2189" s="5">
        <v>106.5757</v>
      </c>
      <c r="F2189" s="5">
        <v>106.5908</v>
      </c>
      <c r="G2189" s="5">
        <v>106.2587</v>
      </c>
      <c r="H2189" s="4">
        <v>1</v>
      </c>
      <c r="I2189" s="6">
        <v>307892</v>
      </c>
      <c r="J2189" s="7">
        <v>448.94</v>
      </c>
      <c r="K2189" s="9">
        <f>(PricingDataTable[[#This Row],[Current Price ($)]]-PricingDataTable[[#This Row],[Prior Price ($)]])/PricingDataTable[[#This Row],[Prior Price ($)]]</f>
        <v>1.4168332931431733E-4</v>
      </c>
      <c r="L2189" s="9">
        <f>(PricingDataTable[[#This Row],[Vendor Price ($)]]-PricingDataTable[[#This Row],[Current Price ($)]])/PricingDataTable[[#This Row],[Current Price ($)]]</f>
        <v>-3.1156535085579331E-3</v>
      </c>
      <c r="M2189" t="str">
        <f t="shared" si="68"/>
        <v>PASS</v>
      </c>
      <c r="N2189" s="10" t="str">
        <f t="shared" si="69"/>
        <v>NONE</v>
      </c>
    </row>
    <row r="2190" spans="1:14">
      <c r="A2190" s="4" t="s">
        <v>4396</v>
      </c>
      <c r="B2190" s="4" t="s">
        <v>4397</v>
      </c>
      <c r="C2190" s="4" t="s">
        <v>12</v>
      </c>
      <c r="D2190" s="4" t="s">
        <v>64</v>
      </c>
      <c r="E2190" s="5">
        <v>100.74250000000001</v>
      </c>
      <c r="F2190" s="5">
        <v>100.60420000000001</v>
      </c>
      <c r="G2190" s="5">
        <v>100.84180000000001</v>
      </c>
      <c r="H2190" s="4">
        <v>0</v>
      </c>
      <c r="I2190" s="6">
        <v>3435010</v>
      </c>
      <c r="J2190" s="7">
        <v>840.5</v>
      </c>
      <c r="K2190" s="9">
        <f>(PricingDataTable[[#This Row],[Current Price ($)]]-PricingDataTable[[#This Row],[Prior Price ($)]])/PricingDataTable[[#This Row],[Prior Price ($)]]</f>
        <v>-1.3728069087028908E-3</v>
      </c>
      <c r="L2190" s="9">
        <f>(PricingDataTable[[#This Row],[Vendor Price ($)]]-PricingDataTable[[#This Row],[Current Price ($)]])/PricingDataTable[[#This Row],[Current Price ($)]]</f>
        <v>2.361730424773523E-3</v>
      </c>
      <c r="M2190" t="str">
        <f t="shared" si="68"/>
        <v>PASS</v>
      </c>
      <c r="N2190" s="10" t="str">
        <f t="shared" si="69"/>
        <v>NONE</v>
      </c>
    </row>
    <row r="2191" spans="1:14">
      <c r="A2191" s="4" t="s">
        <v>4398</v>
      </c>
      <c r="B2191" s="4" t="s">
        <v>4399</v>
      </c>
      <c r="C2191" s="4" t="s">
        <v>16</v>
      </c>
      <c r="D2191" s="4" t="s">
        <v>13</v>
      </c>
      <c r="E2191" s="5">
        <v>98.738600000000005</v>
      </c>
      <c r="F2191" s="5">
        <v>98.202500000000001</v>
      </c>
      <c r="G2191" s="5">
        <v>98.775199999999998</v>
      </c>
      <c r="H2191" s="4">
        <v>0</v>
      </c>
      <c r="I2191" s="6">
        <v>2317737</v>
      </c>
      <c r="J2191" s="7">
        <v>81.010000000000005</v>
      </c>
      <c r="K2191" s="9">
        <f>(PricingDataTable[[#This Row],[Current Price ($)]]-PricingDataTable[[#This Row],[Prior Price ($)]])/PricingDataTable[[#This Row],[Prior Price ($)]]</f>
        <v>-5.4294875560318319E-3</v>
      </c>
      <c r="L2191" s="9">
        <f>(PricingDataTable[[#This Row],[Vendor Price ($)]]-PricingDataTable[[#This Row],[Current Price ($)]])/PricingDataTable[[#This Row],[Current Price ($)]]</f>
        <v>5.8318270919782847E-3</v>
      </c>
      <c r="M2191" t="str">
        <f t="shared" si="68"/>
        <v>PASS</v>
      </c>
      <c r="N2191" s="10" t="str">
        <f t="shared" si="69"/>
        <v>NONE</v>
      </c>
    </row>
    <row r="2192" spans="1:14">
      <c r="A2192" s="4" t="s">
        <v>4400</v>
      </c>
      <c r="B2192" s="4" t="s">
        <v>4401</v>
      </c>
      <c r="C2192" s="4" t="s">
        <v>19</v>
      </c>
      <c r="D2192" s="4" t="s">
        <v>13</v>
      </c>
      <c r="E2192" s="5">
        <v>349.29399999999998</v>
      </c>
      <c r="F2192" s="5">
        <v>348.65320000000003</v>
      </c>
      <c r="G2192" s="5">
        <v>349.83269999999999</v>
      </c>
      <c r="H2192" s="4">
        <v>1</v>
      </c>
      <c r="I2192" s="6">
        <v>1111457</v>
      </c>
      <c r="J2192" s="7">
        <v>679.37</v>
      </c>
      <c r="K2192" s="9">
        <f>(PricingDataTable[[#This Row],[Current Price ($)]]-PricingDataTable[[#This Row],[Prior Price ($)]])/PricingDataTable[[#This Row],[Prior Price ($)]]</f>
        <v>-1.8345577078333899E-3</v>
      </c>
      <c r="L2192" s="9">
        <f>(PricingDataTable[[#This Row],[Vendor Price ($)]]-PricingDataTable[[#This Row],[Current Price ($)]])/PricingDataTable[[#This Row],[Current Price ($)]]</f>
        <v>3.3830178526970691E-3</v>
      </c>
      <c r="M2192" t="str">
        <f t="shared" si="68"/>
        <v>PASS</v>
      </c>
      <c r="N2192" s="10" t="str">
        <f t="shared" si="69"/>
        <v>NONE</v>
      </c>
    </row>
    <row r="2193" spans="1:14">
      <c r="A2193" s="4" t="s">
        <v>4402</v>
      </c>
      <c r="B2193" s="4" t="s">
        <v>4403</v>
      </c>
      <c r="C2193" s="4" t="s">
        <v>16</v>
      </c>
      <c r="D2193" s="4" t="s">
        <v>13</v>
      </c>
      <c r="E2193" s="5">
        <v>105.5728</v>
      </c>
      <c r="F2193" s="5">
        <v>106.0074</v>
      </c>
      <c r="G2193" s="5">
        <v>105.9913</v>
      </c>
      <c r="H2193" s="4">
        <v>0</v>
      </c>
      <c r="I2193" s="6">
        <v>3114993</v>
      </c>
      <c r="J2193" s="7">
        <v>857.21</v>
      </c>
      <c r="K2193" s="9">
        <f>(PricingDataTable[[#This Row],[Current Price ($)]]-PricingDataTable[[#This Row],[Prior Price ($)]])/PricingDataTable[[#This Row],[Prior Price ($)]]</f>
        <v>4.1165906369822836E-3</v>
      </c>
      <c r="L2193" s="9">
        <f>(PricingDataTable[[#This Row],[Vendor Price ($)]]-PricingDataTable[[#This Row],[Current Price ($)]])/PricingDataTable[[#This Row],[Current Price ($)]]</f>
        <v>-1.5187618977551248E-4</v>
      </c>
      <c r="M2193" t="str">
        <f t="shared" si="68"/>
        <v>PASS</v>
      </c>
      <c r="N2193" s="10" t="str">
        <f t="shared" si="69"/>
        <v>NONE</v>
      </c>
    </row>
    <row r="2194" spans="1:14">
      <c r="A2194" s="4" t="s">
        <v>4404</v>
      </c>
      <c r="B2194" s="4" t="s">
        <v>4405</v>
      </c>
      <c r="C2194" s="4" t="s">
        <v>19</v>
      </c>
      <c r="D2194" s="4" t="s">
        <v>36</v>
      </c>
      <c r="E2194" s="5">
        <v>267.55630000000002</v>
      </c>
      <c r="F2194" s="5">
        <v>271.12819999999999</v>
      </c>
      <c r="G2194" s="5">
        <v>271.12310000000002</v>
      </c>
      <c r="H2194" s="4">
        <v>1</v>
      </c>
      <c r="I2194" s="6">
        <v>726961</v>
      </c>
      <c r="J2194" s="7">
        <v>389.53</v>
      </c>
      <c r="K2194" s="9">
        <f>(PricingDataTable[[#This Row],[Current Price ($)]]-PricingDataTable[[#This Row],[Prior Price ($)]])/PricingDataTable[[#This Row],[Prior Price ($)]]</f>
        <v>1.3350087439540652E-2</v>
      </c>
      <c r="L2194" s="9">
        <f>(PricingDataTable[[#This Row],[Vendor Price ($)]]-PricingDataTable[[#This Row],[Current Price ($)]])/PricingDataTable[[#This Row],[Current Price ($)]]</f>
        <v>-1.8810289744741974E-5</v>
      </c>
      <c r="M2194" t="str">
        <f t="shared" si="68"/>
        <v>PASS</v>
      </c>
      <c r="N2194" s="10" t="str">
        <f t="shared" si="69"/>
        <v>NONE</v>
      </c>
    </row>
    <row r="2195" spans="1:14">
      <c r="A2195" s="4" t="s">
        <v>4406</v>
      </c>
      <c r="B2195" s="4" t="s">
        <v>4407</v>
      </c>
      <c r="C2195" s="4" t="s">
        <v>12</v>
      </c>
      <c r="D2195" s="4" t="s">
        <v>13</v>
      </c>
      <c r="E2195" s="5">
        <v>94.985600000000005</v>
      </c>
      <c r="F2195" s="5">
        <v>94.409000000000006</v>
      </c>
      <c r="G2195" s="5">
        <v>94.428299999999993</v>
      </c>
      <c r="H2195" s="4">
        <v>0</v>
      </c>
      <c r="I2195" s="6">
        <v>208393</v>
      </c>
      <c r="J2195" s="7">
        <v>55.85</v>
      </c>
      <c r="K2195" s="9">
        <f>(PricingDataTable[[#This Row],[Current Price ($)]]-PricingDataTable[[#This Row],[Prior Price ($)]])/PricingDataTable[[#This Row],[Prior Price ($)]]</f>
        <v>-6.0703938281170943E-3</v>
      </c>
      <c r="L2195" s="9">
        <f>(PricingDataTable[[#This Row],[Vendor Price ($)]]-PricingDataTable[[#This Row],[Current Price ($)]])/PricingDataTable[[#This Row],[Current Price ($)]]</f>
        <v>2.0442966242611397E-4</v>
      </c>
      <c r="M2195" t="str">
        <f t="shared" si="68"/>
        <v>PASS</v>
      </c>
      <c r="N2195" s="10" t="str">
        <f t="shared" si="69"/>
        <v>NONE</v>
      </c>
    </row>
    <row r="2196" spans="1:14">
      <c r="A2196" s="4" t="s">
        <v>4408</v>
      </c>
      <c r="B2196" s="4" t="s">
        <v>4409</v>
      </c>
      <c r="C2196" s="4" t="s">
        <v>16</v>
      </c>
      <c r="D2196" s="4" t="s">
        <v>36</v>
      </c>
      <c r="E2196" s="5">
        <v>95.409700000000001</v>
      </c>
      <c r="F2196" s="5">
        <v>96.091800000000006</v>
      </c>
      <c r="G2196" s="5">
        <v>96.011899999999997</v>
      </c>
      <c r="H2196" s="4">
        <v>5</v>
      </c>
      <c r="I2196" s="6">
        <v>2978556</v>
      </c>
      <c r="J2196" s="7">
        <v>627.5</v>
      </c>
      <c r="K2196" s="9">
        <f>(PricingDataTable[[#This Row],[Current Price ($)]]-PricingDataTable[[#This Row],[Prior Price ($)]])/PricingDataTable[[#This Row],[Prior Price ($)]]</f>
        <v>7.1491682711506844E-3</v>
      </c>
      <c r="L2196" s="9">
        <f>(PricingDataTable[[#This Row],[Vendor Price ($)]]-PricingDataTable[[#This Row],[Current Price ($)]])/PricingDataTable[[#This Row],[Current Price ($)]]</f>
        <v>-8.3149654809264867E-4</v>
      </c>
      <c r="M2196" t="str">
        <f t="shared" si="68"/>
        <v>STALE</v>
      </c>
      <c r="N2196" s="10" t="str">
        <f t="shared" si="69"/>
        <v>MEDIUM</v>
      </c>
    </row>
    <row r="2197" spans="1:14">
      <c r="A2197" s="4" t="s">
        <v>4410</v>
      </c>
      <c r="B2197" s="4" t="s">
        <v>4411</v>
      </c>
      <c r="C2197" s="4" t="s">
        <v>19</v>
      </c>
      <c r="D2197" s="4" t="s">
        <v>13</v>
      </c>
      <c r="E2197" s="5">
        <v>276.99090000000001</v>
      </c>
      <c r="F2197" s="5">
        <v>278.4221</v>
      </c>
      <c r="G2197" s="5">
        <v>277.95760000000001</v>
      </c>
      <c r="H2197" s="4">
        <v>1</v>
      </c>
      <c r="I2197" s="6">
        <v>1925579</v>
      </c>
      <c r="J2197" s="7">
        <v>645.77</v>
      </c>
      <c r="K2197" s="9">
        <f>(PricingDataTable[[#This Row],[Current Price ($)]]-PricingDataTable[[#This Row],[Prior Price ($)]])/PricingDataTable[[#This Row],[Prior Price ($)]]</f>
        <v>5.166956748398557E-3</v>
      </c>
      <c r="L2197" s="9">
        <f>(PricingDataTable[[#This Row],[Vendor Price ($)]]-PricingDataTable[[#This Row],[Current Price ($)]])/PricingDataTable[[#This Row],[Current Price ($)]]</f>
        <v>-1.6683302079827241E-3</v>
      </c>
      <c r="M2197" t="str">
        <f t="shared" si="68"/>
        <v>PASS</v>
      </c>
      <c r="N2197" s="10" t="str">
        <f t="shared" si="69"/>
        <v>NONE</v>
      </c>
    </row>
    <row r="2198" spans="1:14">
      <c r="A2198" s="4" t="s">
        <v>4412</v>
      </c>
      <c r="B2198" s="4" t="s">
        <v>4413</v>
      </c>
      <c r="C2198" s="4" t="s">
        <v>19</v>
      </c>
      <c r="D2198" s="4" t="s">
        <v>13</v>
      </c>
      <c r="E2198" s="5">
        <v>114.7704</v>
      </c>
      <c r="F2198" s="5">
        <v>114.18170000000001</v>
      </c>
      <c r="G2198" s="5">
        <v>113.96639999999999</v>
      </c>
      <c r="H2198" s="4">
        <v>0</v>
      </c>
      <c r="I2198" s="6">
        <v>1650644</v>
      </c>
      <c r="J2198" s="7">
        <v>614.58000000000004</v>
      </c>
      <c r="K2198" s="9">
        <f>(PricingDataTable[[#This Row],[Current Price ($)]]-PricingDataTable[[#This Row],[Prior Price ($)]])/PricingDataTable[[#This Row],[Prior Price ($)]]</f>
        <v>-5.1293713361632333E-3</v>
      </c>
      <c r="L2198" s="9">
        <f>(PricingDataTable[[#This Row],[Vendor Price ($)]]-PricingDataTable[[#This Row],[Current Price ($)]])/PricingDataTable[[#This Row],[Current Price ($)]]</f>
        <v>-1.8855911236215028E-3</v>
      </c>
      <c r="M2198" t="str">
        <f t="shared" si="68"/>
        <v>PASS</v>
      </c>
      <c r="N2198" s="10" t="str">
        <f t="shared" si="69"/>
        <v>NONE</v>
      </c>
    </row>
    <row r="2199" spans="1:14">
      <c r="A2199" s="4" t="s">
        <v>4414</v>
      </c>
      <c r="B2199" s="4" t="s">
        <v>4415</v>
      </c>
      <c r="C2199" s="4" t="s">
        <v>35</v>
      </c>
      <c r="D2199" s="4" t="s">
        <v>13</v>
      </c>
      <c r="E2199" s="5">
        <v>96.940799999999996</v>
      </c>
      <c r="F2199" s="5">
        <v>95.832599999999999</v>
      </c>
      <c r="G2199" s="5">
        <v>96.135000000000005</v>
      </c>
      <c r="H2199" s="4">
        <v>0</v>
      </c>
      <c r="I2199" s="6">
        <v>107043</v>
      </c>
      <c r="J2199" s="7">
        <v>242.59</v>
      </c>
      <c r="K2199" s="9">
        <f>(PricingDataTable[[#This Row],[Current Price ($)]]-PricingDataTable[[#This Row],[Prior Price ($)]])/PricingDataTable[[#This Row],[Prior Price ($)]]</f>
        <v>-1.1431719152307352E-2</v>
      </c>
      <c r="L2199" s="9">
        <f>(PricingDataTable[[#This Row],[Vendor Price ($)]]-PricingDataTable[[#This Row],[Current Price ($)]])/PricingDataTable[[#This Row],[Current Price ($)]]</f>
        <v>3.1555024073228292E-3</v>
      </c>
      <c r="M2199" t="str">
        <f t="shared" si="68"/>
        <v>PASS</v>
      </c>
      <c r="N2199" s="10" t="str">
        <f t="shared" si="69"/>
        <v>NONE</v>
      </c>
    </row>
    <row r="2200" spans="1:14">
      <c r="A2200" s="4" t="s">
        <v>4416</v>
      </c>
      <c r="B2200" s="4" t="s">
        <v>4417</v>
      </c>
      <c r="C2200" s="4" t="s">
        <v>19</v>
      </c>
      <c r="D2200" s="4" t="s">
        <v>13</v>
      </c>
      <c r="E2200" s="5">
        <v>251.1155</v>
      </c>
      <c r="F2200" s="5">
        <v>247.58260000000001</v>
      </c>
      <c r="G2200" s="5">
        <v>246.69749999999999</v>
      </c>
      <c r="H2200" s="4">
        <v>3</v>
      </c>
      <c r="I2200" s="6">
        <v>139936</v>
      </c>
      <c r="J2200" s="7">
        <v>804.3</v>
      </c>
      <c r="K2200" s="9">
        <f>(PricingDataTable[[#This Row],[Current Price ($)]]-PricingDataTable[[#This Row],[Prior Price ($)]])/PricingDataTable[[#This Row],[Prior Price ($)]]</f>
        <v>-1.4068824903281494E-2</v>
      </c>
      <c r="L2200" s="9">
        <f>(PricingDataTable[[#This Row],[Vendor Price ($)]]-PricingDataTable[[#This Row],[Current Price ($)]])/PricingDataTable[[#This Row],[Current Price ($)]]</f>
        <v>-3.5749685155581313E-3</v>
      </c>
      <c r="M2200" t="str">
        <f t="shared" si="68"/>
        <v>STALE</v>
      </c>
      <c r="N2200" s="10" t="str">
        <f t="shared" si="69"/>
        <v>LOW</v>
      </c>
    </row>
    <row r="2201" spans="1:14">
      <c r="A2201" s="4" t="s">
        <v>4418</v>
      </c>
      <c r="B2201" s="4" t="s">
        <v>4419</v>
      </c>
      <c r="C2201" s="4" t="s">
        <v>19</v>
      </c>
      <c r="D2201" s="4" t="s">
        <v>64</v>
      </c>
      <c r="E2201" s="5">
        <v>129.9374</v>
      </c>
      <c r="F2201" s="5">
        <v>128.98429999999999</v>
      </c>
      <c r="G2201" s="5">
        <v>129.67590000000001</v>
      </c>
      <c r="H2201" s="4">
        <v>0</v>
      </c>
      <c r="I2201" s="6">
        <v>1320880</v>
      </c>
      <c r="J2201" s="7">
        <v>391.68</v>
      </c>
      <c r="K2201" s="9">
        <f>(PricingDataTable[[#This Row],[Current Price ($)]]-PricingDataTable[[#This Row],[Prior Price ($)]])/PricingDataTable[[#This Row],[Prior Price ($)]]</f>
        <v>-7.3350705801409474E-3</v>
      </c>
      <c r="L2201" s="9">
        <f>(PricingDataTable[[#This Row],[Vendor Price ($)]]-PricingDataTable[[#This Row],[Current Price ($)]])/PricingDataTable[[#This Row],[Current Price ($)]]</f>
        <v>5.361892881536919E-3</v>
      </c>
      <c r="M2201" t="str">
        <f t="shared" si="68"/>
        <v>PASS</v>
      </c>
      <c r="N2201" s="10" t="str">
        <f t="shared" si="69"/>
        <v>NONE</v>
      </c>
    </row>
    <row r="2202" spans="1:14">
      <c r="A2202" s="4" t="s">
        <v>4420</v>
      </c>
      <c r="B2202" s="4" t="s">
        <v>4421</v>
      </c>
      <c r="C2202" s="4" t="s">
        <v>19</v>
      </c>
      <c r="D2202" s="4" t="s">
        <v>13</v>
      </c>
      <c r="E2202" s="5">
        <v>289.77640000000002</v>
      </c>
      <c r="F2202" s="5">
        <v>292.71600000000001</v>
      </c>
      <c r="G2202" s="5">
        <v>294.91669999999999</v>
      </c>
      <c r="H2202" s="4">
        <v>0</v>
      </c>
      <c r="I2202" s="6">
        <v>1114893</v>
      </c>
      <c r="J2202" s="7">
        <v>473.65</v>
      </c>
      <c r="K2202" s="9">
        <f>(PricingDataTable[[#This Row],[Current Price ($)]]-PricingDataTable[[#This Row],[Prior Price ($)]])/PricingDataTable[[#This Row],[Prior Price ($)]]</f>
        <v>1.0144373385824326E-2</v>
      </c>
      <c r="L2202" s="9">
        <f>(PricingDataTable[[#This Row],[Vendor Price ($)]]-PricingDataTable[[#This Row],[Current Price ($)]])/PricingDataTable[[#This Row],[Current Price ($)]]</f>
        <v>7.5182087757416178E-3</v>
      </c>
      <c r="M2202" t="str">
        <f t="shared" si="68"/>
        <v>PASS</v>
      </c>
      <c r="N2202" s="10" t="str">
        <f t="shared" si="69"/>
        <v>NONE</v>
      </c>
    </row>
    <row r="2203" spans="1:14">
      <c r="A2203" s="4" t="s">
        <v>4422</v>
      </c>
      <c r="B2203" s="4" t="s">
        <v>4423</v>
      </c>
      <c r="C2203" s="4" t="s">
        <v>12</v>
      </c>
      <c r="D2203" s="4" t="s">
        <v>13</v>
      </c>
      <c r="E2203" s="5">
        <v>86.047399999999996</v>
      </c>
      <c r="F2203" s="5">
        <v>83.863399999999999</v>
      </c>
      <c r="G2203" s="5">
        <v>84.011499999999998</v>
      </c>
      <c r="H2203" s="4">
        <v>1</v>
      </c>
      <c r="I2203" s="6">
        <v>674627</v>
      </c>
      <c r="J2203" s="7">
        <v>624.11</v>
      </c>
      <c r="K2203" s="9">
        <f>(PricingDataTable[[#This Row],[Current Price ($)]]-PricingDataTable[[#This Row],[Prior Price ($)]])/PricingDataTable[[#This Row],[Prior Price ($)]]</f>
        <v>-2.5381359576233536E-2</v>
      </c>
      <c r="L2203" s="9">
        <f>(PricingDataTable[[#This Row],[Vendor Price ($)]]-PricingDataTable[[#This Row],[Current Price ($)]])/PricingDataTable[[#This Row],[Current Price ($)]]</f>
        <v>1.7659670368718589E-3</v>
      </c>
      <c r="M2203" t="str">
        <f t="shared" si="68"/>
        <v>PASS</v>
      </c>
      <c r="N2203" s="10" t="str">
        <f t="shared" si="69"/>
        <v>NONE</v>
      </c>
    </row>
    <row r="2204" spans="1:14">
      <c r="A2204" s="4" t="s">
        <v>4424</v>
      </c>
      <c r="B2204" s="4" t="s">
        <v>4425</v>
      </c>
      <c r="C2204" s="4" t="s">
        <v>19</v>
      </c>
      <c r="D2204" s="4" t="s">
        <v>13</v>
      </c>
      <c r="E2204" s="5">
        <v>135.9528</v>
      </c>
      <c r="F2204" s="5">
        <v>133.82409999999999</v>
      </c>
      <c r="G2204" s="5">
        <v>133.52889999999999</v>
      </c>
      <c r="H2204" s="4">
        <v>1</v>
      </c>
      <c r="I2204" s="6">
        <v>1072785</v>
      </c>
      <c r="J2204" s="7">
        <v>298.58999999999997</v>
      </c>
      <c r="K2204" s="9">
        <f>(PricingDataTable[[#This Row],[Current Price ($)]]-PricingDataTable[[#This Row],[Prior Price ($)]])/PricingDataTable[[#This Row],[Prior Price ($)]]</f>
        <v>-1.5657640004472208E-2</v>
      </c>
      <c r="L2204" s="9">
        <f>(PricingDataTable[[#This Row],[Vendor Price ($)]]-PricingDataTable[[#This Row],[Current Price ($)]])/PricingDataTable[[#This Row],[Current Price ($)]]</f>
        <v>-2.2058807045965126E-3</v>
      </c>
      <c r="M2204" t="str">
        <f t="shared" si="68"/>
        <v>PASS</v>
      </c>
      <c r="N2204" s="10" t="str">
        <f t="shared" si="69"/>
        <v>NONE</v>
      </c>
    </row>
    <row r="2205" spans="1:14">
      <c r="A2205" s="4" t="s">
        <v>4426</v>
      </c>
      <c r="B2205" s="4" t="s">
        <v>4427</v>
      </c>
      <c r="C2205" s="4" t="s">
        <v>16</v>
      </c>
      <c r="D2205" s="4" t="s">
        <v>36</v>
      </c>
      <c r="E2205" s="5">
        <v>107.4675</v>
      </c>
      <c r="F2205" s="5">
        <v>105.8783</v>
      </c>
      <c r="G2205" s="5">
        <v>106.1451</v>
      </c>
      <c r="H2205" s="4">
        <v>0</v>
      </c>
      <c r="I2205" s="6">
        <v>786344</v>
      </c>
      <c r="J2205" s="7">
        <v>783.78</v>
      </c>
      <c r="K2205" s="9">
        <f>(PricingDataTable[[#This Row],[Current Price ($)]]-PricingDataTable[[#This Row],[Prior Price ($)]])/PricingDataTable[[#This Row],[Prior Price ($)]]</f>
        <v>-1.4787726521971807E-2</v>
      </c>
      <c r="L2205" s="9">
        <f>(PricingDataTable[[#This Row],[Vendor Price ($)]]-PricingDataTable[[#This Row],[Current Price ($)]])/PricingDataTable[[#This Row],[Current Price ($)]]</f>
        <v>2.5198742329637282E-3</v>
      </c>
      <c r="M2205" t="str">
        <f t="shared" si="68"/>
        <v>PASS</v>
      </c>
      <c r="N2205" s="10" t="str">
        <f t="shared" si="69"/>
        <v>NONE</v>
      </c>
    </row>
    <row r="2206" spans="1:14">
      <c r="A2206" s="4" t="s">
        <v>4428</v>
      </c>
      <c r="B2206" s="4" t="s">
        <v>4429</v>
      </c>
      <c r="C2206" s="4" t="s">
        <v>12</v>
      </c>
      <c r="D2206" s="4" t="s">
        <v>13</v>
      </c>
      <c r="E2206" s="5">
        <v>82.116299999999995</v>
      </c>
      <c r="F2206" s="5">
        <v>80.747900000000001</v>
      </c>
      <c r="G2206" s="5">
        <v>80.552999999999997</v>
      </c>
      <c r="H2206" s="4">
        <v>0</v>
      </c>
      <c r="I2206" s="6">
        <v>3941152</v>
      </c>
      <c r="J2206" s="7">
        <v>343.14</v>
      </c>
      <c r="K2206" s="9">
        <f>(PricingDataTable[[#This Row],[Current Price ($)]]-PricingDataTable[[#This Row],[Prior Price ($)]])/PricingDataTable[[#This Row],[Prior Price ($)]]</f>
        <v>-1.6664170207376539E-2</v>
      </c>
      <c r="L2206" s="9">
        <f>(PricingDataTable[[#This Row],[Vendor Price ($)]]-PricingDataTable[[#This Row],[Current Price ($)]])/PricingDataTable[[#This Row],[Current Price ($)]]</f>
        <v>-2.4136850617787467E-3</v>
      </c>
      <c r="M2206" t="str">
        <f t="shared" si="68"/>
        <v>PASS</v>
      </c>
      <c r="N2206" s="10" t="str">
        <f t="shared" si="69"/>
        <v>NONE</v>
      </c>
    </row>
    <row r="2207" spans="1:14">
      <c r="A2207" s="4" t="s">
        <v>4430</v>
      </c>
      <c r="B2207" s="4" t="s">
        <v>4431</v>
      </c>
      <c r="C2207" s="4" t="s">
        <v>19</v>
      </c>
      <c r="D2207" s="4" t="s">
        <v>13</v>
      </c>
      <c r="E2207" s="5">
        <v>144.95079999999999</v>
      </c>
      <c r="F2207" s="5">
        <v>146.52090000000001</v>
      </c>
      <c r="G2207" s="5">
        <v>146.2604</v>
      </c>
      <c r="H2207" s="4">
        <v>0</v>
      </c>
      <c r="I2207" s="6">
        <v>2826424</v>
      </c>
      <c r="J2207" s="7">
        <v>825.28</v>
      </c>
      <c r="K2207" s="9">
        <f>(PricingDataTable[[#This Row],[Current Price ($)]]-PricingDataTable[[#This Row],[Prior Price ($)]])/PricingDataTable[[#This Row],[Prior Price ($)]]</f>
        <v>1.083195125518469E-2</v>
      </c>
      <c r="L2207" s="9">
        <f>(PricingDataTable[[#This Row],[Vendor Price ($)]]-PricingDataTable[[#This Row],[Current Price ($)]])/PricingDataTable[[#This Row],[Current Price ($)]]</f>
        <v>-1.777903357132037E-3</v>
      </c>
      <c r="M2207" t="str">
        <f t="shared" si="68"/>
        <v>PASS</v>
      </c>
      <c r="N2207" s="10" t="str">
        <f t="shared" si="69"/>
        <v>NONE</v>
      </c>
    </row>
    <row r="2208" spans="1:14">
      <c r="A2208" s="4" t="s">
        <v>4432</v>
      </c>
      <c r="B2208" s="4" t="s">
        <v>4433</v>
      </c>
      <c r="C2208" s="4" t="s">
        <v>19</v>
      </c>
      <c r="D2208" s="4" t="s">
        <v>13</v>
      </c>
      <c r="E2208" s="5">
        <v>117.57170000000001</v>
      </c>
      <c r="F2208" s="5">
        <v>117.5176</v>
      </c>
      <c r="G2208" s="5">
        <v>117.1529</v>
      </c>
      <c r="H2208" s="4">
        <v>0</v>
      </c>
      <c r="I2208" s="6">
        <v>4116453</v>
      </c>
      <c r="J2208" s="7">
        <v>195.64</v>
      </c>
      <c r="K2208" s="9">
        <f>(PricingDataTable[[#This Row],[Current Price ($)]]-PricingDataTable[[#This Row],[Prior Price ($)]])/PricingDataTable[[#This Row],[Prior Price ($)]]</f>
        <v>-4.6014474571691455E-4</v>
      </c>
      <c r="L2208" s="9">
        <f>(PricingDataTable[[#This Row],[Vendor Price ($)]]-PricingDataTable[[#This Row],[Current Price ($)]])/PricingDataTable[[#This Row],[Current Price ($)]]</f>
        <v>-3.1033649427830308E-3</v>
      </c>
      <c r="M2208" t="str">
        <f t="shared" si="68"/>
        <v>PASS</v>
      </c>
      <c r="N2208" s="10" t="str">
        <f t="shared" si="69"/>
        <v>NONE</v>
      </c>
    </row>
    <row r="2209" spans="1:14">
      <c r="A2209" s="4" t="s">
        <v>4434</v>
      </c>
      <c r="B2209" s="4" t="s">
        <v>4435</v>
      </c>
      <c r="C2209" s="4" t="s">
        <v>39</v>
      </c>
      <c r="D2209" s="4" t="s">
        <v>13</v>
      </c>
      <c r="E2209" s="5">
        <v>234.46780000000001</v>
      </c>
      <c r="F2209" s="5">
        <v>233.8854</v>
      </c>
      <c r="G2209" s="5">
        <v>232.2022</v>
      </c>
      <c r="H2209" s="4">
        <v>0</v>
      </c>
      <c r="I2209" s="6">
        <v>2944763</v>
      </c>
      <c r="J2209" s="7">
        <v>662.3</v>
      </c>
      <c r="K2209" s="9">
        <f>(PricingDataTable[[#This Row],[Current Price ($)]]-PricingDataTable[[#This Row],[Prior Price ($)]])/PricingDataTable[[#This Row],[Prior Price ($)]]</f>
        <v>-2.4839231655690327E-3</v>
      </c>
      <c r="L2209" s="9">
        <f>(PricingDataTable[[#This Row],[Vendor Price ($)]]-PricingDataTable[[#This Row],[Current Price ($)]])/PricingDataTable[[#This Row],[Current Price ($)]]</f>
        <v>-7.1966869244510321E-3</v>
      </c>
      <c r="M2209" t="str">
        <f t="shared" si="68"/>
        <v>PASS</v>
      </c>
      <c r="N2209" s="10" t="str">
        <f t="shared" si="69"/>
        <v>NONE</v>
      </c>
    </row>
    <row r="2210" spans="1:14">
      <c r="A2210" s="4" t="s">
        <v>4436</v>
      </c>
      <c r="B2210" s="4" t="s">
        <v>4437</v>
      </c>
      <c r="C2210" s="4" t="s">
        <v>19</v>
      </c>
      <c r="D2210" s="4" t="s">
        <v>13</v>
      </c>
      <c r="E2210" s="5">
        <v>71.573499999999996</v>
      </c>
      <c r="F2210" s="5">
        <v>72.122699999999995</v>
      </c>
      <c r="G2210" s="5">
        <v>72.0749</v>
      </c>
      <c r="H2210" s="4">
        <v>0</v>
      </c>
      <c r="I2210" s="6">
        <v>3284611</v>
      </c>
      <c r="J2210" s="7">
        <v>4.78</v>
      </c>
      <c r="K2210" s="9">
        <f>(PricingDataTable[[#This Row],[Current Price ($)]]-PricingDataTable[[#This Row],[Prior Price ($)]])/PricingDataTable[[#This Row],[Prior Price ($)]]</f>
        <v>7.6732310142720288E-3</v>
      </c>
      <c r="L2210" s="9">
        <f>(PricingDataTable[[#This Row],[Vendor Price ($)]]-PricingDataTable[[#This Row],[Current Price ($)]])/PricingDataTable[[#This Row],[Current Price ($)]]</f>
        <v>-6.6275943634937662E-4</v>
      </c>
      <c r="M2210" t="str">
        <f t="shared" si="68"/>
        <v>PASS</v>
      </c>
      <c r="N2210" s="10" t="str">
        <f t="shared" si="69"/>
        <v>NONE</v>
      </c>
    </row>
    <row r="2211" spans="1:14">
      <c r="A2211" s="4" t="s">
        <v>4438</v>
      </c>
      <c r="B2211" s="4" t="s">
        <v>4439</v>
      </c>
      <c r="C2211" s="4" t="s">
        <v>19</v>
      </c>
      <c r="D2211" s="4" t="s">
        <v>13</v>
      </c>
      <c r="E2211" s="5">
        <v>111.4084</v>
      </c>
      <c r="F2211" s="5">
        <v>110.07510000000001</v>
      </c>
      <c r="G2211" s="5">
        <v>114.96040000000001</v>
      </c>
      <c r="H2211" s="4">
        <v>2</v>
      </c>
      <c r="I2211" s="6">
        <v>3753006</v>
      </c>
      <c r="J2211" s="7">
        <v>696.24</v>
      </c>
      <c r="K2211" s="9">
        <f>(PricingDataTable[[#This Row],[Current Price ($)]]-PricingDataTable[[#This Row],[Prior Price ($)]])/PricingDataTable[[#This Row],[Prior Price ($)]]</f>
        <v>-1.1967679277325536E-2</v>
      </c>
      <c r="L2211" s="9">
        <f>(PricingDataTable[[#This Row],[Vendor Price ($)]]-PricingDataTable[[#This Row],[Current Price ($)]])/PricingDataTable[[#This Row],[Current Price ($)]]</f>
        <v>4.4381517709273038E-2</v>
      </c>
      <c r="M2211" t="str">
        <f t="shared" si="68"/>
        <v>VENDOR DIFFERENCE</v>
      </c>
      <c r="N2211" s="10" t="str">
        <f t="shared" si="69"/>
        <v>MEDIUM</v>
      </c>
    </row>
    <row r="2212" spans="1:14">
      <c r="A2212" s="4" t="s">
        <v>4440</v>
      </c>
      <c r="B2212" s="4" t="s">
        <v>4441</v>
      </c>
      <c r="C2212" s="4" t="s">
        <v>12</v>
      </c>
      <c r="D2212" s="4" t="s">
        <v>13</v>
      </c>
      <c r="E2212" s="5">
        <v>98.451400000000007</v>
      </c>
      <c r="F2212" s="5">
        <v>97.750299999999996</v>
      </c>
      <c r="G2212" s="5">
        <v>97.967799999999997</v>
      </c>
      <c r="H2212" s="4">
        <v>5</v>
      </c>
      <c r="I2212" s="6">
        <v>195690</v>
      </c>
      <c r="J2212" s="7">
        <v>539.6</v>
      </c>
      <c r="K2212" s="9">
        <f>(PricingDataTable[[#This Row],[Current Price ($)]]-PricingDataTable[[#This Row],[Prior Price ($)]])/PricingDataTable[[#This Row],[Prior Price ($)]]</f>
        <v>-7.1212801443149704E-3</v>
      </c>
      <c r="L2212" s="9">
        <f>(PricingDataTable[[#This Row],[Vendor Price ($)]]-PricingDataTable[[#This Row],[Current Price ($)]])/PricingDataTable[[#This Row],[Current Price ($)]]</f>
        <v>2.2250571097991632E-3</v>
      </c>
      <c r="M2212" t="str">
        <f t="shared" si="68"/>
        <v>STALE</v>
      </c>
      <c r="N2212" s="10" t="str">
        <f t="shared" si="69"/>
        <v>MEDIUM</v>
      </c>
    </row>
    <row r="2213" spans="1:14">
      <c r="A2213" s="4" t="s">
        <v>4442</v>
      </c>
      <c r="B2213" s="4" t="s">
        <v>4443</v>
      </c>
      <c r="C2213" s="4" t="s">
        <v>35</v>
      </c>
      <c r="D2213" s="4" t="s">
        <v>13</v>
      </c>
      <c r="E2213" s="5">
        <v>168.91239999999999</v>
      </c>
      <c r="F2213" s="5">
        <v>168.12039999999999</v>
      </c>
      <c r="G2213" s="5">
        <v>167.40430000000001</v>
      </c>
      <c r="H2213" s="4">
        <v>0</v>
      </c>
      <c r="I2213" s="6">
        <v>2072355</v>
      </c>
      <c r="J2213" s="7">
        <v>644.25</v>
      </c>
      <c r="K2213" s="9">
        <f>(PricingDataTable[[#This Row],[Current Price ($)]]-PricingDataTable[[#This Row],[Prior Price ($)]])/PricingDataTable[[#This Row],[Prior Price ($)]]</f>
        <v>-4.6888209509781502E-3</v>
      </c>
      <c r="L2213" s="9">
        <f>(PricingDataTable[[#This Row],[Vendor Price ($)]]-PricingDataTable[[#This Row],[Current Price ($)]])/PricingDataTable[[#This Row],[Current Price ($)]]</f>
        <v>-4.2594473960327426E-3</v>
      </c>
      <c r="M2213" t="str">
        <f t="shared" si="68"/>
        <v>PASS</v>
      </c>
      <c r="N2213" s="10" t="str">
        <f t="shared" si="69"/>
        <v>NONE</v>
      </c>
    </row>
    <row r="2214" spans="1:14">
      <c r="A2214" s="4" t="s">
        <v>4444</v>
      </c>
      <c r="B2214" s="4" t="s">
        <v>4445</v>
      </c>
      <c r="C2214" s="4" t="s">
        <v>35</v>
      </c>
      <c r="D2214" s="4" t="s">
        <v>64</v>
      </c>
      <c r="E2214" s="5">
        <v>47.379600000000003</v>
      </c>
      <c r="F2214" s="5">
        <v>46.985999999999997</v>
      </c>
      <c r="G2214" s="5">
        <v>46.989800000000002</v>
      </c>
      <c r="H2214" s="4">
        <v>0</v>
      </c>
      <c r="I2214" s="6">
        <v>2732179</v>
      </c>
      <c r="J2214" s="7">
        <v>117.86</v>
      </c>
      <c r="K2214" s="9">
        <f>(PricingDataTable[[#This Row],[Current Price ($)]]-PricingDataTable[[#This Row],[Prior Price ($)]])/PricingDataTable[[#This Row],[Prior Price ($)]]</f>
        <v>-8.3073727933542368E-3</v>
      </c>
      <c r="L2214" s="9">
        <f>(PricingDataTable[[#This Row],[Vendor Price ($)]]-PricingDataTable[[#This Row],[Current Price ($)]])/PricingDataTable[[#This Row],[Current Price ($)]]</f>
        <v>8.0875154301395202E-5</v>
      </c>
      <c r="M2214" t="str">
        <f t="shared" si="68"/>
        <v>PASS</v>
      </c>
      <c r="N2214" s="10" t="str">
        <f t="shared" si="69"/>
        <v>NONE</v>
      </c>
    </row>
    <row r="2215" spans="1:14">
      <c r="A2215" s="4" t="s">
        <v>4446</v>
      </c>
      <c r="B2215" s="4" t="s">
        <v>4447</v>
      </c>
      <c r="C2215" s="4" t="s">
        <v>12</v>
      </c>
      <c r="D2215" s="4" t="s">
        <v>13</v>
      </c>
      <c r="E2215" s="5">
        <v>92.238500000000002</v>
      </c>
      <c r="F2215" s="5">
        <v>93.638999999999996</v>
      </c>
      <c r="G2215" s="5">
        <v>93.610699999999994</v>
      </c>
      <c r="H2215" s="4">
        <v>0</v>
      </c>
      <c r="I2215" s="6">
        <v>4435764</v>
      </c>
      <c r="J2215" s="7">
        <v>830.14</v>
      </c>
      <c r="K2215" s="9">
        <f>(PricingDataTable[[#This Row],[Current Price ($)]]-PricingDataTable[[#This Row],[Prior Price ($)]])/PricingDataTable[[#This Row],[Prior Price ($)]]</f>
        <v>1.5183464605343689E-2</v>
      </c>
      <c r="L2215" s="9">
        <f>(PricingDataTable[[#This Row],[Vendor Price ($)]]-PricingDataTable[[#This Row],[Current Price ($)]])/PricingDataTable[[#This Row],[Current Price ($)]]</f>
        <v>-3.0222450047524585E-4</v>
      </c>
      <c r="M2215" t="str">
        <f t="shared" si="68"/>
        <v>PASS</v>
      </c>
      <c r="N2215" s="10" t="str">
        <f t="shared" si="69"/>
        <v>NONE</v>
      </c>
    </row>
    <row r="2216" spans="1:14">
      <c r="A2216" s="4" t="s">
        <v>4448</v>
      </c>
      <c r="B2216" s="4" t="s">
        <v>4449</v>
      </c>
      <c r="C2216" s="4" t="s">
        <v>19</v>
      </c>
      <c r="D2216" s="4" t="s">
        <v>13</v>
      </c>
      <c r="E2216" s="5">
        <v>91.965000000000003</v>
      </c>
      <c r="F2216" s="5">
        <v>91.936000000000007</v>
      </c>
      <c r="G2216" s="5">
        <v>92.017899999999997</v>
      </c>
      <c r="H2216" s="4">
        <v>0</v>
      </c>
      <c r="I2216" s="6">
        <v>2713625</v>
      </c>
      <c r="J2216" s="7">
        <v>52.17</v>
      </c>
      <c r="K2216" s="9">
        <f>(PricingDataTable[[#This Row],[Current Price ($)]]-PricingDataTable[[#This Row],[Prior Price ($)]])/PricingDataTable[[#This Row],[Prior Price ($)]]</f>
        <v>-3.1533735660301595E-4</v>
      </c>
      <c r="L2216" s="9">
        <f>(PricingDataTable[[#This Row],[Vendor Price ($)]]-PricingDataTable[[#This Row],[Current Price ($)]])/PricingDataTable[[#This Row],[Current Price ($)]]</f>
        <v>8.9083710407229278E-4</v>
      </c>
      <c r="M2216" t="str">
        <f t="shared" si="68"/>
        <v>PASS</v>
      </c>
      <c r="N2216" s="10" t="str">
        <f t="shared" si="69"/>
        <v>NONE</v>
      </c>
    </row>
    <row r="2217" spans="1:14">
      <c r="A2217" s="4" t="s">
        <v>4450</v>
      </c>
      <c r="B2217" s="4" t="s">
        <v>4451</v>
      </c>
      <c r="C2217" s="4" t="s">
        <v>16</v>
      </c>
      <c r="D2217" s="4" t="s">
        <v>13</v>
      </c>
      <c r="E2217" s="5">
        <v>104.58459999999999</v>
      </c>
      <c r="F2217" s="5">
        <v>104.1114</v>
      </c>
      <c r="G2217" s="5">
        <v>103.887</v>
      </c>
      <c r="H2217" s="4">
        <v>0</v>
      </c>
      <c r="I2217" s="6">
        <v>1948787</v>
      </c>
      <c r="J2217" s="7">
        <v>322.62</v>
      </c>
      <c r="K2217" s="9">
        <f>(PricingDataTable[[#This Row],[Current Price ($)]]-PricingDataTable[[#This Row],[Prior Price ($)]])/PricingDataTable[[#This Row],[Prior Price ($)]]</f>
        <v>-4.5245667144110267E-3</v>
      </c>
      <c r="L2217" s="9">
        <f>(PricingDataTable[[#This Row],[Vendor Price ($)]]-PricingDataTable[[#This Row],[Current Price ($)]])/PricingDataTable[[#This Row],[Current Price ($)]]</f>
        <v>-2.1553835603017805E-3</v>
      </c>
      <c r="M2217" t="str">
        <f t="shared" si="68"/>
        <v>PASS</v>
      </c>
      <c r="N2217" s="10" t="str">
        <f t="shared" si="69"/>
        <v>NONE</v>
      </c>
    </row>
    <row r="2218" spans="1:14">
      <c r="A2218" s="4" t="s">
        <v>4452</v>
      </c>
      <c r="B2218" s="4" t="s">
        <v>4453</v>
      </c>
      <c r="C2218" s="4" t="s">
        <v>12</v>
      </c>
      <c r="D2218" s="4" t="s">
        <v>13</v>
      </c>
      <c r="E2218" s="5">
        <v>80.604900000000001</v>
      </c>
      <c r="F2218" s="5">
        <v>81.233800000000002</v>
      </c>
      <c r="G2218" s="5">
        <v>80.898499999999999</v>
      </c>
      <c r="H2218" s="4">
        <v>0</v>
      </c>
      <c r="I2218" s="6">
        <v>378544</v>
      </c>
      <c r="J2218" s="7">
        <v>188.78</v>
      </c>
      <c r="K2218" s="9">
        <f>(PricingDataTable[[#This Row],[Current Price ($)]]-PricingDataTable[[#This Row],[Prior Price ($)]])/PricingDataTable[[#This Row],[Prior Price ($)]]</f>
        <v>7.8022551978850115E-3</v>
      </c>
      <c r="L2218" s="9">
        <f>(PricingDataTable[[#This Row],[Vendor Price ($)]]-PricingDataTable[[#This Row],[Current Price ($)]])/PricingDataTable[[#This Row],[Current Price ($)]]</f>
        <v>-4.1275922091543633E-3</v>
      </c>
      <c r="M2218" t="str">
        <f t="shared" si="68"/>
        <v>PASS</v>
      </c>
      <c r="N2218" s="10" t="str">
        <f t="shared" si="69"/>
        <v>NONE</v>
      </c>
    </row>
    <row r="2219" spans="1:14">
      <c r="A2219" s="4" t="s">
        <v>4454</v>
      </c>
      <c r="B2219" s="4" t="s">
        <v>4455</v>
      </c>
      <c r="C2219" s="4" t="s">
        <v>12</v>
      </c>
      <c r="D2219" s="4" t="s">
        <v>13</v>
      </c>
      <c r="E2219" s="5">
        <v>75.034599999999998</v>
      </c>
      <c r="F2219" s="5">
        <v>74.536900000000003</v>
      </c>
      <c r="G2219" s="5">
        <v>74.920100000000005</v>
      </c>
      <c r="H2219" s="4">
        <v>0</v>
      </c>
      <c r="I2219" s="6">
        <v>4890207</v>
      </c>
      <c r="J2219" s="7">
        <v>110.45</v>
      </c>
      <c r="K2219" s="9">
        <f>(PricingDataTable[[#This Row],[Current Price ($)]]-PricingDataTable[[#This Row],[Prior Price ($)]])/PricingDataTable[[#This Row],[Prior Price ($)]]</f>
        <v>-6.6329400036782326E-3</v>
      </c>
      <c r="L2219" s="9">
        <f>(PricingDataTable[[#This Row],[Vendor Price ($)]]-PricingDataTable[[#This Row],[Current Price ($)]])/PricingDataTable[[#This Row],[Current Price ($)]]</f>
        <v>5.1410777749007833E-3</v>
      </c>
      <c r="M2219" t="str">
        <f t="shared" si="68"/>
        <v>PASS</v>
      </c>
      <c r="N2219" s="10" t="str">
        <f t="shared" si="69"/>
        <v>NONE</v>
      </c>
    </row>
    <row r="2220" spans="1:14">
      <c r="A2220" s="4" t="s">
        <v>4456</v>
      </c>
      <c r="B2220" s="4" t="s">
        <v>4457</v>
      </c>
      <c r="C2220" s="4" t="s">
        <v>16</v>
      </c>
      <c r="D2220" s="4" t="s">
        <v>13</v>
      </c>
      <c r="E2220" s="5">
        <v>80.789599999999993</v>
      </c>
      <c r="F2220" s="5">
        <v>79.313400000000001</v>
      </c>
      <c r="G2220" s="5">
        <v>79.900300000000001</v>
      </c>
      <c r="H2220" s="4">
        <v>1</v>
      </c>
      <c r="I2220" s="6">
        <v>4625212</v>
      </c>
      <c r="J2220" s="7">
        <v>709.83</v>
      </c>
      <c r="K2220" s="9">
        <f>(PricingDataTable[[#This Row],[Current Price ($)]]-PricingDataTable[[#This Row],[Prior Price ($)]])/PricingDataTable[[#This Row],[Prior Price ($)]]</f>
        <v>-1.8272153841583465E-2</v>
      </c>
      <c r="L2220" s="9">
        <f>(PricingDataTable[[#This Row],[Vendor Price ($)]]-PricingDataTable[[#This Row],[Current Price ($)]])/PricingDataTable[[#This Row],[Current Price ($)]]</f>
        <v>7.3997584266971275E-3</v>
      </c>
      <c r="M2220" t="str">
        <f t="shared" si="68"/>
        <v>PASS</v>
      </c>
      <c r="N2220" s="10" t="str">
        <f t="shared" si="69"/>
        <v>NONE</v>
      </c>
    </row>
    <row r="2221" spans="1:14">
      <c r="A2221" s="4" t="s">
        <v>4458</v>
      </c>
      <c r="B2221" s="4" t="s">
        <v>4459</v>
      </c>
      <c r="C2221" s="4" t="s">
        <v>12</v>
      </c>
      <c r="D2221" s="4" t="s">
        <v>13</v>
      </c>
      <c r="E2221" s="5">
        <v>106.9237</v>
      </c>
      <c r="F2221" s="5">
        <v>107.2407</v>
      </c>
      <c r="G2221" s="5">
        <v>107.18519999999999</v>
      </c>
      <c r="H2221" s="4">
        <v>0</v>
      </c>
      <c r="I2221" s="6">
        <v>3128330</v>
      </c>
      <c r="J2221" s="7">
        <v>118.09</v>
      </c>
      <c r="K2221" s="9">
        <f>(PricingDataTable[[#This Row],[Current Price ($)]]-PricingDataTable[[#This Row],[Prior Price ($)]])/PricingDataTable[[#This Row],[Prior Price ($)]]</f>
        <v>2.9647309249493546E-3</v>
      </c>
      <c r="L2221" s="9">
        <f>(PricingDataTable[[#This Row],[Vendor Price ($)]]-PricingDataTable[[#This Row],[Current Price ($)]])/PricingDataTable[[#This Row],[Current Price ($)]]</f>
        <v>-5.1752739398389981E-4</v>
      </c>
      <c r="M2221" t="str">
        <f t="shared" si="68"/>
        <v>PASS</v>
      </c>
      <c r="N2221" s="10" t="str">
        <f t="shared" si="69"/>
        <v>NONE</v>
      </c>
    </row>
    <row r="2222" spans="1:14">
      <c r="A2222" s="4" t="s">
        <v>4460</v>
      </c>
      <c r="B2222" s="4" t="s">
        <v>4461</v>
      </c>
      <c r="C2222" s="4" t="s">
        <v>12</v>
      </c>
      <c r="D2222" s="4" t="s">
        <v>13</v>
      </c>
      <c r="E2222" s="5">
        <v>75.063500000000005</v>
      </c>
      <c r="F2222" s="5">
        <v>75.493700000000004</v>
      </c>
      <c r="G2222" s="5">
        <v>72.155799999999999</v>
      </c>
      <c r="H2222" s="4">
        <v>0</v>
      </c>
      <c r="I2222" s="6">
        <v>4351820</v>
      </c>
      <c r="J2222" s="7">
        <v>10.6</v>
      </c>
      <c r="K2222" s="9">
        <f>(PricingDataTable[[#This Row],[Current Price ($)]]-PricingDataTable[[#This Row],[Prior Price ($)]])/PricingDataTable[[#This Row],[Prior Price ($)]]</f>
        <v>5.7311476283413276E-3</v>
      </c>
      <c r="L2222" s="9">
        <f>(PricingDataTable[[#This Row],[Vendor Price ($)]]-PricingDataTable[[#This Row],[Current Price ($)]])/PricingDataTable[[#This Row],[Current Price ($)]]</f>
        <v>-4.4214285430439954E-2</v>
      </c>
      <c r="M2222" t="str">
        <f t="shared" si="68"/>
        <v>VENDOR DIFFERENCE</v>
      </c>
      <c r="N2222" s="10" t="str">
        <f t="shared" si="69"/>
        <v>MEDIUM</v>
      </c>
    </row>
    <row r="2223" spans="1:14">
      <c r="A2223" s="4" t="s">
        <v>4462</v>
      </c>
      <c r="B2223" s="4" t="s">
        <v>4463</v>
      </c>
      <c r="C2223" s="4" t="s">
        <v>19</v>
      </c>
      <c r="D2223" s="4" t="s">
        <v>13</v>
      </c>
      <c r="E2223" s="5">
        <v>129.0067</v>
      </c>
      <c r="F2223" s="5">
        <v>125.12179999999999</v>
      </c>
      <c r="G2223" s="5">
        <v>125.328</v>
      </c>
      <c r="H2223" s="4">
        <v>0</v>
      </c>
      <c r="I2223" s="6">
        <v>761145</v>
      </c>
      <c r="J2223" s="7">
        <v>538.04</v>
      </c>
      <c r="K2223" s="9">
        <f>(PricingDataTable[[#This Row],[Current Price ($)]]-PricingDataTable[[#This Row],[Prior Price ($)]])/PricingDataTable[[#This Row],[Prior Price ($)]]</f>
        <v>-3.011393981862959E-2</v>
      </c>
      <c r="L2223" s="9">
        <f>(PricingDataTable[[#This Row],[Vendor Price ($)]]-PricingDataTable[[#This Row],[Current Price ($)]])/PricingDataTable[[#This Row],[Current Price ($)]]</f>
        <v>1.647994194456999E-3</v>
      </c>
      <c r="M2223" t="str">
        <f t="shared" si="68"/>
        <v>PASS</v>
      </c>
      <c r="N2223" s="10" t="str">
        <f t="shared" si="69"/>
        <v>NONE</v>
      </c>
    </row>
    <row r="2224" spans="1:14">
      <c r="A2224" s="4" t="s">
        <v>4464</v>
      </c>
      <c r="B2224" s="4" t="s">
        <v>4465</v>
      </c>
      <c r="C2224" s="4" t="s">
        <v>39</v>
      </c>
      <c r="D2224" s="4" t="s">
        <v>13</v>
      </c>
      <c r="E2224" s="5">
        <v>320.3648</v>
      </c>
      <c r="F2224" s="5">
        <v>316.01569999999998</v>
      </c>
      <c r="G2224" s="5">
        <v>314.93680000000001</v>
      </c>
      <c r="H2224" s="4">
        <v>0</v>
      </c>
      <c r="I2224" s="6">
        <v>4976414</v>
      </c>
      <c r="J2224" s="7">
        <v>200.51</v>
      </c>
      <c r="K2224" s="9">
        <f>(PricingDataTable[[#This Row],[Current Price ($)]]-PricingDataTable[[#This Row],[Prior Price ($)]])/PricingDataTable[[#This Row],[Prior Price ($)]]</f>
        <v>-1.3575461473919798E-2</v>
      </c>
      <c r="L2224" s="9">
        <f>(PricingDataTable[[#This Row],[Vendor Price ($)]]-PricingDataTable[[#This Row],[Current Price ($)]])/PricingDataTable[[#This Row],[Current Price ($)]]</f>
        <v>-3.4140708831870569E-3</v>
      </c>
      <c r="M2224" t="str">
        <f t="shared" si="68"/>
        <v>PASS</v>
      </c>
      <c r="N2224" s="10" t="str">
        <f t="shared" si="69"/>
        <v>NONE</v>
      </c>
    </row>
    <row r="2225" spans="1:14">
      <c r="A2225" s="4" t="s">
        <v>4466</v>
      </c>
      <c r="B2225" s="4" t="s">
        <v>4467</v>
      </c>
      <c r="C2225" s="4" t="s">
        <v>16</v>
      </c>
      <c r="D2225" s="4" t="s">
        <v>13</v>
      </c>
      <c r="E2225" s="5">
        <v>96.655000000000001</v>
      </c>
      <c r="F2225" s="5">
        <v>81.025300000000001</v>
      </c>
      <c r="G2225" s="5">
        <v>80.943200000000004</v>
      </c>
      <c r="H2225" s="4">
        <v>0</v>
      </c>
      <c r="I2225" s="6">
        <v>4686034</v>
      </c>
      <c r="J2225" s="7">
        <v>816.47</v>
      </c>
      <c r="K2225" s="9">
        <f>(PricingDataTable[[#This Row],[Current Price ($)]]-PricingDataTable[[#This Row],[Prior Price ($)]])/PricingDataTable[[#This Row],[Prior Price ($)]]</f>
        <v>-0.16170606797372097</v>
      </c>
      <c r="L2225" s="9">
        <f>(PricingDataTable[[#This Row],[Vendor Price ($)]]-PricingDataTable[[#This Row],[Current Price ($)]])/PricingDataTable[[#This Row],[Current Price ($)]]</f>
        <v>-1.0132637583569199E-3</v>
      </c>
      <c r="M2225" t="str">
        <f t="shared" si="68"/>
        <v>LARGE MOVE</v>
      </c>
      <c r="N2225" s="10" t="str">
        <f t="shared" si="69"/>
        <v>HIGH</v>
      </c>
    </row>
    <row r="2226" spans="1:14">
      <c r="A2226" s="4" t="s">
        <v>4468</v>
      </c>
      <c r="B2226" s="4" t="s">
        <v>4469</v>
      </c>
      <c r="C2226" s="4" t="s">
        <v>16</v>
      </c>
      <c r="D2226" s="4" t="s">
        <v>36</v>
      </c>
      <c r="E2226" s="5">
        <v>80.070700000000002</v>
      </c>
      <c r="F2226" s="5">
        <v>79.58</v>
      </c>
      <c r="G2226" s="5">
        <v>79.644499999999994</v>
      </c>
      <c r="H2226" s="4">
        <v>0</v>
      </c>
      <c r="I2226" s="6">
        <v>2962299</v>
      </c>
      <c r="J2226" s="7">
        <v>147.04</v>
      </c>
      <c r="K2226" s="9">
        <f>(PricingDataTable[[#This Row],[Current Price ($)]]-PricingDataTable[[#This Row],[Prior Price ($)]])/PricingDataTable[[#This Row],[Prior Price ($)]]</f>
        <v>-6.1283340847526485E-3</v>
      </c>
      <c r="L2226" s="9">
        <f>(PricingDataTable[[#This Row],[Vendor Price ($)]]-PricingDataTable[[#This Row],[Current Price ($)]])/PricingDataTable[[#This Row],[Current Price ($)]]</f>
        <v>8.1050515204819477E-4</v>
      </c>
      <c r="M2226" t="str">
        <f t="shared" si="68"/>
        <v>PASS</v>
      </c>
      <c r="N2226" s="10" t="str">
        <f t="shared" si="69"/>
        <v>NONE</v>
      </c>
    </row>
    <row r="2227" spans="1:14">
      <c r="A2227" s="4" t="s">
        <v>4470</v>
      </c>
      <c r="B2227" s="4" t="s">
        <v>4471</v>
      </c>
      <c r="C2227" s="4" t="s">
        <v>16</v>
      </c>
      <c r="D2227" s="4" t="s">
        <v>36</v>
      </c>
      <c r="E2227" s="5">
        <v>113.5834</v>
      </c>
      <c r="F2227" s="5">
        <v>113.3912</v>
      </c>
      <c r="G2227" s="5">
        <v>113.8925</v>
      </c>
      <c r="H2227" s="4">
        <v>0</v>
      </c>
      <c r="I2227" s="6">
        <v>3953583</v>
      </c>
      <c r="J2227" s="7">
        <v>446.52</v>
      </c>
      <c r="K2227" s="9">
        <f>(PricingDataTable[[#This Row],[Current Price ($)]]-PricingDataTable[[#This Row],[Prior Price ($)]])/PricingDataTable[[#This Row],[Prior Price ($)]]</f>
        <v>-1.6921486766552129E-3</v>
      </c>
      <c r="L2227" s="9">
        <f>(PricingDataTable[[#This Row],[Vendor Price ($)]]-PricingDataTable[[#This Row],[Current Price ($)]])/PricingDataTable[[#This Row],[Current Price ($)]]</f>
        <v>4.4209779947650303E-3</v>
      </c>
      <c r="M2227" t="str">
        <f t="shared" si="68"/>
        <v>PASS</v>
      </c>
      <c r="N2227" s="10" t="str">
        <f t="shared" si="69"/>
        <v>NONE</v>
      </c>
    </row>
    <row r="2228" spans="1:14">
      <c r="A2228" s="4" t="s">
        <v>4472</v>
      </c>
      <c r="B2228" s="4" t="s">
        <v>4473</v>
      </c>
      <c r="C2228" s="4" t="s">
        <v>19</v>
      </c>
      <c r="D2228" s="4" t="s">
        <v>13</v>
      </c>
      <c r="E2228" s="5">
        <v>161.5463</v>
      </c>
      <c r="F2228" s="5">
        <v>159.68629999999999</v>
      </c>
      <c r="G2228" s="5">
        <v>159.56549999999999</v>
      </c>
      <c r="H2228" s="4">
        <v>2</v>
      </c>
      <c r="I2228" s="6">
        <v>1102493</v>
      </c>
      <c r="J2228" s="7">
        <v>648.79</v>
      </c>
      <c r="K2228" s="9">
        <f>(PricingDataTable[[#This Row],[Current Price ($)]]-PricingDataTable[[#This Row],[Prior Price ($)]])/PricingDataTable[[#This Row],[Prior Price ($)]]</f>
        <v>-1.1513727024388758E-2</v>
      </c>
      <c r="L2228" s="9">
        <f>(PricingDataTable[[#This Row],[Vendor Price ($)]]-PricingDataTable[[#This Row],[Current Price ($)]])/PricingDataTable[[#This Row],[Current Price ($)]]</f>
        <v>-7.5648317983447984E-4</v>
      </c>
      <c r="M2228" t="str">
        <f t="shared" si="68"/>
        <v>PASS</v>
      </c>
      <c r="N2228" s="10" t="str">
        <f t="shared" si="69"/>
        <v>NONE</v>
      </c>
    </row>
    <row r="2229" spans="1:14">
      <c r="A2229" s="4" t="s">
        <v>4474</v>
      </c>
      <c r="B2229" s="4" t="s">
        <v>4475</v>
      </c>
      <c r="C2229" s="4" t="s">
        <v>35</v>
      </c>
      <c r="D2229" s="4" t="s">
        <v>237</v>
      </c>
      <c r="E2229" s="5">
        <v>107.35980000000001</v>
      </c>
      <c r="F2229" s="5">
        <v>108.84910000000001</v>
      </c>
      <c r="G2229" s="5">
        <v>108.16419999999999</v>
      </c>
      <c r="H2229" s="4">
        <v>0</v>
      </c>
      <c r="I2229" s="6">
        <v>404209</v>
      </c>
      <c r="J2229" s="7">
        <v>748.35</v>
      </c>
      <c r="K2229" s="9">
        <f>(PricingDataTable[[#This Row],[Current Price ($)]]-PricingDataTable[[#This Row],[Prior Price ($)]])/PricingDataTable[[#This Row],[Prior Price ($)]]</f>
        <v>1.3872045216179612E-2</v>
      </c>
      <c r="L2229" s="9">
        <f>(PricingDataTable[[#This Row],[Vendor Price ($)]]-PricingDataTable[[#This Row],[Current Price ($)]])/PricingDataTable[[#This Row],[Current Price ($)]]</f>
        <v>-6.292197179398021E-3</v>
      </c>
      <c r="M2229" t="str">
        <f t="shared" si="68"/>
        <v>PASS</v>
      </c>
      <c r="N2229" s="10" t="str">
        <f t="shared" si="69"/>
        <v>NONE</v>
      </c>
    </row>
    <row r="2230" spans="1:14">
      <c r="A2230" s="4" t="s">
        <v>4476</v>
      </c>
      <c r="B2230" s="4" t="s">
        <v>4477</v>
      </c>
      <c r="C2230" s="4" t="s">
        <v>19</v>
      </c>
      <c r="D2230" s="4" t="s">
        <v>13</v>
      </c>
      <c r="E2230" s="5">
        <v>257.61380000000003</v>
      </c>
      <c r="F2230" s="5">
        <v>260.79750000000001</v>
      </c>
      <c r="G2230" s="5">
        <v>259.8657</v>
      </c>
      <c r="H2230" s="4">
        <v>0</v>
      </c>
      <c r="I2230" s="6">
        <v>498337</v>
      </c>
      <c r="J2230" s="7">
        <v>164.06</v>
      </c>
      <c r="K2230" s="9">
        <f>(PricingDataTable[[#This Row],[Current Price ($)]]-PricingDataTable[[#This Row],[Prior Price ($)]])/PricingDataTable[[#This Row],[Prior Price ($)]]</f>
        <v>1.2358421792621309E-2</v>
      </c>
      <c r="L2230" s="9">
        <f>(PricingDataTable[[#This Row],[Vendor Price ($)]]-PricingDataTable[[#This Row],[Current Price ($)]])/PricingDataTable[[#This Row],[Current Price ($)]]</f>
        <v>-3.5728870100365595E-3</v>
      </c>
      <c r="M2230" t="str">
        <f t="shared" si="68"/>
        <v>PASS</v>
      </c>
      <c r="N2230" s="10" t="str">
        <f t="shared" si="69"/>
        <v>NONE</v>
      </c>
    </row>
    <row r="2231" spans="1:14">
      <c r="A2231" s="4" t="s">
        <v>4478</v>
      </c>
      <c r="B2231" s="4" t="s">
        <v>4479</v>
      </c>
      <c r="C2231" s="4" t="s">
        <v>39</v>
      </c>
      <c r="D2231" s="4" t="s">
        <v>13</v>
      </c>
      <c r="E2231" s="5">
        <v>177.3999</v>
      </c>
      <c r="F2231" s="5">
        <v>177.1891</v>
      </c>
      <c r="G2231" s="5">
        <v>176.90690000000001</v>
      </c>
      <c r="H2231" s="4">
        <v>0</v>
      </c>
      <c r="I2231" s="6">
        <v>3612084</v>
      </c>
      <c r="J2231" s="7">
        <v>499.56</v>
      </c>
      <c r="K2231" s="9">
        <f>(PricingDataTable[[#This Row],[Current Price ($)]]-PricingDataTable[[#This Row],[Prior Price ($)]])/PricingDataTable[[#This Row],[Prior Price ($)]]</f>
        <v>-1.1882757543832103E-3</v>
      </c>
      <c r="L2231" s="9">
        <f>(PricingDataTable[[#This Row],[Vendor Price ($)]]-PricingDataTable[[#This Row],[Current Price ($)]])/PricingDataTable[[#This Row],[Current Price ($)]]</f>
        <v>-1.59264875773955E-3</v>
      </c>
      <c r="M2231" t="str">
        <f t="shared" si="68"/>
        <v>PASS</v>
      </c>
      <c r="N2231" s="10" t="str">
        <f t="shared" si="69"/>
        <v>NONE</v>
      </c>
    </row>
    <row r="2232" spans="1:14">
      <c r="A2232" s="4" t="s">
        <v>4480</v>
      </c>
      <c r="B2232" s="4" t="s">
        <v>4481</v>
      </c>
      <c r="C2232" s="4" t="s">
        <v>12</v>
      </c>
      <c r="D2232" s="4" t="s">
        <v>237</v>
      </c>
      <c r="E2232" s="5">
        <v>115.77290000000001</v>
      </c>
      <c r="F2232" s="5">
        <v>117.3978</v>
      </c>
      <c r="G2232" s="5">
        <v>116.7983</v>
      </c>
      <c r="H2232" s="4">
        <v>0</v>
      </c>
      <c r="I2232" s="6">
        <v>2418657</v>
      </c>
      <c r="J2232" s="7">
        <v>323.51</v>
      </c>
      <c r="K2232" s="9">
        <f>(PricingDataTable[[#This Row],[Current Price ($)]]-PricingDataTable[[#This Row],[Prior Price ($)]])/PricingDataTable[[#This Row],[Prior Price ($)]]</f>
        <v>1.4035236225403324E-2</v>
      </c>
      <c r="L2232" s="9">
        <f>(PricingDataTable[[#This Row],[Vendor Price ($)]]-PricingDataTable[[#This Row],[Current Price ($)]])/PricingDataTable[[#This Row],[Current Price ($)]]</f>
        <v>-5.1065692883512821E-3</v>
      </c>
      <c r="M2232" t="str">
        <f t="shared" si="68"/>
        <v>PASS</v>
      </c>
      <c r="N2232" s="10" t="str">
        <f t="shared" si="69"/>
        <v>NONE</v>
      </c>
    </row>
    <row r="2233" spans="1:14">
      <c r="A2233" s="4" t="s">
        <v>4482</v>
      </c>
      <c r="B2233" s="4" t="s">
        <v>4483</v>
      </c>
      <c r="C2233" s="4" t="s">
        <v>19</v>
      </c>
      <c r="D2233" s="4" t="s">
        <v>13</v>
      </c>
      <c r="E2233" s="5">
        <v>24.742000000000001</v>
      </c>
      <c r="F2233" s="5">
        <v>24.805700000000002</v>
      </c>
      <c r="G2233" s="5">
        <v>24.882000000000001</v>
      </c>
      <c r="H2233" s="4">
        <v>0</v>
      </c>
      <c r="I2233" s="6">
        <v>4671755</v>
      </c>
      <c r="J2233" s="7">
        <v>691.86</v>
      </c>
      <c r="K2233" s="9">
        <f>(PricingDataTable[[#This Row],[Current Price ($)]]-PricingDataTable[[#This Row],[Prior Price ($)]])/PricingDataTable[[#This Row],[Prior Price ($)]]</f>
        <v>2.574569557836907E-3</v>
      </c>
      <c r="L2233" s="9">
        <f>(PricingDataTable[[#This Row],[Vendor Price ($)]]-PricingDataTable[[#This Row],[Current Price ($)]])/PricingDataTable[[#This Row],[Current Price ($)]]</f>
        <v>3.0759059409732363E-3</v>
      </c>
      <c r="M2233" t="str">
        <f t="shared" si="68"/>
        <v>PASS</v>
      </c>
      <c r="N2233" s="10" t="str">
        <f t="shared" si="69"/>
        <v>NONE</v>
      </c>
    </row>
    <row r="2234" spans="1:14">
      <c r="A2234" s="4" t="s">
        <v>4484</v>
      </c>
      <c r="B2234" s="4" t="s">
        <v>4485</v>
      </c>
      <c r="C2234" s="4" t="s">
        <v>39</v>
      </c>
      <c r="D2234" s="4" t="s">
        <v>32</v>
      </c>
      <c r="E2234" s="5">
        <v>295.2235</v>
      </c>
      <c r="F2234" s="5">
        <v>299.15379999999999</v>
      </c>
      <c r="G2234" s="5">
        <v>298.17599999999999</v>
      </c>
      <c r="H2234" s="4">
        <v>0</v>
      </c>
      <c r="I2234" s="6">
        <v>1981431</v>
      </c>
      <c r="J2234" s="7">
        <v>246</v>
      </c>
      <c r="K2234" s="9">
        <f>(PricingDataTable[[#This Row],[Current Price ($)]]-PricingDataTable[[#This Row],[Prior Price ($)]])/PricingDataTable[[#This Row],[Prior Price ($)]]</f>
        <v>1.3312964584458853E-2</v>
      </c>
      <c r="L2234" s="9">
        <f>(PricingDataTable[[#This Row],[Vendor Price ($)]]-PricingDataTable[[#This Row],[Current Price ($)]])/PricingDataTable[[#This Row],[Current Price ($)]]</f>
        <v>-3.2685528313529766E-3</v>
      </c>
      <c r="M2234" t="str">
        <f t="shared" si="68"/>
        <v>PASS</v>
      </c>
      <c r="N2234" s="10" t="str">
        <f t="shared" si="69"/>
        <v>NONE</v>
      </c>
    </row>
    <row r="2235" spans="1:14">
      <c r="A2235" s="4" t="s">
        <v>4486</v>
      </c>
      <c r="B2235" s="4" t="s">
        <v>4487</v>
      </c>
      <c r="C2235" s="4" t="s">
        <v>19</v>
      </c>
      <c r="D2235" s="4" t="s">
        <v>13</v>
      </c>
      <c r="E2235" s="5">
        <v>128.5197</v>
      </c>
      <c r="F2235" s="5">
        <v>128.62020000000001</v>
      </c>
      <c r="G2235" s="5">
        <v>128.56700000000001</v>
      </c>
      <c r="H2235" s="4">
        <v>0</v>
      </c>
      <c r="I2235" s="6">
        <v>3473639</v>
      </c>
      <c r="J2235" s="7">
        <v>744.96</v>
      </c>
      <c r="K2235" s="9">
        <f>(PricingDataTable[[#This Row],[Current Price ($)]]-PricingDataTable[[#This Row],[Prior Price ($)]])/PricingDataTable[[#This Row],[Prior Price ($)]]</f>
        <v>7.8198128380326838E-4</v>
      </c>
      <c r="L2235" s="9">
        <f>(PricingDataTable[[#This Row],[Vendor Price ($)]]-PricingDataTable[[#This Row],[Current Price ($)]])/PricingDataTable[[#This Row],[Current Price ($)]]</f>
        <v>-4.1362087759157511E-4</v>
      </c>
      <c r="M2235" t="str">
        <f t="shared" si="68"/>
        <v>PASS</v>
      </c>
      <c r="N2235" s="10" t="str">
        <f t="shared" si="69"/>
        <v>NONE</v>
      </c>
    </row>
    <row r="2236" spans="1:14">
      <c r="A2236" s="4" t="s">
        <v>4488</v>
      </c>
      <c r="B2236" s="4" t="s">
        <v>4489</v>
      </c>
      <c r="C2236" s="4" t="s">
        <v>19</v>
      </c>
      <c r="D2236" s="4" t="s">
        <v>13</v>
      </c>
      <c r="E2236" s="5">
        <v>211.18940000000001</v>
      </c>
      <c r="F2236" s="5">
        <v>211.8389</v>
      </c>
      <c r="G2236" s="5">
        <v>212.70570000000001</v>
      </c>
      <c r="H2236" s="4">
        <v>0</v>
      </c>
      <c r="I2236" s="6">
        <v>2300985</v>
      </c>
      <c r="J2236" s="7">
        <v>70.540000000000006</v>
      </c>
      <c r="K2236" s="9">
        <f>(PricingDataTable[[#This Row],[Current Price ($)]]-PricingDataTable[[#This Row],[Prior Price ($)]])/PricingDataTable[[#This Row],[Prior Price ($)]]</f>
        <v>3.0754384453007067E-3</v>
      </c>
      <c r="L2236" s="9">
        <f>(PricingDataTable[[#This Row],[Vendor Price ($)]]-PricingDataTable[[#This Row],[Current Price ($)]])/PricingDataTable[[#This Row],[Current Price ($)]]</f>
        <v>4.0917886186154287E-3</v>
      </c>
      <c r="M2236" t="str">
        <f t="shared" si="68"/>
        <v>PASS</v>
      </c>
      <c r="N2236" s="10" t="str">
        <f t="shared" si="69"/>
        <v>NONE</v>
      </c>
    </row>
    <row r="2237" spans="1:14">
      <c r="A2237" s="4" t="s">
        <v>4490</v>
      </c>
      <c r="B2237" s="4" t="s">
        <v>4491</v>
      </c>
      <c r="C2237" s="4" t="s">
        <v>12</v>
      </c>
      <c r="D2237" s="4" t="s">
        <v>13</v>
      </c>
      <c r="E2237" s="5">
        <v>92.954300000000003</v>
      </c>
      <c r="F2237" s="5">
        <v>96.375699999999995</v>
      </c>
      <c r="G2237" s="5">
        <v>95.957800000000006</v>
      </c>
      <c r="H2237" s="4">
        <v>0</v>
      </c>
      <c r="I2237" s="6">
        <v>4477614</v>
      </c>
      <c r="J2237" s="7">
        <v>259.02999999999997</v>
      </c>
      <c r="K2237" s="9">
        <f>(PricingDataTable[[#This Row],[Current Price ($)]]-PricingDataTable[[#This Row],[Prior Price ($)]])/PricingDataTable[[#This Row],[Prior Price ($)]]</f>
        <v>3.6807334356775225E-2</v>
      </c>
      <c r="L2237" s="9">
        <f>(PricingDataTable[[#This Row],[Vendor Price ($)]]-PricingDataTable[[#This Row],[Current Price ($)]])/PricingDataTable[[#This Row],[Current Price ($)]]</f>
        <v>-4.3361552756554702E-3</v>
      </c>
      <c r="M2237" t="str">
        <f t="shared" si="68"/>
        <v>PASS</v>
      </c>
      <c r="N2237" s="10" t="str">
        <f t="shared" si="69"/>
        <v>NONE</v>
      </c>
    </row>
    <row r="2238" spans="1:14">
      <c r="A2238" s="4" t="s">
        <v>4492</v>
      </c>
      <c r="B2238" s="4" t="s">
        <v>4493</v>
      </c>
      <c r="C2238" s="4" t="s">
        <v>12</v>
      </c>
      <c r="D2238" s="4" t="s">
        <v>64</v>
      </c>
      <c r="E2238" s="5">
        <v>115.3211</v>
      </c>
      <c r="F2238" s="5">
        <v>115.5305</v>
      </c>
      <c r="G2238" s="5">
        <v>115.6768</v>
      </c>
      <c r="H2238" s="4">
        <v>0</v>
      </c>
      <c r="I2238" s="6">
        <v>1036680</v>
      </c>
      <c r="J2238" s="7">
        <v>422.58</v>
      </c>
      <c r="K2238" s="9">
        <f>(PricingDataTable[[#This Row],[Current Price ($)]]-PricingDataTable[[#This Row],[Prior Price ($)]])/PricingDataTable[[#This Row],[Prior Price ($)]]</f>
        <v>1.815799537118552E-3</v>
      </c>
      <c r="L2238" s="9">
        <f>(PricingDataTable[[#This Row],[Vendor Price ($)]]-PricingDataTable[[#This Row],[Current Price ($)]])/PricingDataTable[[#This Row],[Current Price ($)]]</f>
        <v>1.2663322672367603E-3</v>
      </c>
      <c r="M2238" t="str">
        <f t="shared" si="68"/>
        <v>PASS</v>
      </c>
      <c r="N2238" s="10" t="str">
        <f t="shared" si="69"/>
        <v>NONE</v>
      </c>
    </row>
    <row r="2239" spans="1:14">
      <c r="A2239" s="4" t="s">
        <v>4494</v>
      </c>
      <c r="B2239" s="4" t="s">
        <v>4495</v>
      </c>
      <c r="C2239" s="4" t="s">
        <v>35</v>
      </c>
      <c r="D2239" s="4" t="s">
        <v>13</v>
      </c>
      <c r="E2239" s="5">
        <v>163.38130000000001</v>
      </c>
      <c r="F2239" s="5">
        <v>165.64949999999999</v>
      </c>
      <c r="G2239" s="5">
        <v>166.29949999999999</v>
      </c>
      <c r="H2239" s="4">
        <v>1</v>
      </c>
      <c r="I2239" s="6">
        <v>3274483</v>
      </c>
      <c r="J2239" s="7">
        <v>348.37</v>
      </c>
      <c r="K2239" s="9">
        <f>(PricingDataTable[[#This Row],[Current Price ($)]]-PricingDataTable[[#This Row],[Prior Price ($)]])/PricingDataTable[[#This Row],[Prior Price ($)]]</f>
        <v>1.3882861747335704E-2</v>
      </c>
      <c r="L2239" s="9">
        <f>(PricingDataTable[[#This Row],[Vendor Price ($)]]-PricingDataTable[[#This Row],[Current Price ($)]])/PricingDataTable[[#This Row],[Current Price ($)]]</f>
        <v>3.9239478537514798E-3</v>
      </c>
      <c r="M2239" t="str">
        <f t="shared" si="68"/>
        <v>PASS</v>
      </c>
      <c r="N2239" s="10" t="str">
        <f t="shared" si="69"/>
        <v>NONE</v>
      </c>
    </row>
    <row r="2240" spans="1:14">
      <c r="A2240" s="4" t="s">
        <v>4496</v>
      </c>
      <c r="B2240" s="4" t="s">
        <v>4497</v>
      </c>
      <c r="C2240" s="4" t="s">
        <v>16</v>
      </c>
      <c r="D2240" s="4" t="s">
        <v>13</v>
      </c>
      <c r="E2240" s="5">
        <v>84.481999999999999</v>
      </c>
      <c r="F2240" s="5">
        <v>84.047499999999999</v>
      </c>
      <c r="G2240" s="5">
        <v>83.972300000000004</v>
      </c>
      <c r="H2240" s="4">
        <v>0</v>
      </c>
      <c r="I2240" s="6">
        <v>3466034</v>
      </c>
      <c r="J2240" s="7">
        <v>434.91</v>
      </c>
      <c r="K2240" s="9">
        <f>(PricingDataTable[[#This Row],[Current Price ($)]]-PricingDataTable[[#This Row],[Prior Price ($)]])/PricingDataTable[[#This Row],[Prior Price ($)]]</f>
        <v>-5.1431074074950863E-3</v>
      </c>
      <c r="L2240" s="9">
        <f>(PricingDataTable[[#This Row],[Vendor Price ($)]]-PricingDataTable[[#This Row],[Current Price ($)]])/PricingDataTable[[#This Row],[Current Price ($)]]</f>
        <v>-8.9473214551289771E-4</v>
      </c>
      <c r="M2240" t="str">
        <f t="shared" si="68"/>
        <v>PASS</v>
      </c>
      <c r="N2240" s="10" t="str">
        <f t="shared" si="69"/>
        <v>NONE</v>
      </c>
    </row>
    <row r="2241" spans="1:14">
      <c r="A2241" s="4" t="s">
        <v>4498</v>
      </c>
      <c r="B2241" s="4" t="s">
        <v>4499</v>
      </c>
      <c r="C2241" s="4" t="s">
        <v>16</v>
      </c>
      <c r="D2241" s="4" t="s">
        <v>13</v>
      </c>
      <c r="E2241" s="5">
        <v>116.9594</v>
      </c>
      <c r="F2241" s="5">
        <v>116.89409999999999</v>
      </c>
      <c r="G2241" s="5">
        <v>116.2432</v>
      </c>
      <c r="H2241" s="4">
        <v>2</v>
      </c>
      <c r="I2241" s="6">
        <v>1109444</v>
      </c>
      <c r="J2241" s="7">
        <v>185.81</v>
      </c>
      <c r="K2241" s="9">
        <f>(PricingDataTable[[#This Row],[Current Price ($)]]-PricingDataTable[[#This Row],[Prior Price ($)]])/PricingDataTable[[#This Row],[Prior Price ($)]]</f>
        <v>-5.5831339764061451E-4</v>
      </c>
      <c r="L2241" s="9">
        <f>(PricingDataTable[[#This Row],[Vendor Price ($)]]-PricingDataTable[[#This Row],[Current Price ($)]])/PricingDataTable[[#This Row],[Current Price ($)]]</f>
        <v>-5.5682878776601467E-3</v>
      </c>
      <c r="M2241" t="str">
        <f t="shared" si="68"/>
        <v>PASS</v>
      </c>
      <c r="N2241" s="10" t="str">
        <f t="shared" si="69"/>
        <v>NONE</v>
      </c>
    </row>
    <row r="2242" spans="1:14">
      <c r="A2242" s="4" t="s">
        <v>4500</v>
      </c>
      <c r="B2242" s="4" t="s">
        <v>4501</v>
      </c>
      <c r="C2242" s="4" t="s">
        <v>19</v>
      </c>
      <c r="D2242" s="4" t="s">
        <v>13</v>
      </c>
      <c r="E2242" s="5">
        <v>336.67020000000002</v>
      </c>
      <c r="F2242" s="5">
        <v>334.68720000000002</v>
      </c>
      <c r="G2242" s="5">
        <v>335.46159999999998</v>
      </c>
      <c r="H2242" s="4">
        <v>0</v>
      </c>
      <c r="I2242" s="6">
        <v>2592239</v>
      </c>
      <c r="J2242" s="7">
        <v>540.26</v>
      </c>
      <c r="K2242" s="9">
        <f>(PricingDataTable[[#This Row],[Current Price ($)]]-PricingDataTable[[#This Row],[Prior Price ($)]])/PricingDataTable[[#This Row],[Prior Price ($)]]</f>
        <v>-5.8900371936690685E-3</v>
      </c>
      <c r="L2242" s="9">
        <f>(PricingDataTable[[#This Row],[Vendor Price ($)]]-PricingDataTable[[#This Row],[Current Price ($)]])/PricingDataTable[[#This Row],[Current Price ($)]]</f>
        <v>2.31380226073766E-3</v>
      </c>
      <c r="M2242" t="str">
        <f t="shared" ref="M2242:M2305" si="70">IF(OR(F2242="",F2242=0),"MISSING",IF(H2242&gt;=3,"STALE",IF(ABS(K2242)&gt;=5%,"LARGE MOVE",IF(ABS(L2242)&gt;=2%,"VENDOR DIFFERENCE","PASS"))))</f>
        <v>PASS</v>
      </c>
      <c r="N2242" s="10" t="str">
        <f t="shared" ref="N2242:N2305" si="71">IF(M2242="PASS","NONE",IF(M2242="MISSING","HIGH",IF(OR(ABS(K2242)&gt;=10%,ABS(L2242)&gt;=5%),"HIGH",IF(OR(ABS(K2242)&gt;=7%,ABS(L2242)&gt;=3%,H2242&gt;=5),"MEDIUM","LOW"))))</f>
        <v>NONE</v>
      </c>
    </row>
    <row r="2243" spans="1:14">
      <c r="A2243" s="4" t="s">
        <v>4502</v>
      </c>
      <c r="B2243" s="4" t="s">
        <v>4503</v>
      </c>
      <c r="C2243" s="4" t="s">
        <v>19</v>
      </c>
      <c r="D2243" s="4" t="s">
        <v>13</v>
      </c>
      <c r="E2243" s="5">
        <v>298.43490000000003</v>
      </c>
      <c r="F2243" s="5">
        <v>297.3458</v>
      </c>
      <c r="G2243" s="5">
        <v>297.77640000000002</v>
      </c>
      <c r="H2243" s="4">
        <v>2</v>
      </c>
      <c r="I2243" s="6">
        <v>1581563</v>
      </c>
      <c r="J2243" s="7">
        <v>647.15</v>
      </c>
      <c r="K2243" s="9">
        <f>(PricingDataTable[[#This Row],[Current Price ($)]]-PricingDataTable[[#This Row],[Prior Price ($)]])/PricingDataTable[[#This Row],[Prior Price ($)]]</f>
        <v>-3.6493721076188818E-3</v>
      </c>
      <c r="L2243" s="9">
        <f>(PricingDataTable[[#This Row],[Vendor Price ($)]]-PricingDataTable[[#This Row],[Current Price ($)]])/PricingDataTable[[#This Row],[Current Price ($)]]</f>
        <v>1.4481455598163038E-3</v>
      </c>
      <c r="M2243" t="str">
        <f t="shared" si="70"/>
        <v>PASS</v>
      </c>
      <c r="N2243" s="10" t="str">
        <f t="shared" si="71"/>
        <v>NONE</v>
      </c>
    </row>
    <row r="2244" spans="1:14">
      <c r="A2244" s="4" t="s">
        <v>4504</v>
      </c>
      <c r="B2244" s="4" t="s">
        <v>4505</v>
      </c>
      <c r="C2244" s="4" t="s">
        <v>16</v>
      </c>
      <c r="D2244" s="4" t="s">
        <v>13</v>
      </c>
      <c r="E2244" s="5">
        <v>91.469399999999993</v>
      </c>
      <c r="F2244" s="5">
        <v>92.957300000000004</v>
      </c>
      <c r="G2244" s="5">
        <v>92.861999999999995</v>
      </c>
      <c r="H2244" s="4">
        <v>0</v>
      </c>
      <c r="I2244" s="6">
        <v>56605</v>
      </c>
      <c r="J2244" s="7">
        <v>544.16</v>
      </c>
      <c r="K2244" s="9">
        <f>(PricingDataTable[[#This Row],[Current Price ($)]]-PricingDataTable[[#This Row],[Prior Price ($)]])/PricingDataTable[[#This Row],[Prior Price ($)]]</f>
        <v>1.626664217760268E-2</v>
      </c>
      <c r="L2244" s="9">
        <f>(PricingDataTable[[#This Row],[Vendor Price ($)]]-PricingDataTable[[#This Row],[Current Price ($)]])/PricingDataTable[[#This Row],[Current Price ($)]]</f>
        <v>-1.0252018937728271E-3</v>
      </c>
      <c r="M2244" t="str">
        <f t="shared" si="70"/>
        <v>PASS</v>
      </c>
      <c r="N2244" s="10" t="str">
        <f t="shared" si="71"/>
        <v>NONE</v>
      </c>
    </row>
    <row r="2245" spans="1:14">
      <c r="A2245" s="4" t="s">
        <v>4506</v>
      </c>
      <c r="B2245" s="4" t="s">
        <v>4507</v>
      </c>
      <c r="C2245" s="4" t="s">
        <v>19</v>
      </c>
      <c r="D2245" s="4" t="s">
        <v>13</v>
      </c>
      <c r="E2245" s="5">
        <v>262.50619999999998</v>
      </c>
      <c r="F2245" s="5">
        <v>261.65050000000002</v>
      </c>
      <c r="G2245" s="5">
        <v>260.27409999999998</v>
      </c>
      <c r="H2245" s="4">
        <v>1</v>
      </c>
      <c r="I2245" s="6">
        <v>4516155</v>
      </c>
      <c r="J2245" s="7">
        <v>833.63</v>
      </c>
      <c r="K2245" s="9">
        <f>(PricingDataTable[[#This Row],[Current Price ($)]]-PricingDataTable[[#This Row],[Prior Price ($)]])/PricingDataTable[[#This Row],[Prior Price ($)]]</f>
        <v>-3.2597325320314575E-3</v>
      </c>
      <c r="L2245" s="9">
        <f>(PricingDataTable[[#This Row],[Vendor Price ($)]]-PricingDataTable[[#This Row],[Current Price ($)]])/PricingDataTable[[#This Row],[Current Price ($)]]</f>
        <v>-5.2604523973775949E-3</v>
      </c>
      <c r="M2245" t="str">
        <f t="shared" si="70"/>
        <v>PASS</v>
      </c>
      <c r="N2245" s="10" t="str">
        <f t="shared" si="71"/>
        <v>NONE</v>
      </c>
    </row>
    <row r="2246" spans="1:14">
      <c r="A2246" s="4" t="s">
        <v>4508</v>
      </c>
      <c r="B2246" s="4" t="s">
        <v>4509</v>
      </c>
      <c r="C2246" s="4" t="s">
        <v>19</v>
      </c>
      <c r="D2246" s="4" t="s">
        <v>13</v>
      </c>
      <c r="E2246" s="5">
        <v>281.72269999999997</v>
      </c>
      <c r="F2246" s="5">
        <v>283.85500000000002</v>
      </c>
      <c r="G2246" s="5">
        <v>285.40269999999998</v>
      </c>
      <c r="H2246" s="4">
        <v>0</v>
      </c>
      <c r="I2246" s="6">
        <v>2548929</v>
      </c>
      <c r="J2246" s="7">
        <v>40.81</v>
      </c>
      <c r="K2246" s="9">
        <f>(PricingDataTable[[#This Row],[Current Price ($)]]-PricingDataTable[[#This Row],[Prior Price ($)]])/PricingDataTable[[#This Row],[Prior Price ($)]]</f>
        <v>7.5687901613893504E-3</v>
      </c>
      <c r="L2246" s="9">
        <f>(PricingDataTable[[#This Row],[Vendor Price ($)]]-PricingDataTable[[#This Row],[Current Price ($)]])/PricingDataTable[[#This Row],[Current Price ($)]]</f>
        <v>5.4524316992829551E-3</v>
      </c>
      <c r="M2246" t="str">
        <f t="shared" si="70"/>
        <v>PASS</v>
      </c>
      <c r="N2246" s="10" t="str">
        <f t="shared" si="71"/>
        <v>NONE</v>
      </c>
    </row>
    <row r="2247" spans="1:14">
      <c r="A2247" s="4" t="s">
        <v>4510</v>
      </c>
      <c r="B2247" s="4" t="s">
        <v>4511</v>
      </c>
      <c r="C2247" s="4" t="s">
        <v>35</v>
      </c>
      <c r="D2247" s="4" t="s">
        <v>13</v>
      </c>
      <c r="E2247" s="5">
        <v>96.500900000000001</v>
      </c>
      <c r="F2247" s="5">
        <v>96.611999999999995</v>
      </c>
      <c r="G2247" s="5">
        <v>96.812799999999996</v>
      </c>
      <c r="H2247" s="4">
        <v>1</v>
      </c>
      <c r="I2247" s="6">
        <v>915771</v>
      </c>
      <c r="J2247" s="7">
        <v>587.9</v>
      </c>
      <c r="K2247" s="9">
        <f>(PricingDataTable[[#This Row],[Current Price ($)]]-PricingDataTable[[#This Row],[Prior Price ($)]])/PricingDataTable[[#This Row],[Prior Price ($)]]</f>
        <v>1.1512845994181744E-3</v>
      </c>
      <c r="L2247" s="9">
        <f>(PricingDataTable[[#This Row],[Vendor Price ($)]]-PricingDataTable[[#This Row],[Current Price ($)]])/PricingDataTable[[#This Row],[Current Price ($)]]</f>
        <v>2.0784167598228067E-3</v>
      </c>
      <c r="M2247" t="str">
        <f t="shared" si="70"/>
        <v>PASS</v>
      </c>
      <c r="N2247" s="10" t="str">
        <f t="shared" si="71"/>
        <v>NONE</v>
      </c>
    </row>
    <row r="2248" spans="1:14">
      <c r="A2248" s="4" t="s">
        <v>4512</v>
      </c>
      <c r="B2248" s="4" t="s">
        <v>4513</v>
      </c>
      <c r="C2248" s="4" t="s">
        <v>16</v>
      </c>
      <c r="D2248" s="4" t="s">
        <v>64</v>
      </c>
      <c r="E2248" s="5">
        <v>83.131200000000007</v>
      </c>
      <c r="F2248" s="5">
        <v>80.480199999999996</v>
      </c>
      <c r="G2248" s="5">
        <v>80.896500000000003</v>
      </c>
      <c r="H2248" s="4">
        <v>1</v>
      </c>
      <c r="I2248" s="6">
        <v>3034504</v>
      </c>
      <c r="J2248" s="7">
        <v>453.64</v>
      </c>
      <c r="K2248" s="9">
        <f>(PricingDataTable[[#This Row],[Current Price ($)]]-PricingDataTable[[#This Row],[Prior Price ($)]])/PricingDataTable[[#This Row],[Prior Price ($)]]</f>
        <v>-3.1889350809323216E-2</v>
      </c>
      <c r="L2248" s="9">
        <f>(PricingDataTable[[#This Row],[Vendor Price ($)]]-PricingDataTable[[#This Row],[Current Price ($)]])/PricingDataTable[[#This Row],[Current Price ($)]]</f>
        <v>5.1727008630695105E-3</v>
      </c>
      <c r="M2248" t="str">
        <f t="shared" si="70"/>
        <v>PASS</v>
      </c>
      <c r="N2248" s="10" t="str">
        <f t="shared" si="71"/>
        <v>NONE</v>
      </c>
    </row>
    <row r="2249" spans="1:14">
      <c r="A2249" s="4" t="s">
        <v>4514</v>
      </c>
      <c r="B2249" s="4" t="s">
        <v>4515</v>
      </c>
      <c r="C2249" s="4" t="s">
        <v>39</v>
      </c>
      <c r="D2249" s="4" t="s">
        <v>64</v>
      </c>
      <c r="E2249" s="5">
        <v>304.4599</v>
      </c>
      <c r="F2249" s="5">
        <v>299.05059999999997</v>
      </c>
      <c r="G2249" s="5">
        <v>299.81360000000001</v>
      </c>
      <c r="H2249" s="4">
        <v>0</v>
      </c>
      <c r="I2249" s="6">
        <v>4144891</v>
      </c>
      <c r="J2249" s="7">
        <v>741.6</v>
      </c>
      <c r="K2249" s="9">
        <f>(PricingDataTable[[#This Row],[Current Price ($)]]-PricingDataTable[[#This Row],[Prior Price ($)]])/PricingDataTable[[#This Row],[Prior Price ($)]]</f>
        <v>-1.7766871762094221E-2</v>
      </c>
      <c r="L2249" s="9">
        <f>(PricingDataTable[[#This Row],[Vendor Price ($)]]-PricingDataTable[[#This Row],[Current Price ($)]])/PricingDataTable[[#This Row],[Current Price ($)]]</f>
        <v>2.551407688197361E-3</v>
      </c>
      <c r="M2249" t="str">
        <f t="shared" si="70"/>
        <v>PASS</v>
      </c>
      <c r="N2249" s="10" t="str">
        <f t="shared" si="71"/>
        <v>NONE</v>
      </c>
    </row>
    <row r="2250" spans="1:14">
      <c r="A2250" s="4" t="s">
        <v>4516</v>
      </c>
      <c r="B2250" s="4" t="s">
        <v>4517</v>
      </c>
      <c r="C2250" s="4" t="s">
        <v>19</v>
      </c>
      <c r="D2250" s="4" t="s">
        <v>32</v>
      </c>
      <c r="E2250" s="5">
        <v>51.865400000000001</v>
      </c>
      <c r="F2250" s="5">
        <v>51.623600000000003</v>
      </c>
      <c r="G2250" s="5">
        <v>51.747500000000002</v>
      </c>
      <c r="H2250" s="4">
        <v>0</v>
      </c>
      <c r="I2250" s="6">
        <v>212747</v>
      </c>
      <c r="J2250" s="7">
        <v>298.14</v>
      </c>
      <c r="K2250" s="9">
        <f>(PricingDataTable[[#This Row],[Current Price ($)]]-PricingDataTable[[#This Row],[Prior Price ($)]])/PricingDataTable[[#This Row],[Prior Price ($)]]</f>
        <v>-4.6620675826272969E-3</v>
      </c>
      <c r="L2250" s="9">
        <f>(PricingDataTable[[#This Row],[Vendor Price ($)]]-PricingDataTable[[#This Row],[Current Price ($)]])/PricingDataTable[[#This Row],[Current Price ($)]]</f>
        <v>2.4000650865108014E-3</v>
      </c>
      <c r="M2250" t="str">
        <f t="shared" si="70"/>
        <v>PASS</v>
      </c>
      <c r="N2250" s="10" t="str">
        <f t="shared" si="71"/>
        <v>NONE</v>
      </c>
    </row>
    <row r="2251" spans="1:14">
      <c r="A2251" s="4" t="s">
        <v>4518</v>
      </c>
      <c r="B2251" s="4" t="s">
        <v>4519</v>
      </c>
      <c r="C2251" s="4" t="s">
        <v>19</v>
      </c>
      <c r="D2251" s="4" t="s">
        <v>13</v>
      </c>
      <c r="E2251" s="5">
        <v>259.78609999999998</v>
      </c>
      <c r="F2251" s="5">
        <v>262.87689999999998</v>
      </c>
      <c r="G2251" s="5">
        <v>264.73759999999999</v>
      </c>
      <c r="H2251" s="4">
        <v>0</v>
      </c>
      <c r="I2251" s="6">
        <v>3179138</v>
      </c>
      <c r="J2251" s="7">
        <v>637.79</v>
      </c>
      <c r="K2251" s="9">
        <f>(PricingDataTable[[#This Row],[Current Price ($)]]-PricingDataTable[[#This Row],[Prior Price ($)]])/PricingDataTable[[#This Row],[Prior Price ($)]]</f>
        <v>1.1897480273193992E-2</v>
      </c>
      <c r="L2251" s="9">
        <f>(PricingDataTable[[#This Row],[Vendor Price ($)]]-PricingDataTable[[#This Row],[Current Price ($)]])/PricingDataTable[[#This Row],[Current Price ($)]]</f>
        <v>7.0782179795942837E-3</v>
      </c>
      <c r="M2251" t="str">
        <f t="shared" si="70"/>
        <v>PASS</v>
      </c>
      <c r="N2251" s="10" t="str">
        <f t="shared" si="71"/>
        <v>NONE</v>
      </c>
    </row>
    <row r="2252" spans="1:14">
      <c r="A2252" s="4" t="s">
        <v>4520</v>
      </c>
      <c r="B2252" s="4" t="s">
        <v>4521</v>
      </c>
      <c r="C2252" s="4" t="s">
        <v>16</v>
      </c>
      <c r="D2252" s="4" t="s">
        <v>237</v>
      </c>
      <c r="E2252" s="5">
        <v>89.961399999999998</v>
      </c>
      <c r="F2252" s="5">
        <v>89.418099999999995</v>
      </c>
      <c r="G2252" s="5">
        <v>88.933400000000006</v>
      </c>
      <c r="H2252" s="4">
        <v>0</v>
      </c>
      <c r="I2252" s="6">
        <v>607120</v>
      </c>
      <c r="J2252" s="7">
        <v>615.67999999999995</v>
      </c>
      <c r="K2252" s="9">
        <f>(PricingDataTable[[#This Row],[Current Price ($)]]-PricingDataTable[[#This Row],[Prior Price ($)]])/PricingDataTable[[#This Row],[Prior Price ($)]]</f>
        <v>-6.0392568368211495E-3</v>
      </c>
      <c r="L2252" s="9">
        <f>(PricingDataTable[[#This Row],[Vendor Price ($)]]-PricingDataTable[[#This Row],[Current Price ($)]])/PricingDataTable[[#This Row],[Current Price ($)]]</f>
        <v>-5.4206027638698372E-3</v>
      </c>
      <c r="M2252" t="str">
        <f t="shared" si="70"/>
        <v>PASS</v>
      </c>
      <c r="N2252" s="10" t="str">
        <f t="shared" si="71"/>
        <v>NONE</v>
      </c>
    </row>
    <row r="2253" spans="1:14">
      <c r="A2253" s="4" t="s">
        <v>4522</v>
      </c>
      <c r="B2253" s="4" t="s">
        <v>4523</v>
      </c>
      <c r="C2253" s="4" t="s">
        <v>16</v>
      </c>
      <c r="D2253" s="4" t="s">
        <v>13</v>
      </c>
      <c r="E2253" s="5">
        <v>80.136099999999999</v>
      </c>
      <c r="F2253" s="5">
        <v>80.392600000000002</v>
      </c>
      <c r="G2253" s="5">
        <v>80.019000000000005</v>
      </c>
      <c r="H2253" s="4">
        <v>0</v>
      </c>
      <c r="I2253" s="6">
        <v>690539</v>
      </c>
      <c r="J2253" s="7">
        <v>231.38</v>
      </c>
      <c r="K2253" s="9">
        <f>(PricingDataTable[[#This Row],[Current Price ($)]]-PricingDataTable[[#This Row],[Prior Price ($)]])/PricingDataTable[[#This Row],[Prior Price ($)]]</f>
        <v>3.2008046311213377E-3</v>
      </c>
      <c r="L2253" s="9">
        <f>(PricingDataTable[[#This Row],[Vendor Price ($)]]-PricingDataTable[[#This Row],[Current Price ($)]])/PricingDataTable[[#This Row],[Current Price ($)]]</f>
        <v>-4.6471938959555502E-3</v>
      </c>
      <c r="M2253" t="str">
        <f t="shared" si="70"/>
        <v>PASS</v>
      </c>
      <c r="N2253" s="10" t="str">
        <f t="shared" si="71"/>
        <v>NONE</v>
      </c>
    </row>
    <row r="2254" spans="1:14">
      <c r="A2254" s="4" t="s">
        <v>4524</v>
      </c>
      <c r="B2254" s="4" t="s">
        <v>4525</v>
      </c>
      <c r="C2254" s="4" t="s">
        <v>19</v>
      </c>
      <c r="D2254" s="4" t="s">
        <v>32</v>
      </c>
      <c r="E2254" s="5">
        <v>13.207000000000001</v>
      </c>
      <c r="F2254" s="5">
        <v>13.1098</v>
      </c>
      <c r="G2254" s="5">
        <v>13.1304</v>
      </c>
      <c r="H2254" s="4">
        <v>1</v>
      </c>
      <c r="I2254" s="6">
        <v>2958212</v>
      </c>
      <c r="J2254" s="7">
        <v>637.1</v>
      </c>
      <c r="K2254" s="9">
        <f>(PricingDataTable[[#This Row],[Current Price ($)]]-PricingDataTable[[#This Row],[Prior Price ($)]])/PricingDataTable[[#This Row],[Prior Price ($)]]</f>
        <v>-7.3597334746725853E-3</v>
      </c>
      <c r="L2254" s="9">
        <f>(PricingDataTable[[#This Row],[Vendor Price ($)]]-PricingDataTable[[#This Row],[Current Price ($)]])/PricingDataTable[[#This Row],[Current Price ($)]]</f>
        <v>1.5713435750354661E-3</v>
      </c>
      <c r="M2254" t="str">
        <f t="shared" si="70"/>
        <v>PASS</v>
      </c>
      <c r="N2254" s="10" t="str">
        <f t="shared" si="71"/>
        <v>NONE</v>
      </c>
    </row>
    <row r="2255" spans="1:14">
      <c r="A2255" s="4" t="s">
        <v>4526</v>
      </c>
      <c r="B2255" s="4" t="s">
        <v>4527</v>
      </c>
      <c r="C2255" s="4" t="s">
        <v>35</v>
      </c>
      <c r="D2255" s="4" t="s">
        <v>13</v>
      </c>
      <c r="E2255" s="5">
        <v>107.9383</v>
      </c>
      <c r="F2255" s="5">
        <v>106.8129</v>
      </c>
      <c r="G2255" s="5">
        <v>106.57559999999999</v>
      </c>
      <c r="H2255" s="4">
        <v>0</v>
      </c>
      <c r="I2255" s="6">
        <v>2321519</v>
      </c>
      <c r="J2255" s="7">
        <v>706.98</v>
      </c>
      <c r="K2255" s="9">
        <f>(PricingDataTable[[#This Row],[Current Price ($)]]-PricingDataTable[[#This Row],[Prior Price ($)]])/PricingDataTable[[#This Row],[Prior Price ($)]]</f>
        <v>-1.0426326892307911E-2</v>
      </c>
      <c r="L2255" s="9">
        <f>(PricingDataTable[[#This Row],[Vendor Price ($)]]-PricingDataTable[[#This Row],[Current Price ($)]])/PricingDataTable[[#This Row],[Current Price ($)]]</f>
        <v>-2.2216417679887424E-3</v>
      </c>
      <c r="M2255" t="str">
        <f t="shared" si="70"/>
        <v>PASS</v>
      </c>
      <c r="N2255" s="10" t="str">
        <f t="shared" si="71"/>
        <v>NONE</v>
      </c>
    </row>
    <row r="2256" spans="1:14">
      <c r="A2256" s="4" t="s">
        <v>4528</v>
      </c>
      <c r="B2256" s="4" t="s">
        <v>4529</v>
      </c>
      <c r="C2256" s="4" t="s">
        <v>12</v>
      </c>
      <c r="D2256" s="4" t="s">
        <v>64</v>
      </c>
      <c r="E2256" s="5">
        <v>98.370199999999997</v>
      </c>
      <c r="F2256" s="5">
        <v>100.01479999999999</v>
      </c>
      <c r="G2256" s="5">
        <v>100.2884</v>
      </c>
      <c r="H2256" s="4">
        <v>0</v>
      </c>
      <c r="I2256" s="6">
        <v>4164554</v>
      </c>
      <c r="J2256" s="7">
        <v>327.99</v>
      </c>
      <c r="K2256" s="9">
        <f>(PricingDataTable[[#This Row],[Current Price ($)]]-PricingDataTable[[#This Row],[Prior Price ($)]])/PricingDataTable[[#This Row],[Prior Price ($)]]</f>
        <v>1.671847775037559E-2</v>
      </c>
      <c r="L2256" s="9">
        <f>(PricingDataTable[[#This Row],[Vendor Price ($)]]-PricingDataTable[[#This Row],[Current Price ($)]])/PricingDataTable[[#This Row],[Current Price ($)]]</f>
        <v>2.7355951319204944E-3</v>
      </c>
      <c r="M2256" t="str">
        <f t="shared" si="70"/>
        <v>PASS</v>
      </c>
      <c r="N2256" s="10" t="str">
        <f t="shared" si="71"/>
        <v>NONE</v>
      </c>
    </row>
    <row r="2257" spans="1:14">
      <c r="A2257" s="4" t="s">
        <v>4530</v>
      </c>
      <c r="B2257" s="4" t="s">
        <v>4531</v>
      </c>
      <c r="C2257" s="4" t="s">
        <v>12</v>
      </c>
      <c r="D2257" s="4" t="s">
        <v>32</v>
      </c>
      <c r="E2257" s="5">
        <v>110.8471</v>
      </c>
      <c r="F2257" s="5">
        <v>109.33540000000001</v>
      </c>
      <c r="G2257" s="5">
        <v>108.9537</v>
      </c>
      <c r="H2257" s="4">
        <v>3</v>
      </c>
      <c r="I2257" s="6">
        <v>1098513</v>
      </c>
      <c r="J2257" s="7">
        <v>104.22</v>
      </c>
      <c r="K2257" s="9">
        <f>(PricingDataTable[[#This Row],[Current Price ($)]]-PricingDataTable[[#This Row],[Prior Price ($)]])/PricingDataTable[[#This Row],[Prior Price ($)]]</f>
        <v>-1.3637704549780649E-2</v>
      </c>
      <c r="L2257" s="9">
        <f>(PricingDataTable[[#This Row],[Vendor Price ($)]]-PricingDataTable[[#This Row],[Current Price ($)]])/PricingDataTable[[#This Row],[Current Price ($)]]</f>
        <v>-3.4910925464214631E-3</v>
      </c>
      <c r="M2257" t="str">
        <f t="shared" si="70"/>
        <v>STALE</v>
      </c>
      <c r="N2257" s="10" t="str">
        <f t="shared" si="71"/>
        <v>LOW</v>
      </c>
    </row>
    <row r="2258" spans="1:14">
      <c r="A2258" s="4" t="s">
        <v>4532</v>
      </c>
      <c r="B2258" s="4" t="s">
        <v>4533</v>
      </c>
      <c r="C2258" s="4" t="s">
        <v>19</v>
      </c>
      <c r="D2258" s="4" t="s">
        <v>13</v>
      </c>
      <c r="E2258" s="5">
        <v>82.333799999999997</v>
      </c>
      <c r="F2258" s="5">
        <v>80.292900000000003</v>
      </c>
      <c r="G2258" s="5">
        <v>80.500399999999999</v>
      </c>
      <c r="H2258" s="4">
        <v>0</v>
      </c>
      <c r="I2258" s="6">
        <v>1768111</v>
      </c>
      <c r="J2258" s="7">
        <v>193.1</v>
      </c>
      <c r="K2258" s="9">
        <f>(PricingDataTable[[#This Row],[Current Price ($)]]-PricingDataTable[[#This Row],[Prior Price ($)]])/PricingDataTable[[#This Row],[Prior Price ($)]]</f>
        <v>-2.4788118609853957E-2</v>
      </c>
      <c r="L2258" s="9">
        <f>(PricingDataTable[[#This Row],[Vendor Price ($)]]-PricingDataTable[[#This Row],[Current Price ($)]])/PricingDataTable[[#This Row],[Current Price ($)]]</f>
        <v>2.5842882745547367E-3</v>
      </c>
      <c r="M2258" t="str">
        <f t="shared" si="70"/>
        <v>PASS</v>
      </c>
      <c r="N2258" s="10" t="str">
        <f t="shared" si="71"/>
        <v>NONE</v>
      </c>
    </row>
    <row r="2259" spans="1:14">
      <c r="A2259" s="4" t="s">
        <v>4534</v>
      </c>
      <c r="B2259" s="4" t="s">
        <v>4535</v>
      </c>
      <c r="C2259" s="4" t="s">
        <v>19</v>
      </c>
      <c r="D2259" s="4" t="s">
        <v>64</v>
      </c>
      <c r="E2259" s="5">
        <v>117.95059999999999</v>
      </c>
      <c r="F2259" s="5">
        <v>114.8968</v>
      </c>
      <c r="G2259" s="5">
        <v>114.6198</v>
      </c>
      <c r="H2259" s="4">
        <v>0</v>
      </c>
      <c r="I2259" s="6">
        <v>4408042</v>
      </c>
      <c r="J2259" s="7">
        <v>196.67</v>
      </c>
      <c r="K2259" s="9">
        <f>(PricingDataTable[[#This Row],[Current Price ($)]]-PricingDataTable[[#This Row],[Prior Price ($)]])/PricingDataTable[[#This Row],[Prior Price ($)]]</f>
        <v>-2.5890499921153394E-2</v>
      </c>
      <c r="L2259" s="9">
        <f>(PricingDataTable[[#This Row],[Vendor Price ($)]]-PricingDataTable[[#This Row],[Current Price ($)]])/PricingDataTable[[#This Row],[Current Price ($)]]</f>
        <v>-2.4108591361987541E-3</v>
      </c>
      <c r="M2259" t="str">
        <f t="shared" si="70"/>
        <v>PASS</v>
      </c>
      <c r="N2259" s="10" t="str">
        <f t="shared" si="71"/>
        <v>NONE</v>
      </c>
    </row>
    <row r="2260" spans="1:14">
      <c r="A2260" s="4" t="s">
        <v>4536</v>
      </c>
      <c r="B2260" s="4" t="s">
        <v>4537</v>
      </c>
      <c r="C2260" s="4" t="s">
        <v>16</v>
      </c>
      <c r="D2260" s="4" t="s">
        <v>13</v>
      </c>
      <c r="E2260" s="5">
        <v>111.1529</v>
      </c>
      <c r="F2260" s="5">
        <v>123.83450000000001</v>
      </c>
      <c r="G2260" s="5">
        <v>123.8355</v>
      </c>
      <c r="H2260" s="4">
        <v>5</v>
      </c>
      <c r="I2260" s="6">
        <v>3769840</v>
      </c>
      <c r="J2260" s="7">
        <v>339.99</v>
      </c>
      <c r="K2260" s="9">
        <f>(PricingDataTable[[#This Row],[Current Price ($)]]-PricingDataTable[[#This Row],[Prior Price ($)]])/PricingDataTable[[#This Row],[Prior Price ($)]]</f>
        <v>0.11409149019053937</v>
      </c>
      <c r="L2260" s="9">
        <f>(PricingDataTable[[#This Row],[Vendor Price ($)]]-PricingDataTable[[#This Row],[Current Price ($)]])/PricingDataTable[[#This Row],[Current Price ($)]]</f>
        <v>8.0752940415680917E-6</v>
      </c>
      <c r="M2260" t="str">
        <f t="shared" si="70"/>
        <v>STALE</v>
      </c>
      <c r="N2260" s="10" t="str">
        <f t="shared" si="71"/>
        <v>HIGH</v>
      </c>
    </row>
    <row r="2261" spans="1:14">
      <c r="A2261" s="4" t="s">
        <v>4538</v>
      </c>
      <c r="B2261" s="4" t="s">
        <v>4539</v>
      </c>
      <c r="C2261" s="4" t="s">
        <v>19</v>
      </c>
      <c r="D2261" s="4" t="s">
        <v>237</v>
      </c>
      <c r="E2261" s="5">
        <v>299.55500000000001</v>
      </c>
      <c r="F2261" s="5">
        <v>306.39510000000001</v>
      </c>
      <c r="G2261" s="5">
        <v>308.04070000000002</v>
      </c>
      <c r="H2261" s="4">
        <v>0</v>
      </c>
      <c r="I2261" s="6">
        <v>4224205</v>
      </c>
      <c r="J2261" s="7">
        <v>373.92</v>
      </c>
      <c r="K2261" s="9">
        <f>(PricingDataTable[[#This Row],[Current Price ($)]]-PricingDataTable[[#This Row],[Prior Price ($)]])/PricingDataTable[[#This Row],[Prior Price ($)]]</f>
        <v>2.2834204069369587E-2</v>
      </c>
      <c r="L2261" s="9">
        <f>(PricingDataTable[[#This Row],[Vendor Price ($)]]-PricingDataTable[[#This Row],[Current Price ($)]])/PricingDataTable[[#This Row],[Current Price ($)]]</f>
        <v>5.3708430715765417E-3</v>
      </c>
      <c r="M2261" t="str">
        <f t="shared" si="70"/>
        <v>PASS</v>
      </c>
      <c r="N2261" s="10" t="str">
        <f t="shared" si="71"/>
        <v>NONE</v>
      </c>
    </row>
    <row r="2262" spans="1:14">
      <c r="A2262" s="4" t="s">
        <v>4540</v>
      </c>
      <c r="B2262" s="4" t="s">
        <v>4541</v>
      </c>
      <c r="C2262" s="4" t="s">
        <v>16</v>
      </c>
      <c r="D2262" s="4" t="s">
        <v>32</v>
      </c>
      <c r="E2262" s="5">
        <v>113.1279</v>
      </c>
      <c r="F2262" s="5">
        <v>0</v>
      </c>
      <c r="G2262" s="5">
        <v>114.0314</v>
      </c>
      <c r="H2262" s="4">
        <v>0</v>
      </c>
      <c r="I2262" s="6">
        <v>3022183</v>
      </c>
      <c r="J2262" s="7">
        <v>579.53</v>
      </c>
      <c r="K2262" s="9">
        <f>(PricingDataTable[[#This Row],[Current Price ($)]]-PricingDataTable[[#This Row],[Prior Price ($)]])/PricingDataTable[[#This Row],[Prior Price ($)]]</f>
        <v>-1</v>
      </c>
      <c r="L2262" s="9" t="e">
        <f>(PricingDataTable[[#This Row],[Vendor Price ($)]]-PricingDataTable[[#This Row],[Current Price ($)]])/PricingDataTable[[#This Row],[Current Price ($)]]</f>
        <v>#DIV/0!</v>
      </c>
      <c r="M2262" t="str">
        <f t="shared" si="70"/>
        <v>MISSING</v>
      </c>
      <c r="N2262" s="10" t="str">
        <f t="shared" si="71"/>
        <v>HIGH</v>
      </c>
    </row>
    <row r="2263" spans="1:14">
      <c r="A2263" s="4" t="s">
        <v>4542</v>
      </c>
      <c r="B2263" s="4" t="s">
        <v>4543</v>
      </c>
      <c r="C2263" s="4" t="s">
        <v>19</v>
      </c>
      <c r="D2263" s="4" t="s">
        <v>32</v>
      </c>
      <c r="E2263" s="5">
        <v>315.8458</v>
      </c>
      <c r="F2263" s="5">
        <v>352.77010000000001</v>
      </c>
      <c r="G2263" s="5">
        <v>354.37979999999999</v>
      </c>
      <c r="H2263" s="4">
        <v>0</v>
      </c>
      <c r="I2263" s="6">
        <v>2220826</v>
      </c>
      <c r="J2263" s="7">
        <v>185.18</v>
      </c>
      <c r="K2263" s="9">
        <f>(PricingDataTable[[#This Row],[Current Price ($)]]-PricingDataTable[[#This Row],[Prior Price ($)]])/PricingDataTable[[#This Row],[Prior Price ($)]]</f>
        <v>0.11690609784901372</v>
      </c>
      <c r="L2263" s="9">
        <f>(PricingDataTable[[#This Row],[Vendor Price ($)]]-PricingDataTable[[#This Row],[Current Price ($)]])/PricingDataTable[[#This Row],[Current Price ($)]]</f>
        <v>4.5630284426032E-3</v>
      </c>
      <c r="M2263" t="str">
        <f t="shared" si="70"/>
        <v>LARGE MOVE</v>
      </c>
      <c r="N2263" s="10" t="str">
        <f t="shared" si="71"/>
        <v>HIGH</v>
      </c>
    </row>
    <row r="2264" spans="1:14">
      <c r="A2264" s="4" t="s">
        <v>4544</v>
      </c>
      <c r="B2264" s="4" t="s">
        <v>4545</v>
      </c>
      <c r="C2264" s="4" t="s">
        <v>39</v>
      </c>
      <c r="D2264" s="4" t="s">
        <v>13</v>
      </c>
      <c r="E2264" s="5">
        <v>308.3723</v>
      </c>
      <c r="F2264" s="5">
        <v>306.70190000000002</v>
      </c>
      <c r="G2264" s="5">
        <v>306.5301</v>
      </c>
      <c r="H2264" s="4">
        <v>2</v>
      </c>
      <c r="I2264" s="6">
        <v>2193683</v>
      </c>
      <c r="J2264" s="7">
        <v>163.35</v>
      </c>
      <c r="K2264" s="9">
        <f>(PricingDataTable[[#This Row],[Current Price ($)]]-PricingDataTable[[#This Row],[Prior Price ($)]])/PricingDataTable[[#This Row],[Prior Price ($)]]</f>
        <v>-5.4168289434555969E-3</v>
      </c>
      <c r="L2264" s="9">
        <f>(PricingDataTable[[#This Row],[Vendor Price ($)]]-PricingDataTable[[#This Row],[Current Price ($)]])/PricingDataTable[[#This Row],[Current Price ($)]]</f>
        <v>-5.6015303459163053E-4</v>
      </c>
      <c r="M2264" t="str">
        <f t="shared" si="70"/>
        <v>PASS</v>
      </c>
      <c r="N2264" s="10" t="str">
        <f t="shared" si="71"/>
        <v>NONE</v>
      </c>
    </row>
    <row r="2265" spans="1:14">
      <c r="A2265" s="4" t="s">
        <v>4546</v>
      </c>
      <c r="B2265" s="4" t="s">
        <v>4547</v>
      </c>
      <c r="C2265" s="4" t="s">
        <v>39</v>
      </c>
      <c r="D2265" s="4" t="s">
        <v>13</v>
      </c>
      <c r="E2265" s="5">
        <v>241.31559999999999</v>
      </c>
      <c r="F2265" s="5">
        <v>236.83609999999999</v>
      </c>
      <c r="G2265" s="5">
        <v>237.01840000000001</v>
      </c>
      <c r="H2265" s="4">
        <v>3</v>
      </c>
      <c r="I2265" s="6">
        <v>4438801</v>
      </c>
      <c r="J2265" s="7">
        <v>85.54</v>
      </c>
      <c r="K2265" s="9">
        <f>(PricingDataTable[[#This Row],[Current Price ($)]]-PricingDataTable[[#This Row],[Prior Price ($)]])/PricingDataTable[[#This Row],[Prior Price ($)]]</f>
        <v>-1.8562828097313234E-2</v>
      </c>
      <c r="L2265" s="9">
        <f>(PricingDataTable[[#This Row],[Vendor Price ($)]]-PricingDataTable[[#This Row],[Current Price ($)]])/PricingDataTable[[#This Row],[Current Price ($)]]</f>
        <v>7.697306280589249E-4</v>
      </c>
      <c r="M2265" t="str">
        <f t="shared" si="70"/>
        <v>STALE</v>
      </c>
      <c r="N2265" s="10" t="str">
        <f t="shared" si="71"/>
        <v>LOW</v>
      </c>
    </row>
    <row r="2266" spans="1:14">
      <c r="A2266" s="4" t="s">
        <v>4548</v>
      </c>
      <c r="B2266" s="4" t="s">
        <v>4549</v>
      </c>
      <c r="C2266" s="4" t="s">
        <v>12</v>
      </c>
      <c r="D2266" s="4" t="s">
        <v>13</v>
      </c>
      <c r="E2266" s="5">
        <v>121.28579999999999</v>
      </c>
      <c r="F2266" s="5">
        <v>121.08459999999999</v>
      </c>
      <c r="G2266" s="5">
        <v>120.4135</v>
      </c>
      <c r="H2266" s="4">
        <v>0</v>
      </c>
      <c r="I2266" s="6">
        <v>2070838</v>
      </c>
      <c r="J2266" s="7">
        <v>449.78</v>
      </c>
      <c r="K2266" s="9">
        <f>(PricingDataTable[[#This Row],[Current Price ($)]]-PricingDataTable[[#This Row],[Prior Price ($)]])/PricingDataTable[[#This Row],[Prior Price ($)]]</f>
        <v>-1.6588916427149761E-3</v>
      </c>
      <c r="L2266" s="9">
        <f>(PricingDataTable[[#This Row],[Vendor Price ($)]]-PricingDataTable[[#This Row],[Current Price ($)]])/PricingDataTable[[#This Row],[Current Price ($)]]</f>
        <v>-5.5424058881145544E-3</v>
      </c>
      <c r="M2266" t="str">
        <f t="shared" si="70"/>
        <v>PASS</v>
      </c>
      <c r="N2266" s="10" t="str">
        <f t="shared" si="71"/>
        <v>NONE</v>
      </c>
    </row>
    <row r="2267" spans="1:14">
      <c r="A2267" s="4" t="s">
        <v>4550</v>
      </c>
      <c r="B2267" s="4" t="s">
        <v>4551</v>
      </c>
      <c r="C2267" s="4" t="s">
        <v>19</v>
      </c>
      <c r="D2267" s="4" t="s">
        <v>64</v>
      </c>
      <c r="E2267" s="5">
        <v>74.150099999999995</v>
      </c>
      <c r="F2267" s="5">
        <v>73.850300000000004</v>
      </c>
      <c r="G2267" s="5">
        <v>73.664100000000005</v>
      </c>
      <c r="H2267" s="4">
        <v>0</v>
      </c>
      <c r="I2267" s="6">
        <v>3072130</v>
      </c>
      <c r="J2267" s="7">
        <v>511.25</v>
      </c>
      <c r="K2267" s="9">
        <f>(PricingDataTable[[#This Row],[Current Price ($)]]-PricingDataTable[[#This Row],[Prior Price ($)]])/PricingDataTable[[#This Row],[Prior Price ($)]]</f>
        <v>-4.0431503126764565E-3</v>
      </c>
      <c r="L2267" s="9">
        <f>(PricingDataTable[[#This Row],[Vendor Price ($)]]-PricingDataTable[[#This Row],[Current Price ($)]])/PricingDataTable[[#This Row],[Current Price ($)]]</f>
        <v>-2.5213167719020705E-3</v>
      </c>
      <c r="M2267" t="str">
        <f t="shared" si="70"/>
        <v>PASS</v>
      </c>
      <c r="N2267" s="10" t="str">
        <f t="shared" si="71"/>
        <v>NONE</v>
      </c>
    </row>
    <row r="2268" spans="1:14">
      <c r="A2268" s="4" t="s">
        <v>4552</v>
      </c>
      <c r="B2268" s="4" t="s">
        <v>4553</v>
      </c>
      <c r="C2268" s="4" t="s">
        <v>16</v>
      </c>
      <c r="D2268" s="4" t="s">
        <v>13</v>
      </c>
      <c r="E2268" s="5">
        <v>113.7779</v>
      </c>
      <c r="F2268" s="5">
        <v>114.6686</v>
      </c>
      <c r="G2268" s="5">
        <v>114.8096</v>
      </c>
      <c r="H2268" s="4">
        <v>0</v>
      </c>
      <c r="I2268" s="6">
        <v>4595657</v>
      </c>
      <c r="J2268" s="7">
        <v>587.19000000000005</v>
      </c>
      <c r="K2268" s="9">
        <f>(PricingDataTable[[#This Row],[Current Price ($)]]-PricingDataTable[[#This Row],[Prior Price ($)]])/PricingDataTable[[#This Row],[Prior Price ($)]]</f>
        <v>7.8284095593256272E-3</v>
      </c>
      <c r="L2268" s="9">
        <f>(PricingDataTable[[#This Row],[Vendor Price ($)]]-PricingDataTable[[#This Row],[Current Price ($)]])/PricingDataTable[[#This Row],[Current Price ($)]]</f>
        <v>1.2296304306497624E-3</v>
      </c>
      <c r="M2268" t="str">
        <f t="shared" si="70"/>
        <v>PASS</v>
      </c>
      <c r="N2268" s="10" t="str">
        <f t="shared" si="71"/>
        <v>NONE</v>
      </c>
    </row>
    <row r="2269" spans="1:14">
      <c r="A2269" s="4" t="s">
        <v>4554</v>
      </c>
      <c r="B2269" s="4" t="s">
        <v>4555</v>
      </c>
      <c r="C2269" s="4" t="s">
        <v>16</v>
      </c>
      <c r="D2269" s="4" t="s">
        <v>13</v>
      </c>
      <c r="E2269" s="5">
        <v>81.513900000000007</v>
      </c>
      <c r="F2269" s="5">
        <v>81.923100000000005</v>
      </c>
      <c r="G2269" s="5">
        <v>82.242800000000003</v>
      </c>
      <c r="H2269" s="4">
        <v>0</v>
      </c>
      <c r="I2269" s="6">
        <v>789335</v>
      </c>
      <c r="J2269" s="7">
        <v>67.680000000000007</v>
      </c>
      <c r="K2269" s="9">
        <f>(PricingDataTable[[#This Row],[Current Price ($)]]-PricingDataTable[[#This Row],[Prior Price ($)]])/PricingDataTable[[#This Row],[Prior Price ($)]]</f>
        <v>5.0200027234618685E-3</v>
      </c>
      <c r="L2269" s="9">
        <f>(PricingDataTable[[#This Row],[Vendor Price ($)]]-PricingDataTable[[#This Row],[Current Price ($)]])/PricingDataTable[[#This Row],[Current Price ($)]]</f>
        <v>3.9024402152750253E-3</v>
      </c>
      <c r="M2269" t="str">
        <f t="shared" si="70"/>
        <v>PASS</v>
      </c>
      <c r="N2269" s="10" t="str">
        <f t="shared" si="71"/>
        <v>NONE</v>
      </c>
    </row>
    <row r="2270" spans="1:14">
      <c r="A2270" s="4" t="s">
        <v>4556</v>
      </c>
      <c r="B2270" s="4" t="s">
        <v>4557</v>
      </c>
      <c r="C2270" s="4" t="s">
        <v>19</v>
      </c>
      <c r="D2270" s="4" t="s">
        <v>13</v>
      </c>
      <c r="E2270" s="5">
        <v>338.7199</v>
      </c>
      <c r="F2270" s="5">
        <v>337.8005</v>
      </c>
      <c r="G2270" s="5">
        <v>338.40350000000001</v>
      </c>
      <c r="H2270" s="4">
        <v>0</v>
      </c>
      <c r="I2270" s="6">
        <v>4908554</v>
      </c>
      <c r="J2270" s="7">
        <v>543.41999999999996</v>
      </c>
      <c r="K2270" s="9">
        <f>(PricingDataTable[[#This Row],[Current Price ($)]]-PricingDataTable[[#This Row],[Prior Price ($)]])/PricingDataTable[[#This Row],[Prior Price ($)]]</f>
        <v>-2.7143371263394799E-3</v>
      </c>
      <c r="L2270" s="9">
        <f>(PricingDataTable[[#This Row],[Vendor Price ($)]]-PricingDataTable[[#This Row],[Current Price ($)]])/PricingDataTable[[#This Row],[Current Price ($)]]</f>
        <v>1.7850772867417564E-3</v>
      </c>
      <c r="M2270" t="str">
        <f t="shared" si="70"/>
        <v>PASS</v>
      </c>
      <c r="N2270" s="10" t="str">
        <f t="shared" si="71"/>
        <v>NONE</v>
      </c>
    </row>
    <row r="2271" spans="1:14">
      <c r="A2271" s="4" t="s">
        <v>4558</v>
      </c>
      <c r="B2271" s="4" t="s">
        <v>4559</v>
      </c>
      <c r="C2271" s="4" t="s">
        <v>39</v>
      </c>
      <c r="D2271" s="4" t="s">
        <v>13</v>
      </c>
      <c r="E2271" s="5">
        <v>142.6728</v>
      </c>
      <c r="F2271" s="5">
        <v>143.19630000000001</v>
      </c>
      <c r="G2271" s="5">
        <v>142.79400000000001</v>
      </c>
      <c r="H2271" s="4">
        <v>1</v>
      </c>
      <c r="I2271" s="6">
        <v>4788267</v>
      </c>
      <c r="J2271" s="7">
        <v>860.16</v>
      </c>
      <c r="K2271" s="9">
        <f>(PricingDataTable[[#This Row],[Current Price ($)]]-PricingDataTable[[#This Row],[Prior Price ($)]])/PricingDataTable[[#This Row],[Prior Price ($)]]</f>
        <v>3.6692347805609249E-3</v>
      </c>
      <c r="L2271" s="9">
        <f>(PricingDataTable[[#This Row],[Vendor Price ($)]]-PricingDataTable[[#This Row],[Current Price ($)]])/PricingDataTable[[#This Row],[Current Price ($)]]</f>
        <v>-2.8094301319237769E-3</v>
      </c>
      <c r="M2271" t="str">
        <f t="shared" si="70"/>
        <v>PASS</v>
      </c>
      <c r="N2271" s="10" t="str">
        <f t="shared" si="71"/>
        <v>NONE</v>
      </c>
    </row>
    <row r="2272" spans="1:14">
      <c r="A2272" s="4" t="s">
        <v>4560</v>
      </c>
      <c r="B2272" s="4" t="s">
        <v>4561</v>
      </c>
      <c r="C2272" s="4" t="s">
        <v>19</v>
      </c>
      <c r="D2272" s="4" t="s">
        <v>13</v>
      </c>
      <c r="E2272" s="5">
        <v>17.1523</v>
      </c>
      <c r="F2272" s="5">
        <v>16.6861</v>
      </c>
      <c r="G2272" s="5">
        <v>16.7197</v>
      </c>
      <c r="H2272" s="4">
        <v>0</v>
      </c>
      <c r="I2272" s="6">
        <v>3309496</v>
      </c>
      <c r="J2272" s="7">
        <v>106.53</v>
      </c>
      <c r="K2272" s="9">
        <f>(PricingDataTable[[#This Row],[Current Price ($)]]-PricingDataTable[[#This Row],[Prior Price ($)]])/PricingDataTable[[#This Row],[Prior Price ($)]]</f>
        <v>-2.7180028334392509E-2</v>
      </c>
      <c r="L2272" s="9">
        <f>(PricingDataTable[[#This Row],[Vendor Price ($)]]-PricingDataTable[[#This Row],[Current Price ($)]])/PricingDataTable[[#This Row],[Current Price ($)]]</f>
        <v>2.0136520816727609E-3</v>
      </c>
      <c r="M2272" t="str">
        <f t="shared" si="70"/>
        <v>PASS</v>
      </c>
      <c r="N2272" s="10" t="str">
        <f t="shared" si="71"/>
        <v>NONE</v>
      </c>
    </row>
    <row r="2273" spans="1:14">
      <c r="A2273" s="4" t="s">
        <v>4562</v>
      </c>
      <c r="B2273" s="4" t="s">
        <v>4563</v>
      </c>
      <c r="C2273" s="4" t="s">
        <v>16</v>
      </c>
      <c r="D2273" s="4" t="s">
        <v>13</v>
      </c>
      <c r="E2273" s="5">
        <v>86.186000000000007</v>
      </c>
      <c r="F2273" s="5">
        <v>86.641099999999994</v>
      </c>
      <c r="G2273" s="5">
        <v>86.860299999999995</v>
      </c>
      <c r="H2273" s="4">
        <v>0</v>
      </c>
      <c r="I2273" s="6">
        <v>3046669</v>
      </c>
      <c r="J2273" s="7">
        <v>558.48</v>
      </c>
      <c r="K2273" s="9">
        <f>(PricingDataTable[[#This Row],[Current Price ($)]]-PricingDataTable[[#This Row],[Prior Price ($)]])/PricingDataTable[[#This Row],[Prior Price ($)]]</f>
        <v>5.2804399786506783E-3</v>
      </c>
      <c r="L2273" s="9">
        <f>(PricingDataTable[[#This Row],[Vendor Price ($)]]-PricingDataTable[[#This Row],[Current Price ($)]])/PricingDataTable[[#This Row],[Current Price ($)]]</f>
        <v>2.529977112478959E-3</v>
      </c>
      <c r="M2273" t="str">
        <f t="shared" si="70"/>
        <v>PASS</v>
      </c>
      <c r="N2273" s="10" t="str">
        <f t="shared" si="71"/>
        <v>NONE</v>
      </c>
    </row>
    <row r="2274" spans="1:14">
      <c r="A2274" s="4" t="s">
        <v>4564</v>
      </c>
      <c r="B2274" s="4" t="s">
        <v>4565</v>
      </c>
      <c r="C2274" s="4" t="s">
        <v>12</v>
      </c>
      <c r="D2274" s="4" t="s">
        <v>32</v>
      </c>
      <c r="E2274" s="5">
        <v>93.201800000000006</v>
      </c>
      <c r="F2274" s="5"/>
      <c r="G2274" s="5">
        <v>94.088899999999995</v>
      </c>
      <c r="H2274" s="4">
        <v>0</v>
      </c>
      <c r="I2274" s="6">
        <v>2816576</v>
      </c>
      <c r="J2274" s="7">
        <v>277.57</v>
      </c>
      <c r="K2274" s="9">
        <f>(PricingDataTable[[#This Row],[Current Price ($)]]-PricingDataTable[[#This Row],[Prior Price ($)]])/PricingDataTable[[#This Row],[Prior Price ($)]]</f>
        <v>-1</v>
      </c>
      <c r="L2274" s="9" t="e">
        <f>(PricingDataTable[[#This Row],[Vendor Price ($)]]-PricingDataTable[[#This Row],[Current Price ($)]])/PricingDataTable[[#This Row],[Current Price ($)]]</f>
        <v>#DIV/0!</v>
      </c>
      <c r="M2274" t="str">
        <f t="shared" si="70"/>
        <v>MISSING</v>
      </c>
      <c r="N2274" s="10" t="str">
        <f t="shared" si="71"/>
        <v>HIGH</v>
      </c>
    </row>
    <row r="2275" spans="1:14">
      <c r="A2275" s="4" t="s">
        <v>4566</v>
      </c>
      <c r="B2275" s="4" t="s">
        <v>4567</v>
      </c>
      <c r="C2275" s="4" t="s">
        <v>39</v>
      </c>
      <c r="D2275" s="4" t="s">
        <v>13</v>
      </c>
      <c r="E2275" s="5">
        <v>178.70500000000001</v>
      </c>
      <c r="F2275" s="5">
        <v>177.74340000000001</v>
      </c>
      <c r="G2275" s="5">
        <v>177.50319999999999</v>
      </c>
      <c r="H2275" s="4">
        <v>1</v>
      </c>
      <c r="I2275" s="6">
        <v>3409299</v>
      </c>
      <c r="J2275" s="7">
        <v>457.65</v>
      </c>
      <c r="K2275" s="9">
        <f>(PricingDataTable[[#This Row],[Current Price ($)]]-PricingDataTable[[#This Row],[Prior Price ($)]])/PricingDataTable[[#This Row],[Prior Price ($)]]</f>
        <v>-5.3809350605747135E-3</v>
      </c>
      <c r="L2275" s="9">
        <f>(PricingDataTable[[#This Row],[Vendor Price ($)]]-PricingDataTable[[#This Row],[Current Price ($)]])/PricingDataTable[[#This Row],[Current Price ($)]]</f>
        <v>-1.3513863243305559E-3</v>
      </c>
      <c r="M2275" t="str">
        <f t="shared" si="70"/>
        <v>PASS</v>
      </c>
      <c r="N2275" s="10" t="str">
        <f t="shared" si="71"/>
        <v>NONE</v>
      </c>
    </row>
    <row r="2276" spans="1:14">
      <c r="A2276" s="4" t="s">
        <v>4568</v>
      </c>
      <c r="B2276" s="4" t="s">
        <v>4569</v>
      </c>
      <c r="C2276" s="4" t="s">
        <v>39</v>
      </c>
      <c r="D2276" s="4" t="s">
        <v>13</v>
      </c>
      <c r="E2276" s="5">
        <v>151.67449999999999</v>
      </c>
      <c r="F2276" s="5">
        <v>155.5275</v>
      </c>
      <c r="G2276" s="5">
        <v>155.9391</v>
      </c>
      <c r="H2276" s="4">
        <v>0</v>
      </c>
      <c r="I2276" s="6">
        <v>4017879</v>
      </c>
      <c r="J2276" s="7">
        <v>775.82</v>
      </c>
      <c r="K2276" s="9">
        <f>(PricingDataTable[[#This Row],[Current Price ($)]]-PricingDataTable[[#This Row],[Prior Price ($)]])/PricingDataTable[[#This Row],[Prior Price ($)]]</f>
        <v>2.5403083577002123E-2</v>
      </c>
      <c r="L2276" s="9">
        <f>(PricingDataTable[[#This Row],[Vendor Price ($)]]-PricingDataTable[[#This Row],[Current Price ($)]])/PricingDataTable[[#This Row],[Current Price ($)]]</f>
        <v>2.6464773110864179E-3</v>
      </c>
      <c r="M2276" t="str">
        <f t="shared" si="70"/>
        <v>PASS</v>
      </c>
      <c r="N2276" s="10" t="str">
        <f t="shared" si="71"/>
        <v>NONE</v>
      </c>
    </row>
    <row r="2277" spans="1:14">
      <c r="A2277" s="4" t="s">
        <v>4570</v>
      </c>
      <c r="B2277" s="4" t="s">
        <v>4571</v>
      </c>
      <c r="C2277" s="4" t="s">
        <v>39</v>
      </c>
      <c r="D2277" s="4" t="s">
        <v>36</v>
      </c>
      <c r="E2277" s="5">
        <v>321.2056</v>
      </c>
      <c r="F2277" s="5">
        <v>325.16570000000002</v>
      </c>
      <c r="G2277" s="5">
        <v>325.1207</v>
      </c>
      <c r="H2277" s="4">
        <v>0</v>
      </c>
      <c r="I2277" s="6">
        <v>4134861</v>
      </c>
      <c r="J2277" s="7">
        <v>592.14</v>
      </c>
      <c r="K2277" s="9">
        <f>(PricingDataTable[[#This Row],[Current Price ($)]]-PricingDataTable[[#This Row],[Prior Price ($)]])/PricingDataTable[[#This Row],[Prior Price ($)]]</f>
        <v>1.2328863506738398E-2</v>
      </c>
      <c r="L2277" s="9">
        <f>(PricingDataTable[[#This Row],[Vendor Price ($)]]-PricingDataTable[[#This Row],[Current Price ($)]])/PricingDataTable[[#This Row],[Current Price ($)]]</f>
        <v>-1.3839098035252768E-4</v>
      </c>
      <c r="M2277" t="str">
        <f t="shared" si="70"/>
        <v>PASS</v>
      </c>
      <c r="N2277" s="10" t="str">
        <f t="shared" si="71"/>
        <v>NONE</v>
      </c>
    </row>
    <row r="2278" spans="1:14">
      <c r="A2278" s="4" t="s">
        <v>4572</v>
      </c>
      <c r="B2278" s="4" t="s">
        <v>4573</v>
      </c>
      <c r="C2278" s="4" t="s">
        <v>16</v>
      </c>
      <c r="D2278" s="4" t="s">
        <v>64</v>
      </c>
      <c r="E2278" s="5">
        <v>88.191900000000004</v>
      </c>
      <c r="F2278" s="5">
        <v>87.609200000000001</v>
      </c>
      <c r="G2278" s="5">
        <v>87.854600000000005</v>
      </c>
      <c r="H2278" s="4">
        <v>0</v>
      </c>
      <c r="I2278" s="6">
        <v>3713954</v>
      </c>
      <c r="J2278" s="7">
        <v>670.17</v>
      </c>
      <c r="K2278" s="9">
        <f>(PricingDataTable[[#This Row],[Current Price ($)]]-PricingDataTable[[#This Row],[Prior Price ($)]])/PricingDataTable[[#This Row],[Prior Price ($)]]</f>
        <v>-6.6071827458077511E-3</v>
      </c>
      <c r="L2278" s="9">
        <f>(PricingDataTable[[#This Row],[Vendor Price ($)]]-PricingDataTable[[#This Row],[Current Price ($)]])/PricingDataTable[[#This Row],[Current Price ($)]]</f>
        <v>2.8010756861151982E-3</v>
      </c>
      <c r="M2278" t="str">
        <f t="shared" si="70"/>
        <v>PASS</v>
      </c>
      <c r="N2278" s="10" t="str">
        <f t="shared" si="71"/>
        <v>NONE</v>
      </c>
    </row>
    <row r="2279" spans="1:14">
      <c r="A2279" s="4" t="s">
        <v>4574</v>
      </c>
      <c r="B2279" s="4" t="s">
        <v>4575</v>
      </c>
      <c r="C2279" s="4" t="s">
        <v>39</v>
      </c>
      <c r="D2279" s="4" t="s">
        <v>32</v>
      </c>
      <c r="E2279" s="5">
        <v>89.605800000000002</v>
      </c>
      <c r="F2279" s="5">
        <v>91.027000000000001</v>
      </c>
      <c r="G2279" s="5">
        <v>90.553600000000003</v>
      </c>
      <c r="H2279" s="4">
        <v>1</v>
      </c>
      <c r="I2279" s="6">
        <v>3059023</v>
      </c>
      <c r="J2279" s="7">
        <v>217.36</v>
      </c>
      <c r="K2279" s="9">
        <f>(PricingDataTable[[#This Row],[Current Price ($)]]-PricingDataTable[[#This Row],[Prior Price ($)]])/PricingDataTable[[#This Row],[Prior Price ($)]]</f>
        <v>1.5860580453497416E-2</v>
      </c>
      <c r="L2279" s="9">
        <f>(PricingDataTable[[#This Row],[Vendor Price ($)]]-PricingDataTable[[#This Row],[Current Price ($)]])/PricingDataTable[[#This Row],[Current Price ($)]]</f>
        <v>-5.2006547507882058E-3</v>
      </c>
      <c r="M2279" t="str">
        <f t="shared" si="70"/>
        <v>PASS</v>
      </c>
      <c r="N2279" s="10" t="str">
        <f t="shared" si="71"/>
        <v>NONE</v>
      </c>
    </row>
    <row r="2280" spans="1:14">
      <c r="A2280" s="4" t="s">
        <v>4576</v>
      </c>
      <c r="B2280" s="4" t="s">
        <v>4577</v>
      </c>
      <c r="C2280" s="4" t="s">
        <v>12</v>
      </c>
      <c r="D2280" s="4" t="s">
        <v>13</v>
      </c>
      <c r="E2280" s="5">
        <v>111.2488</v>
      </c>
      <c r="F2280" s="5">
        <v>110.29519999999999</v>
      </c>
      <c r="G2280" s="5">
        <v>109.7992</v>
      </c>
      <c r="H2280" s="4">
        <v>0</v>
      </c>
      <c r="I2280" s="6">
        <v>227371</v>
      </c>
      <c r="J2280" s="7">
        <v>213.47</v>
      </c>
      <c r="K2280" s="9">
        <f>(PricingDataTable[[#This Row],[Current Price ($)]]-PricingDataTable[[#This Row],[Prior Price ($)]])/PricingDataTable[[#This Row],[Prior Price ($)]]</f>
        <v>-8.5717778528847828E-3</v>
      </c>
      <c r="L2280" s="9">
        <f>(PricingDataTable[[#This Row],[Vendor Price ($)]]-PricingDataTable[[#This Row],[Current Price ($)]])/PricingDataTable[[#This Row],[Current Price ($)]]</f>
        <v>-4.4970225358854704E-3</v>
      </c>
      <c r="M2280" t="str">
        <f t="shared" si="70"/>
        <v>PASS</v>
      </c>
      <c r="N2280" s="10" t="str">
        <f t="shared" si="71"/>
        <v>NONE</v>
      </c>
    </row>
    <row r="2281" spans="1:14">
      <c r="A2281" s="4" t="s">
        <v>4578</v>
      </c>
      <c r="B2281" s="4" t="s">
        <v>4579</v>
      </c>
      <c r="C2281" s="4" t="s">
        <v>16</v>
      </c>
      <c r="D2281" s="4" t="s">
        <v>36</v>
      </c>
      <c r="E2281" s="5">
        <v>113.6426</v>
      </c>
      <c r="F2281" s="5">
        <v>113.4787</v>
      </c>
      <c r="G2281" s="5">
        <v>113.4833</v>
      </c>
      <c r="H2281" s="4">
        <v>1</v>
      </c>
      <c r="I2281" s="6">
        <v>1582159</v>
      </c>
      <c r="J2281" s="7">
        <v>168.04</v>
      </c>
      <c r="K2281" s="9">
        <f>(PricingDataTable[[#This Row],[Current Price ($)]]-PricingDataTable[[#This Row],[Prior Price ($)]])/PricingDataTable[[#This Row],[Prior Price ($)]]</f>
        <v>-1.4422408498221456E-3</v>
      </c>
      <c r="L2281" s="9">
        <f>(PricingDataTable[[#This Row],[Vendor Price ($)]]-PricingDataTable[[#This Row],[Current Price ($)]])/PricingDataTable[[#This Row],[Current Price ($)]]</f>
        <v>4.0536241603017879E-5</v>
      </c>
      <c r="M2281" t="str">
        <f t="shared" si="70"/>
        <v>PASS</v>
      </c>
      <c r="N2281" s="10" t="str">
        <f t="shared" si="71"/>
        <v>NONE</v>
      </c>
    </row>
    <row r="2282" spans="1:14">
      <c r="A2282" s="4" t="s">
        <v>4580</v>
      </c>
      <c r="B2282" s="4" t="s">
        <v>4581</v>
      </c>
      <c r="C2282" s="4" t="s">
        <v>19</v>
      </c>
      <c r="D2282" s="4" t="s">
        <v>13</v>
      </c>
      <c r="E2282" s="5">
        <v>111.60680000000001</v>
      </c>
      <c r="F2282" s="5">
        <v>111.5827</v>
      </c>
      <c r="G2282" s="5">
        <v>111.4838</v>
      </c>
      <c r="H2282" s="4">
        <v>0</v>
      </c>
      <c r="I2282" s="6">
        <v>2306495</v>
      </c>
      <c r="J2282" s="7">
        <v>78.81</v>
      </c>
      <c r="K2282" s="9">
        <f>(PricingDataTable[[#This Row],[Current Price ($)]]-PricingDataTable[[#This Row],[Prior Price ($)]])/PricingDataTable[[#This Row],[Prior Price ($)]]</f>
        <v>-2.1593666335746771E-4</v>
      </c>
      <c r="L2282" s="9">
        <f>(PricingDataTable[[#This Row],[Vendor Price ($)]]-PricingDataTable[[#This Row],[Current Price ($)]])/PricingDataTable[[#This Row],[Current Price ($)]]</f>
        <v>-8.8633811513792401E-4</v>
      </c>
      <c r="M2282" t="str">
        <f t="shared" si="70"/>
        <v>PASS</v>
      </c>
      <c r="N2282" s="10" t="str">
        <f t="shared" si="71"/>
        <v>NONE</v>
      </c>
    </row>
    <row r="2283" spans="1:14">
      <c r="A2283" s="4" t="s">
        <v>4582</v>
      </c>
      <c r="B2283" s="4" t="s">
        <v>4583</v>
      </c>
      <c r="C2283" s="4" t="s">
        <v>19</v>
      </c>
      <c r="D2283" s="4" t="s">
        <v>32</v>
      </c>
      <c r="E2283" s="5">
        <v>249.63120000000001</v>
      </c>
      <c r="F2283" s="5">
        <v>251.00360000000001</v>
      </c>
      <c r="G2283" s="5">
        <v>250.4479</v>
      </c>
      <c r="H2283" s="4">
        <v>0</v>
      </c>
      <c r="I2283" s="6">
        <v>4471817</v>
      </c>
      <c r="J2283" s="7">
        <v>406.87</v>
      </c>
      <c r="K2283" s="9">
        <f>(PricingDataTable[[#This Row],[Current Price ($)]]-PricingDataTable[[#This Row],[Prior Price ($)]])/PricingDataTable[[#This Row],[Prior Price ($)]]</f>
        <v>5.4977102221196667E-3</v>
      </c>
      <c r="L2283" s="9">
        <f>(PricingDataTable[[#This Row],[Vendor Price ($)]]-PricingDataTable[[#This Row],[Current Price ($)]])/PricingDataTable[[#This Row],[Current Price ($)]]</f>
        <v>-2.2139124697813164E-3</v>
      </c>
      <c r="M2283" t="str">
        <f t="shared" si="70"/>
        <v>PASS</v>
      </c>
      <c r="N2283" s="10" t="str">
        <f t="shared" si="71"/>
        <v>NONE</v>
      </c>
    </row>
    <row r="2284" spans="1:14">
      <c r="A2284" s="4" t="s">
        <v>4584</v>
      </c>
      <c r="B2284" s="4" t="s">
        <v>4585</v>
      </c>
      <c r="C2284" s="4" t="s">
        <v>19</v>
      </c>
      <c r="D2284" s="4" t="s">
        <v>36</v>
      </c>
      <c r="E2284" s="5">
        <v>324.18759999999997</v>
      </c>
      <c r="F2284" s="5">
        <v>318.68639999999999</v>
      </c>
      <c r="G2284" s="5">
        <v>318.96839999999997</v>
      </c>
      <c r="H2284" s="4">
        <v>1</v>
      </c>
      <c r="I2284" s="6">
        <v>314253</v>
      </c>
      <c r="J2284" s="7">
        <v>223.03</v>
      </c>
      <c r="K2284" s="9">
        <f>(PricingDataTable[[#This Row],[Current Price ($)]]-PricingDataTable[[#This Row],[Prior Price ($)]])/PricingDataTable[[#This Row],[Prior Price ($)]]</f>
        <v>-1.6969186976923185E-2</v>
      </c>
      <c r="L2284" s="9">
        <f>(PricingDataTable[[#This Row],[Vendor Price ($)]]-PricingDataTable[[#This Row],[Current Price ($)]])/PricingDataTable[[#This Row],[Current Price ($)]]</f>
        <v>8.848824424261037E-4</v>
      </c>
      <c r="M2284" t="str">
        <f t="shared" si="70"/>
        <v>PASS</v>
      </c>
      <c r="N2284" s="10" t="str">
        <f t="shared" si="71"/>
        <v>NONE</v>
      </c>
    </row>
    <row r="2285" spans="1:14">
      <c r="A2285" s="4" t="s">
        <v>4586</v>
      </c>
      <c r="B2285" s="4" t="s">
        <v>4587</v>
      </c>
      <c r="C2285" s="4" t="s">
        <v>19</v>
      </c>
      <c r="D2285" s="4" t="s">
        <v>32</v>
      </c>
      <c r="E2285" s="5">
        <v>219.81120000000001</v>
      </c>
      <c r="F2285" s="5">
        <v>219.5949</v>
      </c>
      <c r="G2285" s="5">
        <v>220.18819999999999</v>
      </c>
      <c r="H2285" s="4">
        <v>4</v>
      </c>
      <c r="I2285" s="6">
        <v>586657</v>
      </c>
      <c r="J2285" s="7">
        <v>48.22</v>
      </c>
      <c r="K2285" s="9">
        <f>(PricingDataTable[[#This Row],[Current Price ($)]]-PricingDataTable[[#This Row],[Prior Price ($)]])/PricingDataTable[[#This Row],[Prior Price ($)]]</f>
        <v>-9.8402629165401088E-4</v>
      </c>
      <c r="L2285" s="9">
        <f>(PricingDataTable[[#This Row],[Vendor Price ($)]]-PricingDataTable[[#This Row],[Current Price ($)]])/PricingDataTable[[#This Row],[Current Price ($)]]</f>
        <v>2.7017931655061171E-3</v>
      </c>
      <c r="M2285" t="str">
        <f t="shared" si="70"/>
        <v>STALE</v>
      </c>
      <c r="N2285" s="10" t="str">
        <f t="shared" si="71"/>
        <v>LOW</v>
      </c>
    </row>
    <row r="2286" spans="1:14">
      <c r="A2286" s="4" t="s">
        <v>4588</v>
      </c>
      <c r="B2286" s="4" t="s">
        <v>4589</v>
      </c>
      <c r="C2286" s="4" t="s">
        <v>19</v>
      </c>
      <c r="D2286" s="4" t="s">
        <v>13</v>
      </c>
      <c r="E2286" s="5">
        <v>23.3629</v>
      </c>
      <c r="F2286" s="5">
        <v>23.408100000000001</v>
      </c>
      <c r="G2286" s="5">
        <v>23.376100000000001</v>
      </c>
      <c r="H2286" s="4">
        <v>0</v>
      </c>
      <c r="I2286" s="6">
        <v>3872207</v>
      </c>
      <c r="J2286" s="7">
        <v>428.3</v>
      </c>
      <c r="K2286" s="9">
        <f>(PricingDataTable[[#This Row],[Current Price ($)]]-PricingDataTable[[#This Row],[Prior Price ($)]])/PricingDataTable[[#This Row],[Prior Price ($)]]</f>
        <v>1.9346913268473195E-3</v>
      </c>
      <c r="L2286" s="9">
        <f>(PricingDataTable[[#This Row],[Vendor Price ($)]]-PricingDataTable[[#This Row],[Current Price ($)]])/PricingDataTable[[#This Row],[Current Price ($)]]</f>
        <v>-1.3670481585434113E-3</v>
      </c>
      <c r="M2286" t="str">
        <f t="shared" si="70"/>
        <v>PASS</v>
      </c>
      <c r="N2286" s="10" t="str">
        <f t="shared" si="71"/>
        <v>NONE</v>
      </c>
    </row>
    <row r="2287" spans="1:14">
      <c r="A2287" s="4" t="s">
        <v>4590</v>
      </c>
      <c r="B2287" s="4" t="s">
        <v>4591</v>
      </c>
      <c r="C2287" s="4" t="s">
        <v>19</v>
      </c>
      <c r="D2287" s="4" t="s">
        <v>13</v>
      </c>
      <c r="E2287" s="5">
        <v>88.732200000000006</v>
      </c>
      <c r="F2287" s="5">
        <v>89.301400000000001</v>
      </c>
      <c r="G2287" s="5">
        <v>89.057599999999994</v>
      </c>
      <c r="H2287" s="4">
        <v>0</v>
      </c>
      <c r="I2287" s="6">
        <v>3969301</v>
      </c>
      <c r="J2287" s="7">
        <v>475.39</v>
      </c>
      <c r="K2287" s="9">
        <f>(PricingDataTable[[#This Row],[Current Price ($)]]-PricingDataTable[[#This Row],[Prior Price ($)]])/PricingDataTable[[#This Row],[Prior Price ($)]]</f>
        <v>6.4148077022771329E-3</v>
      </c>
      <c r="L2287" s="9">
        <f>(PricingDataTable[[#This Row],[Vendor Price ($)]]-PricingDataTable[[#This Row],[Current Price ($)]])/PricingDataTable[[#This Row],[Current Price ($)]]</f>
        <v>-2.7300803794790152E-3</v>
      </c>
      <c r="M2287" t="str">
        <f t="shared" si="70"/>
        <v>PASS</v>
      </c>
      <c r="N2287" s="10" t="str">
        <f t="shared" si="71"/>
        <v>NONE</v>
      </c>
    </row>
    <row r="2288" spans="1:14">
      <c r="A2288" s="4" t="s">
        <v>4592</v>
      </c>
      <c r="B2288" s="4" t="s">
        <v>4593</v>
      </c>
      <c r="C2288" s="4" t="s">
        <v>19</v>
      </c>
      <c r="D2288" s="4" t="s">
        <v>32</v>
      </c>
      <c r="E2288" s="5">
        <v>125.62690000000001</v>
      </c>
      <c r="F2288" s="5">
        <v>125.7273</v>
      </c>
      <c r="G2288" s="5">
        <v>125.18770000000001</v>
      </c>
      <c r="H2288" s="4">
        <v>1</v>
      </c>
      <c r="I2288" s="6">
        <v>4428988</v>
      </c>
      <c r="J2288" s="7">
        <v>423.44</v>
      </c>
      <c r="K2288" s="9">
        <f>(PricingDataTable[[#This Row],[Current Price ($)]]-PricingDataTable[[#This Row],[Prior Price ($)]])/PricingDataTable[[#This Row],[Prior Price ($)]]</f>
        <v>7.9919189281908081E-4</v>
      </c>
      <c r="L2288" s="9">
        <f>(PricingDataTable[[#This Row],[Vendor Price ($)]]-PricingDataTable[[#This Row],[Current Price ($)]])/PricingDataTable[[#This Row],[Current Price ($)]]</f>
        <v>-4.2918284254890781E-3</v>
      </c>
      <c r="M2288" t="str">
        <f t="shared" si="70"/>
        <v>PASS</v>
      </c>
      <c r="N2288" s="10" t="str">
        <f t="shared" si="71"/>
        <v>NONE</v>
      </c>
    </row>
    <row r="2289" spans="1:14">
      <c r="A2289" s="4" t="s">
        <v>4594</v>
      </c>
      <c r="B2289" s="4" t="s">
        <v>4595</v>
      </c>
      <c r="C2289" s="4" t="s">
        <v>19</v>
      </c>
      <c r="D2289" s="4" t="s">
        <v>13</v>
      </c>
      <c r="E2289" s="5">
        <v>297.37939999999998</v>
      </c>
      <c r="F2289" s="5">
        <v>295.7013</v>
      </c>
      <c r="G2289" s="5">
        <v>294.42840000000001</v>
      </c>
      <c r="H2289" s="4">
        <v>0</v>
      </c>
      <c r="I2289" s="6">
        <v>796683</v>
      </c>
      <c r="J2289" s="7">
        <v>776.45</v>
      </c>
      <c r="K2289" s="9">
        <f>(PricingDataTable[[#This Row],[Current Price ($)]]-PricingDataTable[[#This Row],[Prior Price ($)]])/PricingDataTable[[#This Row],[Prior Price ($)]]</f>
        <v>-5.6429598015194475E-3</v>
      </c>
      <c r="L2289" s="9">
        <f>(PricingDataTable[[#This Row],[Vendor Price ($)]]-PricingDataTable[[#This Row],[Current Price ($)]])/PricingDataTable[[#This Row],[Current Price ($)]]</f>
        <v>-4.3046817853015619E-3</v>
      </c>
      <c r="M2289" t="str">
        <f t="shared" si="70"/>
        <v>PASS</v>
      </c>
      <c r="N2289" s="10" t="str">
        <f t="shared" si="71"/>
        <v>NONE</v>
      </c>
    </row>
    <row r="2290" spans="1:14">
      <c r="A2290" s="4" t="s">
        <v>4596</v>
      </c>
      <c r="B2290" s="4" t="s">
        <v>4597</v>
      </c>
      <c r="C2290" s="4" t="s">
        <v>19</v>
      </c>
      <c r="D2290" s="4" t="s">
        <v>13</v>
      </c>
      <c r="E2290" s="5">
        <v>94.715299999999999</v>
      </c>
      <c r="F2290" s="5">
        <v>93.480500000000006</v>
      </c>
      <c r="G2290" s="5">
        <v>93.264300000000006</v>
      </c>
      <c r="H2290" s="4">
        <v>0</v>
      </c>
      <c r="I2290" s="6">
        <v>2085237</v>
      </c>
      <c r="J2290" s="7">
        <v>448.51</v>
      </c>
      <c r="K2290" s="9">
        <f>(PricingDataTable[[#This Row],[Current Price ($)]]-PricingDataTable[[#This Row],[Prior Price ($)]])/PricingDataTable[[#This Row],[Prior Price ($)]]</f>
        <v>-1.3036964460863163E-2</v>
      </c>
      <c r="L2290" s="9">
        <f>(PricingDataTable[[#This Row],[Vendor Price ($)]]-PricingDataTable[[#This Row],[Current Price ($)]])/PricingDataTable[[#This Row],[Current Price ($)]]</f>
        <v>-2.3127818101101364E-3</v>
      </c>
      <c r="M2290" t="str">
        <f t="shared" si="70"/>
        <v>PASS</v>
      </c>
      <c r="N2290" s="10" t="str">
        <f t="shared" si="71"/>
        <v>NONE</v>
      </c>
    </row>
    <row r="2291" spans="1:14">
      <c r="A2291" s="4" t="s">
        <v>4598</v>
      </c>
      <c r="B2291" s="4" t="s">
        <v>4599</v>
      </c>
      <c r="C2291" s="4" t="s">
        <v>19</v>
      </c>
      <c r="D2291" s="4" t="s">
        <v>36</v>
      </c>
      <c r="E2291" s="5">
        <v>180.7183</v>
      </c>
      <c r="F2291" s="5">
        <v>183.21090000000001</v>
      </c>
      <c r="G2291" s="5">
        <v>183.12790000000001</v>
      </c>
      <c r="H2291" s="4">
        <v>1</v>
      </c>
      <c r="I2291" s="6">
        <v>1000129</v>
      </c>
      <c r="J2291" s="7">
        <v>797.83</v>
      </c>
      <c r="K2291" s="9">
        <f>(PricingDataTable[[#This Row],[Current Price ($)]]-PricingDataTable[[#This Row],[Prior Price ($)]])/PricingDataTable[[#This Row],[Prior Price ($)]]</f>
        <v>1.3792737094140495E-2</v>
      </c>
      <c r="L2291" s="9">
        <f>(PricingDataTable[[#This Row],[Vendor Price ($)]]-PricingDataTable[[#This Row],[Current Price ($)]])/PricingDataTable[[#This Row],[Current Price ($)]]</f>
        <v>-4.5302981427414201E-4</v>
      </c>
      <c r="M2291" t="str">
        <f t="shared" si="70"/>
        <v>PASS</v>
      </c>
      <c r="N2291" s="10" t="str">
        <f t="shared" si="71"/>
        <v>NONE</v>
      </c>
    </row>
    <row r="2292" spans="1:14">
      <c r="A2292" s="4" t="s">
        <v>4600</v>
      </c>
      <c r="B2292" s="4" t="s">
        <v>4601</v>
      </c>
      <c r="C2292" s="4" t="s">
        <v>19</v>
      </c>
      <c r="D2292" s="4" t="s">
        <v>13</v>
      </c>
      <c r="E2292" s="5">
        <v>163.6335</v>
      </c>
      <c r="F2292" s="5">
        <v>164.31440000000001</v>
      </c>
      <c r="G2292" s="5">
        <v>164.9025</v>
      </c>
      <c r="H2292" s="4">
        <v>1</v>
      </c>
      <c r="I2292" s="6">
        <v>90171</v>
      </c>
      <c r="J2292" s="7">
        <v>205.35</v>
      </c>
      <c r="K2292" s="9">
        <f>(PricingDataTable[[#This Row],[Current Price ($)]]-PricingDataTable[[#This Row],[Prior Price ($)]])/PricingDataTable[[#This Row],[Prior Price ($)]]</f>
        <v>4.1611283753021739E-3</v>
      </c>
      <c r="L2292" s="9">
        <f>(PricingDataTable[[#This Row],[Vendor Price ($)]]-PricingDataTable[[#This Row],[Current Price ($)]])/PricingDataTable[[#This Row],[Current Price ($)]]</f>
        <v>3.5791141859751619E-3</v>
      </c>
      <c r="M2292" t="str">
        <f t="shared" si="70"/>
        <v>PASS</v>
      </c>
      <c r="N2292" s="10" t="str">
        <f t="shared" si="71"/>
        <v>NONE</v>
      </c>
    </row>
    <row r="2293" spans="1:14">
      <c r="A2293" s="4" t="s">
        <v>4602</v>
      </c>
      <c r="B2293" s="4" t="s">
        <v>4603</v>
      </c>
      <c r="C2293" s="4" t="s">
        <v>16</v>
      </c>
      <c r="D2293" s="4" t="s">
        <v>13</v>
      </c>
      <c r="E2293" s="5">
        <v>118.3035</v>
      </c>
      <c r="F2293" s="5">
        <v>140.70429999999999</v>
      </c>
      <c r="G2293" s="5">
        <v>140.15889999999999</v>
      </c>
      <c r="H2293" s="4">
        <v>0</v>
      </c>
      <c r="I2293" s="6">
        <v>1587639</v>
      </c>
      <c r="J2293" s="7">
        <v>106.09</v>
      </c>
      <c r="K2293" s="9">
        <f>(PricingDataTable[[#This Row],[Current Price ($)]]-PricingDataTable[[#This Row],[Prior Price ($)]])/PricingDataTable[[#This Row],[Prior Price ($)]]</f>
        <v>0.18935027281525896</v>
      </c>
      <c r="L2293" s="9">
        <f>(PricingDataTable[[#This Row],[Vendor Price ($)]]-PricingDataTable[[#This Row],[Current Price ($)]])/PricingDataTable[[#This Row],[Current Price ($)]]</f>
        <v>-3.8762141597662673E-3</v>
      </c>
      <c r="M2293" t="str">
        <f t="shared" si="70"/>
        <v>LARGE MOVE</v>
      </c>
      <c r="N2293" s="10" t="str">
        <f t="shared" si="71"/>
        <v>HIGH</v>
      </c>
    </row>
    <row r="2294" spans="1:14">
      <c r="A2294" s="4" t="s">
        <v>4604</v>
      </c>
      <c r="B2294" s="4" t="s">
        <v>4605</v>
      </c>
      <c r="C2294" s="4" t="s">
        <v>39</v>
      </c>
      <c r="D2294" s="4" t="s">
        <v>13</v>
      </c>
      <c r="E2294" s="5">
        <v>278.81639999999999</v>
      </c>
      <c r="F2294" s="5">
        <v>280.16550000000001</v>
      </c>
      <c r="G2294" s="5">
        <v>278.6875</v>
      </c>
      <c r="H2294" s="4">
        <v>0</v>
      </c>
      <c r="I2294" s="6">
        <v>4216911</v>
      </c>
      <c r="J2294" s="7">
        <v>745.8</v>
      </c>
      <c r="K2294" s="9">
        <f>(PricingDataTable[[#This Row],[Current Price ($)]]-PricingDataTable[[#This Row],[Prior Price ($)]])/PricingDataTable[[#This Row],[Prior Price ($)]]</f>
        <v>4.8386680267015186E-3</v>
      </c>
      <c r="L2294" s="9">
        <f>(PricingDataTable[[#This Row],[Vendor Price ($)]]-PricingDataTable[[#This Row],[Current Price ($)]])/PricingDataTable[[#This Row],[Current Price ($)]]</f>
        <v>-5.2754532588773729E-3</v>
      </c>
      <c r="M2294" t="str">
        <f t="shared" si="70"/>
        <v>PASS</v>
      </c>
      <c r="N2294" s="10" t="str">
        <f t="shared" si="71"/>
        <v>NONE</v>
      </c>
    </row>
    <row r="2295" spans="1:14">
      <c r="A2295" s="4" t="s">
        <v>4606</v>
      </c>
      <c r="B2295" s="4" t="s">
        <v>4607</v>
      </c>
      <c r="C2295" s="4" t="s">
        <v>35</v>
      </c>
      <c r="D2295" s="4" t="s">
        <v>13</v>
      </c>
      <c r="E2295" s="5">
        <v>119.3</v>
      </c>
      <c r="F2295" s="5">
        <v>123.21429999999999</v>
      </c>
      <c r="G2295" s="5">
        <v>108.035</v>
      </c>
      <c r="H2295" s="4">
        <v>0</v>
      </c>
      <c r="I2295" s="6">
        <v>43604</v>
      </c>
      <c r="J2295" s="7">
        <v>760.3</v>
      </c>
      <c r="K2295" s="9">
        <f>(PricingDataTable[[#This Row],[Current Price ($)]]-PricingDataTable[[#This Row],[Prior Price ($)]])/PricingDataTable[[#This Row],[Prior Price ($)]]</f>
        <v>3.2810561609388077E-2</v>
      </c>
      <c r="L2295" s="9">
        <f>(PricingDataTable[[#This Row],[Vendor Price ($)]]-PricingDataTable[[#This Row],[Current Price ($)]])/PricingDataTable[[#This Row],[Current Price ($)]]</f>
        <v>-0.12319430455718207</v>
      </c>
      <c r="M2295" t="str">
        <f t="shared" si="70"/>
        <v>VENDOR DIFFERENCE</v>
      </c>
      <c r="N2295" s="10" t="str">
        <f t="shared" si="71"/>
        <v>HIGH</v>
      </c>
    </row>
    <row r="2296" spans="1:14">
      <c r="A2296" s="4" t="s">
        <v>4608</v>
      </c>
      <c r="B2296" s="4" t="s">
        <v>4609</v>
      </c>
      <c r="C2296" s="4" t="s">
        <v>16</v>
      </c>
      <c r="D2296" s="4" t="s">
        <v>13</v>
      </c>
      <c r="E2296" s="5">
        <v>77.704300000000003</v>
      </c>
      <c r="F2296" s="5">
        <v>77.680899999999994</v>
      </c>
      <c r="G2296" s="5">
        <v>77.543899999999994</v>
      </c>
      <c r="H2296" s="4">
        <v>2</v>
      </c>
      <c r="I2296" s="6">
        <v>3374943</v>
      </c>
      <c r="J2296" s="7">
        <v>343.11</v>
      </c>
      <c r="K2296" s="9">
        <f>(PricingDataTable[[#This Row],[Current Price ($)]]-PricingDataTable[[#This Row],[Prior Price ($)]])/PricingDataTable[[#This Row],[Prior Price ($)]]</f>
        <v>-3.0114163566249762E-4</v>
      </c>
      <c r="L2296" s="9">
        <f>(PricingDataTable[[#This Row],[Vendor Price ($)]]-PricingDataTable[[#This Row],[Current Price ($)]])/PricingDataTable[[#This Row],[Current Price ($)]]</f>
        <v>-1.7636252927038752E-3</v>
      </c>
      <c r="M2296" t="str">
        <f t="shared" si="70"/>
        <v>PASS</v>
      </c>
      <c r="N2296" s="10" t="str">
        <f t="shared" si="71"/>
        <v>NONE</v>
      </c>
    </row>
    <row r="2297" spans="1:14">
      <c r="A2297" s="4" t="s">
        <v>4610</v>
      </c>
      <c r="B2297" s="4" t="s">
        <v>4611</v>
      </c>
      <c r="C2297" s="4" t="s">
        <v>35</v>
      </c>
      <c r="D2297" s="4" t="s">
        <v>64</v>
      </c>
      <c r="E2297" s="5">
        <v>31.393599999999999</v>
      </c>
      <c r="F2297" s="5">
        <v>31.412500000000001</v>
      </c>
      <c r="G2297" s="5">
        <v>31.5959</v>
      </c>
      <c r="H2297" s="4">
        <v>0</v>
      </c>
      <c r="I2297" s="6">
        <v>4976858</v>
      </c>
      <c r="J2297" s="7">
        <v>105.78</v>
      </c>
      <c r="K2297" s="9">
        <f>(PricingDataTable[[#This Row],[Current Price ($)]]-PricingDataTable[[#This Row],[Prior Price ($)]])/PricingDataTable[[#This Row],[Prior Price ($)]]</f>
        <v>6.020335354977492E-4</v>
      </c>
      <c r="L2297" s="9">
        <f>(PricingDataTable[[#This Row],[Vendor Price ($)]]-PricingDataTable[[#This Row],[Current Price ($)]])/PricingDataTable[[#This Row],[Current Price ($)]]</f>
        <v>5.8384401114205771E-3</v>
      </c>
      <c r="M2297" t="str">
        <f t="shared" si="70"/>
        <v>PASS</v>
      </c>
      <c r="N2297" s="10" t="str">
        <f t="shared" si="71"/>
        <v>NONE</v>
      </c>
    </row>
    <row r="2298" spans="1:14">
      <c r="A2298" s="4" t="s">
        <v>4612</v>
      </c>
      <c r="B2298" s="4" t="s">
        <v>4613</v>
      </c>
      <c r="C2298" s="4" t="s">
        <v>39</v>
      </c>
      <c r="D2298" s="4" t="s">
        <v>64</v>
      </c>
      <c r="E2298" s="5">
        <v>283.07420000000002</v>
      </c>
      <c r="F2298" s="5">
        <v>282.11989999999997</v>
      </c>
      <c r="G2298" s="5">
        <v>281.59219999999999</v>
      </c>
      <c r="H2298" s="4">
        <v>2</v>
      </c>
      <c r="I2298" s="6">
        <v>784646</v>
      </c>
      <c r="J2298" s="7">
        <v>502.67</v>
      </c>
      <c r="K2298" s="9">
        <f>(PricingDataTable[[#This Row],[Current Price ($)]]-PricingDataTable[[#This Row],[Prior Price ($)]])/PricingDataTable[[#This Row],[Prior Price ($)]]</f>
        <v>-3.3712009077480252E-3</v>
      </c>
      <c r="L2298" s="9">
        <f>(PricingDataTable[[#This Row],[Vendor Price ($)]]-PricingDataTable[[#This Row],[Current Price ($)]])/PricingDataTable[[#This Row],[Current Price ($)]]</f>
        <v>-1.8704813095424381E-3</v>
      </c>
      <c r="M2298" t="str">
        <f t="shared" si="70"/>
        <v>PASS</v>
      </c>
      <c r="N2298" s="10" t="str">
        <f t="shared" si="71"/>
        <v>NONE</v>
      </c>
    </row>
    <row r="2299" spans="1:14">
      <c r="A2299" s="4" t="s">
        <v>4614</v>
      </c>
      <c r="B2299" s="4" t="s">
        <v>4615</v>
      </c>
      <c r="C2299" s="4" t="s">
        <v>19</v>
      </c>
      <c r="D2299" s="4" t="s">
        <v>13</v>
      </c>
      <c r="E2299" s="5">
        <v>34.808</v>
      </c>
      <c r="F2299" s="5">
        <v>35.024999999999999</v>
      </c>
      <c r="G2299" s="5">
        <v>35.006300000000003</v>
      </c>
      <c r="H2299" s="4">
        <v>2</v>
      </c>
      <c r="I2299" s="6">
        <v>466286</v>
      </c>
      <c r="J2299" s="7">
        <v>271</v>
      </c>
      <c r="K2299" s="9">
        <f>(PricingDataTable[[#This Row],[Current Price ($)]]-PricingDataTable[[#This Row],[Prior Price ($)]])/PricingDataTable[[#This Row],[Prior Price ($)]]</f>
        <v>6.23419903470463E-3</v>
      </c>
      <c r="L2299" s="9">
        <f>(PricingDataTable[[#This Row],[Vendor Price ($)]]-PricingDataTable[[#This Row],[Current Price ($)]])/PricingDataTable[[#This Row],[Current Price ($)]]</f>
        <v>-5.3390435403270515E-4</v>
      </c>
      <c r="M2299" t="str">
        <f t="shared" si="70"/>
        <v>PASS</v>
      </c>
      <c r="N2299" s="10" t="str">
        <f t="shared" si="71"/>
        <v>NONE</v>
      </c>
    </row>
    <row r="2300" spans="1:14">
      <c r="A2300" s="4" t="s">
        <v>4616</v>
      </c>
      <c r="B2300" s="4" t="s">
        <v>4617</v>
      </c>
      <c r="C2300" s="4" t="s">
        <v>16</v>
      </c>
      <c r="D2300" s="4" t="s">
        <v>36</v>
      </c>
      <c r="E2300" s="5">
        <v>77.7958</v>
      </c>
      <c r="F2300" s="5">
        <v>78.556299999999993</v>
      </c>
      <c r="G2300" s="5">
        <v>78.507900000000006</v>
      </c>
      <c r="H2300" s="4">
        <v>3</v>
      </c>
      <c r="I2300" s="6">
        <v>4072943</v>
      </c>
      <c r="J2300" s="7">
        <v>540.08000000000004</v>
      </c>
      <c r="K2300" s="9">
        <f>(PricingDataTable[[#This Row],[Current Price ($)]]-PricingDataTable[[#This Row],[Prior Price ($)]])/PricingDataTable[[#This Row],[Prior Price ($)]]</f>
        <v>9.7755919985396799E-3</v>
      </c>
      <c r="L2300" s="9">
        <f>(PricingDataTable[[#This Row],[Vendor Price ($)]]-PricingDataTable[[#This Row],[Current Price ($)]])/PricingDataTable[[#This Row],[Current Price ($)]]</f>
        <v>-6.1611863084165975E-4</v>
      </c>
      <c r="M2300" t="str">
        <f t="shared" si="70"/>
        <v>STALE</v>
      </c>
      <c r="N2300" s="10" t="str">
        <f t="shared" si="71"/>
        <v>LOW</v>
      </c>
    </row>
    <row r="2301" spans="1:14">
      <c r="A2301" s="4" t="s">
        <v>4618</v>
      </c>
      <c r="B2301" s="4" t="s">
        <v>4619</v>
      </c>
      <c r="C2301" s="4" t="s">
        <v>39</v>
      </c>
      <c r="D2301" s="4" t="s">
        <v>36</v>
      </c>
      <c r="E2301" s="5">
        <v>59.423400000000001</v>
      </c>
      <c r="F2301" s="5">
        <v>59.734200000000001</v>
      </c>
      <c r="G2301" s="5">
        <v>59.594299999999997</v>
      </c>
      <c r="H2301" s="4">
        <v>1</v>
      </c>
      <c r="I2301" s="6">
        <v>1316451</v>
      </c>
      <c r="J2301" s="7">
        <v>437.52</v>
      </c>
      <c r="K2301" s="9">
        <f>(PricingDataTable[[#This Row],[Current Price ($)]]-PricingDataTable[[#This Row],[Prior Price ($)]])/PricingDataTable[[#This Row],[Prior Price ($)]]</f>
        <v>5.2302628257555172E-3</v>
      </c>
      <c r="L2301" s="9">
        <f>(PricingDataTable[[#This Row],[Vendor Price ($)]]-PricingDataTable[[#This Row],[Current Price ($)]])/PricingDataTable[[#This Row],[Current Price ($)]]</f>
        <v>-2.3420419123383984E-3</v>
      </c>
      <c r="M2301" t="str">
        <f t="shared" si="70"/>
        <v>PASS</v>
      </c>
      <c r="N2301" s="10" t="str">
        <f t="shared" si="71"/>
        <v>NONE</v>
      </c>
    </row>
    <row r="2302" spans="1:14">
      <c r="A2302" s="4" t="s">
        <v>4620</v>
      </c>
      <c r="B2302" s="4" t="s">
        <v>4621</v>
      </c>
      <c r="C2302" s="4" t="s">
        <v>39</v>
      </c>
      <c r="D2302" s="4" t="s">
        <v>64</v>
      </c>
      <c r="E2302" s="5">
        <v>157.3141</v>
      </c>
      <c r="F2302" s="5">
        <v>157.16040000000001</v>
      </c>
      <c r="G2302" s="5">
        <v>157.40780000000001</v>
      </c>
      <c r="H2302" s="4">
        <v>0</v>
      </c>
      <c r="I2302" s="6">
        <v>3918798</v>
      </c>
      <c r="J2302" s="7">
        <v>617.07000000000005</v>
      </c>
      <c r="K2302" s="9">
        <f>(PricingDataTable[[#This Row],[Current Price ($)]]-PricingDataTable[[#This Row],[Prior Price ($)]])/PricingDataTable[[#This Row],[Prior Price ($)]]</f>
        <v>-9.7702621697601418E-4</v>
      </c>
      <c r="L2302" s="9">
        <f>(PricingDataTable[[#This Row],[Vendor Price ($)]]-PricingDataTable[[#This Row],[Current Price ($)]])/PricingDataTable[[#This Row],[Current Price ($)]]</f>
        <v>1.5741878997508211E-3</v>
      </c>
      <c r="M2302" t="str">
        <f t="shared" si="70"/>
        <v>PASS</v>
      </c>
      <c r="N2302" s="10" t="str">
        <f t="shared" si="71"/>
        <v>NONE</v>
      </c>
    </row>
    <row r="2303" spans="1:14">
      <c r="A2303" s="4" t="s">
        <v>4622</v>
      </c>
      <c r="B2303" s="4" t="s">
        <v>4623</v>
      </c>
      <c r="C2303" s="4" t="s">
        <v>12</v>
      </c>
      <c r="D2303" s="4" t="s">
        <v>13</v>
      </c>
      <c r="E2303" s="5">
        <v>120.2632</v>
      </c>
      <c r="F2303" s="5">
        <v>119.35890000000001</v>
      </c>
      <c r="G2303" s="5">
        <v>119.21299999999999</v>
      </c>
      <c r="H2303" s="4">
        <v>0</v>
      </c>
      <c r="I2303" s="6">
        <v>2755355</v>
      </c>
      <c r="J2303" s="7">
        <v>760.5</v>
      </c>
      <c r="K2303" s="9">
        <f>(PricingDataTable[[#This Row],[Current Price ($)]]-PricingDataTable[[#This Row],[Prior Price ($)]])/PricingDataTable[[#This Row],[Prior Price ($)]]</f>
        <v>-7.5193409122656981E-3</v>
      </c>
      <c r="L2303" s="9">
        <f>(PricingDataTable[[#This Row],[Vendor Price ($)]]-PricingDataTable[[#This Row],[Current Price ($)]])/PricingDataTable[[#This Row],[Current Price ($)]]</f>
        <v>-1.2223638119990355E-3</v>
      </c>
      <c r="M2303" t="str">
        <f t="shared" si="70"/>
        <v>PASS</v>
      </c>
      <c r="N2303" s="10" t="str">
        <f t="shared" si="71"/>
        <v>NONE</v>
      </c>
    </row>
    <row r="2304" spans="1:14">
      <c r="A2304" s="4" t="s">
        <v>4624</v>
      </c>
      <c r="B2304" s="4" t="s">
        <v>4625</v>
      </c>
      <c r="C2304" s="4" t="s">
        <v>16</v>
      </c>
      <c r="D2304" s="4" t="s">
        <v>13</v>
      </c>
      <c r="E2304" s="5">
        <v>114.96040000000001</v>
      </c>
      <c r="F2304" s="5">
        <v>117.1173</v>
      </c>
      <c r="G2304" s="5">
        <v>117.1688</v>
      </c>
      <c r="H2304" s="4">
        <v>0</v>
      </c>
      <c r="I2304" s="6">
        <v>2730151</v>
      </c>
      <c r="J2304" s="7">
        <v>663.44</v>
      </c>
      <c r="K2304" s="9">
        <f>(PricingDataTable[[#This Row],[Current Price ($)]]-PricingDataTable[[#This Row],[Prior Price ($)]])/PricingDataTable[[#This Row],[Prior Price ($)]]</f>
        <v>1.8762112866691424E-2</v>
      </c>
      <c r="L2304" s="9">
        <f>(PricingDataTable[[#This Row],[Vendor Price ($)]]-PricingDataTable[[#This Row],[Current Price ($)]])/PricingDataTable[[#This Row],[Current Price ($)]]</f>
        <v>4.397300825753695E-4</v>
      </c>
      <c r="M2304" t="str">
        <f t="shared" si="70"/>
        <v>PASS</v>
      </c>
      <c r="N2304" s="10" t="str">
        <f t="shared" si="71"/>
        <v>NONE</v>
      </c>
    </row>
    <row r="2305" spans="1:14">
      <c r="A2305" s="4" t="s">
        <v>4626</v>
      </c>
      <c r="B2305" s="4" t="s">
        <v>4627</v>
      </c>
      <c r="C2305" s="4" t="s">
        <v>19</v>
      </c>
      <c r="D2305" s="4" t="s">
        <v>13</v>
      </c>
      <c r="E2305" s="5">
        <v>147.26990000000001</v>
      </c>
      <c r="F2305" s="5">
        <v>146.9426</v>
      </c>
      <c r="G2305" s="5">
        <v>147.25659999999999</v>
      </c>
      <c r="H2305" s="4">
        <v>2</v>
      </c>
      <c r="I2305" s="6">
        <v>2956279</v>
      </c>
      <c r="J2305" s="7">
        <v>541.28</v>
      </c>
      <c r="K2305" s="9">
        <f>(PricingDataTable[[#This Row],[Current Price ($)]]-PricingDataTable[[#This Row],[Prior Price ($)]])/PricingDataTable[[#This Row],[Prior Price ($)]]</f>
        <v>-2.2224500729613322E-3</v>
      </c>
      <c r="L2305" s="9">
        <f>(PricingDataTable[[#This Row],[Vendor Price ($)]]-PricingDataTable[[#This Row],[Current Price ($)]])/PricingDataTable[[#This Row],[Current Price ($)]]</f>
        <v>2.136888825976898E-3</v>
      </c>
      <c r="M2305" t="str">
        <f t="shared" si="70"/>
        <v>PASS</v>
      </c>
      <c r="N2305" s="10" t="str">
        <f t="shared" si="71"/>
        <v>NONE</v>
      </c>
    </row>
    <row r="2306" spans="1:14">
      <c r="A2306" s="4" t="s">
        <v>4628</v>
      </c>
      <c r="B2306" s="4" t="s">
        <v>4629</v>
      </c>
      <c r="C2306" s="4" t="s">
        <v>39</v>
      </c>
      <c r="D2306" s="4" t="s">
        <v>13</v>
      </c>
      <c r="E2306" s="5">
        <v>34.608600000000003</v>
      </c>
      <c r="F2306" s="5">
        <v>35.2545</v>
      </c>
      <c r="G2306" s="5">
        <v>35.322000000000003</v>
      </c>
      <c r="H2306" s="4">
        <v>0</v>
      </c>
      <c r="I2306" s="6">
        <v>3792868</v>
      </c>
      <c r="J2306" s="7">
        <v>564.9</v>
      </c>
      <c r="K2306" s="9">
        <f>(PricingDataTable[[#This Row],[Current Price ($)]]-PricingDataTable[[#This Row],[Prior Price ($)]])/PricingDataTable[[#This Row],[Prior Price ($)]]</f>
        <v>1.8662991279624064E-2</v>
      </c>
      <c r="L2306" s="9">
        <f>(PricingDataTable[[#This Row],[Vendor Price ($)]]-PricingDataTable[[#This Row],[Current Price ($)]])/PricingDataTable[[#This Row],[Current Price ($)]]</f>
        <v>1.9146491937200231E-3</v>
      </c>
      <c r="M2306" t="str">
        <f t="shared" ref="M2306:M2369" si="72">IF(OR(F2306="",F2306=0),"MISSING",IF(H2306&gt;=3,"STALE",IF(ABS(K2306)&gt;=5%,"LARGE MOVE",IF(ABS(L2306)&gt;=2%,"VENDOR DIFFERENCE","PASS"))))</f>
        <v>PASS</v>
      </c>
      <c r="N2306" s="10" t="str">
        <f t="shared" ref="N2306:N2369" si="73">IF(M2306="PASS","NONE",IF(M2306="MISSING","HIGH",IF(OR(ABS(K2306)&gt;=10%,ABS(L2306)&gt;=5%),"HIGH",IF(OR(ABS(K2306)&gt;=7%,ABS(L2306)&gt;=3%,H2306&gt;=5),"MEDIUM","LOW"))))</f>
        <v>NONE</v>
      </c>
    </row>
    <row r="2307" spans="1:14">
      <c r="A2307" s="4" t="s">
        <v>4630</v>
      </c>
      <c r="B2307" s="4" t="s">
        <v>4631</v>
      </c>
      <c r="C2307" s="4" t="s">
        <v>16</v>
      </c>
      <c r="D2307" s="4" t="s">
        <v>64</v>
      </c>
      <c r="E2307" s="5">
        <v>93.496899999999997</v>
      </c>
      <c r="F2307" s="5">
        <v>93.904300000000006</v>
      </c>
      <c r="G2307" s="5">
        <v>93.807500000000005</v>
      </c>
      <c r="H2307" s="4">
        <v>2</v>
      </c>
      <c r="I2307" s="6">
        <v>2084054</v>
      </c>
      <c r="J2307" s="7">
        <v>434.38</v>
      </c>
      <c r="K2307" s="9">
        <f>(PricingDataTable[[#This Row],[Current Price ($)]]-PricingDataTable[[#This Row],[Prior Price ($)]])/PricingDataTable[[#This Row],[Prior Price ($)]]</f>
        <v>4.357363720080663E-3</v>
      </c>
      <c r="L2307" s="9">
        <f>(PricingDataTable[[#This Row],[Vendor Price ($)]]-PricingDataTable[[#This Row],[Current Price ($)]])/PricingDataTable[[#This Row],[Current Price ($)]]</f>
        <v>-1.0308367135477478E-3</v>
      </c>
      <c r="M2307" t="str">
        <f t="shared" si="72"/>
        <v>PASS</v>
      </c>
      <c r="N2307" s="10" t="str">
        <f t="shared" si="73"/>
        <v>NONE</v>
      </c>
    </row>
    <row r="2308" spans="1:14">
      <c r="A2308" s="4" t="s">
        <v>4632</v>
      </c>
      <c r="B2308" s="4" t="s">
        <v>4633</v>
      </c>
      <c r="C2308" s="4" t="s">
        <v>19</v>
      </c>
      <c r="D2308" s="4" t="s">
        <v>13</v>
      </c>
      <c r="E2308" s="5">
        <v>251.05760000000001</v>
      </c>
      <c r="F2308" s="5">
        <v>255.5351</v>
      </c>
      <c r="G2308" s="5">
        <v>254.38380000000001</v>
      </c>
      <c r="H2308" s="4">
        <v>1</v>
      </c>
      <c r="I2308" s="6">
        <v>3875237</v>
      </c>
      <c r="J2308" s="7">
        <v>806.77</v>
      </c>
      <c r="K2308" s="9">
        <f>(PricingDataTable[[#This Row],[Current Price ($)]]-PricingDataTable[[#This Row],[Prior Price ($)]])/PricingDataTable[[#This Row],[Prior Price ($)]]</f>
        <v>1.7834552708223102E-2</v>
      </c>
      <c r="L2308" s="9">
        <f>(PricingDataTable[[#This Row],[Vendor Price ($)]]-PricingDataTable[[#This Row],[Current Price ($)]])/PricingDataTable[[#This Row],[Current Price ($)]]</f>
        <v>-4.5054475882177905E-3</v>
      </c>
      <c r="M2308" t="str">
        <f t="shared" si="72"/>
        <v>PASS</v>
      </c>
      <c r="N2308" s="10" t="str">
        <f t="shared" si="73"/>
        <v>NONE</v>
      </c>
    </row>
    <row r="2309" spans="1:14">
      <c r="A2309" s="4" t="s">
        <v>4634</v>
      </c>
      <c r="B2309" s="4" t="s">
        <v>4635</v>
      </c>
      <c r="C2309" s="4" t="s">
        <v>16</v>
      </c>
      <c r="D2309" s="4" t="s">
        <v>13</v>
      </c>
      <c r="E2309" s="5">
        <v>108.88720000000001</v>
      </c>
      <c r="F2309" s="5">
        <v>108.1477</v>
      </c>
      <c r="G2309" s="5">
        <v>108.43340000000001</v>
      </c>
      <c r="H2309" s="4">
        <v>0</v>
      </c>
      <c r="I2309" s="6">
        <v>251586</v>
      </c>
      <c r="J2309" s="7">
        <v>837.13</v>
      </c>
      <c r="K2309" s="9">
        <f>(PricingDataTable[[#This Row],[Current Price ($)]]-PricingDataTable[[#This Row],[Prior Price ($)]])/PricingDataTable[[#This Row],[Prior Price ($)]]</f>
        <v>-6.7914318671065711E-3</v>
      </c>
      <c r="L2309" s="9">
        <f>(PricingDataTable[[#This Row],[Vendor Price ($)]]-PricingDataTable[[#This Row],[Current Price ($)]])/PricingDataTable[[#This Row],[Current Price ($)]]</f>
        <v>2.6417575223514288E-3</v>
      </c>
      <c r="M2309" t="str">
        <f t="shared" si="72"/>
        <v>PASS</v>
      </c>
      <c r="N2309" s="10" t="str">
        <f t="shared" si="73"/>
        <v>NONE</v>
      </c>
    </row>
    <row r="2310" spans="1:14">
      <c r="A2310" s="4" t="s">
        <v>4636</v>
      </c>
      <c r="B2310" s="4" t="s">
        <v>4637</v>
      </c>
      <c r="C2310" s="4" t="s">
        <v>16</v>
      </c>
      <c r="D2310" s="4" t="s">
        <v>13</v>
      </c>
      <c r="E2310" s="5">
        <v>114.5617</v>
      </c>
      <c r="F2310" s="5">
        <v>114.0598</v>
      </c>
      <c r="G2310" s="5">
        <v>114.18380000000001</v>
      </c>
      <c r="H2310" s="4">
        <v>0</v>
      </c>
      <c r="I2310" s="6">
        <v>3024647</v>
      </c>
      <c r="J2310" s="7">
        <v>177.77</v>
      </c>
      <c r="K2310" s="9">
        <f>(PricingDataTable[[#This Row],[Current Price ($)]]-PricingDataTable[[#This Row],[Prior Price ($)]])/PricingDataTable[[#This Row],[Prior Price ($)]]</f>
        <v>-4.3810453231752514E-3</v>
      </c>
      <c r="L2310" s="9">
        <f>(PricingDataTable[[#This Row],[Vendor Price ($)]]-PricingDataTable[[#This Row],[Current Price ($)]])/PricingDataTable[[#This Row],[Current Price ($)]]</f>
        <v>1.087149021828983E-3</v>
      </c>
      <c r="M2310" t="str">
        <f t="shared" si="72"/>
        <v>PASS</v>
      </c>
      <c r="N2310" s="10" t="str">
        <f t="shared" si="73"/>
        <v>NONE</v>
      </c>
    </row>
    <row r="2311" spans="1:14">
      <c r="A2311" s="4" t="s">
        <v>4638</v>
      </c>
      <c r="B2311" s="4" t="s">
        <v>4639</v>
      </c>
      <c r="C2311" s="4" t="s">
        <v>39</v>
      </c>
      <c r="D2311" s="4" t="s">
        <v>36</v>
      </c>
      <c r="E2311" s="5">
        <v>245.1533</v>
      </c>
      <c r="F2311" s="5">
        <v>245.5616</v>
      </c>
      <c r="G2311" s="5">
        <v>245.88990000000001</v>
      </c>
      <c r="H2311" s="4">
        <v>0</v>
      </c>
      <c r="I2311" s="6">
        <v>2822843</v>
      </c>
      <c r="J2311" s="7">
        <v>500.2</v>
      </c>
      <c r="K2311" s="9">
        <f>(PricingDataTable[[#This Row],[Current Price ($)]]-PricingDataTable[[#This Row],[Prior Price ($)]])/PricingDataTable[[#This Row],[Prior Price ($)]]</f>
        <v>1.6654884923025593E-3</v>
      </c>
      <c r="L2311" s="9">
        <f>(PricingDataTable[[#This Row],[Vendor Price ($)]]-PricingDataTable[[#This Row],[Current Price ($)]])/PricingDataTable[[#This Row],[Current Price ($)]]</f>
        <v>1.3369354166124219E-3</v>
      </c>
      <c r="M2311" t="str">
        <f t="shared" si="72"/>
        <v>PASS</v>
      </c>
      <c r="N2311" s="10" t="str">
        <f t="shared" si="73"/>
        <v>NONE</v>
      </c>
    </row>
    <row r="2312" spans="1:14">
      <c r="A2312" s="4" t="s">
        <v>4640</v>
      </c>
      <c r="B2312" s="4" t="s">
        <v>4641</v>
      </c>
      <c r="C2312" s="4" t="s">
        <v>16</v>
      </c>
      <c r="D2312" s="4" t="s">
        <v>237</v>
      </c>
      <c r="E2312" s="5">
        <v>119.3865</v>
      </c>
      <c r="F2312" s="5">
        <v>118.3845</v>
      </c>
      <c r="G2312" s="5">
        <v>118.6716</v>
      </c>
      <c r="H2312" s="4">
        <v>5</v>
      </c>
      <c r="I2312" s="6">
        <v>1708394</v>
      </c>
      <c r="J2312" s="7">
        <v>335.84</v>
      </c>
      <c r="K2312" s="9">
        <f>(PricingDataTable[[#This Row],[Current Price ($)]]-PricingDataTable[[#This Row],[Prior Price ($)]])/PricingDataTable[[#This Row],[Prior Price ($)]]</f>
        <v>-8.3929087459637015E-3</v>
      </c>
      <c r="L2312" s="9">
        <f>(PricingDataTable[[#This Row],[Vendor Price ($)]]-PricingDataTable[[#This Row],[Current Price ($)]])/PricingDataTable[[#This Row],[Current Price ($)]]</f>
        <v>2.4251485625229252E-3</v>
      </c>
      <c r="M2312" t="str">
        <f t="shared" si="72"/>
        <v>STALE</v>
      </c>
      <c r="N2312" s="10" t="str">
        <f t="shared" si="73"/>
        <v>MEDIUM</v>
      </c>
    </row>
    <row r="2313" spans="1:14">
      <c r="A2313" s="4" t="s">
        <v>4642</v>
      </c>
      <c r="B2313" s="4" t="s">
        <v>4643</v>
      </c>
      <c r="C2313" s="4" t="s">
        <v>12</v>
      </c>
      <c r="D2313" s="4" t="s">
        <v>64</v>
      </c>
      <c r="E2313" s="5">
        <v>95.730599999999995</v>
      </c>
      <c r="F2313" s="5">
        <v>94.259900000000002</v>
      </c>
      <c r="G2313" s="5">
        <v>94.239500000000007</v>
      </c>
      <c r="H2313" s="4">
        <v>0</v>
      </c>
      <c r="I2313" s="6">
        <v>769881</v>
      </c>
      <c r="J2313" s="7">
        <v>27.17</v>
      </c>
      <c r="K2313" s="9">
        <f>(PricingDataTable[[#This Row],[Current Price ($)]]-PricingDataTable[[#This Row],[Prior Price ($)]])/PricingDataTable[[#This Row],[Prior Price ($)]]</f>
        <v>-1.5362903815498844E-2</v>
      </c>
      <c r="L2313" s="9">
        <f>(PricingDataTable[[#This Row],[Vendor Price ($)]]-PricingDataTable[[#This Row],[Current Price ($)]])/PricingDataTable[[#This Row],[Current Price ($)]]</f>
        <v>-2.1642289032764822E-4</v>
      </c>
      <c r="M2313" t="str">
        <f t="shared" si="72"/>
        <v>PASS</v>
      </c>
      <c r="N2313" s="10" t="str">
        <f t="shared" si="73"/>
        <v>NONE</v>
      </c>
    </row>
    <row r="2314" spans="1:14">
      <c r="A2314" s="4" t="s">
        <v>4644</v>
      </c>
      <c r="B2314" s="4" t="s">
        <v>4645</v>
      </c>
      <c r="C2314" s="4" t="s">
        <v>19</v>
      </c>
      <c r="D2314" s="4" t="s">
        <v>13</v>
      </c>
      <c r="E2314" s="5">
        <v>38.367699999999999</v>
      </c>
      <c r="F2314" s="5">
        <v>38.956600000000002</v>
      </c>
      <c r="G2314" s="5">
        <v>38.862699999999997</v>
      </c>
      <c r="H2314" s="4">
        <v>0</v>
      </c>
      <c r="I2314" s="6">
        <v>1943076</v>
      </c>
      <c r="J2314" s="7">
        <v>200.92</v>
      </c>
      <c r="K2314" s="9">
        <f>(PricingDataTable[[#This Row],[Current Price ($)]]-PricingDataTable[[#This Row],[Prior Price ($)]])/PricingDataTable[[#This Row],[Prior Price ($)]]</f>
        <v>1.5348848119642367E-2</v>
      </c>
      <c r="L2314" s="9">
        <f>(PricingDataTable[[#This Row],[Vendor Price ($)]]-PricingDataTable[[#This Row],[Current Price ($)]])/PricingDataTable[[#This Row],[Current Price ($)]]</f>
        <v>-2.4103746220153961E-3</v>
      </c>
      <c r="M2314" t="str">
        <f t="shared" si="72"/>
        <v>PASS</v>
      </c>
      <c r="N2314" s="10" t="str">
        <f t="shared" si="73"/>
        <v>NONE</v>
      </c>
    </row>
    <row r="2315" spans="1:14">
      <c r="A2315" s="4" t="s">
        <v>4646</v>
      </c>
      <c r="B2315" s="4" t="s">
        <v>4647</v>
      </c>
      <c r="C2315" s="4" t="s">
        <v>35</v>
      </c>
      <c r="D2315" s="4" t="s">
        <v>32</v>
      </c>
      <c r="E2315" s="5">
        <v>111.6591</v>
      </c>
      <c r="F2315" s="5">
        <v>114.30419999999999</v>
      </c>
      <c r="G2315" s="5">
        <v>114.1553</v>
      </c>
      <c r="H2315" s="4">
        <v>0</v>
      </c>
      <c r="I2315" s="6">
        <v>4247157</v>
      </c>
      <c r="J2315" s="7">
        <v>491.78</v>
      </c>
      <c r="K2315" s="9">
        <f>(PricingDataTable[[#This Row],[Current Price ($)]]-PricingDataTable[[#This Row],[Prior Price ($)]])/PricingDataTable[[#This Row],[Prior Price ($)]]</f>
        <v>2.3689067886092575E-2</v>
      </c>
      <c r="L2315" s="9">
        <f>(PricingDataTable[[#This Row],[Vendor Price ($)]]-PricingDataTable[[#This Row],[Current Price ($)]])/PricingDataTable[[#This Row],[Current Price ($)]]</f>
        <v>-1.3026642940504162E-3</v>
      </c>
      <c r="M2315" t="str">
        <f t="shared" si="72"/>
        <v>PASS</v>
      </c>
      <c r="N2315" s="10" t="str">
        <f t="shared" si="73"/>
        <v>NONE</v>
      </c>
    </row>
    <row r="2316" spans="1:14">
      <c r="A2316" s="4" t="s">
        <v>4648</v>
      </c>
      <c r="B2316" s="4" t="s">
        <v>4649</v>
      </c>
      <c r="C2316" s="4" t="s">
        <v>35</v>
      </c>
      <c r="D2316" s="4" t="s">
        <v>13</v>
      </c>
      <c r="E2316" s="5">
        <v>68.181399999999996</v>
      </c>
      <c r="F2316" s="5">
        <v>68.223799999999997</v>
      </c>
      <c r="G2316" s="5">
        <v>68.088700000000003</v>
      </c>
      <c r="H2316" s="4">
        <v>2</v>
      </c>
      <c r="I2316" s="6">
        <v>2392050</v>
      </c>
      <c r="J2316" s="7">
        <v>43.83</v>
      </c>
      <c r="K2316" s="9">
        <f>(PricingDataTable[[#This Row],[Current Price ($)]]-PricingDataTable[[#This Row],[Prior Price ($)]])/PricingDataTable[[#This Row],[Prior Price ($)]]</f>
        <v>6.218704808056253E-4</v>
      </c>
      <c r="L2316" s="9">
        <f>(PricingDataTable[[#This Row],[Vendor Price ($)]]-PricingDataTable[[#This Row],[Current Price ($)]])/PricingDataTable[[#This Row],[Current Price ($)]]</f>
        <v>-1.980247362357333E-3</v>
      </c>
      <c r="M2316" t="str">
        <f t="shared" si="72"/>
        <v>PASS</v>
      </c>
      <c r="N2316" s="10" t="str">
        <f t="shared" si="73"/>
        <v>NONE</v>
      </c>
    </row>
    <row r="2317" spans="1:14">
      <c r="A2317" s="4" t="s">
        <v>4650</v>
      </c>
      <c r="B2317" s="4" t="s">
        <v>4651</v>
      </c>
      <c r="C2317" s="4" t="s">
        <v>12</v>
      </c>
      <c r="D2317" s="4" t="s">
        <v>32</v>
      </c>
      <c r="E2317" s="5">
        <v>110.3807</v>
      </c>
      <c r="F2317" s="5">
        <v>111.69499999999999</v>
      </c>
      <c r="G2317" s="5">
        <v>111.56440000000001</v>
      </c>
      <c r="H2317" s="4">
        <v>2</v>
      </c>
      <c r="I2317" s="6">
        <v>4558893</v>
      </c>
      <c r="J2317" s="7">
        <v>504.55</v>
      </c>
      <c r="K2317" s="9">
        <f>(PricingDataTable[[#This Row],[Current Price ($)]]-PricingDataTable[[#This Row],[Prior Price ($)]])/PricingDataTable[[#This Row],[Prior Price ($)]]</f>
        <v>1.190697286753924E-2</v>
      </c>
      <c r="L2317" s="9">
        <f>(PricingDataTable[[#This Row],[Vendor Price ($)]]-PricingDataTable[[#This Row],[Current Price ($)]])/PricingDataTable[[#This Row],[Current Price ($)]]</f>
        <v>-1.1692555620214599E-3</v>
      </c>
      <c r="M2317" t="str">
        <f t="shared" si="72"/>
        <v>PASS</v>
      </c>
      <c r="N2317" s="10" t="str">
        <f t="shared" si="73"/>
        <v>NONE</v>
      </c>
    </row>
    <row r="2318" spans="1:14">
      <c r="A2318" s="4" t="s">
        <v>4652</v>
      </c>
      <c r="B2318" s="4" t="s">
        <v>4653</v>
      </c>
      <c r="C2318" s="4" t="s">
        <v>19</v>
      </c>
      <c r="D2318" s="4" t="s">
        <v>13</v>
      </c>
      <c r="E2318" s="5">
        <v>333.60480000000001</v>
      </c>
      <c r="F2318" s="5">
        <v>328.45729999999998</v>
      </c>
      <c r="G2318" s="5">
        <v>327.95929999999998</v>
      </c>
      <c r="H2318" s="4">
        <v>3</v>
      </c>
      <c r="I2318" s="6">
        <v>3458902</v>
      </c>
      <c r="J2318" s="7">
        <v>695.68</v>
      </c>
      <c r="K2318" s="9">
        <f>(PricingDataTable[[#This Row],[Current Price ($)]]-PricingDataTable[[#This Row],[Prior Price ($)]])/PricingDataTable[[#This Row],[Prior Price ($)]]</f>
        <v>-1.5429933861863008E-2</v>
      </c>
      <c r="L2318" s="9">
        <f>(PricingDataTable[[#This Row],[Vendor Price ($)]]-PricingDataTable[[#This Row],[Current Price ($)]])/PricingDataTable[[#This Row],[Current Price ($)]]</f>
        <v>-1.5161788153284779E-3</v>
      </c>
      <c r="M2318" t="str">
        <f t="shared" si="72"/>
        <v>STALE</v>
      </c>
      <c r="N2318" s="10" t="str">
        <f t="shared" si="73"/>
        <v>LOW</v>
      </c>
    </row>
    <row r="2319" spans="1:14">
      <c r="A2319" s="4" t="s">
        <v>4654</v>
      </c>
      <c r="B2319" s="4" t="s">
        <v>4655</v>
      </c>
      <c r="C2319" s="4" t="s">
        <v>19</v>
      </c>
      <c r="D2319" s="4" t="s">
        <v>64</v>
      </c>
      <c r="E2319" s="5">
        <v>309.19189999999998</v>
      </c>
      <c r="F2319" s="5">
        <v>311.23020000000002</v>
      </c>
      <c r="G2319" s="5">
        <v>309.78800000000001</v>
      </c>
      <c r="H2319" s="4">
        <v>1</v>
      </c>
      <c r="I2319" s="6">
        <v>3396352</v>
      </c>
      <c r="J2319" s="7">
        <v>391.58</v>
      </c>
      <c r="K2319" s="9">
        <f>(PricingDataTable[[#This Row],[Current Price ($)]]-PricingDataTable[[#This Row],[Prior Price ($)]])/PricingDataTable[[#This Row],[Prior Price ($)]]</f>
        <v>6.5923460478752825E-3</v>
      </c>
      <c r="L2319" s="9">
        <f>(PricingDataTable[[#This Row],[Vendor Price ($)]]-PricingDataTable[[#This Row],[Current Price ($)]])/PricingDataTable[[#This Row],[Current Price ($)]]</f>
        <v>-4.6338690782578738E-3</v>
      </c>
      <c r="M2319" t="str">
        <f t="shared" si="72"/>
        <v>PASS</v>
      </c>
      <c r="N2319" s="10" t="str">
        <f t="shared" si="73"/>
        <v>NONE</v>
      </c>
    </row>
    <row r="2320" spans="1:14">
      <c r="A2320" s="4" t="s">
        <v>4656</v>
      </c>
      <c r="B2320" s="4" t="s">
        <v>4657</v>
      </c>
      <c r="C2320" s="4" t="s">
        <v>19</v>
      </c>
      <c r="D2320" s="4" t="s">
        <v>32</v>
      </c>
      <c r="E2320" s="5">
        <v>112.9783</v>
      </c>
      <c r="F2320" s="5">
        <v>113.584</v>
      </c>
      <c r="G2320" s="5">
        <v>113.3695</v>
      </c>
      <c r="H2320" s="4">
        <v>1</v>
      </c>
      <c r="I2320" s="6">
        <v>3642443</v>
      </c>
      <c r="J2320" s="7">
        <v>365.94</v>
      </c>
      <c r="K2320" s="9">
        <f>(PricingDataTable[[#This Row],[Current Price ($)]]-PricingDataTable[[#This Row],[Prior Price ($)]])/PricingDataTable[[#This Row],[Prior Price ($)]]</f>
        <v>5.3612065325819094E-3</v>
      </c>
      <c r="L2320" s="9">
        <f>(PricingDataTable[[#This Row],[Vendor Price ($)]]-PricingDataTable[[#This Row],[Current Price ($)]])/PricingDataTable[[#This Row],[Current Price ($)]]</f>
        <v>-1.8884702070714274E-3</v>
      </c>
      <c r="M2320" t="str">
        <f t="shared" si="72"/>
        <v>PASS</v>
      </c>
      <c r="N2320" s="10" t="str">
        <f t="shared" si="73"/>
        <v>NONE</v>
      </c>
    </row>
    <row r="2321" spans="1:14">
      <c r="A2321" s="4" t="s">
        <v>4658</v>
      </c>
      <c r="B2321" s="4" t="s">
        <v>4659</v>
      </c>
      <c r="C2321" s="4" t="s">
        <v>39</v>
      </c>
      <c r="D2321" s="4" t="s">
        <v>13</v>
      </c>
      <c r="E2321" s="5">
        <v>39.780099999999997</v>
      </c>
      <c r="F2321" s="5">
        <v>39.590499999999999</v>
      </c>
      <c r="G2321" s="5">
        <v>39.464399999999998</v>
      </c>
      <c r="H2321" s="4">
        <v>0</v>
      </c>
      <c r="I2321" s="6">
        <v>3741179</v>
      </c>
      <c r="J2321" s="7">
        <v>597.44000000000005</v>
      </c>
      <c r="K2321" s="9">
        <f>(PricingDataTable[[#This Row],[Current Price ($)]]-PricingDataTable[[#This Row],[Prior Price ($)]])/PricingDataTable[[#This Row],[Prior Price ($)]]</f>
        <v>-4.7662021965756409E-3</v>
      </c>
      <c r="L2321" s="9">
        <f>(PricingDataTable[[#This Row],[Vendor Price ($)]]-PricingDataTable[[#This Row],[Current Price ($)]])/PricingDataTable[[#This Row],[Current Price ($)]]</f>
        <v>-3.1851075384246473E-3</v>
      </c>
      <c r="M2321" t="str">
        <f t="shared" si="72"/>
        <v>PASS</v>
      </c>
      <c r="N2321" s="10" t="str">
        <f t="shared" si="73"/>
        <v>NONE</v>
      </c>
    </row>
    <row r="2322" spans="1:14">
      <c r="A2322" s="4" t="s">
        <v>4660</v>
      </c>
      <c r="B2322" s="4" t="s">
        <v>4661</v>
      </c>
      <c r="C2322" s="4" t="s">
        <v>16</v>
      </c>
      <c r="D2322" s="4" t="s">
        <v>13</v>
      </c>
      <c r="E2322" s="5">
        <v>124.1379</v>
      </c>
      <c r="F2322" s="5">
        <v>122.0313</v>
      </c>
      <c r="G2322" s="5">
        <v>121.7915</v>
      </c>
      <c r="H2322" s="4">
        <v>0</v>
      </c>
      <c r="I2322" s="6">
        <v>1210408</v>
      </c>
      <c r="J2322" s="7">
        <v>176.55</v>
      </c>
      <c r="K2322" s="9">
        <f>(PricingDataTable[[#This Row],[Current Price ($)]]-PricingDataTable[[#This Row],[Prior Price ($)]])/PricingDataTable[[#This Row],[Prior Price ($)]]</f>
        <v>-1.6969837575792728E-2</v>
      </c>
      <c r="L2322" s="9">
        <f>(PricingDataTable[[#This Row],[Vendor Price ($)]]-PricingDataTable[[#This Row],[Current Price ($)]])/PricingDataTable[[#This Row],[Current Price ($)]]</f>
        <v>-1.9650696173850678E-3</v>
      </c>
      <c r="M2322" t="str">
        <f t="shared" si="72"/>
        <v>PASS</v>
      </c>
      <c r="N2322" s="10" t="str">
        <f t="shared" si="73"/>
        <v>NONE</v>
      </c>
    </row>
    <row r="2323" spans="1:14">
      <c r="A2323" s="4" t="s">
        <v>4662</v>
      </c>
      <c r="B2323" s="4" t="s">
        <v>4663</v>
      </c>
      <c r="C2323" s="4" t="s">
        <v>35</v>
      </c>
      <c r="D2323" s="4" t="s">
        <v>13</v>
      </c>
      <c r="E2323" s="5">
        <v>143.01849999999999</v>
      </c>
      <c r="F2323" s="5">
        <v>142.7963</v>
      </c>
      <c r="G2323" s="5">
        <v>142.76429999999999</v>
      </c>
      <c r="H2323" s="4">
        <v>0</v>
      </c>
      <c r="I2323" s="6">
        <v>3276523</v>
      </c>
      <c r="J2323" s="7">
        <v>376.59</v>
      </c>
      <c r="K2323" s="9">
        <f>(PricingDataTable[[#This Row],[Current Price ($)]]-PricingDataTable[[#This Row],[Prior Price ($)]])/PricingDataTable[[#This Row],[Prior Price ($)]]</f>
        <v>-1.5536451577941781E-3</v>
      </c>
      <c r="L2323" s="9">
        <f>(PricingDataTable[[#This Row],[Vendor Price ($)]]-PricingDataTable[[#This Row],[Current Price ($)]])/PricingDataTable[[#This Row],[Current Price ($)]]</f>
        <v>-2.2409544224892861E-4</v>
      </c>
      <c r="M2323" t="str">
        <f t="shared" si="72"/>
        <v>PASS</v>
      </c>
      <c r="N2323" s="10" t="str">
        <f t="shared" si="73"/>
        <v>NONE</v>
      </c>
    </row>
    <row r="2324" spans="1:14">
      <c r="A2324" s="4" t="s">
        <v>4664</v>
      </c>
      <c r="B2324" s="4" t="s">
        <v>4665</v>
      </c>
      <c r="C2324" s="4" t="s">
        <v>35</v>
      </c>
      <c r="D2324" s="4" t="s">
        <v>13</v>
      </c>
      <c r="E2324" s="5">
        <v>177.57089999999999</v>
      </c>
      <c r="F2324" s="5">
        <v>178.05369999999999</v>
      </c>
      <c r="G2324" s="5">
        <v>178.31979999999999</v>
      </c>
      <c r="H2324" s="4">
        <v>0</v>
      </c>
      <c r="I2324" s="6">
        <v>1145226</v>
      </c>
      <c r="J2324" s="7">
        <v>239.81</v>
      </c>
      <c r="K2324" s="9">
        <f>(PricingDataTable[[#This Row],[Current Price ($)]]-PricingDataTable[[#This Row],[Prior Price ($)]])/PricingDataTable[[#This Row],[Prior Price ($)]]</f>
        <v>2.7189139661960237E-3</v>
      </c>
      <c r="L2324" s="9">
        <f>(PricingDataTable[[#This Row],[Vendor Price ($)]]-PricingDataTable[[#This Row],[Current Price ($)]])/PricingDataTable[[#This Row],[Current Price ($)]]</f>
        <v>1.4944929535302802E-3</v>
      </c>
      <c r="M2324" t="str">
        <f t="shared" si="72"/>
        <v>PASS</v>
      </c>
      <c r="N2324" s="10" t="str">
        <f t="shared" si="73"/>
        <v>NONE</v>
      </c>
    </row>
    <row r="2325" spans="1:14">
      <c r="A2325" s="4" t="s">
        <v>4666</v>
      </c>
      <c r="B2325" s="4" t="s">
        <v>4667</v>
      </c>
      <c r="C2325" s="4" t="s">
        <v>19</v>
      </c>
      <c r="D2325" s="4" t="s">
        <v>36</v>
      </c>
      <c r="E2325" s="5">
        <v>85.482299999999995</v>
      </c>
      <c r="F2325" s="5">
        <v>85.792500000000004</v>
      </c>
      <c r="G2325" s="5">
        <v>86.078999999999994</v>
      </c>
      <c r="H2325" s="4">
        <v>5</v>
      </c>
      <c r="I2325" s="6">
        <v>4318458</v>
      </c>
      <c r="J2325" s="7">
        <v>372.42</v>
      </c>
      <c r="K2325" s="9">
        <f>(PricingDataTable[[#This Row],[Current Price ($)]]-PricingDataTable[[#This Row],[Prior Price ($)]])/PricingDataTable[[#This Row],[Prior Price ($)]]</f>
        <v>3.6288214051330967E-3</v>
      </c>
      <c r="L2325" s="9">
        <f>(PricingDataTable[[#This Row],[Vendor Price ($)]]-PricingDataTable[[#This Row],[Current Price ($)]])/PricingDataTable[[#This Row],[Current Price ($)]]</f>
        <v>3.3394527493660815E-3</v>
      </c>
      <c r="M2325" t="str">
        <f t="shared" si="72"/>
        <v>STALE</v>
      </c>
      <c r="N2325" s="10" t="str">
        <f t="shared" si="73"/>
        <v>MEDIUM</v>
      </c>
    </row>
    <row r="2326" spans="1:14">
      <c r="A2326" s="4" t="s">
        <v>4668</v>
      </c>
      <c r="B2326" s="4" t="s">
        <v>4669</v>
      </c>
      <c r="C2326" s="4" t="s">
        <v>35</v>
      </c>
      <c r="D2326" s="4" t="s">
        <v>13</v>
      </c>
      <c r="E2326" s="5">
        <v>45.540100000000002</v>
      </c>
      <c r="F2326" s="5">
        <v>46.405500000000004</v>
      </c>
      <c r="G2326" s="5">
        <v>46.2988</v>
      </c>
      <c r="H2326" s="4">
        <v>1</v>
      </c>
      <c r="I2326" s="6">
        <v>3770468</v>
      </c>
      <c r="J2326" s="7">
        <v>596.4</v>
      </c>
      <c r="K2326" s="9">
        <f>(PricingDataTable[[#This Row],[Current Price ($)]]-PricingDataTable[[#This Row],[Prior Price ($)]])/PricingDataTable[[#This Row],[Prior Price ($)]]</f>
        <v>1.9003032492243121E-2</v>
      </c>
      <c r="L2326" s="9">
        <f>(PricingDataTable[[#This Row],[Vendor Price ($)]]-PricingDataTable[[#This Row],[Current Price ($)]])/PricingDataTable[[#This Row],[Current Price ($)]]</f>
        <v>-2.2992964196055115E-3</v>
      </c>
      <c r="M2326" t="str">
        <f t="shared" si="72"/>
        <v>PASS</v>
      </c>
      <c r="N2326" s="10" t="str">
        <f t="shared" si="73"/>
        <v>NONE</v>
      </c>
    </row>
    <row r="2327" spans="1:14">
      <c r="A2327" s="4" t="s">
        <v>4670</v>
      </c>
      <c r="B2327" s="4" t="s">
        <v>4671</v>
      </c>
      <c r="C2327" s="4" t="s">
        <v>39</v>
      </c>
      <c r="D2327" s="4" t="s">
        <v>13</v>
      </c>
      <c r="E2327" s="5">
        <v>139.79759999999999</v>
      </c>
      <c r="F2327" s="5">
        <v>139.5498</v>
      </c>
      <c r="G2327" s="5">
        <v>139.4246</v>
      </c>
      <c r="H2327" s="4">
        <v>1</v>
      </c>
      <c r="I2327" s="6">
        <v>4018954</v>
      </c>
      <c r="J2327" s="7">
        <v>586.55999999999995</v>
      </c>
      <c r="K2327" s="9">
        <f>(PricingDataTable[[#This Row],[Current Price ($)]]-PricingDataTable[[#This Row],[Prior Price ($)]])/PricingDataTable[[#This Row],[Prior Price ($)]]</f>
        <v>-1.7725626191006415E-3</v>
      </c>
      <c r="L2327" s="9">
        <f>(PricingDataTable[[#This Row],[Vendor Price ($)]]-PricingDataTable[[#This Row],[Current Price ($)]])/PricingDataTable[[#This Row],[Current Price ($)]]</f>
        <v>-8.971707591125651E-4</v>
      </c>
      <c r="M2327" t="str">
        <f t="shared" si="72"/>
        <v>PASS</v>
      </c>
      <c r="N2327" s="10" t="str">
        <f t="shared" si="73"/>
        <v>NONE</v>
      </c>
    </row>
    <row r="2328" spans="1:14">
      <c r="A2328" s="4" t="s">
        <v>4672</v>
      </c>
      <c r="B2328" s="4" t="s">
        <v>4673</v>
      </c>
      <c r="C2328" s="4" t="s">
        <v>35</v>
      </c>
      <c r="D2328" s="4" t="s">
        <v>13</v>
      </c>
      <c r="E2328" s="5">
        <v>174.3245</v>
      </c>
      <c r="F2328" s="5">
        <v>175.41</v>
      </c>
      <c r="G2328" s="5">
        <v>175.24959999999999</v>
      </c>
      <c r="H2328" s="4">
        <v>0</v>
      </c>
      <c r="I2328" s="6">
        <v>2109144</v>
      </c>
      <c r="J2328" s="7">
        <v>719.71</v>
      </c>
      <c r="K2328" s="9">
        <f>(PricingDataTable[[#This Row],[Current Price ($)]]-PricingDataTable[[#This Row],[Prior Price ($)]])/PricingDataTable[[#This Row],[Prior Price ($)]]</f>
        <v>6.2268929496427415E-3</v>
      </c>
      <c r="L2328" s="9">
        <f>(PricingDataTable[[#This Row],[Vendor Price ($)]]-PricingDataTable[[#This Row],[Current Price ($)]])/PricingDataTable[[#This Row],[Current Price ($)]]</f>
        <v>-9.1442905193552177E-4</v>
      </c>
      <c r="M2328" t="str">
        <f t="shared" si="72"/>
        <v>PASS</v>
      </c>
      <c r="N2328" s="10" t="str">
        <f t="shared" si="73"/>
        <v>NONE</v>
      </c>
    </row>
    <row r="2329" spans="1:14">
      <c r="A2329" s="4" t="s">
        <v>4674</v>
      </c>
      <c r="B2329" s="4" t="s">
        <v>4675</v>
      </c>
      <c r="C2329" s="4" t="s">
        <v>19</v>
      </c>
      <c r="D2329" s="4" t="s">
        <v>13</v>
      </c>
      <c r="E2329" s="5">
        <v>343.39440000000002</v>
      </c>
      <c r="F2329" s="5">
        <v>338.94490000000002</v>
      </c>
      <c r="G2329" s="5">
        <v>338.87509999999997</v>
      </c>
      <c r="H2329" s="4">
        <v>0</v>
      </c>
      <c r="I2329" s="6">
        <v>4819742</v>
      </c>
      <c r="J2329" s="7">
        <v>83.6</v>
      </c>
      <c r="K2329" s="9">
        <f>(PricingDataTable[[#This Row],[Current Price ($)]]-PricingDataTable[[#This Row],[Prior Price ($)]])/PricingDataTable[[#This Row],[Prior Price ($)]]</f>
        <v>-1.295740408113819E-2</v>
      </c>
      <c r="L2329" s="9">
        <f>(PricingDataTable[[#This Row],[Vendor Price ($)]]-PricingDataTable[[#This Row],[Current Price ($)]])/PricingDataTable[[#This Row],[Current Price ($)]]</f>
        <v>-2.0593317674950524E-4</v>
      </c>
      <c r="M2329" t="str">
        <f t="shared" si="72"/>
        <v>PASS</v>
      </c>
      <c r="N2329" s="10" t="str">
        <f t="shared" si="73"/>
        <v>NONE</v>
      </c>
    </row>
    <row r="2330" spans="1:14">
      <c r="A2330" s="4" t="s">
        <v>4676</v>
      </c>
      <c r="B2330" s="4" t="s">
        <v>4677</v>
      </c>
      <c r="C2330" s="4" t="s">
        <v>12</v>
      </c>
      <c r="D2330" s="4" t="s">
        <v>13</v>
      </c>
      <c r="E2330" s="5">
        <v>115.22329999999999</v>
      </c>
      <c r="F2330" s="5">
        <v>113.59059999999999</v>
      </c>
      <c r="G2330" s="5">
        <v>113.8501</v>
      </c>
      <c r="H2330" s="4">
        <v>2</v>
      </c>
      <c r="I2330" s="6">
        <v>2208137</v>
      </c>
      <c r="J2330" s="7">
        <v>890</v>
      </c>
      <c r="K2330" s="9">
        <f>(PricingDataTable[[#This Row],[Current Price ($)]]-PricingDataTable[[#This Row],[Prior Price ($)]])/PricingDataTable[[#This Row],[Prior Price ($)]]</f>
        <v>-1.4169877099510255E-2</v>
      </c>
      <c r="L2330" s="9">
        <f>(PricingDataTable[[#This Row],[Vendor Price ($)]]-PricingDataTable[[#This Row],[Current Price ($)]])/PricingDataTable[[#This Row],[Current Price ($)]]</f>
        <v>2.2845200219032448E-3</v>
      </c>
      <c r="M2330" t="str">
        <f t="shared" si="72"/>
        <v>PASS</v>
      </c>
      <c r="N2330" s="10" t="str">
        <f t="shared" si="73"/>
        <v>NONE</v>
      </c>
    </row>
    <row r="2331" spans="1:14">
      <c r="A2331" s="4" t="s">
        <v>4678</v>
      </c>
      <c r="B2331" s="4" t="s">
        <v>4679</v>
      </c>
      <c r="C2331" s="4" t="s">
        <v>12</v>
      </c>
      <c r="D2331" s="4" t="s">
        <v>13</v>
      </c>
      <c r="E2331" s="5">
        <v>121.4564</v>
      </c>
      <c r="F2331" s="5">
        <v>122.66379999999999</v>
      </c>
      <c r="G2331" s="5">
        <v>122.4395</v>
      </c>
      <c r="H2331" s="4">
        <v>0</v>
      </c>
      <c r="I2331" s="6">
        <v>2342673</v>
      </c>
      <c r="J2331" s="7">
        <v>116.15</v>
      </c>
      <c r="K2331" s="9">
        <f>(PricingDataTable[[#This Row],[Current Price ($)]]-PricingDataTable[[#This Row],[Prior Price ($)]])/PricingDataTable[[#This Row],[Prior Price ($)]]</f>
        <v>9.9410158707156863E-3</v>
      </c>
      <c r="L2331" s="9">
        <f>(PricingDataTable[[#This Row],[Vendor Price ($)]]-PricingDataTable[[#This Row],[Current Price ($)]])/PricingDataTable[[#This Row],[Current Price ($)]]</f>
        <v>-1.8285753417063512E-3</v>
      </c>
      <c r="M2331" t="str">
        <f t="shared" si="72"/>
        <v>PASS</v>
      </c>
      <c r="N2331" s="10" t="str">
        <f t="shared" si="73"/>
        <v>NONE</v>
      </c>
    </row>
    <row r="2332" spans="1:14">
      <c r="A2332" s="4" t="s">
        <v>4680</v>
      </c>
      <c r="B2332" s="4" t="s">
        <v>4681</v>
      </c>
      <c r="C2332" s="4" t="s">
        <v>19</v>
      </c>
      <c r="D2332" s="4" t="s">
        <v>13</v>
      </c>
      <c r="E2332" s="5">
        <v>322.67169999999999</v>
      </c>
      <c r="F2332" s="5">
        <v>322.49810000000002</v>
      </c>
      <c r="G2332" s="5">
        <v>321.35090000000002</v>
      </c>
      <c r="H2332" s="4">
        <v>0</v>
      </c>
      <c r="I2332" s="6">
        <v>684852</v>
      </c>
      <c r="J2332" s="7">
        <v>475.96</v>
      </c>
      <c r="K2332" s="9">
        <f>(PricingDataTable[[#This Row],[Current Price ($)]]-PricingDataTable[[#This Row],[Prior Price ($)]])/PricingDataTable[[#This Row],[Prior Price ($)]]</f>
        <v>-5.3800813644321738E-4</v>
      </c>
      <c r="L2332" s="9">
        <f>(PricingDataTable[[#This Row],[Vendor Price ($)]]-PricingDataTable[[#This Row],[Current Price ($)]])/PricingDataTable[[#This Row],[Current Price ($)]]</f>
        <v>-3.5572302596511359E-3</v>
      </c>
      <c r="M2332" t="str">
        <f t="shared" si="72"/>
        <v>PASS</v>
      </c>
      <c r="N2332" s="10" t="str">
        <f t="shared" si="73"/>
        <v>NONE</v>
      </c>
    </row>
    <row r="2333" spans="1:14">
      <c r="A2333" s="4" t="s">
        <v>4682</v>
      </c>
      <c r="B2333" s="4" t="s">
        <v>4683</v>
      </c>
      <c r="C2333" s="4" t="s">
        <v>35</v>
      </c>
      <c r="D2333" s="4" t="s">
        <v>13</v>
      </c>
      <c r="E2333" s="5">
        <v>150.35560000000001</v>
      </c>
      <c r="F2333" s="5">
        <v>149.39529999999999</v>
      </c>
      <c r="G2333" s="5">
        <v>150.20740000000001</v>
      </c>
      <c r="H2333" s="4">
        <v>0</v>
      </c>
      <c r="I2333" s="6">
        <v>1512546</v>
      </c>
      <c r="J2333" s="7">
        <v>316.33999999999997</v>
      </c>
      <c r="K2333" s="9">
        <f>(PricingDataTable[[#This Row],[Current Price ($)]]-PricingDataTable[[#This Row],[Prior Price ($)]])/PricingDataTable[[#This Row],[Prior Price ($)]]</f>
        <v>-6.3868588865331113E-3</v>
      </c>
      <c r="L2333" s="9">
        <f>(PricingDataTable[[#This Row],[Vendor Price ($)]]-PricingDataTable[[#This Row],[Current Price ($)]])/PricingDataTable[[#This Row],[Current Price ($)]]</f>
        <v>5.4359139812297655E-3</v>
      </c>
      <c r="M2333" t="str">
        <f t="shared" si="72"/>
        <v>PASS</v>
      </c>
      <c r="N2333" s="10" t="str">
        <f t="shared" si="73"/>
        <v>NONE</v>
      </c>
    </row>
    <row r="2334" spans="1:14">
      <c r="A2334" s="4" t="s">
        <v>4684</v>
      </c>
      <c r="B2334" s="4" t="s">
        <v>4685</v>
      </c>
      <c r="C2334" s="4" t="s">
        <v>19</v>
      </c>
      <c r="D2334" s="4" t="s">
        <v>13</v>
      </c>
      <c r="E2334" s="5">
        <v>107.1567</v>
      </c>
      <c r="F2334" s="5"/>
      <c r="G2334" s="5">
        <v>106.5067</v>
      </c>
      <c r="H2334" s="4">
        <v>3</v>
      </c>
      <c r="I2334" s="6">
        <v>3073582</v>
      </c>
      <c r="J2334" s="7">
        <v>111.33</v>
      </c>
      <c r="K2334" s="9">
        <f>(PricingDataTable[[#This Row],[Current Price ($)]]-PricingDataTable[[#This Row],[Prior Price ($)]])/PricingDataTable[[#This Row],[Prior Price ($)]]</f>
        <v>-1</v>
      </c>
      <c r="L2334" s="9" t="e">
        <f>(PricingDataTable[[#This Row],[Vendor Price ($)]]-PricingDataTable[[#This Row],[Current Price ($)]])/PricingDataTable[[#This Row],[Current Price ($)]]</f>
        <v>#DIV/0!</v>
      </c>
      <c r="M2334" t="str">
        <f t="shared" si="72"/>
        <v>MISSING</v>
      </c>
      <c r="N2334" s="10" t="str">
        <f t="shared" si="73"/>
        <v>HIGH</v>
      </c>
    </row>
    <row r="2335" spans="1:14">
      <c r="A2335" s="4" t="s">
        <v>4686</v>
      </c>
      <c r="B2335" s="4" t="s">
        <v>4687</v>
      </c>
      <c r="C2335" s="4" t="s">
        <v>19</v>
      </c>
      <c r="D2335" s="4" t="s">
        <v>13</v>
      </c>
      <c r="E2335" s="5">
        <v>60.3748</v>
      </c>
      <c r="F2335" s="5">
        <v>60.680399999999999</v>
      </c>
      <c r="G2335" s="5">
        <v>60.616500000000002</v>
      </c>
      <c r="H2335" s="4">
        <v>0</v>
      </c>
      <c r="I2335" s="6">
        <v>3858933</v>
      </c>
      <c r="J2335" s="7">
        <v>99.39</v>
      </c>
      <c r="K2335" s="9">
        <f>(PricingDataTable[[#This Row],[Current Price ($)]]-PricingDataTable[[#This Row],[Prior Price ($)]])/PricingDataTable[[#This Row],[Prior Price ($)]]</f>
        <v>5.0617144901514925E-3</v>
      </c>
      <c r="L2335" s="9">
        <f>(PricingDataTable[[#This Row],[Vendor Price ($)]]-PricingDataTable[[#This Row],[Current Price ($)]])/PricingDataTable[[#This Row],[Current Price ($)]]</f>
        <v>-1.0530583186662702E-3</v>
      </c>
      <c r="M2335" t="str">
        <f t="shared" si="72"/>
        <v>PASS</v>
      </c>
      <c r="N2335" s="10" t="str">
        <f t="shared" si="73"/>
        <v>NONE</v>
      </c>
    </row>
    <row r="2336" spans="1:14">
      <c r="A2336" s="4" t="s">
        <v>4688</v>
      </c>
      <c r="B2336" s="4" t="s">
        <v>4689</v>
      </c>
      <c r="C2336" s="4" t="s">
        <v>35</v>
      </c>
      <c r="D2336" s="4" t="s">
        <v>13</v>
      </c>
      <c r="E2336" s="5">
        <v>52.448500000000003</v>
      </c>
      <c r="F2336" s="5">
        <v>52.732399999999998</v>
      </c>
      <c r="G2336" s="5">
        <v>52.773200000000003</v>
      </c>
      <c r="H2336" s="4">
        <v>0</v>
      </c>
      <c r="I2336" s="6">
        <v>363687</v>
      </c>
      <c r="J2336" s="7">
        <v>158.15</v>
      </c>
      <c r="K2336" s="9">
        <f>(PricingDataTable[[#This Row],[Current Price ($)]]-PricingDataTable[[#This Row],[Prior Price ($)]])/PricingDataTable[[#This Row],[Prior Price ($)]]</f>
        <v>5.412928873084942E-3</v>
      </c>
      <c r="L2336" s="9">
        <f>(PricingDataTable[[#This Row],[Vendor Price ($)]]-PricingDataTable[[#This Row],[Current Price ($)]])/PricingDataTable[[#This Row],[Current Price ($)]]</f>
        <v>7.7371786605586682E-4</v>
      </c>
      <c r="M2336" t="str">
        <f t="shared" si="72"/>
        <v>PASS</v>
      </c>
      <c r="N2336" s="10" t="str">
        <f t="shared" si="73"/>
        <v>NONE</v>
      </c>
    </row>
    <row r="2337" spans="1:14">
      <c r="A2337" s="4" t="s">
        <v>4690</v>
      </c>
      <c r="B2337" s="4" t="s">
        <v>4691</v>
      </c>
      <c r="C2337" s="4" t="s">
        <v>19</v>
      </c>
      <c r="D2337" s="4" t="s">
        <v>13</v>
      </c>
      <c r="E2337" s="5">
        <v>129.68459999999999</v>
      </c>
      <c r="F2337" s="5">
        <v>128.06739999999999</v>
      </c>
      <c r="G2337" s="5">
        <v>128.04179999999999</v>
      </c>
      <c r="H2337" s="4">
        <v>0</v>
      </c>
      <c r="I2337" s="6">
        <v>1165723</v>
      </c>
      <c r="J2337" s="7">
        <v>804.84</v>
      </c>
      <c r="K2337" s="9">
        <f>(PricingDataTable[[#This Row],[Current Price ($)]]-PricingDataTable[[#This Row],[Prior Price ($)]])/PricingDataTable[[#This Row],[Prior Price ($)]]</f>
        <v>-1.2470254756540075E-2</v>
      </c>
      <c r="L2337" s="9">
        <f>(PricingDataTable[[#This Row],[Vendor Price ($)]]-PricingDataTable[[#This Row],[Current Price ($)]])/PricingDataTable[[#This Row],[Current Price ($)]]</f>
        <v>-1.9989474292440686E-4</v>
      </c>
      <c r="M2337" t="str">
        <f t="shared" si="72"/>
        <v>PASS</v>
      </c>
      <c r="N2337" s="10" t="str">
        <f t="shared" si="73"/>
        <v>NONE</v>
      </c>
    </row>
    <row r="2338" spans="1:14">
      <c r="A2338" s="4" t="s">
        <v>4692</v>
      </c>
      <c r="B2338" s="4" t="s">
        <v>4693</v>
      </c>
      <c r="C2338" s="4" t="s">
        <v>16</v>
      </c>
      <c r="D2338" s="4" t="s">
        <v>36</v>
      </c>
      <c r="E2338" s="5">
        <v>112.3695</v>
      </c>
      <c r="F2338" s="5">
        <v>113.7067</v>
      </c>
      <c r="G2338" s="5">
        <v>126.7385</v>
      </c>
      <c r="H2338" s="4">
        <v>2</v>
      </c>
      <c r="I2338" s="6">
        <v>4613552</v>
      </c>
      <c r="J2338" s="7">
        <v>438.79</v>
      </c>
      <c r="K2338" s="9">
        <f>(PricingDataTable[[#This Row],[Current Price ($)]]-PricingDataTable[[#This Row],[Prior Price ($)]])/PricingDataTable[[#This Row],[Prior Price ($)]]</f>
        <v>1.1900026252675288E-2</v>
      </c>
      <c r="L2338" s="9">
        <f>(PricingDataTable[[#This Row],[Vendor Price ($)]]-PricingDataTable[[#This Row],[Current Price ($)]])/PricingDataTable[[#This Row],[Current Price ($)]]</f>
        <v>0.11460890167421976</v>
      </c>
      <c r="M2338" t="str">
        <f t="shared" si="72"/>
        <v>VENDOR DIFFERENCE</v>
      </c>
      <c r="N2338" s="10" t="str">
        <f t="shared" si="73"/>
        <v>HIGH</v>
      </c>
    </row>
    <row r="2339" spans="1:14">
      <c r="A2339" s="4" t="s">
        <v>4694</v>
      </c>
      <c r="B2339" s="4" t="s">
        <v>4695</v>
      </c>
      <c r="C2339" s="4" t="s">
        <v>19</v>
      </c>
      <c r="D2339" s="4" t="s">
        <v>13</v>
      </c>
      <c r="E2339" s="5">
        <v>33.997199999999999</v>
      </c>
      <c r="F2339" s="5">
        <v>34.227600000000002</v>
      </c>
      <c r="G2339" s="5">
        <v>34.255299999999998</v>
      </c>
      <c r="H2339" s="4">
        <v>0</v>
      </c>
      <c r="I2339" s="6">
        <v>1512864</v>
      </c>
      <c r="J2339" s="7">
        <v>874.66</v>
      </c>
      <c r="K2339" s="9">
        <f>(PricingDataTable[[#This Row],[Current Price ($)]]-PricingDataTable[[#This Row],[Prior Price ($)]])/PricingDataTable[[#This Row],[Prior Price ($)]]</f>
        <v>6.7770286964809762E-3</v>
      </c>
      <c r="L2339" s="9">
        <f>(PricingDataTable[[#This Row],[Vendor Price ($)]]-PricingDataTable[[#This Row],[Current Price ($)]])/PricingDataTable[[#This Row],[Current Price ($)]]</f>
        <v>8.0928841052238065E-4</v>
      </c>
      <c r="M2339" t="str">
        <f t="shared" si="72"/>
        <v>PASS</v>
      </c>
      <c r="N2339" s="10" t="str">
        <f t="shared" si="73"/>
        <v>NONE</v>
      </c>
    </row>
    <row r="2340" spans="1:14">
      <c r="A2340" s="4" t="s">
        <v>4696</v>
      </c>
      <c r="B2340" s="4" t="s">
        <v>4697</v>
      </c>
      <c r="C2340" s="4" t="s">
        <v>12</v>
      </c>
      <c r="D2340" s="4" t="s">
        <v>13</v>
      </c>
      <c r="E2340" s="5">
        <v>109.81310000000001</v>
      </c>
      <c r="F2340" s="5">
        <v>110.0303</v>
      </c>
      <c r="G2340" s="5">
        <v>110.4923</v>
      </c>
      <c r="H2340" s="4">
        <v>1</v>
      </c>
      <c r="I2340" s="6">
        <v>3512500</v>
      </c>
      <c r="J2340" s="7">
        <v>297.89999999999998</v>
      </c>
      <c r="K2340" s="9">
        <f>(PricingDataTable[[#This Row],[Current Price ($)]]-PricingDataTable[[#This Row],[Prior Price ($)]])/PricingDataTable[[#This Row],[Prior Price ($)]]</f>
        <v>1.9779060968135058E-3</v>
      </c>
      <c r="L2340" s="9">
        <f>(PricingDataTable[[#This Row],[Vendor Price ($)]]-PricingDataTable[[#This Row],[Current Price ($)]])/PricingDataTable[[#This Row],[Current Price ($)]]</f>
        <v>4.198843409497232E-3</v>
      </c>
      <c r="M2340" t="str">
        <f t="shared" si="72"/>
        <v>PASS</v>
      </c>
      <c r="N2340" s="10" t="str">
        <f t="shared" si="73"/>
        <v>NONE</v>
      </c>
    </row>
    <row r="2341" spans="1:14">
      <c r="A2341" s="4" t="s">
        <v>4698</v>
      </c>
      <c r="B2341" s="4" t="s">
        <v>4699</v>
      </c>
      <c r="C2341" s="4" t="s">
        <v>12</v>
      </c>
      <c r="D2341" s="4" t="s">
        <v>13</v>
      </c>
      <c r="E2341" s="5">
        <v>118.0343</v>
      </c>
      <c r="F2341" s="5">
        <v>117.75839999999999</v>
      </c>
      <c r="G2341" s="5">
        <v>117.5142</v>
      </c>
      <c r="H2341" s="4">
        <v>1</v>
      </c>
      <c r="I2341" s="6">
        <v>2805546</v>
      </c>
      <c r="J2341" s="7">
        <v>565.35</v>
      </c>
      <c r="K2341" s="9">
        <f>(PricingDataTable[[#This Row],[Current Price ($)]]-PricingDataTable[[#This Row],[Prior Price ($)]])/PricingDataTable[[#This Row],[Prior Price ($)]]</f>
        <v>-2.3374561462219637E-3</v>
      </c>
      <c r="L2341" s="9">
        <f>(PricingDataTable[[#This Row],[Vendor Price ($)]]-PricingDataTable[[#This Row],[Current Price ($)]])/PricingDataTable[[#This Row],[Current Price ($)]]</f>
        <v>-2.0737374149104627E-3</v>
      </c>
      <c r="M2341" t="str">
        <f t="shared" si="72"/>
        <v>PASS</v>
      </c>
      <c r="N2341" s="10" t="str">
        <f t="shared" si="73"/>
        <v>NONE</v>
      </c>
    </row>
    <row r="2342" spans="1:14">
      <c r="A2342" s="4" t="s">
        <v>4700</v>
      </c>
      <c r="B2342" s="4" t="s">
        <v>4701</v>
      </c>
      <c r="C2342" s="4" t="s">
        <v>39</v>
      </c>
      <c r="D2342" s="4" t="s">
        <v>13</v>
      </c>
      <c r="E2342" s="5">
        <v>56.798099999999998</v>
      </c>
      <c r="F2342" s="5">
        <v>57.049500000000002</v>
      </c>
      <c r="G2342" s="5">
        <v>57.063400000000001</v>
      </c>
      <c r="H2342" s="4">
        <v>0</v>
      </c>
      <c r="I2342" s="6">
        <v>2652327</v>
      </c>
      <c r="J2342" s="7">
        <v>88.85</v>
      </c>
      <c r="K2342" s="9">
        <f>(PricingDataTable[[#This Row],[Current Price ($)]]-PricingDataTable[[#This Row],[Prior Price ($)]])/PricingDataTable[[#This Row],[Prior Price ($)]]</f>
        <v>4.4262043976823848E-3</v>
      </c>
      <c r="L2342" s="9">
        <f>(PricingDataTable[[#This Row],[Vendor Price ($)]]-PricingDataTable[[#This Row],[Current Price ($)]])/PricingDataTable[[#This Row],[Current Price ($)]]</f>
        <v>2.4364806001804713E-4</v>
      </c>
      <c r="M2342" t="str">
        <f t="shared" si="72"/>
        <v>PASS</v>
      </c>
      <c r="N2342" s="10" t="str">
        <f t="shared" si="73"/>
        <v>NONE</v>
      </c>
    </row>
    <row r="2343" spans="1:14">
      <c r="A2343" s="4" t="s">
        <v>4702</v>
      </c>
      <c r="B2343" s="4" t="s">
        <v>4703</v>
      </c>
      <c r="C2343" s="4" t="s">
        <v>19</v>
      </c>
      <c r="D2343" s="4" t="s">
        <v>13</v>
      </c>
      <c r="E2343" s="5">
        <v>132.83850000000001</v>
      </c>
      <c r="F2343" s="5">
        <v>132.8999</v>
      </c>
      <c r="G2343" s="5">
        <v>134.0188</v>
      </c>
      <c r="H2343" s="4">
        <v>0</v>
      </c>
      <c r="I2343" s="6">
        <v>2539854</v>
      </c>
      <c r="J2343" s="7">
        <v>174.32</v>
      </c>
      <c r="K2343" s="9">
        <f>(PricingDataTable[[#This Row],[Current Price ($)]]-PricingDataTable[[#This Row],[Prior Price ($)]])/PricingDataTable[[#This Row],[Prior Price ($)]]</f>
        <v>4.6221539689165342E-4</v>
      </c>
      <c r="L2343" s="9">
        <f>(PricingDataTable[[#This Row],[Vendor Price ($)]]-PricingDataTable[[#This Row],[Current Price ($)]])/PricingDataTable[[#This Row],[Current Price ($)]]</f>
        <v>8.4191184492990317E-3</v>
      </c>
      <c r="M2343" t="str">
        <f t="shared" si="72"/>
        <v>PASS</v>
      </c>
      <c r="N2343" s="10" t="str">
        <f t="shared" si="73"/>
        <v>NONE</v>
      </c>
    </row>
    <row r="2344" spans="1:14">
      <c r="A2344" s="4" t="s">
        <v>4704</v>
      </c>
      <c r="B2344" s="4" t="s">
        <v>4705</v>
      </c>
      <c r="C2344" s="4" t="s">
        <v>19</v>
      </c>
      <c r="D2344" s="4" t="s">
        <v>32</v>
      </c>
      <c r="E2344" s="5">
        <v>315.7002</v>
      </c>
      <c r="F2344" s="5">
        <v>320.45589999999999</v>
      </c>
      <c r="G2344" s="5">
        <v>321.58229999999998</v>
      </c>
      <c r="H2344" s="4">
        <v>0</v>
      </c>
      <c r="I2344" s="6">
        <v>3880077</v>
      </c>
      <c r="J2344" s="7">
        <v>9.85</v>
      </c>
      <c r="K2344" s="9">
        <f>(PricingDataTable[[#This Row],[Current Price ($)]]-PricingDataTable[[#This Row],[Prior Price ($)]])/PricingDataTable[[#This Row],[Prior Price ($)]]</f>
        <v>1.506397525247051E-2</v>
      </c>
      <c r="L2344" s="9">
        <f>(PricingDataTable[[#This Row],[Vendor Price ($)]]-PricingDataTable[[#This Row],[Current Price ($)]])/PricingDataTable[[#This Row],[Current Price ($)]]</f>
        <v>3.5149922345008773E-3</v>
      </c>
      <c r="M2344" t="str">
        <f t="shared" si="72"/>
        <v>PASS</v>
      </c>
      <c r="N2344" s="10" t="str">
        <f t="shared" si="73"/>
        <v>NONE</v>
      </c>
    </row>
    <row r="2345" spans="1:14">
      <c r="A2345" s="4" t="s">
        <v>4706</v>
      </c>
      <c r="B2345" s="4" t="s">
        <v>4707</v>
      </c>
      <c r="C2345" s="4" t="s">
        <v>16</v>
      </c>
      <c r="D2345" s="4" t="s">
        <v>13</v>
      </c>
      <c r="E2345" s="5">
        <v>84.196799999999996</v>
      </c>
      <c r="F2345" s="5">
        <v>83.607900000000001</v>
      </c>
      <c r="G2345" s="5">
        <v>83.119</v>
      </c>
      <c r="H2345" s="4">
        <v>1</v>
      </c>
      <c r="I2345" s="6">
        <v>4743898</v>
      </c>
      <c r="J2345" s="7">
        <v>670.42</v>
      </c>
      <c r="K2345" s="9">
        <f>(PricingDataTable[[#This Row],[Current Price ($)]]-PricingDataTable[[#This Row],[Prior Price ($)]])/PricingDataTable[[#This Row],[Prior Price ($)]]</f>
        <v>-6.9943275753947343E-3</v>
      </c>
      <c r="L2345" s="9">
        <f>(PricingDataTable[[#This Row],[Vendor Price ($)]]-PricingDataTable[[#This Row],[Current Price ($)]])/PricingDataTable[[#This Row],[Current Price ($)]]</f>
        <v>-5.8475335464710987E-3</v>
      </c>
      <c r="M2345" t="str">
        <f t="shared" si="72"/>
        <v>PASS</v>
      </c>
      <c r="N2345" s="10" t="str">
        <f t="shared" si="73"/>
        <v>NONE</v>
      </c>
    </row>
    <row r="2346" spans="1:14">
      <c r="A2346" s="4" t="s">
        <v>4708</v>
      </c>
      <c r="B2346" s="4" t="s">
        <v>4709</v>
      </c>
      <c r="C2346" s="4" t="s">
        <v>12</v>
      </c>
      <c r="D2346" s="4" t="s">
        <v>64</v>
      </c>
      <c r="E2346" s="5">
        <v>93.705600000000004</v>
      </c>
      <c r="F2346" s="5">
        <v>92.4893</v>
      </c>
      <c r="G2346" s="5">
        <v>92.433599999999998</v>
      </c>
      <c r="H2346" s="4">
        <v>0</v>
      </c>
      <c r="I2346" s="6">
        <v>1987042</v>
      </c>
      <c r="J2346" s="7">
        <v>871.09</v>
      </c>
      <c r="K2346" s="9">
        <f>(PricingDataTable[[#This Row],[Current Price ($)]]-PricingDataTable[[#This Row],[Prior Price ($)]])/PricingDataTable[[#This Row],[Prior Price ($)]]</f>
        <v>-1.2980014001297722E-2</v>
      </c>
      <c r="L2346" s="9">
        <f>(PricingDataTable[[#This Row],[Vendor Price ($)]]-PricingDataTable[[#This Row],[Current Price ($)]])/PricingDataTable[[#This Row],[Current Price ($)]]</f>
        <v>-6.0223182573553523E-4</v>
      </c>
      <c r="M2346" t="str">
        <f t="shared" si="72"/>
        <v>PASS</v>
      </c>
      <c r="N2346" s="10" t="str">
        <f t="shared" si="73"/>
        <v>NONE</v>
      </c>
    </row>
    <row r="2347" spans="1:14">
      <c r="A2347" s="4" t="s">
        <v>4710</v>
      </c>
      <c r="B2347" s="4" t="s">
        <v>4711</v>
      </c>
      <c r="C2347" s="4" t="s">
        <v>19</v>
      </c>
      <c r="D2347" s="4" t="s">
        <v>13</v>
      </c>
      <c r="E2347" s="5">
        <v>343.51280000000003</v>
      </c>
      <c r="F2347" s="5">
        <v>340.92059999999998</v>
      </c>
      <c r="G2347" s="5">
        <v>339.41800000000001</v>
      </c>
      <c r="H2347" s="4">
        <v>1</v>
      </c>
      <c r="I2347" s="6">
        <v>2075911</v>
      </c>
      <c r="J2347" s="7">
        <v>645.78</v>
      </c>
      <c r="K2347" s="9">
        <f>(PricingDataTable[[#This Row],[Current Price ($)]]-PricingDataTable[[#This Row],[Prior Price ($)]])/PricingDataTable[[#This Row],[Prior Price ($)]]</f>
        <v>-7.5461525742273588E-3</v>
      </c>
      <c r="L2347" s="9">
        <f>(PricingDataTable[[#This Row],[Vendor Price ($)]]-PricingDataTable[[#This Row],[Current Price ($)]])/PricingDataTable[[#This Row],[Current Price ($)]]</f>
        <v>-4.4074778702136884E-3</v>
      </c>
      <c r="M2347" t="str">
        <f t="shared" si="72"/>
        <v>PASS</v>
      </c>
      <c r="N2347" s="10" t="str">
        <f t="shared" si="73"/>
        <v>NONE</v>
      </c>
    </row>
    <row r="2348" spans="1:14">
      <c r="A2348" s="4" t="s">
        <v>4712</v>
      </c>
      <c r="B2348" s="4" t="s">
        <v>4713</v>
      </c>
      <c r="C2348" s="4" t="s">
        <v>12</v>
      </c>
      <c r="D2348" s="4" t="s">
        <v>237</v>
      </c>
      <c r="E2348" s="5">
        <v>93.789599999999993</v>
      </c>
      <c r="F2348" s="5">
        <v>93.623599999999996</v>
      </c>
      <c r="G2348" s="5">
        <v>93.571100000000001</v>
      </c>
      <c r="H2348" s="4">
        <v>1</v>
      </c>
      <c r="I2348" s="6">
        <v>2484156</v>
      </c>
      <c r="J2348" s="7">
        <v>835.28</v>
      </c>
      <c r="K2348" s="9">
        <f>(PricingDataTable[[#This Row],[Current Price ($)]]-PricingDataTable[[#This Row],[Prior Price ($)]])/PricingDataTable[[#This Row],[Prior Price ($)]]</f>
        <v>-1.7699190528587053E-3</v>
      </c>
      <c r="L2348" s="9">
        <f>(PricingDataTable[[#This Row],[Vendor Price ($)]]-PricingDataTable[[#This Row],[Current Price ($)]])/PricingDataTable[[#This Row],[Current Price ($)]]</f>
        <v>-5.6075604868852395E-4</v>
      </c>
      <c r="M2348" t="str">
        <f t="shared" si="72"/>
        <v>PASS</v>
      </c>
      <c r="N2348" s="10" t="str">
        <f t="shared" si="73"/>
        <v>NONE</v>
      </c>
    </row>
    <row r="2349" spans="1:14">
      <c r="A2349" s="4" t="s">
        <v>4714</v>
      </c>
      <c r="B2349" s="4" t="s">
        <v>4715</v>
      </c>
      <c r="C2349" s="4" t="s">
        <v>35</v>
      </c>
      <c r="D2349" s="4" t="s">
        <v>13</v>
      </c>
      <c r="E2349" s="5">
        <v>38.0685</v>
      </c>
      <c r="F2349" s="5">
        <v>38.345599999999997</v>
      </c>
      <c r="G2349" s="5">
        <v>38.237099999999998</v>
      </c>
      <c r="H2349" s="4">
        <v>5</v>
      </c>
      <c r="I2349" s="6">
        <v>2190088</v>
      </c>
      <c r="J2349" s="7">
        <v>352.88</v>
      </c>
      <c r="K2349" s="9">
        <f>(PricingDataTable[[#This Row],[Current Price ($)]]-PricingDataTable[[#This Row],[Prior Price ($)]])/PricingDataTable[[#This Row],[Prior Price ($)]]</f>
        <v>7.2789839368506042E-3</v>
      </c>
      <c r="L2349" s="9">
        <f>(PricingDataTable[[#This Row],[Vendor Price ($)]]-PricingDataTable[[#This Row],[Current Price ($)]])/PricingDataTable[[#This Row],[Current Price ($)]]</f>
        <v>-2.8295293332220484E-3</v>
      </c>
      <c r="M2349" t="str">
        <f t="shared" si="72"/>
        <v>STALE</v>
      </c>
      <c r="N2349" s="10" t="str">
        <f t="shared" si="73"/>
        <v>MEDIUM</v>
      </c>
    </row>
    <row r="2350" spans="1:14">
      <c r="A2350" s="4" t="s">
        <v>4716</v>
      </c>
      <c r="B2350" s="4" t="s">
        <v>4717</v>
      </c>
      <c r="C2350" s="4" t="s">
        <v>16</v>
      </c>
      <c r="D2350" s="4" t="s">
        <v>13</v>
      </c>
      <c r="E2350" s="5">
        <v>96.268900000000002</v>
      </c>
      <c r="F2350" s="5">
        <v>95.207700000000003</v>
      </c>
      <c r="G2350" s="5">
        <v>94.834100000000007</v>
      </c>
      <c r="H2350" s="4">
        <v>1</v>
      </c>
      <c r="I2350" s="6">
        <v>3214046</v>
      </c>
      <c r="J2350" s="7">
        <v>708.91</v>
      </c>
      <c r="K2350" s="9">
        <f>(PricingDataTable[[#This Row],[Current Price ($)]]-PricingDataTable[[#This Row],[Prior Price ($)]])/PricingDataTable[[#This Row],[Prior Price ($)]]</f>
        <v>-1.1023289972150917E-2</v>
      </c>
      <c r="L2350" s="9">
        <f>(PricingDataTable[[#This Row],[Vendor Price ($)]]-PricingDataTable[[#This Row],[Current Price ($)]])/PricingDataTable[[#This Row],[Current Price ($)]]</f>
        <v>-3.9240523613110721E-3</v>
      </c>
      <c r="M2350" t="str">
        <f t="shared" si="72"/>
        <v>PASS</v>
      </c>
      <c r="N2350" s="10" t="str">
        <f t="shared" si="73"/>
        <v>NONE</v>
      </c>
    </row>
    <row r="2351" spans="1:14">
      <c r="A2351" s="4" t="s">
        <v>4718</v>
      </c>
      <c r="B2351" s="4" t="s">
        <v>4719</v>
      </c>
      <c r="C2351" s="4" t="s">
        <v>16</v>
      </c>
      <c r="D2351" s="4" t="s">
        <v>13</v>
      </c>
      <c r="E2351" s="5">
        <v>118.2556</v>
      </c>
      <c r="F2351" s="5">
        <v>118.23399999999999</v>
      </c>
      <c r="G2351" s="5">
        <v>118.1521</v>
      </c>
      <c r="H2351" s="4">
        <v>0</v>
      </c>
      <c r="I2351" s="6">
        <v>571452</v>
      </c>
      <c r="J2351" s="7">
        <v>530.69000000000005</v>
      </c>
      <c r="K2351" s="9">
        <f>(PricingDataTable[[#This Row],[Current Price ($)]]-PricingDataTable[[#This Row],[Prior Price ($)]])/PricingDataTable[[#This Row],[Prior Price ($)]]</f>
        <v>-1.8265519772430654E-4</v>
      </c>
      <c r="L2351" s="9">
        <f>(PricingDataTable[[#This Row],[Vendor Price ($)]]-PricingDataTable[[#This Row],[Current Price ($)]])/PricingDataTable[[#This Row],[Current Price ($)]]</f>
        <v>-6.9269414889109996E-4</v>
      </c>
      <c r="M2351" t="str">
        <f t="shared" si="72"/>
        <v>PASS</v>
      </c>
      <c r="N2351" s="10" t="str">
        <f t="shared" si="73"/>
        <v>NONE</v>
      </c>
    </row>
    <row r="2352" spans="1:14">
      <c r="A2352" s="4" t="s">
        <v>4720</v>
      </c>
      <c r="B2352" s="4" t="s">
        <v>4721</v>
      </c>
      <c r="C2352" s="4" t="s">
        <v>39</v>
      </c>
      <c r="D2352" s="4" t="s">
        <v>13</v>
      </c>
      <c r="E2352" s="5">
        <v>167.8349</v>
      </c>
      <c r="F2352" s="5">
        <v>169.10380000000001</v>
      </c>
      <c r="G2352" s="5">
        <v>169.2054</v>
      </c>
      <c r="H2352" s="4">
        <v>0</v>
      </c>
      <c r="I2352" s="6">
        <v>4395647</v>
      </c>
      <c r="J2352" s="7">
        <v>415.76</v>
      </c>
      <c r="K2352" s="9">
        <f>(PricingDataTable[[#This Row],[Current Price ($)]]-PricingDataTable[[#This Row],[Prior Price ($)]])/PricingDataTable[[#This Row],[Prior Price ($)]]</f>
        <v>7.5604060895558796E-3</v>
      </c>
      <c r="L2352" s="9">
        <f>(PricingDataTable[[#This Row],[Vendor Price ($)]]-PricingDataTable[[#This Row],[Current Price ($)]])/PricingDataTable[[#This Row],[Current Price ($)]]</f>
        <v>6.0081441103032921E-4</v>
      </c>
      <c r="M2352" t="str">
        <f t="shared" si="72"/>
        <v>PASS</v>
      </c>
      <c r="N2352" s="10" t="str">
        <f t="shared" si="73"/>
        <v>NONE</v>
      </c>
    </row>
    <row r="2353" spans="1:14">
      <c r="A2353" s="4" t="s">
        <v>4722</v>
      </c>
      <c r="B2353" s="4" t="s">
        <v>4723</v>
      </c>
      <c r="C2353" s="4" t="s">
        <v>39</v>
      </c>
      <c r="D2353" s="4" t="s">
        <v>13</v>
      </c>
      <c r="E2353" s="5">
        <v>237.49039999999999</v>
      </c>
      <c r="F2353" s="5">
        <v>233.19380000000001</v>
      </c>
      <c r="G2353" s="5">
        <v>233.43549999999999</v>
      </c>
      <c r="H2353" s="4">
        <v>0</v>
      </c>
      <c r="I2353" s="6">
        <v>3366779</v>
      </c>
      <c r="J2353" s="7">
        <v>275.45999999999998</v>
      </c>
      <c r="K2353" s="9">
        <f>(PricingDataTable[[#This Row],[Current Price ($)]]-PricingDataTable[[#This Row],[Prior Price ($)]])/PricingDataTable[[#This Row],[Prior Price ($)]]</f>
        <v>-1.8091678653116016E-2</v>
      </c>
      <c r="L2353" s="9">
        <f>(PricingDataTable[[#This Row],[Vendor Price ($)]]-PricingDataTable[[#This Row],[Current Price ($)]])/PricingDataTable[[#This Row],[Current Price ($)]]</f>
        <v>1.0364769560767921E-3</v>
      </c>
      <c r="M2353" t="str">
        <f t="shared" si="72"/>
        <v>PASS</v>
      </c>
      <c r="N2353" s="10" t="str">
        <f t="shared" si="73"/>
        <v>NONE</v>
      </c>
    </row>
    <row r="2354" spans="1:14">
      <c r="A2354" s="4" t="s">
        <v>4724</v>
      </c>
      <c r="B2354" s="4" t="s">
        <v>4725</v>
      </c>
      <c r="C2354" s="4" t="s">
        <v>16</v>
      </c>
      <c r="D2354" s="4" t="s">
        <v>13</v>
      </c>
      <c r="E2354" s="5">
        <v>123.0878</v>
      </c>
      <c r="F2354" s="5">
        <v>121.614</v>
      </c>
      <c r="G2354" s="5">
        <v>122.0428</v>
      </c>
      <c r="H2354" s="4">
        <v>0</v>
      </c>
      <c r="I2354" s="6">
        <v>1008693</v>
      </c>
      <c r="J2354" s="7">
        <v>873.85</v>
      </c>
      <c r="K2354" s="9">
        <f>(PricingDataTable[[#This Row],[Current Price ($)]]-PricingDataTable[[#This Row],[Prior Price ($)]])/PricingDataTable[[#This Row],[Prior Price ($)]]</f>
        <v>-1.1973566836030842E-2</v>
      </c>
      <c r="L2354" s="9">
        <f>(PricingDataTable[[#This Row],[Vendor Price ($)]]-PricingDataTable[[#This Row],[Current Price ($)]])/PricingDataTable[[#This Row],[Current Price ($)]]</f>
        <v>3.5259098459058612E-3</v>
      </c>
      <c r="M2354" t="str">
        <f t="shared" si="72"/>
        <v>PASS</v>
      </c>
      <c r="N2354" s="10" t="str">
        <f t="shared" si="73"/>
        <v>NONE</v>
      </c>
    </row>
    <row r="2355" spans="1:14">
      <c r="A2355" s="4" t="s">
        <v>4726</v>
      </c>
      <c r="B2355" s="4" t="s">
        <v>4727</v>
      </c>
      <c r="C2355" s="4" t="s">
        <v>19</v>
      </c>
      <c r="D2355" s="4" t="s">
        <v>36</v>
      </c>
      <c r="E2355" s="5">
        <v>293.19670000000002</v>
      </c>
      <c r="F2355" s="5">
        <v>297.94220000000001</v>
      </c>
      <c r="G2355" s="5">
        <v>297.4092</v>
      </c>
      <c r="H2355" s="4">
        <v>1</v>
      </c>
      <c r="I2355" s="6">
        <v>409591</v>
      </c>
      <c r="J2355" s="7">
        <v>446.49</v>
      </c>
      <c r="K2355" s="9">
        <f>(PricingDataTable[[#This Row],[Current Price ($)]]-PricingDataTable[[#This Row],[Prior Price ($)]])/PricingDataTable[[#This Row],[Prior Price ($)]]</f>
        <v>1.6185379985518229E-2</v>
      </c>
      <c r="L2355" s="9">
        <f>(PricingDataTable[[#This Row],[Vendor Price ($)]]-PricingDataTable[[#This Row],[Current Price ($)]])/PricingDataTable[[#This Row],[Current Price ($)]]</f>
        <v>-1.7889375858808033E-3</v>
      </c>
      <c r="M2355" t="str">
        <f t="shared" si="72"/>
        <v>PASS</v>
      </c>
      <c r="N2355" s="10" t="str">
        <f t="shared" si="73"/>
        <v>NONE</v>
      </c>
    </row>
    <row r="2356" spans="1:14">
      <c r="A2356" s="4" t="s">
        <v>4728</v>
      </c>
      <c r="B2356" s="4" t="s">
        <v>4729</v>
      </c>
      <c r="C2356" s="4" t="s">
        <v>16</v>
      </c>
      <c r="D2356" s="4" t="s">
        <v>13</v>
      </c>
      <c r="E2356" s="5">
        <v>115.52370000000001</v>
      </c>
      <c r="F2356" s="5">
        <v>113.56910000000001</v>
      </c>
      <c r="G2356" s="5">
        <v>113.4932</v>
      </c>
      <c r="H2356" s="4">
        <v>0</v>
      </c>
      <c r="I2356" s="6">
        <v>4167097</v>
      </c>
      <c r="J2356" s="7">
        <v>236.07</v>
      </c>
      <c r="K2356" s="9">
        <f>(PricingDataTable[[#This Row],[Current Price ($)]]-PricingDataTable[[#This Row],[Prior Price ($)]])/PricingDataTable[[#This Row],[Prior Price ($)]]</f>
        <v>-1.6919471935195975E-2</v>
      </c>
      <c r="L2356" s="9">
        <f>(PricingDataTable[[#This Row],[Vendor Price ($)]]-PricingDataTable[[#This Row],[Current Price ($)]])/PricingDataTable[[#This Row],[Current Price ($)]]</f>
        <v>-6.6831558936369397E-4</v>
      </c>
      <c r="M2356" t="str">
        <f t="shared" si="72"/>
        <v>PASS</v>
      </c>
      <c r="N2356" s="10" t="str">
        <f t="shared" si="73"/>
        <v>NONE</v>
      </c>
    </row>
    <row r="2357" spans="1:14">
      <c r="A2357" s="4" t="s">
        <v>4730</v>
      </c>
      <c r="B2357" s="4" t="s">
        <v>4731</v>
      </c>
      <c r="C2357" s="4" t="s">
        <v>16</v>
      </c>
      <c r="D2357" s="4" t="s">
        <v>13</v>
      </c>
      <c r="E2357" s="5">
        <v>93.690799999999996</v>
      </c>
      <c r="F2357" s="5">
        <v>96.261700000000005</v>
      </c>
      <c r="G2357" s="5">
        <v>96.198899999999995</v>
      </c>
      <c r="H2357" s="4">
        <v>0</v>
      </c>
      <c r="I2357" s="6">
        <v>3128639</v>
      </c>
      <c r="J2357" s="7">
        <v>348.09</v>
      </c>
      <c r="K2357" s="9">
        <f>(PricingDataTable[[#This Row],[Current Price ($)]]-PricingDataTable[[#This Row],[Prior Price ($)]])/PricingDataTable[[#This Row],[Prior Price ($)]]</f>
        <v>2.7440260943443848E-2</v>
      </c>
      <c r="L2357" s="9">
        <f>(PricingDataTable[[#This Row],[Vendor Price ($)]]-PricingDataTable[[#This Row],[Current Price ($)]])/PricingDataTable[[#This Row],[Current Price ($)]]</f>
        <v>-6.5238822917120681E-4</v>
      </c>
      <c r="M2357" t="str">
        <f t="shared" si="72"/>
        <v>PASS</v>
      </c>
      <c r="N2357" s="10" t="str">
        <f t="shared" si="73"/>
        <v>NONE</v>
      </c>
    </row>
    <row r="2358" spans="1:14">
      <c r="A2358" s="4" t="s">
        <v>4732</v>
      </c>
      <c r="B2358" s="4" t="s">
        <v>4733</v>
      </c>
      <c r="C2358" s="4" t="s">
        <v>16</v>
      </c>
      <c r="D2358" s="4" t="s">
        <v>13</v>
      </c>
      <c r="E2358" s="5">
        <v>92.5334</v>
      </c>
      <c r="F2358" s="5">
        <v>92.841099999999997</v>
      </c>
      <c r="G2358" s="5">
        <v>92.311300000000003</v>
      </c>
      <c r="H2358" s="4">
        <v>0</v>
      </c>
      <c r="I2358" s="6">
        <v>1033542</v>
      </c>
      <c r="J2358" s="7">
        <v>134</v>
      </c>
      <c r="K2358" s="9">
        <f>(PricingDataTable[[#This Row],[Current Price ($)]]-PricingDataTable[[#This Row],[Prior Price ($)]])/PricingDataTable[[#This Row],[Prior Price ($)]]</f>
        <v>3.3252857886989667E-3</v>
      </c>
      <c r="L2358" s="9">
        <f>(PricingDataTable[[#This Row],[Vendor Price ($)]]-PricingDataTable[[#This Row],[Current Price ($)]])/PricingDataTable[[#This Row],[Current Price ($)]]</f>
        <v>-5.7065243733647542E-3</v>
      </c>
      <c r="M2358" t="str">
        <f t="shared" si="72"/>
        <v>PASS</v>
      </c>
      <c r="N2358" s="10" t="str">
        <f t="shared" si="73"/>
        <v>NONE</v>
      </c>
    </row>
    <row r="2359" spans="1:14">
      <c r="A2359" s="4" t="s">
        <v>4734</v>
      </c>
      <c r="B2359" s="4" t="s">
        <v>4735</v>
      </c>
      <c r="C2359" s="4" t="s">
        <v>12</v>
      </c>
      <c r="D2359" s="4" t="s">
        <v>13</v>
      </c>
      <c r="E2359" s="5">
        <v>123.1082</v>
      </c>
      <c r="F2359" s="5">
        <v>122.203</v>
      </c>
      <c r="G2359" s="5">
        <v>122.0882</v>
      </c>
      <c r="H2359" s="4">
        <v>0</v>
      </c>
      <c r="I2359" s="6">
        <v>4671872</v>
      </c>
      <c r="J2359" s="7">
        <v>195.23</v>
      </c>
      <c r="K2359" s="9">
        <f>(PricingDataTable[[#This Row],[Current Price ($)]]-PricingDataTable[[#This Row],[Prior Price ($)]])/PricingDataTable[[#This Row],[Prior Price ($)]]</f>
        <v>-7.3528814490017207E-3</v>
      </c>
      <c r="L2359" s="9">
        <f>(PricingDataTable[[#This Row],[Vendor Price ($)]]-PricingDataTable[[#This Row],[Current Price ($)]])/PricingDataTable[[#This Row],[Current Price ($)]]</f>
        <v>-9.3942047249251208E-4</v>
      </c>
      <c r="M2359" t="str">
        <f t="shared" si="72"/>
        <v>PASS</v>
      </c>
      <c r="N2359" s="10" t="str">
        <f t="shared" si="73"/>
        <v>NONE</v>
      </c>
    </row>
    <row r="2360" spans="1:14">
      <c r="A2360" s="4" t="s">
        <v>4736</v>
      </c>
      <c r="B2360" s="4" t="s">
        <v>4737</v>
      </c>
      <c r="C2360" s="4" t="s">
        <v>16</v>
      </c>
      <c r="D2360" s="4" t="s">
        <v>13</v>
      </c>
      <c r="E2360" s="5">
        <v>111.90219999999999</v>
      </c>
      <c r="F2360" s="5">
        <v>112.1691</v>
      </c>
      <c r="G2360" s="5">
        <v>111.85039999999999</v>
      </c>
      <c r="H2360" s="4">
        <v>0</v>
      </c>
      <c r="I2360" s="6">
        <v>2322679</v>
      </c>
      <c r="J2360" s="7">
        <v>698.04</v>
      </c>
      <c r="K2360" s="9">
        <f>(PricingDataTable[[#This Row],[Current Price ($)]]-PricingDataTable[[#This Row],[Prior Price ($)]])/PricingDataTable[[#This Row],[Prior Price ($)]]</f>
        <v>2.3851184337752682E-3</v>
      </c>
      <c r="L2360" s="9">
        <f>(PricingDataTable[[#This Row],[Vendor Price ($)]]-PricingDataTable[[#This Row],[Current Price ($)]])/PricingDataTable[[#This Row],[Current Price ($)]]</f>
        <v>-2.8412459402812973E-3</v>
      </c>
      <c r="M2360" t="str">
        <f t="shared" si="72"/>
        <v>PASS</v>
      </c>
      <c r="N2360" s="10" t="str">
        <f t="shared" si="73"/>
        <v>NONE</v>
      </c>
    </row>
    <row r="2361" spans="1:14">
      <c r="A2361" s="4" t="s">
        <v>4738</v>
      </c>
      <c r="B2361" s="4" t="s">
        <v>4739</v>
      </c>
      <c r="C2361" s="4" t="s">
        <v>16</v>
      </c>
      <c r="D2361" s="4" t="s">
        <v>13</v>
      </c>
      <c r="E2361" s="5">
        <v>84.314800000000005</v>
      </c>
      <c r="F2361" s="5">
        <v>85.0565</v>
      </c>
      <c r="G2361" s="5">
        <v>85.341800000000006</v>
      </c>
      <c r="H2361" s="4">
        <v>1</v>
      </c>
      <c r="I2361" s="6">
        <v>1386817</v>
      </c>
      <c r="J2361" s="7">
        <v>720.62</v>
      </c>
      <c r="K2361" s="9">
        <f>(PricingDataTable[[#This Row],[Current Price ($)]]-PricingDataTable[[#This Row],[Prior Price ($)]])/PricingDataTable[[#This Row],[Prior Price ($)]]</f>
        <v>8.7967948687536993E-3</v>
      </c>
      <c r="L2361" s="9">
        <f>(PricingDataTable[[#This Row],[Vendor Price ($)]]-PricingDataTable[[#This Row],[Current Price ($)]])/PricingDataTable[[#This Row],[Current Price ($)]]</f>
        <v>3.3542410045088447E-3</v>
      </c>
      <c r="M2361" t="str">
        <f t="shared" si="72"/>
        <v>PASS</v>
      </c>
      <c r="N2361" s="10" t="str">
        <f t="shared" si="73"/>
        <v>NONE</v>
      </c>
    </row>
    <row r="2362" spans="1:14">
      <c r="A2362" s="4" t="s">
        <v>4740</v>
      </c>
      <c r="B2362" s="4" t="s">
        <v>4741</v>
      </c>
      <c r="C2362" s="4" t="s">
        <v>19</v>
      </c>
      <c r="D2362" s="4" t="s">
        <v>13</v>
      </c>
      <c r="E2362" s="5">
        <v>165.35079999999999</v>
      </c>
      <c r="F2362" s="5">
        <v>137.20820000000001</v>
      </c>
      <c r="G2362" s="5">
        <v>137.5814</v>
      </c>
      <c r="H2362" s="4">
        <v>1</v>
      </c>
      <c r="I2362" s="6">
        <v>466407</v>
      </c>
      <c r="J2362" s="7">
        <v>284.77999999999997</v>
      </c>
      <c r="K2362" s="9">
        <f>(PricingDataTable[[#This Row],[Current Price ($)]]-PricingDataTable[[#This Row],[Prior Price ($)]])/PricingDataTable[[#This Row],[Prior Price ($)]]</f>
        <v>-0.17019935797105298</v>
      </c>
      <c r="L2362" s="9">
        <f>(PricingDataTable[[#This Row],[Vendor Price ($)]]-PricingDataTable[[#This Row],[Current Price ($)]])/PricingDataTable[[#This Row],[Current Price ($)]]</f>
        <v>2.7199540552240832E-3</v>
      </c>
      <c r="M2362" t="str">
        <f t="shared" si="72"/>
        <v>LARGE MOVE</v>
      </c>
      <c r="N2362" s="10" t="str">
        <f t="shared" si="73"/>
        <v>HIGH</v>
      </c>
    </row>
    <row r="2363" spans="1:14">
      <c r="A2363" s="4" t="s">
        <v>4742</v>
      </c>
      <c r="B2363" s="4" t="s">
        <v>4743</v>
      </c>
      <c r="C2363" s="4" t="s">
        <v>12</v>
      </c>
      <c r="D2363" s="4" t="s">
        <v>32</v>
      </c>
      <c r="E2363" s="5">
        <v>103.1272</v>
      </c>
      <c r="F2363" s="5">
        <v>102.31959999999999</v>
      </c>
      <c r="G2363" s="5">
        <v>102.3728</v>
      </c>
      <c r="H2363" s="4">
        <v>0</v>
      </c>
      <c r="I2363" s="6">
        <v>2078313</v>
      </c>
      <c r="J2363" s="7">
        <v>452.71</v>
      </c>
      <c r="K2363" s="9">
        <f>(PricingDataTable[[#This Row],[Current Price ($)]]-PricingDataTable[[#This Row],[Prior Price ($)]])/PricingDataTable[[#This Row],[Prior Price ($)]]</f>
        <v>-7.8311056636853112E-3</v>
      </c>
      <c r="L2363" s="9">
        <f>(PricingDataTable[[#This Row],[Vendor Price ($)]]-PricingDataTable[[#This Row],[Current Price ($)]])/PricingDataTable[[#This Row],[Current Price ($)]]</f>
        <v>5.199394837353148E-4</v>
      </c>
      <c r="M2363" t="str">
        <f t="shared" si="72"/>
        <v>PASS</v>
      </c>
      <c r="N2363" s="10" t="str">
        <f t="shared" si="73"/>
        <v>NONE</v>
      </c>
    </row>
    <row r="2364" spans="1:14">
      <c r="A2364" s="4" t="s">
        <v>4744</v>
      </c>
      <c r="B2364" s="4" t="s">
        <v>4745</v>
      </c>
      <c r="C2364" s="4" t="s">
        <v>19</v>
      </c>
      <c r="D2364" s="4" t="s">
        <v>13</v>
      </c>
      <c r="E2364" s="5">
        <v>128.2877</v>
      </c>
      <c r="F2364" s="5">
        <v>128.8159</v>
      </c>
      <c r="G2364" s="5">
        <v>128.64940000000001</v>
      </c>
      <c r="H2364" s="4">
        <v>0</v>
      </c>
      <c r="I2364" s="6">
        <v>1578856</v>
      </c>
      <c r="J2364" s="7">
        <v>342.61</v>
      </c>
      <c r="K2364" s="9">
        <f>(PricingDataTable[[#This Row],[Current Price ($)]]-PricingDataTable[[#This Row],[Prior Price ($)]])/PricingDataTable[[#This Row],[Prior Price ($)]]</f>
        <v>4.1173082064765226E-3</v>
      </c>
      <c r="L2364" s="9">
        <f>(PricingDataTable[[#This Row],[Vendor Price ($)]]-PricingDataTable[[#This Row],[Current Price ($)]])/PricingDataTable[[#This Row],[Current Price ($)]]</f>
        <v>-1.2925423026193582E-3</v>
      </c>
      <c r="M2364" t="str">
        <f t="shared" si="72"/>
        <v>PASS</v>
      </c>
      <c r="N2364" s="10" t="str">
        <f t="shared" si="73"/>
        <v>NONE</v>
      </c>
    </row>
    <row r="2365" spans="1:14">
      <c r="A2365" s="4" t="s">
        <v>4746</v>
      </c>
      <c r="B2365" s="4" t="s">
        <v>4747</v>
      </c>
      <c r="C2365" s="4" t="s">
        <v>16</v>
      </c>
      <c r="D2365" s="4" t="s">
        <v>13</v>
      </c>
      <c r="E2365" s="5">
        <v>95.885300000000001</v>
      </c>
      <c r="F2365" s="5">
        <v>96.539000000000001</v>
      </c>
      <c r="G2365" s="5">
        <v>96.388400000000004</v>
      </c>
      <c r="H2365" s="4">
        <v>0</v>
      </c>
      <c r="I2365" s="6">
        <v>40962</v>
      </c>
      <c r="J2365" s="7">
        <v>725.97</v>
      </c>
      <c r="K2365" s="9">
        <f>(PricingDataTable[[#This Row],[Current Price ($)]]-PricingDataTable[[#This Row],[Prior Price ($)]])/PricingDataTable[[#This Row],[Prior Price ($)]]</f>
        <v>6.8175205167006897E-3</v>
      </c>
      <c r="L2365" s="9">
        <f>(PricingDataTable[[#This Row],[Vendor Price ($)]]-PricingDataTable[[#This Row],[Current Price ($)]])/PricingDataTable[[#This Row],[Current Price ($)]]</f>
        <v>-1.5599912988532839E-3</v>
      </c>
      <c r="M2365" t="str">
        <f t="shared" si="72"/>
        <v>PASS</v>
      </c>
      <c r="N2365" s="10" t="str">
        <f t="shared" si="73"/>
        <v>NONE</v>
      </c>
    </row>
    <row r="2366" spans="1:14">
      <c r="A2366" s="4" t="s">
        <v>4748</v>
      </c>
      <c r="B2366" s="4" t="s">
        <v>4749</v>
      </c>
      <c r="C2366" s="4" t="s">
        <v>19</v>
      </c>
      <c r="D2366" s="4" t="s">
        <v>13</v>
      </c>
      <c r="E2366" s="5">
        <v>267.5838</v>
      </c>
      <c r="F2366" s="5">
        <v>268.59280000000001</v>
      </c>
      <c r="G2366" s="5">
        <v>270.39859999999999</v>
      </c>
      <c r="H2366" s="4">
        <v>1</v>
      </c>
      <c r="I2366" s="6">
        <v>132210</v>
      </c>
      <c r="J2366" s="7">
        <v>270</v>
      </c>
      <c r="K2366" s="9">
        <f>(PricingDataTable[[#This Row],[Current Price ($)]]-PricingDataTable[[#This Row],[Prior Price ($)]])/PricingDataTable[[#This Row],[Prior Price ($)]]</f>
        <v>3.7707813402755122E-3</v>
      </c>
      <c r="L2366" s="9">
        <f>(PricingDataTable[[#This Row],[Vendor Price ($)]]-PricingDataTable[[#This Row],[Current Price ($)]])/PricingDataTable[[#This Row],[Current Price ($)]]</f>
        <v>6.7231884101136606E-3</v>
      </c>
      <c r="M2366" t="str">
        <f t="shared" si="72"/>
        <v>PASS</v>
      </c>
      <c r="N2366" s="10" t="str">
        <f t="shared" si="73"/>
        <v>NONE</v>
      </c>
    </row>
    <row r="2367" spans="1:14">
      <c r="A2367" s="4" t="s">
        <v>4750</v>
      </c>
      <c r="B2367" s="4" t="s">
        <v>4751</v>
      </c>
      <c r="C2367" s="4" t="s">
        <v>16</v>
      </c>
      <c r="D2367" s="4" t="s">
        <v>13</v>
      </c>
      <c r="E2367" s="5">
        <v>92.440399999999997</v>
      </c>
      <c r="F2367" s="5">
        <v>92.784599999999998</v>
      </c>
      <c r="G2367" s="5">
        <v>85.880899999999997</v>
      </c>
      <c r="H2367" s="4">
        <v>2</v>
      </c>
      <c r="I2367" s="6">
        <v>954149</v>
      </c>
      <c r="J2367" s="7">
        <v>192.87</v>
      </c>
      <c r="K2367" s="9">
        <f>(PricingDataTable[[#This Row],[Current Price ($)]]-PricingDataTable[[#This Row],[Prior Price ($)]])/PricingDataTable[[#This Row],[Prior Price ($)]]</f>
        <v>3.723480209951501E-3</v>
      </c>
      <c r="L2367" s="9">
        <f>(PricingDataTable[[#This Row],[Vendor Price ($)]]-PricingDataTable[[#This Row],[Current Price ($)]])/PricingDataTable[[#This Row],[Current Price ($)]]</f>
        <v>-7.4405666457580247E-2</v>
      </c>
      <c r="M2367" t="str">
        <f t="shared" si="72"/>
        <v>VENDOR DIFFERENCE</v>
      </c>
      <c r="N2367" s="10" t="str">
        <f t="shared" si="73"/>
        <v>HIGH</v>
      </c>
    </row>
    <row r="2368" spans="1:14">
      <c r="A2368" s="4" t="s">
        <v>4752</v>
      </c>
      <c r="B2368" s="4" t="s">
        <v>4753</v>
      </c>
      <c r="C2368" s="4" t="s">
        <v>19</v>
      </c>
      <c r="D2368" s="4" t="s">
        <v>13</v>
      </c>
      <c r="E2368" s="5">
        <v>334.0093</v>
      </c>
      <c r="F2368" s="5">
        <v>334.85950000000003</v>
      </c>
      <c r="G2368" s="5">
        <v>335.6925</v>
      </c>
      <c r="H2368" s="4">
        <v>0</v>
      </c>
      <c r="I2368" s="6">
        <v>1583529</v>
      </c>
      <c r="J2368" s="7">
        <v>269.75</v>
      </c>
      <c r="K2368" s="9">
        <f>(PricingDataTable[[#This Row],[Current Price ($)]]-PricingDataTable[[#This Row],[Prior Price ($)]])/PricingDataTable[[#This Row],[Prior Price ($)]]</f>
        <v>2.5454381060647994E-3</v>
      </c>
      <c r="L2368" s="9">
        <f>(PricingDataTable[[#This Row],[Vendor Price ($)]]-PricingDataTable[[#This Row],[Current Price ($)]])/PricingDataTable[[#This Row],[Current Price ($)]]</f>
        <v>2.4876104754381163E-3</v>
      </c>
      <c r="M2368" t="str">
        <f t="shared" si="72"/>
        <v>PASS</v>
      </c>
      <c r="N2368" s="10" t="str">
        <f t="shared" si="73"/>
        <v>NONE</v>
      </c>
    </row>
    <row r="2369" spans="1:14">
      <c r="A2369" s="4" t="s">
        <v>4754</v>
      </c>
      <c r="B2369" s="4" t="s">
        <v>4755</v>
      </c>
      <c r="C2369" s="4" t="s">
        <v>19</v>
      </c>
      <c r="D2369" s="4" t="s">
        <v>13</v>
      </c>
      <c r="E2369" s="5">
        <v>342.36649999999997</v>
      </c>
      <c r="F2369" s="5">
        <v>335.65429999999998</v>
      </c>
      <c r="G2369" s="5">
        <v>336.66910000000001</v>
      </c>
      <c r="H2369" s="4">
        <v>0</v>
      </c>
      <c r="I2369" s="6">
        <v>2713325</v>
      </c>
      <c r="J2369" s="7">
        <v>255.59</v>
      </c>
      <c r="K2369" s="9">
        <f>(PricingDataTable[[#This Row],[Current Price ($)]]-PricingDataTable[[#This Row],[Prior Price ($)]])/PricingDataTable[[#This Row],[Prior Price ($)]]</f>
        <v>-1.9605306009787746E-2</v>
      </c>
      <c r="L2369" s="9">
        <f>(PricingDataTable[[#This Row],[Vendor Price ($)]]-PricingDataTable[[#This Row],[Current Price ($)]])/PricingDataTable[[#This Row],[Current Price ($)]]</f>
        <v>3.0233487251616815E-3</v>
      </c>
      <c r="M2369" t="str">
        <f t="shared" si="72"/>
        <v>PASS</v>
      </c>
      <c r="N2369" s="10" t="str">
        <f t="shared" si="73"/>
        <v>NONE</v>
      </c>
    </row>
    <row r="2370" spans="1:14">
      <c r="A2370" s="4" t="s">
        <v>4756</v>
      </c>
      <c r="B2370" s="4" t="s">
        <v>4757</v>
      </c>
      <c r="C2370" s="4" t="s">
        <v>35</v>
      </c>
      <c r="D2370" s="4" t="s">
        <v>237</v>
      </c>
      <c r="E2370" s="5">
        <v>149.83410000000001</v>
      </c>
      <c r="F2370" s="5">
        <v>149.09010000000001</v>
      </c>
      <c r="G2370" s="5">
        <v>149.375</v>
      </c>
      <c r="H2370" s="4">
        <v>0</v>
      </c>
      <c r="I2370" s="6">
        <v>34269</v>
      </c>
      <c r="J2370" s="7">
        <v>441.27</v>
      </c>
      <c r="K2370" s="9">
        <f>(PricingDataTable[[#This Row],[Current Price ($)]]-PricingDataTable[[#This Row],[Prior Price ($)]])/PricingDataTable[[#This Row],[Prior Price ($)]]</f>
        <v>-4.9654918339683673E-3</v>
      </c>
      <c r="L2370" s="9">
        <f>(PricingDataTable[[#This Row],[Vendor Price ($)]]-PricingDataTable[[#This Row],[Current Price ($)]])/PricingDataTable[[#This Row],[Current Price ($)]]</f>
        <v>1.9109250044100398E-3</v>
      </c>
      <c r="M2370" t="str">
        <f t="shared" ref="M2370:M2433" si="74">IF(OR(F2370="",F2370=0),"MISSING",IF(H2370&gt;=3,"STALE",IF(ABS(K2370)&gt;=5%,"LARGE MOVE",IF(ABS(L2370)&gt;=2%,"VENDOR DIFFERENCE","PASS"))))</f>
        <v>PASS</v>
      </c>
      <c r="N2370" s="10" t="str">
        <f t="shared" ref="N2370:N2433" si="75">IF(M2370="PASS","NONE",IF(M2370="MISSING","HIGH",IF(OR(ABS(K2370)&gt;=10%,ABS(L2370)&gt;=5%),"HIGH",IF(OR(ABS(K2370)&gt;=7%,ABS(L2370)&gt;=3%,H2370&gt;=5),"MEDIUM","LOW"))))</f>
        <v>NONE</v>
      </c>
    </row>
    <row r="2371" spans="1:14">
      <c r="A2371" s="4" t="s">
        <v>4758</v>
      </c>
      <c r="B2371" s="4" t="s">
        <v>4759</v>
      </c>
      <c r="C2371" s="4" t="s">
        <v>19</v>
      </c>
      <c r="D2371" s="4" t="s">
        <v>13</v>
      </c>
      <c r="E2371" s="5">
        <v>102.4586</v>
      </c>
      <c r="F2371" s="5">
        <v>102.13209999999999</v>
      </c>
      <c r="G2371" s="5">
        <v>102.20569999999999</v>
      </c>
      <c r="H2371" s="4">
        <v>0</v>
      </c>
      <c r="I2371" s="6">
        <v>416968</v>
      </c>
      <c r="J2371" s="7">
        <v>648.72</v>
      </c>
      <c r="K2371" s="9">
        <f>(PricingDataTable[[#This Row],[Current Price ($)]]-PricingDataTable[[#This Row],[Prior Price ($)]])/PricingDataTable[[#This Row],[Prior Price ($)]]</f>
        <v>-3.1866529505576884E-3</v>
      </c>
      <c r="L2371" s="9">
        <f>(PricingDataTable[[#This Row],[Vendor Price ($)]]-PricingDataTable[[#This Row],[Current Price ($)]])/PricingDataTable[[#This Row],[Current Price ($)]]</f>
        <v>7.2063533404286213E-4</v>
      </c>
      <c r="M2371" t="str">
        <f t="shared" si="74"/>
        <v>PASS</v>
      </c>
      <c r="N2371" s="10" t="str">
        <f t="shared" si="75"/>
        <v>NONE</v>
      </c>
    </row>
    <row r="2372" spans="1:14">
      <c r="A2372" s="4" t="s">
        <v>4760</v>
      </c>
      <c r="B2372" s="4" t="s">
        <v>4761</v>
      </c>
      <c r="C2372" s="4" t="s">
        <v>19</v>
      </c>
      <c r="D2372" s="4" t="s">
        <v>32</v>
      </c>
      <c r="E2372" s="5">
        <v>324.8075</v>
      </c>
      <c r="F2372" s="5">
        <v>313.63069999999999</v>
      </c>
      <c r="G2372" s="5">
        <v>313.19490000000002</v>
      </c>
      <c r="H2372" s="4">
        <v>1</v>
      </c>
      <c r="I2372" s="6">
        <v>1120557</v>
      </c>
      <c r="J2372" s="7">
        <v>67.290000000000006</v>
      </c>
      <c r="K2372" s="9">
        <f>(PricingDataTable[[#This Row],[Current Price ($)]]-PricingDataTable[[#This Row],[Prior Price ($)]])/PricingDataTable[[#This Row],[Prior Price ($)]]</f>
        <v>-3.4410535471009793E-2</v>
      </c>
      <c r="L2372" s="9">
        <f>(PricingDataTable[[#This Row],[Vendor Price ($)]]-PricingDataTable[[#This Row],[Current Price ($)]])/PricingDataTable[[#This Row],[Current Price ($)]]</f>
        <v>-1.3895323385114148E-3</v>
      </c>
      <c r="M2372" t="str">
        <f t="shared" si="74"/>
        <v>PASS</v>
      </c>
      <c r="N2372" s="10" t="str">
        <f t="shared" si="75"/>
        <v>NONE</v>
      </c>
    </row>
    <row r="2373" spans="1:14">
      <c r="A2373" s="4" t="s">
        <v>4762</v>
      </c>
      <c r="B2373" s="4" t="s">
        <v>4763</v>
      </c>
      <c r="C2373" s="4" t="s">
        <v>39</v>
      </c>
      <c r="D2373" s="4" t="s">
        <v>13</v>
      </c>
      <c r="E2373" s="5">
        <v>66.296300000000002</v>
      </c>
      <c r="F2373" s="5">
        <v>66.1999</v>
      </c>
      <c r="G2373" s="5">
        <v>66.2911</v>
      </c>
      <c r="H2373" s="4">
        <v>0</v>
      </c>
      <c r="I2373" s="6">
        <v>2124096</v>
      </c>
      <c r="J2373" s="7">
        <v>598.08000000000004</v>
      </c>
      <c r="K2373" s="9">
        <f>(PricingDataTable[[#This Row],[Current Price ($)]]-PricingDataTable[[#This Row],[Prior Price ($)]])/PricingDataTable[[#This Row],[Prior Price ($)]]</f>
        <v>-1.4540781310571284E-3</v>
      </c>
      <c r="L2373" s="9">
        <f>(PricingDataTable[[#This Row],[Vendor Price ($)]]-PricingDataTable[[#This Row],[Current Price ($)]])/PricingDataTable[[#This Row],[Current Price ($)]]</f>
        <v>1.3776455855673592E-3</v>
      </c>
      <c r="M2373" t="str">
        <f t="shared" si="74"/>
        <v>PASS</v>
      </c>
      <c r="N2373" s="10" t="str">
        <f t="shared" si="75"/>
        <v>NONE</v>
      </c>
    </row>
    <row r="2374" spans="1:14">
      <c r="A2374" s="4" t="s">
        <v>4764</v>
      </c>
      <c r="B2374" s="4" t="s">
        <v>4765</v>
      </c>
      <c r="C2374" s="4" t="s">
        <v>39</v>
      </c>
      <c r="D2374" s="4" t="s">
        <v>36</v>
      </c>
      <c r="E2374" s="5">
        <v>100.27589999999999</v>
      </c>
      <c r="F2374" s="5">
        <v>100.9208</v>
      </c>
      <c r="G2374" s="5">
        <v>101.3442</v>
      </c>
      <c r="H2374" s="4">
        <v>1</v>
      </c>
      <c r="I2374" s="6">
        <v>565864</v>
      </c>
      <c r="J2374" s="7">
        <v>296</v>
      </c>
      <c r="K2374" s="9">
        <f>(PricingDataTable[[#This Row],[Current Price ($)]]-PricingDataTable[[#This Row],[Prior Price ($)]])/PricingDataTable[[#This Row],[Prior Price ($)]]</f>
        <v>6.4312561642429237E-3</v>
      </c>
      <c r="L2374" s="9">
        <f>(PricingDataTable[[#This Row],[Vendor Price ($)]]-PricingDataTable[[#This Row],[Current Price ($)]])/PricingDataTable[[#This Row],[Current Price ($)]]</f>
        <v>4.1953690418625386E-3</v>
      </c>
      <c r="M2374" t="str">
        <f t="shared" si="74"/>
        <v>PASS</v>
      </c>
      <c r="N2374" s="10" t="str">
        <f t="shared" si="75"/>
        <v>NONE</v>
      </c>
    </row>
    <row r="2375" spans="1:14">
      <c r="A2375" s="4" t="s">
        <v>4766</v>
      </c>
      <c r="B2375" s="4" t="s">
        <v>4767</v>
      </c>
      <c r="C2375" s="4" t="s">
        <v>16</v>
      </c>
      <c r="D2375" s="4" t="s">
        <v>13</v>
      </c>
      <c r="E2375" s="5">
        <v>105.63120000000001</v>
      </c>
      <c r="F2375" s="5">
        <v>104.6134</v>
      </c>
      <c r="G2375" s="5">
        <v>104.17489999999999</v>
      </c>
      <c r="H2375" s="4">
        <v>1</v>
      </c>
      <c r="I2375" s="6">
        <v>4972497</v>
      </c>
      <c r="J2375" s="7">
        <v>160.62</v>
      </c>
      <c r="K2375" s="9">
        <f>(PricingDataTable[[#This Row],[Current Price ($)]]-PricingDataTable[[#This Row],[Prior Price ($)]])/PricingDataTable[[#This Row],[Prior Price ($)]]</f>
        <v>-9.6354107498542868E-3</v>
      </c>
      <c r="L2375" s="9">
        <f>(PricingDataTable[[#This Row],[Vendor Price ($)]]-PricingDataTable[[#This Row],[Current Price ($)]])/PricingDataTable[[#This Row],[Current Price ($)]]</f>
        <v>-4.1916236352131254E-3</v>
      </c>
      <c r="M2375" t="str">
        <f t="shared" si="74"/>
        <v>PASS</v>
      </c>
      <c r="N2375" s="10" t="str">
        <f t="shared" si="75"/>
        <v>NONE</v>
      </c>
    </row>
    <row r="2376" spans="1:14">
      <c r="A2376" s="4" t="s">
        <v>4768</v>
      </c>
      <c r="B2376" s="4" t="s">
        <v>4769</v>
      </c>
      <c r="C2376" s="4" t="s">
        <v>39</v>
      </c>
      <c r="D2376" s="4" t="s">
        <v>13</v>
      </c>
      <c r="E2376" s="5">
        <v>43.104300000000002</v>
      </c>
      <c r="F2376" s="5">
        <v>42.965299999999999</v>
      </c>
      <c r="G2376" s="5">
        <v>43.129199999999997</v>
      </c>
      <c r="H2376" s="4">
        <v>0</v>
      </c>
      <c r="I2376" s="6">
        <v>706404</v>
      </c>
      <c r="J2376" s="7">
        <v>194.92</v>
      </c>
      <c r="K2376" s="9">
        <f>(PricingDataTable[[#This Row],[Current Price ($)]]-PricingDataTable[[#This Row],[Prior Price ($)]])/PricingDataTable[[#This Row],[Prior Price ($)]]</f>
        <v>-3.2247362792111899E-3</v>
      </c>
      <c r="L2376" s="9">
        <f>(PricingDataTable[[#This Row],[Vendor Price ($)]]-PricingDataTable[[#This Row],[Current Price ($)]])/PricingDataTable[[#This Row],[Current Price ($)]]</f>
        <v>3.814706286235594E-3</v>
      </c>
      <c r="M2376" t="str">
        <f t="shared" si="74"/>
        <v>PASS</v>
      </c>
      <c r="N2376" s="10" t="str">
        <f t="shared" si="75"/>
        <v>NONE</v>
      </c>
    </row>
    <row r="2377" spans="1:14">
      <c r="A2377" s="4" t="s">
        <v>4770</v>
      </c>
      <c r="B2377" s="4" t="s">
        <v>4771</v>
      </c>
      <c r="C2377" s="4" t="s">
        <v>12</v>
      </c>
      <c r="D2377" s="4" t="s">
        <v>13</v>
      </c>
      <c r="E2377" s="5">
        <v>103.8623</v>
      </c>
      <c r="F2377" s="5">
        <v>104.09699999999999</v>
      </c>
      <c r="G2377" s="5">
        <v>104.2443</v>
      </c>
      <c r="H2377" s="4">
        <v>0</v>
      </c>
      <c r="I2377" s="6">
        <v>257093</v>
      </c>
      <c r="J2377" s="7">
        <v>97.44</v>
      </c>
      <c r="K2377" s="9">
        <f>(PricingDataTable[[#This Row],[Current Price ($)]]-PricingDataTable[[#This Row],[Prior Price ($)]])/PricingDataTable[[#This Row],[Prior Price ($)]]</f>
        <v>2.2597227290363248E-3</v>
      </c>
      <c r="L2377" s="9">
        <f>(PricingDataTable[[#This Row],[Vendor Price ($)]]-PricingDataTable[[#This Row],[Current Price ($)]])/PricingDataTable[[#This Row],[Current Price ($)]]</f>
        <v>1.4150263696360253E-3</v>
      </c>
      <c r="M2377" t="str">
        <f t="shared" si="74"/>
        <v>PASS</v>
      </c>
      <c r="N2377" s="10" t="str">
        <f t="shared" si="75"/>
        <v>NONE</v>
      </c>
    </row>
    <row r="2378" spans="1:14">
      <c r="A2378" s="4" t="s">
        <v>4772</v>
      </c>
      <c r="B2378" s="4" t="s">
        <v>4773</v>
      </c>
      <c r="C2378" s="4" t="s">
        <v>19</v>
      </c>
      <c r="D2378" s="4" t="s">
        <v>13</v>
      </c>
      <c r="E2378" s="5">
        <v>181.08240000000001</v>
      </c>
      <c r="F2378" s="5">
        <v>180.4768</v>
      </c>
      <c r="G2378" s="5">
        <v>180.91550000000001</v>
      </c>
      <c r="H2378" s="4">
        <v>4</v>
      </c>
      <c r="I2378" s="6">
        <v>2494891</v>
      </c>
      <c r="J2378" s="7">
        <v>489.47</v>
      </c>
      <c r="K2378" s="9">
        <f>(PricingDataTable[[#This Row],[Current Price ($)]]-PricingDataTable[[#This Row],[Prior Price ($)]])/PricingDataTable[[#This Row],[Prior Price ($)]]</f>
        <v>-3.3443338502251443E-3</v>
      </c>
      <c r="L2378" s="9">
        <f>(PricingDataTable[[#This Row],[Vendor Price ($)]]-PricingDataTable[[#This Row],[Current Price ($)]])/PricingDataTable[[#This Row],[Current Price ($)]]</f>
        <v>2.4307833472225317E-3</v>
      </c>
      <c r="M2378" t="str">
        <f t="shared" si="74"/>
        <v>STALE</v>
      </c>
      <c r="N2378" s="10" t="str">
        <f t="shared" si="75"/>
        <v>LOW</v>
      </c>
    </row>
    <row r="2379" spans="1:14">
      <c r="A2379" s="4" t="s">
        <v>4774</v>
      </c>
      <c r="B2379" s="4" t="s">
        <v>4775</v>
      </c>
      <c r="C2379" s="4" t="s">
        <v>19</v>
      </c>
      <c r="D2379" s="4" t="s">
        <v>13</v>
      </c>
      <c r="E2379" s="5">
        <v>281.35719999999998</v>
      </c>
      <c r="F2379" s="5">
        <v>284.88220000000001</v>
      </c>
      <c r="G2379" s="5">
        <v>285.77030000000002</v>
      </c>
      <c r="H2379" s="4">
        <v>3</v>
      </c>
      <c r="I2379" s="6">
        <v>2619681</v>
      </c>
      <c r="J2379" s="7">
        <v>860.94</v>
      </c>
      <c r="K2379" s="9">
        <f>(PricingDataTable[[#This Row],[Current Price ($)]]-PricingDataTable[[#This Row],[Prior Price ($)]])/PricingDataTable[[#This Row],[Prior Price ($)]]</f>
        <v>1.2528558003847189E-2</v>
      </c>
      <c r="L2379" s="9">
        <f>(PricingDataTable[[#This Row],[Vendor Price ($)]]-PricingDataTable[[#This Row],[Current Price ($)]])/PricingDataTable[[#This Row],[Current Price ($)]]</f>
        <v>3.1174288881509918E-3</v>
      </c>
      <c r="M2379" t="str">
        <f t="shared" si="74"/>
        <v>STALE</v>
      </c>
      <c r="N2379" s="10" t="str">
        <f t="shared" si="75"/>
        <v>LOW</v>
      </c>
    </row>
    <row r="2380" spans="1:14">
      <c r="A2380" s="4" t="s">
        <v>4776</v>
      </c>
      <c r="B2380" s="4" t="s">
        <v>4777</v>
      </c>
      <c r="C2380" s="4" t="s">
        <v>19</v>
      </c>
      <c r="D2380" s="4" t="s">
        <v>36</v>
      </c>
      <c r="E2380" s="5">
        <v>115.1673</v>
      </c>
      <c r="F2380" s="5">
        <v>115.79389999999999</v>
      </c>
      <c r="G2380" s="5">
        <v>115.26300000000001</v>
      </c>
      <c r="H2380" s="4">
        <v>0</v>
      </c>
      <c r="I2380" s="6">
        <v>1153544</v>
      </c>
      <c r="J2380" s="7">
        <v>196.11</v>
      </c>
      <c r="K2380" s="9">
        <f>(PricingDataTable[[#This Row],[Current Price ($)]]-PricingDataTable[[#This Row],[Prior Price ($)]])/PricingDataTable[[#This Row],[Prior Price ($)]]</f>
        <v>5.440780499325731E-3</v>
      </c>
      <c r="L2380" s="9">
        <f>(PricingDataTable[[#This Row],[Vendor Price ($)]]-PricingDataTable[[#This Row],[Current Price ($)]])/PricingDataTable[[#This Row],[Current Price ($)]]</f>
        <v>-4.5848701874622788E-3</v>
      </c>
      <c r="M2380" t="str">
        <f t="shared" si="74"/>
        <v>PASS</v>
      </c>
      <c r="N2380" s="10" t="str">
        <f t="shared" si="75"/>
        <v>NONE</v>
      </c>
    </row>
    <row r="2381" spans="1:14">
      <c r="A2381" s="4" t="s">
        <v>4778</v>
      </c>
      <c r="B2381" s="4" t="s">
        <v>4779</v>
      </c>
      <c r="C2381" s="4" t="s">
        <v>39</v>
      </c>
      <c r="D2381" s="4" t="s">
        <v>13</v>
      </c>
      <c r="E2381" s="5">
        <v>66.422300000000007</v>
      </c>
      <c r="F2381" s="5">
        <v>67.0655</v>
      </c>
      <c r="G2381" s="5">
        <v>67.028800000000004</v>
      </c>
      <c r="H2381" s="4">
        <v>4</v>
      </c>
      <c r="I2381" s="6">
        <v>2113234</v>
      </c>
      <c r="J2381" s="7">
        <v>355.2</v>
      </c>
      <c r="K2381" s="9">
        <f>(PricingDataTable[[#This Row],[Current Price ($)]]-PricingDataTable[[#This Row],[Prior Price ($)]])/PricingDataTable[[#This Row],[Prior Price ($)]]</f>
        <v>9.6834948503739405E-3</v>
      </c>
      <c r="L2381" s="9">
        <f>(PricingDataTable[[#This Row],[Vendor Price ($)]]-PricingDataTable[[#This Row],[Current Price ($)]])/PricingDataTable[[#This Row],[Current Price ($)]]</f>
        <v>-5.4722621914391422E-4</v>
      </c>
      <c r="M2381" t="str">
        <f t="shared" si="74"/>
        <v>STALE</v>
      </c>
      <c r="N2381" s="10" t="str">
        <f t="shared" si="75"/>
        <v>LOW</v>
      </c>
    </row>
    <row r="2382" spans="1:14">
      <c r="A2382" s="4" t="s">
        <v>4780</v>
      </c>
      <c r="B2382" s="4" t="s">
        <v>4781</v>
      </c>
      <c r="C2382" s="4" t="s">
        <v>39</v>
      </c>
      <c r="D2382" s="4" t="s">
        <v>13</v>
      </c>
      <c r="E2382" s="5">
        <v>349.68259999999998</v>
      </c>
      <c r="F2382" s="5">
        <v>357.1379</v>
      </c>
      <c r="G2382" s="5">
        <v>360.05959999999999</v>
      </c>
      <c r="H2382" s="4">
        <v>4</v>
      </c>
      <c r="I2382" s="6">
        <v>4504812</v>
      </c>
      <c r="J2382" s="7">
        <v>381.64</v>
      </c>
      <c r="K2382" s="9">
        <f>(PricingDataTable[[#This Row],[Current Price ($)]]-PricingDataTable[[#This Row],[Prior Price ($)]])/PricingDataTable[[#This Row],[Prior Price ($)]]</f>
        <v>2.1320191510815874E-2</v>
      </c>
      <c r="L2382" s="9">
        <f>(PricingDataTable[[#This Row],[Vendor Price ($)]]-PricingDataTable[[#This Row],[Current Price ($)]])/PricingDataTable[[#This Row],[Current Price ($)]]</f>
        <v>8.1808735505248444E-3</v>
      </c>
      <c r="M2382" t="str">
        <f t="shared" si="74"/>
        <v>STALE</v>
      </c>
      <c r="N2382" s="10" t="str">
        <f t="shared" si="75"/>
        <v>LOW</v>
      </c>
    </row>
    <row r="2383" spans="1:14">
      <c r="A2383" s="4" t="s">
        <v>4782</v>
      </c>
      <c r="B2383" s="4" t="s">
        <v>4783</v>
      </c>
      <c r="C2383" s="4" t="s">
        <v>16</v>
      </c>
      <c r="D2383" s="4" t="s">
        <v>13</v>
      </c>
      <c r="E2383" s="5">
        <v>113.6379</v>
      </c>
      <c r="F2383" s="5">
        <v>112.0166</v>
      </c>
      <c r="G2383" s="5">
        <v>111.64570000000001</v>
      </c>
      <c r="H2383" s="4">
        <v>0</v>
      </c>
      <c r="I2383" s="6">
        <v>3579632</v>
      </c>
      <c r="J2383" s="7">
        <v>637.54999999999995</v>
      </c>
      <c r="K2383" s="9">
        <f>(PricingDataTable[[#This Row],[Current Price ($)]]-PricingDataTable[[#This Row],[Prior Price ($)]])/PricingDataTable[[#This Row],[Prior Price ($)]]</f>
        <v>-1.426724710681916E-2</v>
      </c>
      <c r="L2383" s="9">
        <f>(PricingDataTable[[#This Row],[Vendor Price ($)]]-PricingDataTable[[#This Row],[Current Price ($)]])/PricingDataTable[[#This Row],[Current Price ($)]]</f>
        <v>-3.3111163881066894E-3</v>
      </c>
      <c r="M2383" t="str">
        <f t="shared" si="74"/>
        <v>PASS</v>
      </c>
      <c r="N2383" s="10" t="str">
        <f t="shared" si="75"/>
        <v>NONE</v>
      </c>
    </row>
    <row r="2384" spans="1:14">
      <c r="A2384" s="4" t="s">
        <v>4784</v>
      </c>
      <c r="B2384" s="4" t="s">
        <v>4785</v>
      </c>
      <c r="C2384" s="4" t="s">
        <v>19</v>
      </c>
      <c r="D2384" s="4" t="s">
        <v>13</v>
      </c>
      <c r="E2384" s="5">
        <v>307.76740000000001</v>
      </c>
      <c r="F2384" s="5">
        <v>310.5917</v>
      </c>
      <c r="G2384" s="5">
        <v>309.7851</v>
      </c>
      <c r="H2384" s="4">
        <v>0</v>
      </c>
      <c r="I2384" s="6">
        <v>435186</v>
      </c>
      <c r="J2384" s="7">
        <v>18.61</v>
      </c>
      <c r="K2384" s="9">
        <f>(PricingDataTable[[#This Row],[Current Price ($)]]-PricingDataTable[[#This Row],[Prior Price ($)]])/PricingDataTable[[#This Row],[Prior Price ($)]]</f>
        <v>9.1767354177212847E-3</v>
      </c>
      <c r="L2384" s="9">
        <f>(PricingDataTable[[#This Row],[Vendor Price ($)]]-PricingDataTable[[#This Row],[Current Price ($)]])/PricingDataTable[[#This Row],[Current Price ($)]]</f>
        <v>-2.5969786056742761E-3</v>
      </c>
      <c r="M2384" t="str">
        <f t="shared" si="74"/>
        <v>PASS</v>
      </c>
      <c r="N2384" s="10" t="str">
        <f t="shared" si="75"/>
        <v>NONE</v>
      </c>
    </row>
    <row r="2385" spans="1:14">
      <c r="A2385" s="4" t="s">
        <v>4786</v>
      </c>
      <c r="B2385" s="4" t="s">
        <v>4787</v>
      </c>
      <c r="C2385" s="4" t="s">
        <v>35</v>
      </c>
      <c r="D2385" s="4" t="s">
        <v>13</v>
      </c>
      <c r="E2385" s="5">
        <v>15.0016</v>
      </c>
      <c r="F2385" s="5">
        <v>14.875999999999999</v>
      </c>
      <c r="G2385" s="5">
        <v>14.8002</v>
      </c>
      <c r="H2385" s="4">
        <v>0</v>
      </c>
      <c r="I2385" s="6">
        <v>3876134</v>
      </c>
      <c r="J2385" s="7">
        <v>723.93</v>
      </c>
      <c r="K2385" s="9">
        <f>(PricingDataTable[[#This Row],[Current Price ($)]]-PricingDataTable[[#This Row],[Prior Price ($)]])/PricingDataTable[[#This Row],[Prior Price ($)]]</f>
        <v>-8.3724402730375683E-3</v>
      </c>
      <c r="L2385" s="9">
        <f>(PricingDataTable[[#This Row],[Vendor Price ($)]]-PricingDataTable[[#This Row],[Current Price ($)]])/PricingDataTable[[#This Row],[Current Price ($)]]</f>
        <v>-5.09545576767943E-3</v>
      </c>
      <c r="M2385" t="str">
        <f t="shared" si="74"/>
        <v>PASS</v>
      </c>
      <c r="N2385" s="10" t="str">
        <f t="shared" si="75"/>
        <v>NONE</v>
      </c>
    </row>
    <row r="2386" spans="1:14">
      <c r="A2386" s="4" t="s">
        <v>4788</v>
      </c>
      <c r="B2386" s="4" t="s">
        <v>4789</v>
      </c>
      <c r="C2386" s="4" t="s">
        <v>19</v>
      </c>
      <c r="D2386" s="4" t="s">
        <v>13</v>
      </c>
      <c r="E2386" s="5">
        <v>106.9542</v>
      </c>
      <c r="F2386" s="5">
        <v>108.9027</v>
      </c>
      <c r="G2386" s="5">
        <v>109.1163</v>
      </c>
      <c r="H2386" s="4">
        <v>1</v>
      </c>
      <c r="I2386" s="6">
        <v>3645027</v>
      </c>
      <c r="J2386" s="7">
        <v>677.26</v>
      </c>
      <c r="K2386" s="9">
        <f>(PricingDataTable[[#This Row],[Current Price ($)]]-PricingDataTable[[#This Row],[Prior Price ($)]])/PricingDataTable[[#This Row],[Prior Price ($)]]</f>
        <v>1.8218078392433355E-2</v>
      </c>
      <c r="L2386" s="9">
        <f>(PricingDataTable[[#This Row],[Vendor Price ($)]]-PricingDataTable[[#This Row],[Current Price ($)]])/PricingDataTable[[#This Row],[Current Price ($)]]</f>
        <v>1.961383877534713E-3</v>
      </c>
      <c r="M2386" t="str">
        <f t="shared" si="74"/>
        <v>PASS</v>
      </c>
      <c r="N2386" s="10" t="str">
        <f t="shared" si="75"/>
        <v>NONE</v>
      </c>
    </row>
    <row r="2387" spans="1:14">
      <c r="A2387" s="4" t="s">
        <v>4790</v>
      </c>
      <c r="B2387" s="4" t="s">
        <v>4791</v>
      </c>
      <c r="C2387" s="4" t="s">
        <v>12</v>
      </c>
      <c r="D2387" s="4" t="s">
        <v>13</v>
      </c>
      <c r="E2387" s="5">
        <v>84.263999999999996</v>
      </c>
      <c r="F2387" s="5">
        <v>83.820099999999996</v>
      </c>
      <c r="G2387" s="5">
        <v>83.779899999999998</v>
      </c>
      <c r="H2387" s="4">
        <v>0</v>
      </c>
      <c r="I2387" s="6">
        <v>1609128</v>
      </c>
      <c r="J2387" s="7">
        <v>873.23</v>
      </c>
      <c r="K2387" s="9">
        <f>(PricingDataTable[[#This Row],[Current Price ($)]]-PricingDataTable[[#This Row],[Prior Price ($)]])/PricingDataTable[[#This Row],[Prior Price ($)]]</f>
        <v>-5.2679673407386232E-3</v>
      </c>
      <c r="L2387" s="9">
        <f>(PricingDataTable[[#This Row],[Vendor Price ($)]]-PricingDataTable[[#This Row],[Current Price ($)]])/PricingDataTable[[#This Row],[Current Price ($)]]</f>
        <v>-4.7959856883967786E-4</v>
      </c>
      <c r="M2387" t="str">
        <f t="shared" si="74"/>
        <v>PASS</v>
      </c>
      <c r="N2387" s="10" t="str">
        <f t="shared" si="75"/>
        <v>NONE</v>
      </c>
    </row>
    <row r="2388" spans="1:14">
      <c r="A2388" s="4" t="s">
        <v>4792</v>
      </c>
      <c r="B2388" s="4" t="s">
        <v>4793</v>
      </c>
      <c r="C2388" s="4" t="s">
        <v>39</v>
      </c>
      <c r="D2388" s="4" t="s">
        <v>13</v>
      </c>
      <c r="E2388" s="5">
        <v>230.6112</v>
      </c>
      <c r="F2388" s="5">
        <v>227.47110000000001</v>
      </c>
      <c r="G2388" s="5">
        <v>227.39320000000001</v>
      </c>
      <c r="H2388" s="4">
        <v>0</v>
      </c>
      <c r="I2388" s="6">
        <v>3831307</v>
      </c>
      <c r="J2388" s="7">
        <v>695.99</v>
      </c>
      <c r="K2388" s="9">
        <f>(PricingDataTable[[#This Row],[Current Price ($)]]-PricingDataTable[[#This Row],[Prior Price ($)]])/PricingDataTable[[#This Row],[Prior Price ($)]]</f>
        <v>-1.3616424527516399E-2</v>
      </c>
      <c r="L2388" s="9">
        <f>(PricingDataTable[[#This Row],[Vendor Price ($)]]-PricingDataTable[[#This Row],[Current Price ($)]])/PricingDataTable[[#This Row],[Current Price ($)]]</f>
        <v>-3.4246108626546245E-4</v>
      </c>
      <c r="M2388" t="str">
        <f t="shared" si="74"/>
        <v>PASS</v>
      </c>
      <c r="N2388" s="10" t="str">
        <f t="shared" si="75"/>
        <v>NONE</v>
      </c>
    </row>
    <row r="2389" spans="1:14">
      <c r="A2389" s="4" t="s">
        <v>4794</v>
      </c>
      <c r="B2389" s="4" t="s">
        <v>4795</v>
      </c>
      <c r="C2389" s="4" t="s">
        <v>16</v>
      </c>
      <c r="D2389" s="4" t="s">
        <v>13</v>
      </c>
      <c r="E2389" s="5">
        <v>103.94070000000001</v>
      </c>
      <c r="F2389" s="5">
        <v>104.4024</v>
      </c>
      <c r="G2389" s="5">
        <v>104.4577</v>
      </c>
      <c r="H2389" s="4">
        <v>0</v>
      </c>
      <c r="I2389" s="6">
        <v>2093508</v>
      </c>
      <c r="J2389" s="7">
        <v>281.35000000000002</v>
      </c>
      <c r="K2389" s="9">
        <f>(PricingDataTable[[#This Row],[Current Price ($)]]-PricingDataTable[[#This Row],[Prior Price ($)]])/PricingDataTable[[#This Row],[Prior Price ($)]]</f>
        <v>4.4419558459774982E-3</v>
      </c>
      <c r="L2389" s="9">
        <f>(PricingDataTable[[#This Row],[Vendor Price ($)]]-PricingDataTable[[#This Row],[Current Price ($)]])/PricingDataTable[[#This Row],[Current Price ($)]]</f>
        <v>5.2968131000822368E-4</v>
      </c>
      <c r="M2389" t="str">
        <f t="shared" si="74"/>
        <v>PASS</v>
      </c>
      <c r="N2389" s="10" t="str">
        <f t="shared" si="75"/>
        <v>NONE</v>
      </c>
    </row>
    <row r="2390" spans="1:14">
      <c r="A2390" s="4" t="s">
        <v>4796</v>
      </c>
      <c r="B2390" s="4" t="s">
        <v>4797</v>
      </c>
      <c r="C2390" s="4" t="s">
        <v>19</v>
      </c>
      <c r="D2390" s="4" t="s">
        <v>32</v>
      </c>
      <c r="E2390" s="5">
        <v>344.32470000000001</v>
      </c>
      <c r="F2390" s="5">
        <v>344.66039999999998</v>
      </c>
      <c r="G2390" s="5">
        <v>371.81880000000001</v>
      </c>
      <c r="H2390" s="4">
        <v>0</v>
      </c>
      <c r="I2390" s="6">
        <v>3352238</v>
      </c>
      <c r="J2390" s="7">
        <v>178.2</v>
      </c>
      <c r="K2390" s="9">
        <f>(PricingDataTable[[#This Row],[Current Price ($)]]-PricingDataTable[[#This Row],[Prior Price ($)]])/PricingDataTable[[#This Row],[Prior Price ($)]]</f>
        <v>9.749518405155783E-4</v>
      </c>
      <c r="L2390" s="9">
        <f>(PricingDataTable[[#This Row],[Vendor Price ($)]]-PricingDataTable[[#This Row],[Current Price ($)]])/PricingDataTable[[#This Row],[Current Price ($)]]</f>
        <v>7.8797564211032164E-2</v>
      </c>
      <c r="M2390" t="str">
        <f t="shared" si="74"/>
        <v>VENDOR DIFFERENCE</v>
      </c>
      <c r="N2390" s="10" t="str">
        <f t="shared" si="75"/>
        <v>HIGH</v>
      </c>
    </row>
    <row r="2391" spans="1:14">
      <c r="A2391" s="4" t="s">
        <v>4798</v>
      </c>
      <c r="B2391" s="4" t="s">
        <v>4799</v>
      </c>
      <c r="C2391" s="4" t="s">
        <v>16</v>
      </c>
      <c r="D2391" s="4" t="s">
        <v>13</v>
      </c>
      <c r="E2391" s="5">
        <v>122.9096</v>
      </c>
      <c r="F2391" s="5">
        <v>123.3083</v>
      </c>
      <c r="G2391" s="5">
        <v>137.17420000000001</v>
      </c>
      <c r="H2391" s="4">
        <v>0</v>
      </c>
      <c r="I2391" s="6">
        <v>4635244</v>
      </c>
      <c r="J2391" s="7">
        <v>251.67</v>
      </c>
      <c r="K2391" s="9">
        <f>(PricingDataTable[[#This Row],[Current Price ($)]]-PricingDataTable[[#This Row],[Prior Price ($)]])/PricingDataTable[[#This Row],[Prior Price ($)]]</f>
        <v>3.2438475106908262E-3</v>
      </c>
      <c r="L2391" s="9">
        <f>(PricingDataTable[[#This Row],[Vendor Price ($)]]-PricingDataTable[[#This Row],[Current Price ($)]])/PricingDataTable[[#This Row],[Current Price ($)]]</f>
        <v>0.11244904033224049</v>
      </c>
      <c r="M2391" t="str">
        <f t="shared" si="74"/>
        <v>VENDOR DIFFERENCE</v>
      </c>
      <c r="N2391" s="10" t="str">
        <f t="shared" si="75"/>
        <v>HIGH</v>
      </c>
    </row>
    <row r="2392" spans="1:14">
      <c r="A2392" s="4" t="s">
        <v>4800</v>
      </c>
      <c r="B2392" s="4" t="s">
        <v>4801</v>
      </c>
      <c r="C2392" s="4" t="s">
        <v>39</v>
      </c>
      <c r="D2392" s="4" t="s">
        <v>13</v>
      </c>
      <c r="E2392" s="5">
        <v>134.80930000000001</v>
      </c>
      <c r="F2392" s="5">
        <v>134.4385</v>
      </c>
      <c r="G2392" s="5">
        <v>134.59979999999999</v>
      </c>
      <c r="H2392" s="4">
        <v>1</v>
      </c>
      <c r="I2392" s="6">
        <v>2945558</v>
      </c>
      <c r="J2392" s="7">
        <v>264.87</v>
      </c>
      <c r="K2392" s="9">
        <f>(PricingDataTable[[#This Row],[Current Price ($)]]-PricingDataTable[[#This Row],[Prior Price ($)]])/PricingDataTable[[#This Row],[Prior Price ($)]]</f>
        <v>-2.7505520761550032E-3</v>
      </c>
      <c r="L2392" s="9">
        <f>(PricingDataTable[[#This Row],[Vendor Price ($)]]-PricingDataTable[[#This Row],[Current Price ($)]])/PricingDataTable[[#This Row],[Current Price ($)]]</f>
        <v>1.1998051153500142E-3</v>
      </c>
      <c r="M2392" t="str">
        <f t="shared" si="74"/>
        <v>PASS</v>
      </c>
      <c r="N2392" s="10" t="str">
        <f t="shared" si="75"/>
        <v>NONE</v>
      </c>
    </row>
    <row r="2393" spans="1:14">
      <c r="A2393" s="4" t="s">
        <v>4802</v>
      </c>
      <c r="B2393" s="4" t="s">
        <v>4803</v>
      </c>
      <c r="C2393" s="4" t="s">
        <v>19</v>
      </c>
      <c r="D2393" s="4" t="s">
        <v>13</v>
      </c>
      <c r="E2393" s="5">
        <v>45.529000000000003</v>
      </c>
      <c r="F2393" s="5">
        <v>45.5107</v>
      </c>
      <c r="G2393" s="5">
        <v>45.200899999999997</v>
      </c>
      <c r="H2393" s="4">
        <v>0</v>
      </c>
      <c r="I2393" s="6">
        <v>3598773</v>
      </c>
      <c r="J2393" s="7">
        <v>206.59</v>
      </c>
      <c r="K2393" s="9">
        <f>(PricingDataTable[[#This Row],[Current Price ($)]]-PricingDataTable[[#This Row],[Prior Price ($)]])/PricingDataTable[[#This Row],[Prior Price ($)]]</f>
        <v>-4.0194161962712853E-4</v>
      </c>
      <c r="L2393" s="9">
        <f>(PricingDataTable[[#This Row],[Vendor Price ($)]]-PricingDataTable[[#This Row],[Current Price ($)]])/PricingDataTable[[#This Row],[Current Price ($)]]</f>
        <v>-6.8071903969836268E-3</v>
      </c>
      <c r="M2393" t="str">
        <f t="shared" si="74"/>
        <v>PASS</v>
      </c>
      <c r="N2393" s="10" t="str">
        <f t="shared" si="75"/>
        <v>NONE</v>
      </c>
    </row>
    <row r="2394" spans="1:14">
      <c r="A2394" s="4" t="s">
        <v>4804</v>
      </c>
      <c r="B2394" s="4" t="s">
        <v>4805</v>
      </c>
      <c r="C2394" s="4" t="s">
        <v>19</v>
      </c>
      <c r="D2394" s="4" t="s">
        <v>64</v>
      </c>
      <c r="E2394" s="5">
        <v>259.01929999999999</v>
      </c>
      <c r="F2394" s="5">
        <v>258.97829999999999</v>
      </c>
      <c r="G2394" s="5">
        <v>259.88139999999999</v>
      </c>
      <c r="H2394" s="4">
        <v>0</v>
      </c>
      <c r="I2394" s="6">
        <v>4085114</v>
      </c>
      <c r="J2394" s="7">
        <v>758.98</v>
      </c>
      <c r="K2394" s="9">
        <f>(PricingDataTable[[#This Row],[Current Price ($)]]-PricingDataTable[[#This Row],[Prior Price ($)]])/PricingDataTable[[#This Row],[Prior Price ($)]]</f>
        <v>-1.5828936299340171E-4</v>
      </c>
      <c r="L2394" s="9">
        <f>(PricingDataTable[[#This Row],[Vendor Price ($)]]-PricingDataTable[[#This Row],[Current Price ($)]])/PricingDataTable[[#This Row],[Current Price ($)]]</f>
        <v>3.4871647547303963E-3</v>
      </c>
      <c r="M2394" t="str">
        <f t="shared" si="74"/>
        <v>PASS</v>
      </c>
      <c r="N2394" s="10" t="str">
        <f t="shared" si="75"/>
        <v>NONE</v>
      </c>
    </row>
    <row r="2395" spans="1:14">
      <c r="A2395" s="4" t="s">
        <v>4806</v>
      </c>
      <c r="B2395" s="4" t="s">
        <v>4807</v>
      </c>
      <c r="C2395" s="4" t="s">
        <v>35</v>
      </c>
      <c r="D2395" s="4" t="s">
        <v>13</v>
      </c>
      <c r="E2395" s="5">
        <v>172.1403</v>
      </c>
      <c r="F2395" s="5">
        <v>171.51300000000001</v>
      </c>
      <c r="G2395" s="5">
        <v>171.18940000000001</v>
      </c>
      <c r="H2395" s="4">
        <v>0</v>
      </c>
      <c r="I2395" s="6">
        <v>4416159</v>
      </c>
      <c r="J2395" s="7">
        <v>734.44</v>
      </c>
      <c r="K2395" s="9">
        <f>(PricingDataTable[[#This Row],[Current Price ($)]]-PricingDataTable[[#This Row],[Prior Price ($)]])/PricingDataTable[[#This Row],[Prior Price ($)]]</f>
        <v>-3.6441205226201596E-3</v>
      </c>
      <c r="L2395" s="9">
        <f>(PricingDataTable[[#This Row],[Vendor Price ($)]]-PricingDataTable[[#This Row],[Current Price ($)]])/PricingDataTable[[#This Row],[Current Price ($)]]</f>
        <v>-1.8867374484732877E-3</v>
      </c>
      <c r="M2395" t="str">
        <f t="shared" si="74"/>
        <v>PASS</v>
      </c>
      <c r="N2395" s="10" t="str">
        <f t="shared" si="75"/>
        <v>NONE</v>
      </c>
    </row>
    <row r="2396" spans="1:14">
      <c r="A2396" s="4" t="s">
        <v>4808</v>
      </c>
      <c r="B2396" s="4" t="s">
        <v>4809</v>
      </c>
      <c r="C2396" s="4" t="s">
        <v>39</v>
      </c>
      <c r="D2396" s="4" t="s">
        <v>13</v>
      </c>
      <c r="E2396" s="5">
        <v>302.36599999999999</v>
      </c>
      <c r="F2396" s="5">
        <v>299.64710000000002</v>
      </c>
      <c r="G2396" s="5">
        <v>298.33019999999999</v>
      </c>
      <c r="H2396" s="4">
        <v>0</v>
      </c>
      <c r="I2396" s="6">
        <v>1353507</v>
      </c>
      <c r="J2396" s="7">
        <v>397.22</v>
      </c>
      <c r="K2396" s="9">
        <f>(PricingDataTable[[#This Row],[Current Price ($)]]-PricingDataTable[[#This Row],[Prior Price ($)]])/PricingDataTable[[#This Row],[Prior Price ($)]]</f>
        <v>-8.9920824431317103E-3</v>
      </c>
      <c r="L2396" s="9">
        <f>(PricingDataTable[[#This Row],[Vendor Price ($)]]-PricingDataTable[[#This Row],[Current Price ($)]])/PricingDataTable[[#This Row],[Current Price ($)]]</f>
        <v>-4.3948364592883834E-3</v>
      </c>
      <c r="M2396" t="str">
        <f t="shared" si="74"/>
        <v>PASS</v>
      </c>
      <c r="N2396" s="10" t="str">
        <f t="shared" si="75"/>
        <v>NONE</v>
      </c>
    </row>
    <row r="2397" spans="1:14">
      <c r="A2397" s="4" t="s">
        <v>4810</v>
      </c>
      <c r="B2397" s="4" t="s">
        <v>4811</v>
      </c>
      <c r="C2397" s="4" t="s">
        <v>16</v>
      </c>
      <c r="D2397" s="4" t="s">
        <v>32</v>
      </c>
      <c r="E2397" s="5">
        <v>99.902199999999993</v>
      </c>
      <c r="F2397" s="5">
        <v>100.0886</v>
      </c>
      <c r="G2397" s="5">
        <v>99.983900000000006</v>
      </c>
      <c r="H2397" s="4">
        <v>0</v>
      </c>
      <c r="I2397" s="6">
        <v>136466</v>
      </c>
      <c r="J2397" s="7">
        <v>896.68</v>
      </c>
      <c r="K2397" s="9">
        <f>(PricingDataTable[[#This Row],[Current Price ($)]]-PricingDataTable[[#This Row],[Prior Price ($)]])/PricingDataTable[[#This Row],[Prior Price ($)]]</f>
        <v>1.865824776631607E-3</v>
      </c>
      <c r="L2397" s="9">
        <f>(PricingDataTable[[#This Row],[Vendor Price ($)]]-PricingDataTable[[#This Row],[Current Price ($)]])/PricingDataTable[[#This Row],[Current Price ($)]]</f>
        <v>-1.0460731791632016E-3</v>
      </c>
      <c r="M2397" t="str">
        <f t="shared" si="74"/>
        <v>PASS</v>
      </c>
      <c r="N2397" s="10" t="str">
        <f t="shared" si="75"/>
        <v>NONE</v>
      </c>
    </row>
    <row r="2398" spans="1:14">
      <c r="A2398" s="4" t="s">
        <v>4812</v>
      </c>
      <c r="B2398" s="4" t="s">
        <v>4813</v>
      </c>
      <c r="C2398" s="4" t="s">
        <v>19</v>
      </c>
      <c r="D2398" s="4" t="s">
        <v>13</v>
      </c>
      <c r="E2398" s="5">
        <v>287.21269999999998</v>
      </c>
      <c r="F2398" s="5">
        <v>286.86180000000002</v>
      </c>
      <c r="G2398" s="5">
        <v>286.09039999999999</v>
      </c>
      <c r="H2398" s="4">
        <v>1</v>
      </c>
      <c r="I2398" s="6">
        <v>4468329</v>
      </c>
      <c r="J2398" s="7">
        <v>86.15</v>
      </c>
      <c r="K2398" s="9">
        <f>(PricingDataTable[[#This Row],[Current Price ($)]]-PricingDataTable[[#This Row],[Prior Price ($)]])/PricingDataTable[[#This Row],[Prior Price ($)]]</f>
        <v>-1.2217426318542578E-3</v>
      </c>
      <c r="L2398" s="9">
        <f>(PricingDataTable[[#This Row],[Vendor Price ($)]]-PricingDataTable[[#This Row],[Current Price ($)]])/PricingDataTable[[#This Row],[Current Price ($)]]</f>
        <v>-2.6890997685994726E-3</v>
      </c>
      <c r="M2398" t="str">
        <f t="shared" si="74"/>
        <v>PASS</v>
      </c>
      <c r="N2398" s="10" t="str">
        <f t="shared" si="75"/>
        <v>NONE</v>
      </c>
    </row>
    <row r="2399" spans="1:14">
      <c r="A2399" s="4" t="s">
        <v>4814</v>
      </c>
      <c r="B2399" s="4" t="s">
        <v>4815</v>
      </c>
      <c r="C2399" s="4" t="s">
        <v>12</v>
      </c>
      <c r="D2399" s="4" t="s">
        <v>13</v>
      </c>
      <c r="E2399" s="5">
        <v>122.59180000000001</v>
      </c>
      <c r="F2399" s="5">
        <v>122.1125</v>
      </c>
      <c r="G2399" s="5">
        <v>121.5745</v>
      </c>
      <c r="H2399" s="4">
        <v>0</v>
      </c>
      <c r="I2399" s="6">
        <v>200109</v>
      </c>
      <c r="J2399" s="7">
        <v>489.67</v>
      </c>
      <c r="K2399" s="9">
        <f>(PricingDataTable[[#This Row],[Current Price ($)]]-PricingDataTable[[#This Row],[Prior Price ($)]])/PricingDataTable[[#This Row],[Prior Price ($)]]</f>
        <v>-3.9097231625607022E-3</v>
      </c>
      <c r="L2399" s="9">
        <f>(PricingDataTable[[#This Row],[Vendor Price ($)]]-PricingDataTable[[#This Row],[Current Price ($)]])/PricingDataTable[[#This Row],[Current Price ($)]]</f>
        <v>-4.4057733647251242E-3</v>
      </c>
      <c r="M2399" t="str">
        <f t="shared" si="74"/>
        <v>PASS</v>
      </c>
      <c r="N2399" s="10" t="str">
        <f t="shared" si="75"/>
        <v>NONE</v>
      </c>
    </row>
    <row r="2400" spans="1:14">
      <c r="A2400" s="4" t="s">
        <v>4816</v>
      </c>
      <c r="B2400" s="4" t="s">
        <v>4817</v>
      </c>
      <c r="C2400" s="4" t="s">
        <v>19</v>
      </c>
      <c r="D2400" s="4" t="s">
        <v>13</v>
      </c>
      <c r="E2400" s="5">
        <v>152.54859999999999</v>
      </c>
      <c r="F2400" s="5">
        <v>150.48949999999999</v>
      </c>
      <c r="G2400" s="5">
        <v>150.74979999999999</v>
      </c>
      <c r="H2400" s="4">
        <v>0</v>
      </c>
      <c r="I2400" s="6">
        <v>4764655</v>
      </c>
      <c r="J2400" s="7">
        <v>546</v>
      </c>
      <c r="K2400" s="9">
        <f>(PricingDataTable[[#This Row],[Current Price ($)]]-PricingDataTable[[#This Row],[Prior Price ($)]])/PricingDataTable[[#This Row],[Prior Price ($)]]</f>
        <v>-1.3497993426357246E-2</v>
      </c>
      <c r="L2400" s="9">
        <f>(PricingDataTable[[#This Row],[Vendor Price ($)]]-PricingDataTable[[#This Row],[Current Price ($)]])/PricingDataTable[[#This Row],[Current Price ($)]]</f>
        <v>1.7296887822738521E-3</v>
      </c>
      <c r="M2400" t="str">
        <f t="shared" si="74"/>
        <v>PASS</v>
      </c>
      <c r="N2400" s="10" t="str">
        <f t="shared" si="75"/>
        <v>NONE</v>
      </c>
    </row>
    <row r="2401" spans="1:14">
      <c r="A2401" s="4" t="s">
        <v>4818</v>
      </c>
      <c r="B2401" s="4" t="s">
        <v>4819</v>
      </c>
      <c r="C2401" s="4" t="s">
        <v>19</v>
      </c>
      <c r="D2401" s="4" t="s">
        <v>13</v>
      </c>
      <c r="E2401" s="5">
        <v>15.045199999999999</v>
      </c>
      <c r="F2401" s="5">
        <v>15.1046</v>
      </c>
      <c r="G2401" s="5">
        <v>15.1408</v>
      </c>
      <c r="H2401" s="4">
        <v>0</v>
      </c>
      <c r="I2401" s="6">
        <v>3451724</v>
      </c>
      <c r="J2401" s="7">
        <v>325.23</v>
      </c>
      <c r="K2401" s="9">
        <f>(PricingDataTable[[#This Row],[Current Price ($)]]-PricingDataTable[[#This Row],[Prior Price ($)]])/PricingDataTable[[#This Row],[Prior Price ($)]]</f>
        <v>3.9481030494775823E-3</v>
      </c>
      <c r="L2401" s="9">
        <f>(PricingDataTable[[#This Row],[Vendor Price ($)]]-PricingDataTable[[#This Row],[Current Price ($)]])/PricingDataTable[[#This Row],[Current Price ($)]]</f>
        <v>2.3966208969453608E-3</v>
      </c>
      <c r="M2401" t="str">
        <f t="shared" si="74"/>
        <v>PASS</v>
      </c>
      <c r="N2401" s="10" t="str">
        <f t="shared" si="75"/>
        <v>NONE</v>
      </c>
    </row>
    <row r="2402" spans="1:14">
      <c r="A2402" s="4" t="s">
        <v>4820</v>
      </c>
      <c r="B2402" s="4" t="s">
        <v>4821</v>
      </c>
      <c r="C2402" s="4" t="s">
        <v>19</v>
      </c>
      <c r="D2402" s="4" t="s">
        <v>13</v>
      </c>
      <c r="E2402" s="5">
        <v>30.447399999999998</v>
      </c>
      <c r="F2402" s="5">
        <v>30.325600000000001</v>
      </c>
      <c r="G2402" s="5">
        <v>30.293700000000001</v>
      </c>
      <c r="H2402" s="4">
        <v>0</v>
      </c>
      <c r="I2402" s="6">
        <v>1118010</v>
      </c>
      <c r="J2402" s="7">
        <v>42.78</v>
      </c>
      <c r="K2402" s="9">
        <f>(PricingDataTable[[#This Row],[Current Price ($)]]-PricingDataTable[[#This Row],[Prior Price ($)]])/PricingDataTable[[#This Row],[Prior Price ($)]]</f>
        <v>-4.0003415726793355E-3</v>
      </c>
      <c r="L2402" s="9">
        <f>(PricingDataTable[[#This Row],[Vendor Price ($)]]-PricingDataTable[[#This Row],[Current Price ($)]])/PricingDataTable[[#This Row],[Current Price ($)]]</f>
        <v>-1.0519165325665531E-3</v>
      </c>
      <c r="M2402" t="str">
        <f t="shared" si="74"/>
        <v>PASS</v>
      </c>
      <c r="N2402" s="10" t="str">
        <f t="shared" si="75"/>
        <v>NONE</v>
      </c>
    </row>
    <row r="2403" spans="1:14">
      <c r="A2403" s="4" t="s">
        <v>4822</v>
      </c>
      <c r="B2403" s="4" t="s">
        <v>4823</v>
      </c>
      <c r="C2403" s="4" t="s">
        <v>12</v>
      </c>
      <c r="D2403" s="4" t="s">
        <v>13</v>
      </c>
      <c r="E2403" s="5">
        <v>86.601100000000002</v>
      </c>
      <c r="F2403" s="5">
        <v>87.657300000000006</v>
      </c>
      <c r="G2403" s="5">
        <v>87.588800000000006</v>
      </c>
      <c r="H2403" s="4">
        <v>0</v>
      </c>
      <c r="I2403" s="6">
        <v>644868</v>
      </c>
      <c r="J2403" s="7">
        <v>639.75</v>
      </c>
      <c r="K2403" s="9">
        <f>(PricingDataTable[[#This Row],[Current Price ($)]]-PricingDataTable[[#This Row],[Prior Price ($)]])/PricingDataTable[[#This Row],[Prior Price ($)]]</f>
        <v>1.2196149933430453E-2</v>
      </c>
      <c r="L2403" s="9">
        <f>(PricingDataTable[[#This Row],[Vendor Price ($)]]-PricingDataTable[[#This Row],[Current Price ($)]])/PricingDataTable[[#This Row],[Current Price ($)]]</f>
        <v>-7.8145231486710426E-4</v>
      </c>
      <c r="M2403" t="str">
        <f t="shared" si="74"/>
        <v>PASS</v>
      </c>
      <c r="N2403" s="10" t="str">
        <f t="shared" si="75"/>
        <v>NONE</v>
      </c>
    </row>
    <row r="2404" spans="1:14">
      <c r="A2404" s="4" t="s">
        <v>4824</v>
      </c>
      <c r="B2404" s="4" t="s">
        <v>4825</v>
      </c>
      <c r="C2404" s="4" t="s">
        <v>35</v>
      </c>
      <c r="D2404" s="4" t="s">
        <v>13</v>
      </c>
      <c r="E2404" s="5">
        <v>129.32589999999999</v>
      </c>
      <c r="F2404" s="5">
        <v>131.7277</v>
      </c>
      <c r="G2404" s="5">
        <v>131.31890000000001</v>
      </c>
      <c r="H2404" s="4">
        <v>0</v>
      </c>
      <c r="I2404" s="6">
        <v>4196151</v>
      </c>
      <c r="J2404" s="7">
        <v>432.45</v>
      </c>
      <c r="K2404" s="9">
        <f>(PricingDataTable[[#This Row],[Current Price ($)]]-PricingDataTable[[#This Row],[Prior Price ($)]])/PricingDataTable[[#This Row],[Prior Price ($)]]</f>
        <v>1.8571685949991524E-2</v>
      </c>
      <c r="L2404" s="9">
        <f>(PricingDataTable[[#This Row],[Vendor Price ($)]]-PricingDataTable[[#This Row],[Current Price ($)]])/PricingDataTable[[#This Row],[Current Price ($)]]</f>
        <v>-3.1033715763653749E-3</v>
      </c>
      <c r="M2404" t="str">
        <f t="shared" si="74"/>
        <v>PASS</v>
      </c>
      <c r="N2404" s="10" t="str">
        <f t="shared" si="75"/>
        <v>NONE</v>
      </c>
    </row>
    <row r="2405" spans="1:14">
      <c r="A2405" s="4" t="s">
        <v>4826</v>
      </c>
      <c r="B2405" s="4" t="s">
        <v>4827</v>
      </c>
      <c r="C2405" s="4" t="s">
        <v>19</v>
      </c>
      <c r="D2405" s="4" t="s">
        <v>13</v>
      </c>
      <c r="E2405" s="5">
        <v>191.66929999999999</v>
      </c>
      <c r="F2405" s="5">
        <v>188.73</v>
      </c>
      <c r="G2405" s="5">
        <v>188.57769999999999</v>
      </c>
      <c r="H2405" s="4">
        <v>1</v>
      </c>
      <c r="I2405" s="6">
        <v>1886966</v>
      </c>
      <c r="J2405" s="7">
        <v>35.14</v>
      </c>
      <c r="K2405" s="9">
        <f>(PricingDataTable[[#This Row],[Current Price ($)]]-PricingDataTable[[#This Row],[Prior Price ($)]])/PricingDataTable[[#This Row],[Prior Price ($)]]</f>
        <v>-1.5335267567628217E-2</v>
      </c>
      <c r="L2405" s="9">
        <f>(PricingDataTable[[#This Row],[Vendor Price ($)]]-PricingDataTable[[#This Row],[Current Price ($)]])/PricingDataTable[[#This Row],[Current Price ($)]]</f>
        <v>-8.0697292428335069E-4</v>
      </c>
      <c r="M2405" t="str">
        <f t="shared" si="74"/>
        <v>PASS</v>
      </c>
      <c r="N2405" s="10" t="str">
        <f t="shared" si="75"/>
        <v>NONE</v>
      </c>
    </row>
    <row r="2406" spans="1:14">
      <c r="A2406" s="4" t="s">
        <v>4828</v>
      </c>
      <c r="B2406" s="4" t="s">
        <v>4829</v>
      </c>
      <c r="C2406" s="4" t="s">
        <v>12</v>
      </c>
      <c r="D2406" s="4" t="s">
        <v>13</v>
      </c>
      <c r="E2406" s="5">
        <v>111.9632</v>
      </c>
      <c r="F2406" s="5">
        <v>110.6092</v>
      </c>
      <c r="G2406" s="5">
        <v>110.82170000000001</v>
      </c>
      <c r="H2406" s="4">
        <v>1</v>
      </c>
      <c r="I2406" s="6">
        <v>952848</v>
      </c>
      <c r="J2406" s="7">
        <v>484.79</v>
      </c>
      <c r="K2406" s="9">
        <f>(PricingDataTable[[#This Row],[Current Price ($)]]-PricingDataTable[[#This Row],[Prior Price ($)]])/PricingDataTable[[#This Row],[Prior Price ($)]]</f>
        <v>-1.2093259213741651E-2</v>
      </c>
      <c r="L2406" s="9">
        <f>(PricingDataTable[[#This Row],[Vendor Price ($)]]-PricingDataTable[[#This Row],[Current Price ($)]])/PricingDataTable[[#This Row],[Current Price ($)]]</f>
        <v>1.9211783468283442E-3</v>
      </c>
      <c r="M2406" t="str">
        <f t="shared" si="74"/>
        <v>PASS</v>
      </c>
      <c r="N2406" s="10" t="str">
        <f t="shared" si="75"/>
        <v>NONE</v>
      </c>
    </row>
    <row r="2407" spans="1:14">
      <c r="A2407" s="4" t="s">
        <v>4830</v>
      </c>
      <c r="B2407" s="4" t="s">
        <v>4831</v>
      </c>
      <c r="C2407" s="4" t="s">
        <v>16</v>
      </c>
      <c r="D2407" s="4" t="s">
        <v>237</v>
      </c>
      <c r="E2407" s="5">
        <v>107.866</v>
      </c>
      <c r="F2407" s="5">
        <v>108.2427</v>
      </c>
      <c r="G2407" s="5">
        <v>107.7273</v>
      </c>
      <c r="H2407" s="4">
        <v>1</v>
      </c>
      <c r="I2407" s="6">
        <v>2676951</v>
      </c>
      <c r="J2407" s="7">
        <v>459.1</v>
      </c>
      <c r="K2407" s="9">
        <f>(PricingDataTable[[#This Row],[Current Price ($)]]-PricingDataTable[[#This Row],[Prior Price ($)]])/PricingDataTable[[#This Row],[Prior Price ($)]]</f>
        <v>3.4922959968850201E-3</v>
      </c>
      <c r="L2407" s="9">
        <f>(PricingDataTable[[#This Row],[Vendor Price ($)]]-PricingDataTable[[#This Row],[Current Price ($)]])/PricingDataTable[[#This Row],[Current Price ($)]]</f>
        <v>-4.7615220241180208E-3</v>
      </c>
      <c r="M2407" t="str">
        <f t="shared" si="74"/>
        <v>PASS</v>
      </c>
      <c r="N2407" s="10" t="str">
        <f t="shared" si="75"/>
        <v>NONE</v>
      </c>
    </row>
    <row r="2408" spans="1:14">
      <c r="A2408" s="4" t="s">
        <v>4832</v>
      </c>
      <c r="B2408" s="4" t="s">
        <v>4833</v>
      </c>
      <c r="C2408" s="4" t="s">
        <v>35</v>
      </c>
      <c r="D2408" s="4" t="s">
        <v>13</v>
      </c>
      <c r="E2408" s="5">
        <v>177.2338</v>
      </c>
      <c r="F2408" s="5">
        <v>176.2148</v>
      </c>
      <c r="G2408" s="5">
        <v>175.91800000000001</v>
      </c>
      <c r="H2408" s="4">
        <v>0</v>
      </c>
      <c r="I2408" s="6">
        <v>1605014</v>
      </c>
      <c r="J2408" s="7">
        <v>690.53</v>
      </c>
      <c r="K2408" s="9">
        <f>(PricingDataTable[[#This Row],[Current Price ($)]]-PricingDataTable[[#This Row],[Prior Price ($)]])/PricingDataTable[[#This Row],[Prior Price ($)]]</f>
        <v>-5.7494676523327124E-3</v>
      </c>
      <c r="L2408" s="9">
        <f>(PricingDataTable[[#This Row],[Vendor Price ($)]]-PricingDataTable[[#This Row],[Current Price ($)]])/PricingDataTable[[#This Row],[Current Price ($)]]</f>
        <v>-1.6843080149907409E-3</v>
      </c>
      <c r="M2408" t="str">
        <f t="shared" si="74"/>
        <v>PASS</v>
      </c>
      <c r="N2408" s="10" t="str">
        <f t="shared" si="75"/>
        <v>NONE</v>
      </c>
    </row>
    <row r="2409" spans="1:14">
      <c r="A2409" s="4" t="s">
        <v>4834</v>
      </c>
      <c r="B2409" s="4" t="s">
        <v>4835</v>
      </c>
      <c r="C2409" s="4" t="s">
        <v>16</v>
      </c>
      <c r="D2409" s="4" t="s">
        <v>13</v>
      </c>
      <c r="E2409" s="5">
        <v>90.81</v>
      </c>
      <c r="F2409" s="5">
        <v>0</v>
      </c>
      <c r="G2409" s="5">
        <v>91.964200000000005</v>
      </c>
      <c r="H2409" s="4">
        <v>2</v>
      </c>
      <c r="I2409" s="6">
        <v>3929056</v>
      </c>
      <c r="J2409" s="7">
        <v>867.19</v>
      </c>
      <c r="K2409" s="9">
        <f>(PricingDataTable[[#This Row],[Current Price ($)]]-PricingDataTable[[#This Row],[Prior Price ($)]])/PricingDataTable[[#This Row],[Prior Price ($)]]</f>
        <v>-1</v>
      </c>
      <c r="L2409" s="9" t="e">
        <f>(PricingDataTable[[#This Row],[Vendor Price ($)]]-PricingDataTable[[#This Row],[Current Price ($)]])/PricingDataTable[[#This Row],[Current Price ($)]]</f>
        <v>#DIV/0!</v>
      </c>
      <c r="M2409" t="str">
        <f t="shared" si="74"/>
        <v>MISSING</v>
      </c>
      <c r="N2409" s="10" t="str">
        <f t="shared" si="75"/>
        <v>HIGH</v>
      </c>
    </row>
    <row r="2410" spans="1:14">
      <c r="A2410" s="4" t="s">
        <v>4836</v>
      </c>
      <c r="B2410" s="4" t="s">
        <v>4837</v>
      </c>
      <c r="C2410" s="4" t="s">
        <v>19</v>
      </c>
      <c r="D2410" s="4" t="s">
        <v>13</v>
      </c>
      <c r="E2410" s="5">
        <v>103.4539</v>
      </c>
      <c r="F2410" s="5">
        <v>105.9346</v>
      </c>
      <c r="G2410" s="5">
        <v>106.164</v>
      </c>
      <c r="H2410" s="4">
        <v>1</v>
      </c>
      <c r="I2410" s="6">
        <v>2240591</v>
      </c>
      <c r="J2410" s="7">
        <v>254.32</v>
      </c>
      <c r="K2410" s="9">
        <f>(PricingDataTable[[#This Row],[Current Price ($)]]-PricingDataTable[[#This Row],[Prior Price ($)]])/PricingDataTable[[#This Row],[Prior Price ($)]]</f>
        <v>2.3978796352771607E-2</v>
      </c>
      <c r="L2410" s="9">
        <f>(PricingDataTable[[#This Row],[Vendor Price ($)]]-PricingDataTable[[#This Row],[Current Price ($)]])/PricingDataTable[[#This Row],[Current Price ($)]]</f>
        <v>2.1654870080219141E-3</v>
      </c>
      <c r="M2410" t="str">
        <f t="shared" si="74"/>
        <v>PASS</v>
      </c>
      <c r="N2410" s="10" t="str">
        <f t="shared" si="75"/>
        <v>NONE</v>
      </c>
    </row>
    <row r="2411" spans="1:14">
      <c r="A2411" s="4" t="s">
        <v>4838</v>
      </c>
      <c r="B2411" s="4" t="s">
        <v>4839</v>
      </c>
      <c r="C2411" s="4" t="s">
        <v>39</v>
      </c>
      <c r="D2411" s="4" t="s">
        <v>36</v>
      </c>
      <c r="E2411" s="5">
        <v>250.20660000000001</v>
      </c>
      <c r="F2411" s="5">
        <v>248.74950000000001</v>
      </c>
      <c r="G2411" s="5">
        <v>248.00989999999999</v>
      </c>
      <c r="H2411" s="4">
        <v>0</v>
      </c>
      <c r="I2411" s="6">
        <v>1382959</v>
      </c>
      <c r="J2411" s="7">
        <v>579.98</v>
      </c>
      <c r="K2411" s="9">
        <f>(PricingDataTable[[#This Row],[Current Price ($)]]-PricingDataTable[[#This Row],[Prior Price ($)]])/PricingDataTable[[#This Row],[Prior Price ($)]]</f>
        <v>-5.8235873873830543E-3</v>
      </c>
      <c r="L2411" s="9">
        <f>(PricingDataTable[[#This Row],[Vendor Price ($)]]-PricingDataTable[[#This Row],[Current Price ($)]])/PricingDataTable[[#This Row],[Current Price ($)]]</f>
        <v>-2.9732723080851389E-3</v>
      </c>
      <c r="M2411" t="str">
        <f t="shared" si="74"/>
        <v>PASS</v>
      </c>
      <c r="N2411" s="10" t="str">
        <f t="shared" si="75"/>
        <v>NONE</v>
      </c>
    </row>
    <row r="2412" spans="1:14">
      <c r="A2412" s="4" t="s">
        <v>4840</v>
      </c>
      <c r="B2412" s="4" t="s">
        <v>4841</v>
      </c>
      <c r="C2412" s="4" t="s">
        <v>35</v>
      </c>
      <c r="D2412" s="4" t="s">
        <v>32</v>
      </c>
      <c r="E2412" s="5">
        <v>137.68690000000001</v>
      </c>
      <c r="F2412" s="5">
        <v>138.1422</v>
      </c>
      <c r="G2412" s="5">
        <v>138.16489999999999</v>
      </c>
      <c r="H2412" s="4">
        <v>0</v>
      </c>
      <c r="I2412" s="6">
        <v>2604452</v>
      </c>
      <c r="J2412" s="7">
        <v>445.14</v>
      </c>
      <c r="K2412" s="9">
        <f>(PricingDataTable[[#This Row],[Current Price ($)]]-PricingDataTable[[#This Row],[Prior Price ($)]])/PricingDataTable[[#This Row],[Prior Price ($)]]</f>
        <v>3.3067779142387111E-3</v>
      </c>
      <c r="L2412" s="9">
        <f>(PricingDataTable[[#This Row],[Vendor Price ($)]]-PricingDataTable[[#This Row],[Current Price ($)]])/PricingDataTable[[#This Row],[Current Price ($)]]</f>
        <v>1.643234290462015E-4</v>
      </c>
      <c r="M2412" t="str">
        <f t="shared" si="74"/>
        <v>PASS</v>
      </c>
      <c r="N2412" s="10" t="str">
        <f t="shared" si="75"/>
        <v>NONE</v>
      </c>
    </row>
    <row r="2413" spans="1:14">
      <c r="A2413" s="4" t="s">
        <v>4842</v>
      </c>
      <c r="B2413" s="4" t="s">
        <v>4843</v>
      </c>
      <c r="C2413" s="4" t="s">
        <v>39</v>
      </c>
      <c r="D2413" s="4" t="s">
        <v>13</v>
      </c>
      <c r="E2413" s="5">
        <v>44.132300000000001</v>
      </c>
      <c r="F2413" s="5">
        <v>43.394100000000002</v>
      </c>
      <c r="G2413" s="5">
        <v>44.936799999999998</v>
      </c>
      <c r="H2413" s="4">
        <v>2</v>
      </c>
      <c r="I2413" s="6">
        <v>4631107</v>
      </c>
      <c r="J2413" s="7">
        <v>384.89</v>
      </c>
      <c r="K2413" s="9">
        <f>(PricingDataTable[[#This Row],[Current Price ($)]]-PricingDataTable[[#This Row],[Prior Price ($)]])/PricingDataTable[[#This Row],[Prior Price ($)]]</f>
        <v>-1.6726977746457788E-2</v>
      </c>
      <c r="L2413" s="9">
        <f>(PricingDataTable[[#This Row],[Vendor Price ($)]]-PricingDataTable[[#This Row],[Current Price ($)]])/PricingDataTable[[#This Row],[Current Price ($)]]</f>
        <v>3.5550915907922885E-2</v>
      </c>
      <c r="M2413" t="str">
        <f t="shared" si="74"/>
        <v>VENDOR DIFFERENCE</v>
      </c>
      <c r="N2413" s="10" t="str">
        <f t="shared" si="75"/>
        <v>MEDIUM</v>
      </c>
    </row>
    <row r="2414" spans="1:14">
      <c r="A2414" s="4" t="s">
        <v>4844</v>
      </c>
      <c r="B2414" s="4" t="s">
        <v>4845</v>
      </c>
      <c r="C2414" s="4" t="s">
        <v>16</v>
      </c>
      <c r="D2414" s="4" t="s">
        <v>13</v>
      </c>
      <c r="E2414" s="5">
        <v>88.671099999999996</v>
      </c>
      <c r="F2414" s="5">
        <v>89.206100000000006</v>
      </c>
      <c r="G2414" s="5">
        <v>89.171499999999995</v>
      </c>
      <c r="H2414" s="4">
        <v>4</v>
      </c>
      <c r="I2414" s="6">
        <v>4603107</v>
      </c>
      <c r="J2414" s="7">
        <v>373.1</v>
      </c>
      <c r="K2414" s="9">
        <f>(PricingDataTable[[#This Row],[Current Price ($)]]-PricingDataTable[[#This Row],[Prior Price ($)]])/PricingDataTable[[#This Row],[Prior Price ($)]]</f>
        <v>6.0335329098207963E-3</v>
      </c>
      <c r="L2414" s="9">
        <f>(PricingDataTable[[#This Row],[Vendor Price ($)]]-PricingDataTable[[#This Row],[Current Price ($)]])/PricingDataTable[[#This Row],[Current Price ($)]]</f>
        <v>-3.8786585222324178E-4</v>
      </c>
      <c r="M2414" t="str">
        <f t="shared" si="74"/>
        <v>STALE</v>
      </c>
      <c r="N2414" s="10" t="str">
        <f t="shared" si="75"/>
        <v>LOW</v>
      </c>
    </row>
    <row r="2415" spans="1:14">
      <c r="A2415" s="4" t="s">
        <v>4846</v>
      </c>
      <c r="B2415" s="4" t="s">
        <v>4847</v>
      </c>
      <c r="C2415" s="4" t="s">
        <v>39</v>
      </c>
      <c r="D2415" s="4" t="s">
        <v>237</v>
      </c>
      <c r="E2415" s="5">
        <v>179.7116</v>
      </c>
      <c r="F2415" s="5">
        <v>179.3604</v>
      </c>
      <c r="G2415" s="5">
        <v>179.3793</v>
      </c>
      <c r="H2415" s="4">
        <v>1</v>
      </c>
      <c r="I2415" s="6">
        <v>1881129</v>
      </c>
      <c r="J2415" s="7">
        <v>707.29</v>
      </c>
      <c r="K2415" s="9">
        <f>(PricingDataTable[[#This Row],[Current Price ($)]]-PricingDataTable[[#This Row],[Prior Price ($)]])/PricingDataTable[[#This Row],[Prior Price ($)]]</f>
        <v>-1.9542422414580121E-3</v>
      </c>
      <c r="L2415" s="9">
        <f>(PricingDataTable[[#This Row],[Vendor Price ($)]]-PricingDataTable[[#This Row],[Current Price ($)]])/PricingDataTable[[#This Row],[Current Price ($)]]</f>
        <v>1.0537443047630434E-4</v>
      </c>
      <c r="M2415" t="str">
        <f t="shared" si="74"/>
        <v>PASS</v>
      </c>
      <c r="N2415" s="10" t="str">
        <f t="shared" si="75"/>
        <v>NONE</v>
      </c>
    </row>
    <row r="2416" spans="1:14">
      <c r="A2416" s="4" t="s">
        <v>4848</v>
      </c>
      <c r="B2416" s="4" t="s">
        <v>4849</v>
      </c>
      <c r="C2416" s="4" t="s">
        <v>19</v>
      </c>
      <c r="D2416" s="4" t="s">
        <v>13</v>
      </c>
      <c r="E2416" s="5">
        <v>136.66309999999999</v>
      </c>
      <c r="F2416" s="5">
        <v>134.87799999999999</v>
      </c>
      <c r="G2416" s="5">
        <v>135.10900000000001</v>
      </c>
      <c r="H2416" s="4">
        <v>0</v>
      </c>
      <c r="I2416" s="6">
        <v>502990</v>
      </c>
      <c r="J2416" s="7">
        <v>679.34</v>
      </c>
      <c r="K2416" s="9">
        <f>(PricingDataTable[[#This Row],[Current Price ($)]]-PricingDataTable[[#This Row],[Prior Price ($)]])/PricingDataTable[[#This Row],[Prior Price ($)]]</f>
        <v>-1.3062048204672659E-2</v>
      </c>
      <c r="L2416" s="9">
        <f>(PricingDataTable[[#This Row],[Vendor Price ($)]]-PricingDataTable[[#This Row],[Current Price ($)]])/PricingDataTable[[#This Row],[Current Price ($)]]</f>
        <v>1.7126588472547264E-3</v>
      </c>
      <c r="M2416" t="str">
        <f t="shared" si="74"/>
        <v>PASS</v>
      </c>
      <c r="N2416" s="10" t="str">
        <f t="shared" si="75"/>
        <v>NONE</v>
      </c>
    </row>
    <row r="2417" spans="1:14">
      <c r="A2417" s="4" t="s">
        <v>4850</v>
      </c>
      <c r="B2417" s="4" t="s">
        <v>4851</v>
      </c>
      <c r="C2417" s="4" t="s">
        <v>19</v>
      </c>
      <c r="D2417" s="4" t="s">
        <v>237</v>
      </c>
      <c r="E2417" s="5">
        <v>183.59180000000001</v>
      </c>
      <c r="F2417" s="5">
        <v>185.57239999999999</v>
      </c>
      <c r="G2417" s="5">
        <v>185.94139999999999</v>
      </c>
      <c r="H2417" s="4">
        <v>0</v>
      </c>
      <c r="I2417" s="6">
        <v>3389522</v>
      </c>
      <c r="J2417" s="7">
        <v>757.36</v>
      </c>
      <c r="K2417" s="9">
        <f>(PricingDataTable[[#This Row],[Current Price ($)]]-PricingDataTable[[#This Row],[Prior Price ($)]])/PricingDataTable[[#This Row],[Prior Price ($)]]</f>
        <v>1.078806351917668E-2</v>
      </c>
      <c r="L2417" s="9">
        <f>(PricingDataTable[[#This Row],[Vendor Price ($)]]-PricingDataTable[[#This Row],[Current Price ($)]])/PricingDataTable[[#This Row],[Current Price ($)]]</f>
        <v>1.9884422467996306E-3</v>
      </c>
      <c r="M2417" t="str">
        <f t="shared" si="74"/>
        <v>PASS</v>
      </c>
      <c r="N2417" s="10" t="str">
        <f t="shared" si="75"/>
        <v>NONE</v>
      </c>
    </row>
    <row r="2418" spans="1:14">
      <c r="A2418" s="4" t="s">
        <v>4852</v>
      </c>
      <c r="B2418" s="4" t="s">
        <v>4853</v>
      </c>
      <c r="C2418" s="4" t="s">
        <v>16</v>
      </c>
      <c r="D2418" s="4" t="s">
        <v>13</v>
      </c>
      <c r="E2418" s="5">
        <v>101.3698</v>
      </c>
      <c r="F2418" s="5">
        <v>103.6134</v>
      </c>
      <c r="G2418" s="5">
        <v>104.05970000000001</v>
      </c>
      <c r="H2418" s="4">
        <v>0</v>
      </c>
      <c r="I2418" s="6">
        <v>2076849</v>
      </c>
      <c r="J2418" s="7">
        <v>75.55</v>
      </c>
      <c r="K2418" s="9">
        <f>(PricingDataTable[[#This Row],[Current Price ($)]]-PricingDataTable[[#This Row],[Prior Price ($)]])/PricingDataTable[[#This Row],[Prior Price ($)]]</f>
        <v>2.2132824569053119E-2</v>
      </c>
      <c r="L2418" s="9">
        <f>(PricingDataTable[[#This Row],[Vendor Price ($)]]-PricingDataTable[[#This Row],[Current Price ($)]])/PricingDataTable[[#This Row],[Current Price ($)]]</f>
        <v>4.3073579286077666E-3</v>
      </c>
      <c r="M2418" t="str">
        <f t="shared" si="74"/>
        <v>PASS</v>
      </c>
      <c r="N2418" s="10" t="str">
        <f t="shared" si="75"/>
        <v>NONE</v>
      </c>
    </row>
    <row r="2419" spans="1:14">
      <c r="A2419" s="4" t="s">
        <v>4854</v>
      </c>
      <c r="B2419" s="4" t="s">
        <v>4855</v>
      </c>
      <c r="C2419" s="4" t="s">
        <v>12</v>
      </c>
      <c r="D2419" s="4" t="s">
        <v>32</v>
      </c>
      <c r="E2419" s="5">
        <v>79.844899999999996</v>
      </c>
      <c r="F2419" s="5">
        <v>79.978399999999993</v>
      </c>
      <c r="G2419" s="5">
        <v>79.837699999999998</v>
      </c>
      <c r="H2419" s="4">
        <v>1</v>
      </c>
      <c r="I2419" s="6">
        <v>2031319</v>
      </c>
      <c r="J2419" s="7">
        <v>813.19</v>
      </c>
      <c r="K2419" s="9">
        <f>(PricingDataTable[[#This Row],[Current Price ($)]]-PricingDataTable[[#This Row],[Prior Price ($)]])/PricingDataTable[[#This Row],[Prior Price ($)]]</f>
        <v>1.6719915736634144E-3</v>
      </c>
      <c r="L2419" s="9">
        <f>(PricingDataTable[[#This Row],[Vendor Price ($)]]-PricingDataTable[[#This Row],[Current Price ($)]])/PricingDataTable[[#This Row],[Current Price ($)]]</f>
        <v>-1.7592249907474444E-3</v>
      </c>
      <c r="M2419" t="str">
        <f t="shared" si="74"/>
        <v>PASS</v>
      </c>
      <c r="N2419" s="10" t="str">
        <f t="shared" si="75"/>
        <v>NONE</v>
      </c>
    </row>
    <row r="2420" spans="1:14">
      <c r="A2420" s="4" t="s">
        <v>4856</v>
      </c>
      <c r="B2420" s="4" t="s">
        <v>4857</v>
      </c>
      <c r="C2420" s="4" t="s">
        <v>19</v>
      </c>
      <c r="D2420" s="4" t="s">
        <v>64</v>
      </c>
      <c r="E2420" s="5">
        <v>129.10210000000001</v>
      </c>
      <c r="F2420" s="5">
        <v>127.3777</v>
      </c>
      <c r="G2420" s="5">
        <v>127.7705</v>
      </c>
      <c r="H2420" s="4">
        <v>1</v>
      </c>
      <c r="I2420" s="6">
        <v>3188188</v>
      </c>
      <c r="J2420" s="7">
        <v>124.44</v>
      </c>
      <c r="K2420" s="9">
        <f>(PricingDataTable[[#This Row],[Current Price ($)]]-PricingDataTable[[#This Row],[Prior Price ($)]])/PricingDataTable[[#This Row],[Prior Price ($)]]</f>
        <v>-1.3356870260050013E-2</v>
      </c>
      <c r="L2420" s="9">
        <f>(PricingDataTable[[#This Row],[Vendor Price ($)]]-PricingDataTable[[#This Row],[Current Price ($)]])/PricingDataTable[[#This Row],[Current Price ($)]]</f>
        <v>3.0837422877002334E-3</v>
      </c>
      <c r="M2420" t="str">
        <f t="shared" si="74"/>
        <v>PASS</v>
      </c>
      <c r="N2420" s="10" t="str">
        <f t="shared" si="75"/>
        <v>NONE</v>
      </c>
    </row>
    <row r="2421" spans="1:14">
      <c r="A2421" s="4" t="s">
        <v>4858</v>
      </c>
      <c r="B2421" s="4" t="s">
        <v>4859</v>
      </c>
      <c r="C2421" s="4" t="s">
        <v>19</v>
      </c>
      <c r="D2421" s="4" t="s">
        <v>13</v>
      </c>
      <c r="E2421" s="5">
        <v>123.10250000000001</v>
      </c>
      <c r="F2421" s="5">
        <v>123.5264</v>
      </c>
      <c r="G2421" s="5">
        <v>123.6135</v>
      </c>
      <c r="H2421" s="4">
        <v>0</v>
      </c>
      <c r="I2421" s="6">
        <v>4101353</v>
      </c>
      <c r="J2421" s="7">
        <v>92.39</v>
      </c>
      <c r="K2421" s="9">
        <f>(PricingDataTable[[#This Row],[Current Price ($)]]-PricingDataTable[[#This Row],[Prior Price ($)]])/PricingDataTable[[#This Row],[Prior Price ($)]]</f>
        <v>3.4434719034949659E-3</v>
      </c>
      <c r="L2421" s="9">
        <f>(PricingDataTable[[#This Row],[Vendor Price ($)]]-PricingDataTable[[#This Row],[Current Price ($)]])/PricingDataTable[[#This Row],[Current Price ($)]]</f>
        <v>7.0511242940785631E-4</v>
      </c>
      <c r="M2421" t="str">
        <f t="shared" si="74"/>
        <v>PASS</v>
      </c>
      <c r="N2421" s="10" t="str">
        <f t="shared" si="75"/>
        <v>NONE</v>
      </c>
    </row>
    <row r="2422" spans="1:14">
      <c r="A2422" s="4" t="s">
        <v>4860</v>
      </c>
      <c r="B2422" s="4" t="s">
        <v>4861</v>
      </c>
      <c r="C2422" s="4" t="s">
        <v>12</v>
      </c>
      <c r="D2422" s="4" t="s">
        <v>13</v>
      </c>
      <c r="E2422" s="5">
        <v>114.203</v>
      </c>
      <c r="F2422" s="5">
        <v>113.74299999999999</v>
      </c>
      <c r="G2422" s="5">
        <v>113.8806</v>
      </c>
      <c r="H2422" s="4">
        <v>0</v>
      </c>
      <c r="I2422" s="6">
        <v>3673019</v>
      </c>
      <c r="J2422" s="7">
        <v>588.66</v>
      </c>
      <c r="K2422" s="9">
        <f>(PricingDataTable[[#This Row],[Current Price ($)]]-PricingDataTable[[#This Row],[Prior Price ($)]])/PricingDataTable[[#This Row],[Prior Price ($)]]</f>
        <v>-4.0279152036286955E-3</v>
      </c>
      <c r="L2422" s="9">
        <f>(PricingDataTable[[#This Row],[Vendor Price ($)]]-PricingDataTable[[#This Row],[Current Price ($)]])/PricingDataTable[[#This Row],[Current Price ($)]]</f>
        <v>1.2097447755027226E-3</v>
      </c>
      <c r="M2422" t="str">
        <f t="shared" si="74"/>
        <v>PASS</v>
      </c>
      <c r="N2422" s="10" t="str">
        <f t="shared" si="75"/>
        <v>NONE</v>
      </c>
    </row>
    <row r="2423" spans="1:14">
      <c r="A2423" s="4" t="s">
        <v>4862</v>
      </c>
      <c r="B2423" s="4" t="s">
        <v>4863</v>
      </c>
      <c r="C2423" s="4" t="s">
        <v>39</v>
      </c>
      <c r="D2423" s="4" t="s">
        <v>13</v>
      </c>
      <c r="E2423" s="5">
        <v>237.06299999999999</v>
      </c>
      <c r="F2423" s="5">
        <v>235.85890000000001</v>
      </c>
      <c r="G2423" s="5">
        <v>236.53960000000001</v>
      </c>
      <c r="H2423" s="4">
        <v>4</v>
      </c>
      <c r="I2423" s="6">
        <v>4789850</v>
      </c>
      <c r="J2423" s="7">
        <v>643.94000000000005</v>
      </c>
      <c r="K2423" s="9">
        <f>(PricingDataTable[[#This Row],[Current Price ($)]]-PricingDataTable[[#This Row],[Prior Price ($)]])/PricingDataTable[[#This Row],[Prior Price ($)]]</f>
        <v>-5.0792405394345921E-3</v>
      </c>
      <c r="L2423" s="9">
        <f>(PricingDataTable[[#This Row],[Vendor Price ($)]]-PricingDataTable[[#This Row],[Current Price ($)]])/PricingDataTable[[#This Row],[Current Price ($)]]</f>
        <v>2.8860475479195471E-3</v>
      </c>
      <c r="M2423" t="str">
        <f t="shared" si="74"/>
        <v>STALE</v>
      </c>
      <c r="N2423" s="10" t="str">
        <f t="shared" si="75"/>
        <v>LOW</v>
      </c>
    </row>
    <row r="2424" spans="1:14">
      <c r="A2424" s="4" t="s">
        <v>4864</v>
      </c>
      <c r="B2424" s="4" t="s">
        <v>4865</v>
      </c>
      <c r="C2424" s="4" t="s">
        <v>39</v>
      </c>
      <c r="D2424" s="4" t="s">
        <v>13</v>
      </c>
      <c r="E2424" s="5">
        <v>248.0076</v>
      </c>
      <c r="F2424" s="5">
        <v>242.33160000000001</v>
      </c>
      <c r="G2424" s="5">
        <v>242.03139999999999</v>
      </c>
      <c r="H2424" s="4">
        <v>1</v>
      </c>
      <c r="I2424" s="6">
        <v>1294722</v>
      </c>
      <c r="J2424" s="7">
        <v>361.45</v>
      </c>
      <c r="K2424" s="9">
        <f>(PricingDataTable[[#This Row],[Current Price ($)]]-PricingDataTable[[#This Row],[Prior Price ($)]])/PricingDataTable[[#This Row],[Prior Price ($)]]</f>
        <v>-2.2886395416914593E-2</v>
      </c>
      <c r="L2424" s="9">
        <f>(PricingDataTable[[#This Row],[Vendor Price ($)]]-PricingDataTable[[#This Row],[Current Price ($)]])/PricingDataTable[[#This Row],[Current Price ($)]]</f>
        <v>-1.2387984068112372E-3</v>
      </c>
      <c r="M2424" t="str">
        <f t="shared" si="74"/>
        <v>PASS</v>
      </c>
      <c r="N2424" s="10" t="str">
        <f t="shared" si="75"/>
        <v>NONE</v>
      </c>
    </row>
    <row r="2425" spans="1:14">
      <c r="A2425" s="4" t="s">
        <v>4866</v>
      </c>
      <c r="B2425" s="4" t="s">
        <v>4867</v>
      </c>
      <c r="C2425" s="4" t="s">
        <v>16</v>
      </c>
      <c r="D2425" s="4" t="s">
        <v>13</v>
      </c>
      <c r="E2425" s="5">
        <v>88.485600000000005</v>
      </c>
      <c r="F2425" s="5">
        <v>86.993799999999993</v>
      </c>
      <c r="G2425" s="5">
        <v>86.682500000000005</v>
      </c>
      <c r="H2425" s="4">
        <v>0</v>
      </c>
      <c r="I2425" s="6">
        <v>4658023</v>
      </c>
      <c r="J2425" s="7">
        <v>333.52</v>
      </c>
      <c r="K2425" s="9">
        <f>(PricingDataTable[[#This Row],[Current Price ($)]]-PricingDataTable[[#This Row],[Prior Price ($)]])/PricingDataTable[[#This Row],[Prior Price ($)]]</f>
        <v>-1.6859240373575043E-2</v>
      </c>
      <c r="L2425" s="9">
        <f>(PricingDataTable[[#This Row],[Vendor Price ($)]]-PricingDataTable[[#This Row],[Current Price ($)]])/PricingDataTable[[#This Row],[Current Price ($)]]</f>
        <v>-3.5784159330893538E-3</v>
      </c>
      <c r="M2425" t="str">
        <f t="shared" si="74"/>
        <v>PASS</v>
      </c>
      <c r="N2425" s="10" t="str">
        <f t="shared" si="75"/>
        <v>NONE</v>
      </c>
    </row>
    <row r="2426" spans="1:14">
      <c r="A2426" s="4" t="s">
        <v>4868</v>
      </c>
      <c r="B2426" s="4" t="s">
        <v>4869</v>
      </c>
      <c r="C2426" s="4" t="s">
        <v>16</v>
      </c>
      <c r="D2426" s="4" t="s">
        <v>13</v>
      </c>
      <c r="E2426" s="5">
        <v>122.4503</v>
      </c>
      <c r="F2426" s="5">
        <v>122.2791</v>
      </c>
      <c r="G2426" s="5">
        <v>121.7646</v>
      </c>
      <c r="H2426" s="4">
        <v>0</v>
      </c>
      <c r="I2426" s="6">
        <v>4160385</v>
      </c>
      <c r="J2426" s="7">
        <v>284.67</v>
      </c>
      <c r="K2426" s="9">
        <f>(PricingDataTable[[#This Row],[Current Price ($)]]-PricingDataTable[[#This Row],[Prior Price ($)]])/PricingDataTable[[#This Row],[Prior Price ($)]]</f>
        <v>-1.3981182569581202E-3</v>
      </c>
      <c r="L2426" s="9">
        <f>(PricingDataTable[[#This Row],[Vendor Price ($)]]-PricingDataTable[[#This Row],[Current Price ($)]])/PricingDataTable[[#This Row],[Current Price ($)]]</f>
        <v>-4.2075873963743453E-3</v>
      </c>
      <c r="M2426" t="str">
        <f t="shared" si="74"/>
        <v>PASS</v>
      </c>
      <c r="N2426" s="10" t="str">
        <f t="shared" si="75"/>
        <v>NONE</v>
      </c>
    </row>
    <row r="2427" spans="1:14">
      <c r="A2427" s="4" t="s">
        <v>4870</v>
      </c>
      <c r="B2427" s="4" t="s">
        <v>4871</v>
      </c>
      <c r="C2427" s="4" t="s">
        <v>19</v>
      </c>
      <c r="D2427" s="4" t="s">
        <v>13</v>
      </c>
      <c r="E2427" s="5">
        <v>312.9717</v>
      </c>
      <c r="F2427" s="5">
        <v>315.92770000000002</v>
      </c>
      <c r="G2427" s="5">
        <v>314.37490000000003</v>
      </c>
      <c r="H2427" s="4">
        <v>1</v>
      </c>
      <c r="I2427" s="6">
        <v>2353994</v>
      </c>
      <c r="J2427" s="7">
        <v>633.42999999999995</v>
      </c>
      <c r="K2427" s="9">
        <f>(PricingDataTable[[#This Row],[Current Price ($)]]-PricingDataTable[[#This Row],[Prior Price ($)]])/PricingDataTable[[#This Row],[Prior Price ($)]]</f>
        <v>9.4449434245972314E-3</v>
      </c>
      <c r="L2427" s="9">
        <f>(PricingDataTable[[#This Row],[Vendor Price ($)]]-PricingDataTable[[#This Row],[Current Price ($)]])/PricingDataTable[[#This Row],[Current Price ($)]]</f>
        <v>-4.9150486013096999E-3</v>
      </c>
      <c r="M2427" t="str">
        <f t="shared" si="74"/>
        <v>PASS</v>
      </c>
      <c r="N2427" s="10" t="str">
        <f t="shared" si="75"/>
        <v>NONE</v>
      </c>
    </row>
    <row r="2428" spans="1:14">
      <c r="A2428" s="4" t="s">
        <v>4872</v>
      </c>
      <c r="B2428" s="4" t="s">
        <v>4873</v>
      </c>
      <c r="C2428" s="4" t="s">
        <v>16</v>
      </c>
      <c r="D2428" s="4" t="s">
        <v>13</v>
      </c>
      <c r="E2428" s="5">
        <v>113.9302</v>
      </c>
      <c r="F2428" s="5">
        <v>113.7303</v>
      </c>
      <c r="G2428" s="5">
        <v>114.06619999999999</v>
      </c>
      <c r="H2428" s="4">
        <v>0</v>
      </c>
      <c r="I2428" s="6">
        <v>3648039</v>
      </c>
      <c r="J2428" s="7">
        <v>8.0399999999999991</v>
      </c>
      <c r="K2428" s="9">
        <f>(PricingDataTable[[#This Row],[Current Price ($)]]-PricingDataTable[[#This Row],[Prior Price ($)]])/PricingDataTable[[#This Row],[Prior Price ($)]]</f>
        <v>-1.7545830692827671E-3</v>
      </c>
      <c r="L2428" s="9">
        <f>(PricingDataTable[[#This Row],[Vendor Price ($)]]-PricingDataTable[[#This Row],[Current Price ($)]])/PricingDataTable[[#This Row],[Current Price ($)]]</f>
        <v>2.9534785365025432E-3</v>
      </c>
      <c r="M2428" t="str">
        <f t="shared" si="74"/>
        <v>PASS</v>
      </c>
      <c r="N2428" s="10" t="str">
        <f t="shared" si="75"/>
        <v>NONE</v>
      </c>
    </row>
    <row r="2429" spans="1:14">
      <c r="A2429" s="4" t="s">
        <v>4874</v>
      </c>
      <c r="B2429" s="4" t="s">
        <v>4875</v>
      </c>
      <c r="C2429" s="4" t="s">
        <v>39</v>
      </c>
      <c r="D2429" s="4" t="s">
        <v>36</v>
      </c>
      <c r="E2429" s="5">
        <v>141.43969999999999</v>
      </c>
      <c r="F2429" s="5">
        <v>140.59630000000001</v>
      </c>
      <c r="G2429" s="5">
        <v>140.5334</v>
      </c>
      <c r="H2429" s="4">
        <v>1</v>
      </c>
      <c r="I2429" s="6">
        <v>4981255</v>
      </c>
      <c r="J2429" s="7">
        <v>205.24</v>
      </c>
      <c r="K2429" s="9">
        <f>(PricingDataTable[[#This Row],[Current Price ($)]]-PricingDataTable[[#This Row],[Prior Price ($)]])/PricingDataTable[[#This Row],[Prior Price ($)]]</f>
        <v>-5.9629651363794908E-3</v>
      </c>
      <c r="L2429" s="9">
        <f>(PricingDataTable[[#This Row],[Vendor Price ($)]]-PricingDataTable[[#This Row],[Current Price ($)]])/PricingDataTable[[#This Row],[Current Price ($)]]</f>
        <v>-4.4738019421573165E-4</v>
      </c>
      <c r="M2429" t="str">
        <f t="shared" si="74"/>
        <v>PASS</v>
      </c>
      <c r="N2429" s="10" t="str">
        <f t="shared" si="75"/>
        <v>NONE</v>
      </c>
    </row>
    <row r="2430" spans="1:14">
      <c r="A2430" s="4" t="s">
        <v>4876</v>
      </c>
      <c r="B2430" s="4" t="s">
        <v>4877</v>
      </c>
      <c r="C2430" s="4" t="s">
        <v>35</v>
      </c>
      <c r="D2430" s="4" t="s">
        <v>64</v>
      </c>
      <c r="E2430" s="5">
        <v>118.274</v>
      </c>
      <c r="F2430" s="5">
        <v>116.9072</v>
      </c>
      <c r="G2430" s="5">
        <v>120.4182</v>
      </c>
      <c r="H2430" s="4">
        <v>0</v>
      </c>
      <c r="I2430" s="6">
        <v>2972477</v>
      </c>
      <c r="J2430" s="7">
        <v>658.08</v>
      </c>
      <c r="K2430" s="9">
        <f>(PricingDataTable[[#This Row],[Current Price ($)]]-PricingDataTable[[#This Row],[Prior Price ($)]])/PricingDataTable[[#This Row],[Prior Price ($)]]</f>
        <v>-1.1556216920033125E-2</v>
      </c>
      <c r="L2430" s="9">
        <f>(PricingDataTable[[#This Row],[Vendor Price ($)]]-PricingDataTable[[#This Row],[Current Price ($)]])/PricingDataTable[[#This Row],[Current Price ($)]]</f>
        <v>3.0032367553067693E-2</v>
      </c>
      <c r="M2430" t="str">
        <f t="shared" si="74"/>
        <v>VENDOR DIFFERENCE</v>
      </c>
      <c r="N2430" s="10" t="str">
        <f t="shared" si="75"/>
        <v>MEDIUM</v>
      </c>
    </row>
    <row r="2431" spans="1:14">
      <c r="A2431" s="4" t="s">
        <v>4878</v>
      </c>
      <c r="B2431" s="4" t="s">
        <v>4879</v>
      </c>
      <c r="C2431" s="4" t="s">
        <v>19</v>
      </c>
      <c r="D2431" s="4" t="s">
        <v>32</v>
      </c>
      <c r="E2431" s="5">
        <v>28.672699999999999</v>
      </c>
      <c r="F2431" s="5">
        <v>28.9116</v>
      </c>
      <c r="G2431" s="5">
        <v>28.8081</v>
      </c>
      <c r="H2431" s="4">
        <v>2</v>
      </c>
      <c r="I2431" s="6">
        <v>3695009</v>
      </c>
      <c r="J2431" s="7">
        <v>507.39</v>
      </c>
      <c r="K2431" s="9">
        <f>(PricingDataTable[[#This Row],[Current Price ($)]]-PricingDataTable[[#This Row],[Prior Price ($)]])/PricingDataTable[[#This Row],[Prior Price ($)]]</f>
        <v>8.3319673417571773E-3</v>
      </c>
      <c r="L2431" s="9">
        <f>(PricingDataTable[[#This Row],[Vendor Price ($)]]-PricingDataTable[[#This Row],[Current Price ($)]])/PricingDataTable[[#This Row],[Current Price ($)]]</f>
        <v>-3.5798779728551991E-3</v>
      </c>
      <c r="M2431" t="str">
        <f t="shared" si="74"/>
        <v>PASS</v>
      </c>
      <c r="N2431" s="10" t="str">
        <f t="shared" si="75"/>
        <v>NONE</v>
      </c>
    </row>
    <row r="2432" spans="1:14">
      <c r="A2432" s="4" t="s">
        <v>4880</v>
      </c>
      <c r="B2432" s="4" t="s">
        <v>4881</v>
      </c>
      <c r="C2432" s="4" t="s">
        <v>16</v>
      </c>
      <c r="D2432" s="4" t="s">
        <v>36</v>
      </c>
      <c r="E2432" s="5">
        <v>114.7007</v>
      </c>
      <c r="F2432" s="5">
        <v>114.3901</v>
      </c>
      <c r="G2432" s="5">
        <v>114.11279999999999</v>
      </c>
      <c r="H2432" s="4">
        <v>0</v>
      </c>
      <c r="I2432" s="6">
        <v>1939936</v>
      </c>
      <c r="J2432" s="7">
        <v>674.62</v>
      </c>
      <c r="K2432" s="9">
        <f>(PricingDataTable[[#This Row],[Current Price ($)]]-PricingDataTable[[#This Row],[Prior Price ($)]])/PricingDataTable[[#This Row],[Prior Price ($)]]</f>
        <v>-2.7079172141058752E-3</v>
      </c>
      <c r="L2432" s="9">
        <f>(PricingDataTable[[#This Row],[Vendor Price ($)]]-PricingDataTable[[#This Row],[Current Price ($)]])/PricingDataTable[[#This Row],[Current Price ($)]]</f>
        <v>-2.4241608321000766E-3</v>
      </c>
      <c r="M2432" t="str">
        <f t="shared" si="74"/>
        <v>PASS</v>
      </c>
      <c r="N2432" s="10" t="str">
        <f t="shared" si="75"/>
        <v>NONE</v>
      </c>
    </row>
    <row r="2433" spans="1:14">
      <c r="A2433" s="4" t="s">
        <v>4882</v>
      </c>
      <c r="B2433" s="4" t="s">
        <v>4883</v>
      </c>
      <c r="C2433" s="4" t="s">
        <v>19</v>
      </c>
      <c r="D2433" s="4" t="s">
        <v>13</v>
      </c>
      <c r="E2433" s="5">
        <v>212.34039999999999</v>
      </c>
      <c r="F2433" s="5">
        <v>214.14689999999999</v>
      </c>
      <c r="G2433" s="5">
        <v>213.9478</v>
      </c>
      <c r="H2433" s="4">
        <v>0</v>
      </c>
      <c r="I2433" s="6">
        <v>2037734</v>
      </c>
      <c r="J2433" s="7">
        <v>384.76</v>
      </c>
      <c r="K2433" s="9">
        <f>(PricingDataTable[[#This Row],[Current Price ($)]]-PricingDataTable[[#This Row],[Prior Price ($)]])/PricingDataTable[[#This Row],[Prior Price ($)]]</f>
        <v>8.5075661532143659E-3</v>
      </c>
      <c r="L2433" s="9">
        <f>(PricingDataTable[[#This Row],[Vendor Price ($)]]-PricingDataTable[[#This Row],[Current Price ($)]])/PricingDataTable[[#This Row],[Current Price ($)]]</f>
        <v>-9.2973561606536073E-4</v>
      </c>
      <c r="M2433" t="str">
        <f t="shared" si="74"/>
        <v>PASS</v>
      </c>
      <c r="N2433" s="10" t="str">
        <f t="shared" si="75"/>
        <v>NONE</v>
      </c>
    </row>
    <row r="2434" spans="1:14">
      <c r="A2434" s="4" t="s">
        <v>4884</v>
      </c>
      <c r="B2434" s="4" t="s">
        <v>4885</v>
      </c>
      <c r="C2434" s="4" t="s">
        <v>35</v>
      </c>
      <c r="D2434" s="4" t="s">
        <v>13</v>
      </c>
      <c r="E2434" s="5">
        <v>131.21180000000001</v>
      </c>
      <c r="F2434" s="5">
        <v>129.76009999999999</v>
      </c>
      <c r="G2434" s="5">
        <v>130.35730000000001</v>
      </c>
      <c r="H2434" s="4">
        <v>0</v>
      </c>
      <c r="I2434" s="6">
        <v>4254644</v>
      </c>
      <c r="J2434" s="7">
        <v>788.29</v>
      </c>
      <c r="K2434" s="9">
        <f>(PricingDataTable[[#This Row],[Current Price ($)]]-PricingDataTable[[#This Row],[Prior Price ($)]])/PricingDataTable[[#This Row],[Prior Price ($)]]</f>
        <v>-1.1063791518750726E-2</v>
      </c>
      <c r="L2434" s="9">
        <f>(PricingDataTable[[#This Row],[Vendor Price ($)]]-PricingDataTable[[#This Row],[Current Price ($)]])/PricingDataTable[[#This Row],[Current Price ($)]]</f>
        <v>4.6023392398743144E-3</v>
      </c>
      <c r="M2434" t="str">
        <f t="shared" ref="M2434:M2497" si="76">IF(OR(F2434="",F2434=0),"MISSING",IF(H2434&gt;=3,"STALE",IF(ABS(K2434)&gt;=5%,"LARGE MOVE",IF(ABS(L2434)&gt;=2%,"VENDOR DIFFERENCE","PASS"))))</f>
        <v>PASS</v>
      </c>
      <c r="N2434" s="10" t="str">
        <f t="shared" ref="N2434:N2497" si="77">IF(M2434="PASS","NONE",IF(M2434="MISSING","HIGH",IF(OR(ABS(K2434)&gt;=10%,ABS(L2434)&gt;=5%),"HIGH",IF(OR(ABS(K2434)&gt;=7%,ABS(L2434)&gt;=3%,H2434&gt;=5),"MEDIUM","LOW"))))</f>
        <v>NONE</v>
      </c>
    </row>
    <row r="2435" spans="1:14">
      <c r="A2435" s="4" t="s">
        <v>4886</v>
      </c>
      <c r="B2435" s="4" t="s">
        <v>4887</v>
      </c>
      <c r="C2435" s="4" t="s">
        <v>12</v>
      </c>
      <c r="D2435" s="4" t="s">
        <v>32</v>
      </c>
      <c r="E2435" s="5">
        <v>99.650599999999997</v>
      </c>
      <c r="F2435" s="5">
        <v>100.92149999999999</v>
      </c>
      <c r="G2435" s="5">
        <v>100.596</v>
      </c>
      <c r="H2435" s="4">
        <v>0</v>
      </c>
      <c r="I2435" s="6">
        <v>1217899</v>
      </c>
      <c r="J2435" s="7">
        <v>838.61</v>
      </c>
      <c r="K2435" s="9">
        <f>(PricingDataTable[[#This Row],[Current Price ($)]]-PricingDataTable[[#This Row],[Prior Price ($)]])/PricingDataTable[[#This Row],[Prior Price ($)]]</f>
        <v>1.2753560941931082E-2</v>
      </c>
      <c r="L2435" s="9">
        <f>(PricingDataTable[[#This Row],[Vendor Price ($)]]-PricingDataTable[[#This Row],[Current Price ($)]])/PricingDataTable[[#This Row],[Current Price ($)]]</f>
        <v>-3.2252790535217076E-3</v>
      </c>
      <c r="M2435" t="str">
        <f t="shared" si="76"/>
        <v>PASS</v>
      </c>
      <c r="N2435" s="10" t="str">
        <f t="shared" si="77"/>
        <v>NONE</v>
      </c>
    </row>
    <row r="2436" spans="1:14">
      <c r="A2436" s="4" t="s">
        <v>4888</v>
      </c>
      <c r="B2436" s="4" t="s">
        <v>4889</v>
      </c>
      <c r="C2436" s="4" t="s">
        <v>19</v>
      </c>
      <c r="D2436" s="4" t="s">
        <v>13</v>
      </c>
      <c r="E2436" s="5">
        <v>79.364599999999996</v>
      </c>
      <c r="F2436" s="5">
        <v>80.735399999999998</v>
      </c>
      <c r="G2436" s="5">
        <v>80.327299999999994</v>
      </c>
      <c r="H2436" s="4">
        <v>0</v>
      </c>
      <c r="I2436" s="6">
        <v>2322739</v>
      </c>
      <c r="J2436" s="7">
        <v>880.65</v>
      </c>
      <c r="K2436" s="9">
        <f>(PricingDataTable[[#This Row],[Current Price ($)]]-PricingDataTable[[#This Row],[Prior Price ($)]])/PricingDataTable[[#This Row],[Prior Price ($)]]</f>
        <v>1.7272184323993352E-2</v>
      </c>
      <c r="L2436" s="9">
        <f>(PricingDataTable[[#This Row],[Vendor Price ($)]]-PricingDataTable[[#This Row],[Current Price ($)]])/PricingDataTable[[#This Row],[Current Price ($)]]</f>
        <v>-5.0547838990084226E-3</v>
      </c>
      <c r="M2436" t="str">
        <f t="shared" si="76"/>
        <v>PASS</v>
      </c>
      <c r="N2436" s="10" t="str">
        <f t="shared" si="77"/>
        <v>NONE</v>
      </c>
    </row>
    <row r="2437" spans="1:14">
      <c r="A2437" s="4" t="s">
        <v>4890</v>
      </c>
      <c r="B2437" s="4" t="s">
        <v>4891</v>
      </c>
      <c r="C2437" s="4" t="s">
        <v>19</v>
      </c>
      <c r="D2437" s="4" t="s">
        <v>13</v>
      </c>
      <c r="E2437" s="5">
        <v>35.622999999999998</v>
      </c>
      <c r="F2437" s="5"/>
      <c r="G2437" s="5">
        <v>35.304600000000001</v>
      </c>
      <c r="H2437" s="4">
        <v>0</v>
      </c>
      <c r="I2437" s="6">
        <v>1102063</v>
      </c>
      <c r="J2437" s="7">
        <v>478.8</v>
      </c>
      <c r="K2437" s="9">
        <f>(PricingDataTable[[#This Row],[Current Price ($)]]-PricingDataTable[[#This Row],[Prior Price ($)]])/PricingDataTable[[#This Row],[Prior Price ($)]]</f>
        <v>-1</v>
      </c>
      <c r="L2437" s="9" t="e">
        <f>(PricingDataTable[[#This Row],[Vendor Price ($)]]-PricingDataTable[[#This Row],[Current Price ($)]])/PricingDataTable[[#This Row],[Current Price ($)]]</f>
        <v>#DIV/0!</v>
      </c>
      <c r="M2437" t="str">
        <f t="shared" si="76"/>
        <v>MISSING</v>
      </c>
      <c r="N2437" s="10" t="str">
        <f t="shared" si="77"/>
        <v>HIGH</v>
      </c>
    </row>
    <row r="2438" spans="1:14">
      <c r="A2438" s="4" t="s">
        <v>4892</v>
      </c>
      <c r="B2438" s="4" t="s">
        <v>4893</v>
      </c>
      <c r="C2438" s="4" t="s">
        <v>19</v>
      </c>
      <c r="D2438" s="4" t="s">
        <v>32</v>
      </c>
      <c r="E2438" s="5">
        <v>107.8481</v>
      </c>
      <c r="F2438" s="5">
        <v>106.7206</v>
      </c>
      <c r="G2438" s="5">
        <v>106.3984</v>
      </c>
      <c r="H2438" s="4">
        <v>0</v>
      </c>
      <c r="I2438" s="6">
        <v>3524206</v>
      </c>
      <c r="J2438" s="7">
        <v>441.43</v>
      </c>
      <c r="K2438" s="9">
        <f>(PricingDataTable[[#This Row],[Current Price ($)]]-PricingDataTable[[#This Row],[Prior Price ($)]])/PricingDataTable[[#This Row],[Prior Price ($)]]</f>
        <v>-1.0454518902048323E-2</v>
      </c>
      <c r="L2438" s="9">
        <f>(PricingDataTable[[#This Row],[Vendor Price ($)]]-PricingDataTable[[#This Row],[Current Price ($)]])/PricingDataTable[[#This Row],[Current Price ($)]]</f>
        <v>-3.019098468337035E-3</v>
      </c>
      <c r="M2438" t="str">
        <f t="shared" si="76"/>
        <v>PASS</v>
      </c>
      <c r="N2438" s="10" t="str">
        <f t="shared" si="77"/>
        <v>NONE</v>
      </c>
    </row>
    <row r="2439" spans="1:14">
      <c r="A2439" s="4" t="s">
        <v>4894</v>
      </c>
      <c r="B2439" s="4" t="s">
        <v>4895</v>
      </c>
      <c r="C2439" s="4" t="s">
        <v>19</v>
      </c>
      <c r="D2439" s="4" t="s">
        <v>13</v>
      </c>
      <c r="E2439" s="5">
        <v>247.13050000000001</v>
      </c>
      <c r="F2439" s="5">
        <v>248.14930000000001</v>
      </c>
      <c r="G2439" s="5">
        <v>249.36590000000001</v>
      </c>
      <c r="H2439" s="4">
        <v>0</v>
      </c>
      <c r="I2439" s="6">
        <v>3695895</v>
      </c>
      <c r="J2439" s="7">
        <v>468.12</v>
      </c>
      <c r="K2439" s="9">
        <f>(PricingDataTable[[#This Row],[Current Price ($)]]-PricingDataTable[[#This Row],[Prior Price ($)]])/PricingDataTable[[#This Row],[Prior Price ($)]]</f>
        <v>4.1225182646415512E-3</v>
      </c>
      <c r="L2439" s="9">
        <f>(PricingDataTable[[#This Row],[Vendor Price ($)]]-PricingDataTable[[#This Row],[Current Price ($)]])/PricingDataTable[[#This Row],[Current Price ($)]]</f>
        <v>4.9026936606309168E-3</v>
      </c>
      <c r="M2439" t="str">
        <f t="shared" si="76"/>
        <v>PASS</v>
      </c>
      <c r="N2439" s="10" t="str">
        <f t="shared" si="77"/>
        <v>NONE</v>
      </c>
    </row>
    <row r="2440" spans="1:14">
      <c r="A2440" s="4" t="s">
        <v>4896</v>
      </c>
      <c r="B2440" s="4" t="s">
        <v>4897</v>
      </c>
      <c r="C2440" s="4" t="s">
        <v>16</v>
      </c>
      <c r="D2440" s="4" t="s">
        <v>32</v>
      </c>
      <c r="E2440" s="5">
        <v>84.3553</v>
      </c>
      <c r="F2440" s="5">
        <v>84.777199999999993</v>
      </c>
      <c r="G2440" s="5">
        <v>84.568799999999996</v>
      </c>
      <c r="H2440" s="4">
        <v>0</v>
      </c>
      <c r="I2440" s="6">
        <v>2160728</v>
      </c>
      <c r="J2440" s="7">
        <v>174.5</v>
      </c>
      <c r="K2440" s="9">
        <f>(PricingDataTable[[#This Row],[Current Price ($)]]-PricingDataTable[[#This Row],[Prior Price ($)]])/PricingDataTable[[#This Row],[Prior Price ($)]]</f>
        <v>5.0014640455311489E-3</v>
      </c>
      <c r="L2440" s="9">
        <f>(PricingDataTable[[#This Row],[Vendor Price ($)]]-PricingDataTable[[#This Row],[Current Price ($)]])/PricingDataTable[[#This Row],[Current Price ($)]]</f>
        <v>-2.4582081031220364E-3</v>
      </c>
      <c r="M2440" t="str">
        <f t="shared" si="76"/>
        <v>PASS</v>
      </c>
      <c r="N2440" s="10" t="str">
        <f t="shared" si="77"/>
        <v>NONE</v>
      </c>
    </row>
    <row r="2441" spans="1:14">
      <c r="A2441" s="4" t="s">
        <v>4898</v>
      </c>
      <c r="B2441" s="4" t="s">
        <v>4899</v>
      </c>
      <c r="C2441" s="4" t="s">
        <v>35</v>
      </c>
      <c r="D2441" s="4" t="s">
        <v>13</v>
      </c>
      <c r="E2441" s="5">
        <v>70.595200000000006</v>
      </c>
      <c r="F2441" s="5">
        <v>71.495099999999994</v>
      </c>
      <c r="G2441" s="5">
        <v>71.273499999999999</v>
      </c>
      <c r="H2441" s="4">
        <v>1</v>
      </c>
      <c r="I2441" s="6">
        <v>3030899</v>
      </c>
      <c r="J2441" s="7">
        <v>812.36</v>
      </c>
      <c r="K2441" s="9">
        <f>(PricingDataTable[[#This Row],[Current Price ($)]]-PricingDataTable[[#This Row],[Prior Price ($)]])/PricingDataTable[[#This Row],[Prior Price ($)]]</f>
        <v>1.2747325597207574E-2</v>
      </c>
      <c r="L2441" s="9">
        <f>(PricingDataTable[[#This Row],[Vendor Price ($)]]-PricingDataTable[[#This Row],[Current Price ($)]])/PricingDataTable[[#This Row],[Current Price ($)]]</f>
        <v>-3.0995131134860313E-3</v>
      </c>
      <c r="M2441" t="str">
        <f t="shared" si="76"/>
        <v>PASS</v>
      </c>
      <c r="N2441" s="10" t="str">
        <f t="shared" si="77"/>
        <v>NONE</v>
      </c>
    </row>
    <row r="2442" spans="1:14">
      <c r="A2442" s="4" t="s">
        <v>4900</v>
      </c>
      <c r="B2442" s="4" t="s">
        <v>4901</v>
      </c>
      <c r="C2442" s="4" t="s">
        <v>19</v>
      </c>
      <c r="D2442" s="4" t="s">
        <v>13</v>
      </c>
      <c r="E2442" s="5">
        <v>70.078199999999995</v>
      </c>
      <c r="F2442" s="5">
        <v>69.0779</v>
      </c>
      <c r="G2442" s="5">
        <v>68.979699999999994</v>
      </c>
      <c r="H2442" s="4">
        <v>0</v>
      </c>
      <c r="I2442" s="6">
        <v>435023</v>
      </c>
      <c r="J2442" s="7">
        <v>428.78</v>
      </c>
      <c r="K2442" s="9">
        <f>(PricingDataTable[[#This Row],[Current Price ($)]]-PricingDataTable[[#This Row],[Prior Price ($)]])/PricingDataTable[[#This Row],[Prior Price ($)]]</f>
        <v>-1.4274053842707088E-2</v>
      </c>
      <c r="L2442" s="9">
        <f>(PricingDataTable[[#This Row],[Vendor Price ($)]]-PricingDataTable[[#This Row],[Current Price ($)]])/PricingDataTable[[#This Row],[Current Price ($)]]</f>
        <v>-1.4215834586749976E-3</v>
      </c>
      <c r="M2442" t="str">
        <f t="shared" si="76"/>
        <v>PASS</v>
      </c>
      <c r="N2442" s="10" t="str">
        <f t="shared" si="77"/>
        <v>NONE</v>
      </c>
    </row>
    <row r="2443" spans="1:14">
      <c r="A2443" s="4" t="s">
        <v>4902</v>
      </c>
      <c r="B2443" s="4" t="s">
        <v>4903</v>
      </c>
      <c r="C2443" s="4" t="s">
        <v>16</v>
      </c>
      <c r="D2443" s="4" t="s">
        <v>64</v>
      </c>
      <c r="E2443" s="5">
        <v>120.22790000000001</v>
      </c>
      <c r="F2443" s="5">
        <v>120.8287</v>
      </c>
      <c r="G2443" s="5">
        <v>120.9465</v>
      </c>
      <c r="H2443" s="4">
        <v>3</v>
      </c>
      <c r="I2443" s="6">
        <v>4339539</v>
      </c>
      <c r="J2443" s="7">
        <v>306.02999999999997</v>
      </c>
      <c r="K2443" s="9">
        <f>(PricingDataTable[[#This Row],[Current Price ($)]]-PricingDataTable[[#This Row],[Prior Price ($)]])/PricingDataTable[[#This Row],[Prior Price ($)]]</f>
        <v>4.9971761962073064E-3</v>
      </c>
      <c r="L2443" s="9">
        <f>(PricingDataTable[[#This Row],[Vendor Price ($)]]-PricingDataTable[[#This Row],[Current Price ($)]])/PricingDataTable[[#This Row],[Current Price ($)]]</f>
        <v>9.7493393539781995E-4</v>
      </c>
      <c r="M2443" t="str">
        <f t="shared" si="76"/>
        <v>STALE</v>
      </c>
      <c r="N2443" s="10" t="str">
        <f t="shared" si="77"/>
        <v>LOW</v>
      </c>
    </row>
    <row r="2444" spans="1:14">
      <c r="A2444" s="4" t="s">
        <v>4904</v>
      </c>
      <c r="B2444" s="4" t="s">
        <v>4905</v>
      </c>
      <c r="C2444" s="4" t="s">
        <v>12</v>
      </c>
      <c r="D2444" s="4" t="s">
        <v>237</v>
      </c>
      <c r="E2444" s="5">
        <v>105.32689999999999</v>
      </c>
      <c r="F2444" s="5"/>
      <c r="G2444" s="5">
        <v>105.8293</v>
      </c>
      <c r="H2444" s="4">
        <v>1</v>
      </c>
      <c r="I2444" s="6">
        <v>1265526</v>
      </c>
      <c r="J2444" s="7">
        <v>155.69999999999999</v>
      </c>
      <c r="K2444" s="9">
        <f>(PricingDataTable[[#This Row],[Current Price ($)]]-PricingDataTable[[#This Row],[Prior Price ($)]])/PricingDataTable[[#This Row],[Prior Price ($)]]</f>
        <v>-1</v>
      </c>
      <c r="L2444" s="9" t="e">
        <f>(PricingDataTable[[#This Row],[Vendor Price ($)]]-PricingDataTable[[#This Row],[Current Price ($)]])/PricingDataTable[[#This Row],[Current Price ($)]]</f>
        <v>#DIV/0!</v>
      </c>
      <c r="M2444" t="str">
        <f t="shared" si="76"/>
        <v>MISSING</v>
      </c>
      <c r="N2444" s="10" t="str">
        <f t="shared" si="77"/>
        <v>HIGH</v>
      </c>
    </row>
    <row r="2445" spans="1:14">
      <c r="A2445" s="4" t="s">
        <v>4906</v>
      </c>
      <c r="B2445" s="4" t="s">
        <v>4907</v>
      </c>
      <c r="C2445" s="4" t="s">
        <v>19</v>
      </c>
      <c r="D2445" s="4" t="s">
        <v>13</v>
      </c>
      <c r="E2445" s="5">
        <v>265.5856</v>
      </c>
      <c r="F2445" s="5">
        <v>259.4898</v>
      </c>
      <c r="G2445" s="5">
        <v>259.27839999999998</v>
      </c>
      <c r="H2445" s="4">
        <v>0</v>
      </c>
      <c r="I2445" s="6">
        <v>4784475</v>
      </c>
      <c r="J2445" s="7">
        <v>372.29</v>
      </c>
      <c r="K2445" s="9">
        <f>(PricingDataTable[[#This Row],[Current Price ($)]]-PricingDataTable[[#This Row],[Prior Price ($)]])/PricingDataTable[[#This Row],[Prior Price ($)]]</f>
        <v>-2.2952298618599792E-2</v>
      </c>
      <c r="L2445" s="9">
        <f>(PricingDataTable[[#This Row],[Vendor Price ($)]]-PricingDataTable[[#This Row],[Current Price ($)]])/PricingDataTable[[#This Row],[Current Price ($)]]</f>
        <v>-8.1467556720929305E-4</v>
      </c>
      <c r="M2445" t="str">
        <f t="shared" si="76"/>
        <v>PASS</v>
      </c>
      <c r="N2445" s="10" t="str">
        <f t="shared" si="77"/>
        <v>NONE</v>
      </c>
    </row>
    <row r="2446" spans="1:14">
      <c r="A2446" s="4" t="s">
        <v>4908</v>
      </c>
      <c r="B2446" s="4" t="s">
        <v>4909</v>
      </c>
      <c r="C2446" s="4" t="s">
        <v>19</v>
      </c>
      <c r="D2446" s="4" t="s">
        <v>13</v>
      </c>
      <c r="E2446" s="5">
        <v>120.12560000000001</v>
      </c>
      <c r="F2446" s="5">
        <v>118.30500000000001</v>
      </c>
      <c r="G2446" s="5">
        <v>117.88039999999999</v>
      </c>
      <c r="H2446" s="4">
        <v>3</v>
      </c>
      <c r="I2446" s="6">
        <v>248934</v>
      </c>
      <c r="J2446" s="7">
        <v>178.09</v>
      </c>
      <c r="K2446" s="9">
        <f>(PricingDataTable[[#This Row],[Current Price ($)]]-PricingDataTable[[#This Row],[Prior Price ($)]])/PricingDataTable[[#This Row],[Prior Price ($)]]</f>
        <v>-1.5155803592240112E-2</v>
      </c>
      <c r="L2446" s="9">
        <f>(PricingDataTable[[#This Row],[Vendor Price ($)]]-PricingDataTable[[#This Row],[Current Price ($)]])/PricingDataTable[[#This Row],[Current Price ($)]]</f>
        <v>-3.5890283589029397E-3</v>
      </c>
      <c r="M2446" t="str">
        <f t="shared" si="76"/>
        <v>STALE</v>
      </c>
      <c r="N2446" s="10" t="str">
        <f t="shared" si="77"/>
        <v>LOW</v>
      </c>
    </row>
    <row r="2447" spans="1:14">
      <c r="A2447" s="4" t="s">
        <v>4910</v>
      </c>
      <c r="B2447" s="4" t="s">
        <v>4911</v>
      </c>
      <c r="C2447" s="4" t="s">
        <v>39</v>
      </c>
      <c r="D2447" s="4" t="s">
        <v>13</v>
      </c>
      <c r="E2447" s="5">
        <v>192.14269999999999</v>
      </c>
      <c r="F2447" s="5">
        <v>193.40940000000001</v>
      </c>
      <c r="G2447" s="5">
        <v>192.29570000000001</v>
      </c>
      <c r="H2447" s="4">
        <v>0</v>
      </c>
      <c r="I2447" s="6">
        <v>2347090</v>
      </c>
      <c r="J2447" s="7">
        <v>109.76</v>
      </c>
      <c r="K2447" s="9">
        <f>(PricingDataTable[[#This Row],[Current Price ($)]]-PricingDataTable[[#This Row],[Prior Price ($)]])/PricingDataTable[[#This Row],[Prior Price ($)]]</f>
        <v>6.5924960979522745E-3</v>
      </c>
      <c r="L2447" s="9">
        <f>(PricingDataTable[[#This Row],[Vendor Price ($)]]-PricingDataTable[[#This Row],[Current Price ($)]])/PricingDataTable[[#This Row],[Current Price ($)]]</f>
        <v>-5.7582516671888457E-3</v>
      </c>
      <c r="M2447" t="str">
        <f t="shared" si="76"/>
        <v>PASS</v>
      </c>
      <c r="N2447" s="10" t="str">
        <f t="shared" si="77"/>
        <v>NONE</v>
      </c>
    </row>
    <row r="2448" spans="1:14">
      <c r="A2448" s="4" t="s">
        <v>4912</v>
      </c>
      <c r="B2448" s="4" t="s">
        <v>4913</v>
      </c>
      <c r="C2448" s="4" t="s">
        <v>19</v>
      </c>
      <c r="D2448" s="4" t="s">
        <v>13</v>
      </c>
      <c r="E2448" s="5">
        <v>194.82079999999999</v>
      </c>
      <c r="F2448" s="5">
        <v>192.65430000000001</v>
      </c>
      <c r="G2448" s="5">
        <v>192.67570000000001</v>
      </c>
      <c r="H2448" s="4">
        <v>0</v>
      </c>
      <c r="I2448" s="6">
        <v>41986</v>
      </c>
      <c r="J2448" s="7">
        <v>529.01</v>
      </c>
      <c r="K2448" s="9">
        <f>(PricingDataTable[[#This Row],[Current Price ($)]]-PricingDataTable[[#This Row],[Prior Price ($)]])/PricingDataTable[[#This Row],[Prior Price ($)]]</f>
        <v>-1.1120475842415108E-2</v>
      </c>
      <c r="L2448" s="9">
        <f>(PricingDataTable[[#This Row],[Vendor Price ($)]]-PricingDataTable[[#This Row],[Current Price ($)]])/PricingDataTable[[#This Row],[Current Price ($)]]</f>
        <v>1.1107979422208516E-4</v>
      </c>
      <c r="M2448" t="str">
        <f t="shared" si="76"/>
        <v>PASS</v>
      </c>
      <c r="N2448" s="10" t="str">
        <f t="shared" si="77"/>
        <v>NONE</v>
      </c>
    </row>
    <row r="2449" spans="1:14">
      <c r="A2449" s="4" t="s">
        <v>4914</v>
      </c>
      <c r="B2449" s="4" t="s">
        <v>4915</v>
      </c>
      <c r="C2449" s="4" t="s">
        <v>19</v>
      </c>
      <c r="D2449" s="4" t="s">
        <v>13</v>
      </c>
      <c r="E2449" s="5">
        <v>219.56559999999999</v>
      </c>
      <c r="F2449" s="5">
        <v>220.9427</v>
      </c>
      <c r="G2449" s="5">
        <v>220.71899999999999</v>
      </c>
      <c r="H2449" s="4">
        <v>0</v>
      </c>
      <c r="I2449" s="6">
        <v>4209606</v>
      </c>
      <c r="J2449" s="7">
        <v>386.44</v>
      </c>
      <c r="K2449" s="9">
        <f>(PricingDataTable[[#This Row],[Current Price ($)]]-PricingDataTable[[#This Row],[Prior Price ($)]])/PricingDataTable[[#This Row],[Prior Price ($)]]</f>
        <v>6.2719296647562863E-3</v>
      </c>
      <c r="L2449" s="9">
        <f>(PricingDataTable[[#This Row],[Vendor Price ($)]]-PricingDataTable[[#This Row],[Current Price ($)]])/PricingDataTable[[#This Row],[Current Price ($)]]</f>
        <v>-1.0124797062768219E-3</v>
      </c>
      <c r="M2449" t="str">
        <f t="shared" si="76"/>
        <v>PASS</v>
      </c>
      <c r="N2449" s="10" t="str">
        <f t="shared" si="77"/>
        <v>NONE</v>
      </c>
    </row>
    <row r="2450" spans="1:14">
      <c r="A2450" s="4" t="s">
        <v>4916</v>
      </c>
      <c r="B2450" s="4" t="s">
        <v>4917</v>
      </c>
      <c r="C2450" s="4" t="s">
        <v>16</v>
      </c>
      <c r="D2450" s="4" t="s">
        <v>13</v>
      </c>
      <c r="E2450" s="5">
        <v>113.3586</v>
      </c>
      <c r="F2450" s="5">
        <v>114.1349</v>
      </c>
      <c r="G2450" s="5">
        <v>114.35469999999999</v>
      </c>
      <c r="H2450" s="4">
        <v>0</v>
      </c>
      <c r="I2450" s="6">
        <v>386749</v>
      </c>
      <c r="J2450" s="7">
        <v>613.84</v>
      </c>
      <c r="K2450" s="9">
        <f>(PricingDataTable[[#This Row],[Current Price ($)]]-PricingDataTable[[#This Row],[Prior Price ($)]])/PricingDataTable[[#This Row],[Prior Price ($)]]</f>
        <v>6.8481791412385671E-3</v>
      </c>
      <c r="L2450" s="9">
        <f>(PricingDataTable[[#This Row],[Vendor Price ($)]]-PricingDataTable[[#This Row],[Current Price ($)]])/PricingDataTable[[#This Row],[Current Price ($)]]</f>
        <v>1.9257913223737193E-3</v>
      </c>
      <c r="M2450" t="str">
        <f t="shared" si="76"/>
        <v>PASS</v>
      </c>
      <c r="N2450" s="10" t="str">
        <f t="shared" si="77"/>
        <v>NONE</v>
      </c>
    </row>
    <row r="2451" spans="1:14">
      <c r="A2451" s="4" t="s">
        <v>4918</v>
      </c>
      <c r="B2451" s="4" t="s">
        <v>4919</v>
      </c>
      <c r="C2451" s="4" t="s">
        <v>35</v>
      </c>
      <c r="D2451" s="4" t="s">
        <v>13</v>
      </c>
      <c r="E2451" s="5">
        <v>88.684899999999999</v>
      </c>
      <c r="F2451" s="5">
        <v>87.501599999999996</v>
      </c>
      <c r="G2451" s="5">
        <v>87.755499999999998</v>
      </c>
      <c r="H2451" s="4">
        <v>0</v>
      </c>
      <c r="I2451" s="6">
        <v>3572406</v>
      </c>
      <c r="J2451" s="7">
        <v>705.74</v>
      </c>
      <c r="K2451" s="9">
        <f>(PricingDataTable[[#This Row],[Current Price ($)]]-PricingDataTable[[#This Row],[Prior Price ($)]])/PricingDataTable[[#This Row],[Prior Price ($)]]</f>
        <v>-1.3342744931775338E-2</v>
      </c>
      <c r="L2451" s="9">
        <f>(PricingDataTable[[#This Row],[Vendor Price ($)]]-PricingDataTable[[#This Row],[Current Price ($)]])/PricingDataTable[[#This Row],[Current Price ($)]]</f>
        <v>2.9016612267661573E-3</v>
      </c>
      <c r="M2451" t="str">
        <f t="shared" si="76"/>
        <v>PASS</v>
      </c>
      <c r="N2451" s="10" t="str">
        <f t="shared" si="77"/>
        <v>NONE</v>
      </c>
    </row>
    <row r="2452" spans="1:14">
      <c r="A2452" s="4" t="s">
        <v>4920</v>
      </c>
      <c r="B2452" s="4" t="s">
        <v>4921</v>
      </c>
      <c r="C2452" s="4" t="s">
        <v>16</v>
      </c>
      <c r="D2452" s="4" t="s">
        <v>237</v>
      </c>
      <c r="E2452" s="5">
        <v>97.081000000000003</v>
      </c>
      <c r="F2452" s="5">
        <v>98.256699999999995</v>
      </c>
      <c r="G2452" s="5">
        <v>98.024199999999993</v>
      </c>
      <c r="H2452" s="4">
        <v>0</v>
      </c>
      <c r="I2452" s="6">
        <v>3020077</v>
      </c>
      <c r="J2452" s="7">
        <v>479.7</v>
      </c>
      <c r="K2452" s="9">
        <f>(PricingDataTable[[#This Row],[Current Price ($)]]-PricingDataTable[[#This Row],[Prior Price ($)]])/PricingDataTable[[#This Row],[Prior Price ($)]]</f>
        <v>1.2110505660221793E-2</v>
      </c>
      <c r="L2452" s="9">
        <f>(PricingDataTable[[#This Row],[Vendor Price ($)]]-PricingDataTable[[#This Row],[Current Price ($)]])/PricingDataTable[[#This Row],[Current Price ($)]]</f>
        <v>-2.3662508510870171E-3</v>
      </c>
      <c r="M2452" t="str">
        <f t="shared" si="76"/>
        <v>PASS</v>
      </c>
      <c r="N2452" s="10" t="str">
        <f t="shared" si="77"/>
        <v>NONE</v>
      </c>
    </row>
    <row r="2453" spans="1:14">
      <c r="A2453" s="4" t="s">
        <v>4922</v>
      </c>
      <c r="B2453" s="4" t="s">
        <v>4923</v>
      </c>
      <c r="C2453" s="4" t="s">
        <v>12</v>
      </c>
      <c r="D2453" s="4" t="s">
        <v>237</v>
      </c>
      <c r="E2453" s="5">
        <v>79.302199999999999</v>
      </c>
      <c r="F2453" s="5">
        <v>77.927499999999995</v>
      </c>
      <c r="G2453" s="5">
        <v>78.188500000000005</v>
      </c>
      <c r="H2453" s="4">
        <v>4</v>
      </c>
      <c r="I2453" s="6">
        <v>3755734</v>
      </c>
      <c r="J2453" s="7">
        <v>562.41</v>
      </c>
      <c r="K2453" s="9">
        <f>(PricingDataTable[[#This Row],[Current Price ($)]]-PricingDataTable[[#This Row],[Prior Price ($)]])/PricingDataTable[[#This Row],[Prior Price ($)]]</f>
        <v>-1.7334954137464085E-2</v>
      </c>
      <c r="L2453" s="9">
        <f>(PricingDataTable[[#This Row],[Vendor Price ($)]]-PricingDataTable[[#This Row],[Current Price ($)]])/PricingDataTable[[#This Row],[Current Price ($)]]</f>
        <v>3.3492669468417426E-3</v>
      </c>
      <c r="M2453" t="str">
        <f t="shared" si="76"/>
        <v>STALE</v>
      </c>
      <c r="N2453" s="10" t="str">
        <f t="shared" si="77"/>
        <v>LOW</v>
      </c>
    </row>
    <row r="2454" spans="1:14">
      <c r="A2454" s="4" t="s">
        <v>4924</v>
      </c>
      <c r="B2454" s="4" t="s">
        <v>4925</v>
      </c>
      <c r="C2454" s="4" t="s">
        <v>16</v>
      </c>
      <c r="D2454" s="4" t="s">
        <v>13</v>
      </c>
      <c r="E2454" s="5">
        <v>90.851600000000005</v>
      </c>
      <c r="F2454" s="5">
        <v>90.508399999999995</v>
      </c>
      <c r="G2454" s="5">
        <v>90.533500000000004</v>
      </c>
      <c r="H2454" s="4">
        <v>0</v>
      </c>
      <c r="I2454" s="6">
        <v>2232116</v>
      </c>
      <c r="J2454" s="7">
        <v>320.87</v>
      </c>
      <c r="K2454" s="9">
        <f>(PricingDataTable[[#This Row],[Current Price ($)]]-PricingDataTable[[#This Row],[Prior Price ($)]])/PricingDataTable[[#This Row],[Prior Price ($)]]</f>
        <v>-3.7775889472503529E-3</v>
      </c>
      <c r="L2454" s="9">
        <f>(PricingDataTable[[#This Row],[Vendor Price ($)]]-PricingDataTable[[#This Row],[Current Price ($)]])/PricingDataTable[[#This Row],[Current Price ($)]]</f>
        <v>2.773223258836639E-4</v>
      </c>
      <c r="M2454" t="str">
        <f t="shared" si="76"/>
        <v>PASS</v>
      </c>
      <c r="N2454" s="10" t="str">
        <f t="shared" si="77"/>
        <v>NONE</v>
      </c>
    </row>
    <row r="2455" spans="1:14">
      <c r="A2455" s="4" t="s">
        <v>4926</v>
      </c>
      <c r="B2455" s="4" t="s">
        <v>4927</v>
      </c>
      <c r="C2455" s="4" t="s">
        <v>16</v>
      </c>
      <c r="D2455" s="4" t="s">
        <v>13</v>
      </c>
      <c r="E2455" s="5">
        <v>119.6927</v>
      </c>
      <c r="F2455" s="5">
        <v>123.8832</v>
      </c>
      <c r="G2455" s="5">
        <v>126.89060000000001</v>
      </c>
      <c r="H2455" s="4">
        <v>0</v>
      </c>
      <c r="I2455" s="6">
        <v>2891383</v>
      </c>
      <c r="J2455" s="7">
        <v>61.63</v>
      </c>
      <c r="K2455" s="9">
        <f>(PricingDataTable[[#This Row],[Current Price ($)]]-PricingDataTable[[#This Row],[Prior Price ($)]])/PricingDataTable[[#This Row],[Prior Price ($)]]</f>
        <v>3.5010489361506594E-2</v>
      </c>
      <c r="L2455" s="9">
        <f>(PricingDataTable[[#This Row],[Vendor Price ($)]]-PricingDataTable[[#This Row],[Current Price ($)]])/PricingDataTable[[#This Row],[Current Price ($)]]</f>
        <v>2.4276092319216843E-2</v>
      </c>
      <c r="M2455" t="str">
        <f t="shared" si="76"/>
        <v>VENDOR DIFFERENCE</v>
      </c>
      <c r="N2455" s="10" t="str">
        <f t="shared" si="77"/>
        <v>LOW</v>
      </c>
    </row>
    <row r="2456" spans="1:14">
      <c r="A2456" s="4" t="s">
        <v>4928</v>
      </c>
      <c r="B2456" s="4" t="s">
        <v>4929</v>
      </c>
      <c r="C2456" s="4" t="s">
        <v>16</v>
      </c>
      <c r="D2456" s="4" t="s">
        <v>32</v>
      </c>
      <c r="E2456" s="5">
        <v>83.921700000000001</v>
      </c>
      <c r="F2456" s="5">
        <v>82.504499999999993</v>
      </c>
      <c r="G2456" s="5">
        <v>82.662800000000004</v>
      </c>
      <c r="H2456" s="4">
        <v>1</v>
      </c>
      <c r="I2456" s="6">
        <v>1851325</v>
      </c>
      <c r="J2456" s="7">
        <v>601.47</v>
      </c>
      <c r="K2456" s="9">
        <f>(PricingDataTable[[#This Row],[Current Price ($)]]-PricingDataTable[[#This Row],[Prior Price ($)]])/PricingDataTable[[#This Row],[Prior Price ($)]]</f>
        <v>-1.6887169826159482E-2</v>
      </c>
      <c r="L2456" s="9">
        <f>(PricingDataTable[[#This Row],[Vendor Price ($)]]-PricingDataTable[[#This Row],[Current Price ($)]])/PricingDataTable[[#This Row],[Current Price ($)]]</f>
        <v>1.9186832233394691E-3</v>
      </c>
      <c r="M2456" t="str">
        <f t="shared" si="76"/>
        <v>PASS</v>
      </c>
      <c r="N2456" s="10" t="str">
        <f t="shared" si="77"/>
        <v>NONE</v>
      </c>
    </row>
    <row r="2457" spans="1:14">
      <c r="A2457" s="4" t="s">
        <v>4930</v>
      </c>
      <c r="B2457" s="4" t="s">
        <v>4931</v>
      </c>
      <c r="C2457" s="4" t="s">
        <v>16</v>
      </c>
      <c r="D2457" s="4" t="s">
        <v>13</v>
      </c>
      <c r="E2457" s="5">
        <v>92.114500000000007</v>
      </c>
      <c r="F2457" s="5">
        <v>91.505200000000002</v>
      </c>
      <c r="G2457" s="5">
        <v>91.508700000000005</v>
      </c>
      <c r="H2457" s="4">
        <v>0</v>
      </c>
      <c r="I2457" s="6">
        <v>41765</v>
      </c>
      <c r="J2457" s="7">
        <v>24.37</v>
      </c>
      <c r="K2457" s="9">
        <f>(PricingDataTable[[#This Row],[Current Price ($)]]-PricingDataTable[[#This Row],[Prior Price ($)]])/PricingDataTable[[#This Row],[Prior Price ($)]]</f>
        <v>-6.6145937935938922E-3</v>
      </c>
      <c r="L2457" s="9">
        <f>(PricingDataTable[[#This Row],[Vendor Price ($)]]-PricingDataTable[[#This Row],[Current Price ($)]])/PricingDataTable[[#This Row],[Current Price ($)]]</f>
        <v>3.8249192395650748E-5</v>
      </c>
      <c r="M2457" t="str">
        <f t="shared" si="76"/>
        <v>PASS</v>
      </c>
      <c r="N2457" s="10" t="str">
        <f t="shared" si="77"/>
        <v>NONE</v>
      </c>
    </row>
    <row r="2458" spans="1:14">
      <c r="A2458" s="4" t="s">
        <v>4932</v>
      </c>
      <c r="B2458" s="4" t="s">
        <v>4933</v>
      </c>
      <c r="C2458" s="4" t="s">
        <v>12</v>
      </c>
      <c r="D2458" s="4" t="s">
        <v>64</v>
      </c>
      <c r="E2458" s="5">
        <v>92.446299999999994</v>
      </c>
      <c r="F2458" s="5">
        <v>91.539299999999997</v>
      </c>
      <c r="G2458" s="5">
        <v>91.402699999999996</v>
      </c>
      <c r="H2458" s="4">
        <v>0</v>
      </c>
      <c r="I2458" s="6">
        <v>4869192</v>
      </c>
      <c r="J2458" s="7">
        <v>485.78</v>
      </c>
      <c r="K2458" s="9">
        <f>(PricingDataTable[[#This Row],[Current Price ($)]]-PricingDataTable[[#This Row],[Prior Price ($)]])/PricingDataTable[[#This Row],[Prior Price ($)]]</f>
        <v>-9.8111011473687587E-3</v>
      </c>
      <c r="L2458" s="9">
        <f>(PricingDataTable[[#This Row],[Vendor Price ($)]]-PricingDataTable[[#This Row],[Current Price ($)]])/PricingDataTable[[#This Row],[Current Price ($)]]</f>
        <v>-1.4922552390066496E-3</v>
      </c>
      <c r="M2458" t="str">
        <f t="shared" si="76"/>
        <v>PASS</v>
      </c>
      <c r="N2458" s="10" t="str">
        <f t="shared" si="77"/>
        <v>NONE</v>
      </c>
    </row>
    <row r="2459" spans="1:14">
      <c r="A2459" s="4" t="s">
        <v>4934</v>
      </c>
      <c r="B2459" s="4" t="s">
        <v>4935</v>
      </c>
      <c r="C2459" s="4" t="s">
        <v>39</v>
      </c>
      <c r="D2459" s="4" t="s">
        <v>13</v>
      </c>
      <c r="E2459" s="5">
        <v>175.958</v>
      </c>
      <c r="F2459" s="5">
        <v>173.8588</v>
      </c>
      <c r="G2459" s="5">
        <v>173.7336</v>
      </c>
      <c r="H2459" s="4">
        <v>0</v>
      </c>
      <c r="I2459" s="6">
        <v>614834</v>
      </c>
      <c r="J2459" s="7">
        <v>739.07</v>
      </c>
      <c r="K2459" s="9">
        <f>(PricingDataTable[[#This Row],[Current Price ($)]]-PricingDataTable[[#This Row],[Prior Price ($)]])/PricingDataTable[[#This Row],[Prior Price ($)]]</f>
        <v>-1.1930119687652714E-2</v>
      </c>
      <c r="L2459" s="9">
        <f>(PricingDataTable[[#This Row],[Vendor Price ($)]]-PricingDataTable[[#This Row],[Current Price ($)]])/PricingDataTable[[#This Row],[Current Price ($)]]</f>
        <v>-7.2012460686491937E-4</v>
      </c>
      <c r="M2459" t="str">
        <f t="shared" si="76"/>
        <v>PASS</v>
      </c>
      <c r="N2459" s="10" t="str">
        <f t="shared" si="77"/>
        <v>NONE</v>
      </c>
    </row>
    <row r="2460" spans="1:14">
      <c r="A2460" s="4" t="s">
        <v>4936</v>
      </c>
      <c r="B2460" s="4" t="s">
        <v>4937</v>
      </c>
      <c r="C2460" s="4" t="s">
        <v>19</v>
      </c>
      <c r="D2460" s="4" t="s">
        <v>13</v>
      </c>
      <c r="E2460" s="5">
        <v>209.20089999999999</v>
      </c>
      <c r="F2460" s="5">
        <v>207.39240000000001</v>
      </c>
      <c r="G2460" s="5">
        <v>208.29759999999999</v>
      </c>
      <c r="H2460" s="4">
        <v>1</v>
      </c>
      <c r="I2460" s="6">
        <v>3701975</v>
      </c>
      <c r="J2460" s="7">
        <v>734.77</v>
      </c>
      <c r="K2460" s="9">
        <f>(PricingDataTable[[#This Row],[Current Price ($)]]-PricingDataTable[[#This Row],[Prior Price ($)]])/PricingDataTable[[#This Row],[Prior Price ($)]]</f>
        <v>-8.644800285275929E-3</v>
      </c>
      <c r="L2460" s="9">
        <f>(PricingDataTable[[#This Row],[Vendor Price ($)]]-PricingDataTable[[#This Row],[Current Price ($)]])/PricingDataTable[[#This Row],[Current Price ($)]]</f>
        <v>4.3646729581217989E-3</v>
      </c>
      <c r="M2460" t="str">
        <f t="shared" si="76"/>
        <v>PASS</v>
      </c>
      <c r="N2460" s="10" t="str">
        <f t="shared" si="77"/>
        <v>NONE</v>
      </c>
    </row>
    <row r="2461" spans="1:14">
      <c r="A2461" s="4" t="s">
        <v>4938</v>
      </c>
      <c r="B2461" s="4" t="s">
        <v>4939</v>
      </c>
      <c r="C2461" s="4" t="s">
        <v>39</v>
      </c>
      <c r="D2461" s="4" t="s">
        <v>13</v>
      </c>
      <c r="E2461" s="5">
        <v>16.5137</v>
      </c>
      <c r="F2461" s="5">
        <v>16.486699999999999</v>
      </c>
      <c r="G2461" s="5">
        <v>16.534400000000002</v>
      </c>
      <c r="H2461" s="4">
        <v>0</v>
      </c>
      <c r="I2461" s="6">
        <v>2331175</v>
      </c>
      <c r="J2461" s="7">
        <v>659.98</v>
      </c>
      <c r="K2461" s="9">
        <f>(PricingDataTable[[#This Row],[Current Price ($)]]-PricingDataTable[[#This Row],[Prior Price ($)]])/PricingDataTable[[#This Row],[Prior Price ($)]]</f>
        <v>-1.6350060858560482E-3</v>
      </c>
      <c r="L2461" s="9">
        <f>(PricingDataTable[[#This Row],[Vendor Price ($)]]-PricingDataTable[[#This Row],[Current Price ($)]])/PricingDataTable[[#This Row],[Current Price ($)]]</f>
        <v>2.8932412186794521E-3</v>
      </c>
      <c r="M2461" t="str">
        <f t="shared" si="76"/>
        <v>PASS</v>
      </c>
      <c r="N2461" s="10" t="str">
        <f t="shared" si="77"/>
        <v>NONE</v>
      </c>
    </row>
    <row r="2462" spans="1:14">
      <c r="A2462" s="4" t="s">
        <v>4940</v>
      </c>
      <c r="B2462" s="4" t="s">
        <v>4941</v>
      </c>
      <c r="C2462" s="4" t="s">
        <v>35</v>
      </c>
      <c r="D2462" s="4" t="s">
        <v>36</v>
      </c>
      <c r="E2462" s="5">
        <v>52.500700000000002</v>
      </c>
      <c r="F2462" s="5">
        <v>51.986600000000003</v>
      </c>
      <c r="G2462" s="5">
        <v>52.095300000000002</v>
      </c>
      <c r="H2462" s="4">
        <v>2</v>
      </c>
      <c r="I2462" s="6">
        <v>3846603</v>
      </c>
      <c r="J2462" s="7">
        <v>393.11</v>
      </c>
      <c r="K2462" s="9">
        <f>(PricingDataTable[[#This Row],[Current Price ($)]]-PricingDataTable[[#This Row],[Prior Price ($)]])/PricingDataTable[[#This Row],[Prior Price ($)]]</f>
        <v>-9.7922503890424152E-3</v>
      </c>
      <c r="L2462" s="9">
        <f>(PricingDataTable[[#This Row],[Vendor Price ($)]]-PricingDataTable[[#This Row],[Current Price ($)]])/PricingDataTable[[#This Row],[Current Price ($)]]</f>
        <v>2.090923430268548E-3</v>
      </c>
      <c r="M2462" t="str">
        <f t="shared" si="76"/>
        <v>PASS</v>
      </c>
      <c r="N2462" s="10" t="str">
        <f t="shared" si="77"/>
        <v>NONE</v>
      </c>
    </row>
    <row r="2463" spans="1:14">
      <c r="A2463" s="4" t="s">
        <v>4942</v>
      </c>
      <c r="B2463" s="4" t="s">
        <v>4943</v>
      </c>
      <c r="C2463" s="4" t="s">
        <v>35</v>
      </c>
      <c r="D2463" s="4" t="s">
        <v>13</v>
      </c>
      <c r="E2463" s="5">
        <v>144.39840000000001</v>
      </c>
      <c r="F2463" s="5">
        <v>145.8048</v>
      </c>
      <c r="G2463" s="5">
        <v>145.18190000000001</v>
      </c>
      <c r="H2463" s="4">
        <v>0</v>
      </c>
      <c r="I2463" s="6">
        <v>2437638</v>
      </c>
      <c r="J2463" s="7">
        <v>684.33</v>
      </c>
      <c r="K2463" s="9">
        <f>(PricingDataTable[[#This Row],[Current Price ($)]]-PricingDataTable[[#This Row],[Prior Price ($)]])/PricingDataTable[[#This Row],[Prior Price ($)]]</f>
        <v>9.7397201077019605E-3</v>
      </c>
      <c r="L2463" s="9">
        <f>(PricingDataTable[[#This Row],[Vendor Price ($)]]-PricingDataTable[[#This Row],[Current Price ($)]])/PricingDataTable[[#This Row],[Current Price ($)]]</f>
        <v>-4.2721501624088309E-3</v>
      </c>
      <c r="M2463" t="str">
        <f t="shared" si="76"/>
        <v>PASS</v>
      </c>
      <c r="N2463" s="10" t="str">
        <f t="shared" si="77"/>
        <v>NONE</v>
      </c>
    </row>
    <row r="2464" spans="1:14">
      <c r="A2464" s="4" t="s">
        <v>4944</v>
      </c>
      <c r="B2464" s="4" t="s">
        <v>4945</v>
      </c>
      <c r="C2464" s="4" t="s">
        <v>19</v>
      </c>
      <c r="D2464" s="4" t="s">
        <v>13</v>
      </c>
      <c r="E2464" s="5">
        <v>175.2492</v>
      </c>
      <c r="F2464" s="5">
        <v>174.2593</v>
      </c>
      <c r="G2464" s="5">
        <v>174.55090000000001</v>
      </c>
      <c r="H2464" s="4">
        <v>1</v>
      </c>
      <c r="I2464" s="6">
        <v>3509660</v>
      </c>
      <c r="J2464" s="7">
        <v>186.67</v>
      </c>
      <c r="K2464" s="9">
        <f>(PricingDataTable[[#This Row],[Current Price ($)]]-PricingDataTable[[#This Row],[Prior Price ($)]])/PricingDataTable[[#This Row],[Prior Price ($)]]</f>
        <v>-5.6485279248065373E-3</v>
      </c>
      <c r="L2464" s="9">
        <f>(PricingDataTable[[#This Row],[Vendor Price ($)]]-PricingDataTable[[#This Row],[Current Price ($)]])/PricingDataTable[[#This Row],[Current Price ($)]]</f>
        <v>1.6733683654187566E-3</v>
      </c>
      <c r="M2464" t="str">
        <f t="shared" si="76"/>
        <v>PASS</v>
      </c>
      <c r="N2464" s="10" t="str">
        <f t="shared" si="77"/>
        <v>NONE</v>
      </c>
    </row>
    <row r="2465" spans="1:14">
      <c r="A2465" s="4" t="s">
        <v>4946</v>
      </c>
      <c r="B2465" s="4" t="s">
        <v>4947</v>
      </c>
      <c r="C2465" s="4" t="s">
        <v>19</v>
      </c>
      <c r="D2465" s="4" t="s">
        <v>13</v>
      </c>
      <c r="E2465" s="5">
        <v>54.6327</v>
      </c>
      <c r="F2465" s="5">
        <v>54.438800000000001</v>
      </c>
      <c r="G2465" s="5">
        <v>54.2303</v>
      </c>
      <c r="H2465" s="4">
        <v>2</v>
      </c>
      <c r="I2465" s="6">
        <v>2635385</v>
      </c>
      <c r="J2465" s="7">
        <v>506.96</v>
      </c>
      <c r="K2465" s="9">
        <f>(PricingDataTable[[#This Row],[Current Price ($)]]-PricingDataTable[[#This Row],[Prior Price ($)]])/PricingDataTable[[#This Row],[Prior Price ($)]]</f>
        <v>-3.5491564575794222E-3</v>
      </c>
      <c r="L2465" s="9">
        <f>(PricingDataTable[[#This Row],[Vendor Price ($)]]-PricingDataTable[[#This Row],[Current Price ($)]])/PricingDataTable[[#This Row],[Current Price ($)]]</f>
        <v>-3.8299889049722034E-3</v>
      </c>
      <c r="M2465" t="str">
        <f t="shared" si="76"/>
        <v>PASS</v>
      </c>
      <c r="N2465" s="10" t="str">
        <f t="shared" si="77"/>
        <v>NONE</v>
      </c>
    </row>
    <row r="2466" spans="1:14">
      <c r="A2466" s="4" t="s">
        <v>4948</v>
      </c>
      <c r="B2466" s="4" t="s">
        <v>4949</v>
      </c>
      <c r="C2466" s="4" t="s">
        <v>16</v>
      </c>
      <c r="D2466" s="4" t="s">
        <v>64</v>
      </c>
      <c r="E2466" s="5">
        <v>85.581100000000006</v>
      </c>
      <c r="F2466" s="5">
        <v>105.1387</v>
      </c>
      <c r="G2466" s="5">
        <v>105.05119999999999</v>
      </c>
      <c r="H2466" s="4">
        <v>1</v>
      </c>
      <c r="I2466" s="6">
        <v>4052509</v>
      </c>
      <c r="J2466" s="7">
        <v>64.150000000000006</v>
      </c>
      <c r="K2466" s="9">
        <f>(PricingDataTable[[#This Row],[Current Price ($)]]-PricingDataTable[[#This Row],[Prior Price ($)]])/PricingDataTable[[#This Row],[Prior Price ($)]]</f>
        <v>0.2285270930146959</v>
      </c>
      <c r="L2466" s="9">
        <f>(PricingDataTable[[#This Row],[Vendor Price ($)]]-PricingDataTable[[#This Row],[Current Price ($)]])/PricingDataTable[[#This Row],[Current Price ($)]]</f>
        <v>-8.3223399186033002E-4</v>
      </c>
      <c r="M2466" t="str">
        <f t="shared" si="76"/>
        <v>LARGE MOVE</v>
      </c>
      <c r="N2466" s="10" t="str">
        <f t="shared" si="77"/>
        <v>HIGH</v>
      </c>
    </row>
    <row r="2467" spans="1:14">
      <c r="A2467" s="4" t="s">
        <v>4950</v>
      </c>
      <c r="B2467" s="4" t="s">
        <v>4951</v>
      </c>
      <c r="C2467" s="4" t="s">
        <v>19</v>
      </c>
      <c r="D2467" s="4" t="s">
        <v>237</v>
      </c>
      <c r="E2467" s="5">
        <v>230.267</v>
      </c>
      <c r="F2467" s="5">
        <v>230.0273</v>
      </c>
      <c r="G2467" s="5">
        <v>230.08359999999999</v>
      </c>
      <c r="H2467" s="4">
        <v>1</v>
      </c>
      <c r="I2467" s="6">
        <v>3372124</v>
      </c>
      <c r="J2467" s="7">
        <v>617.12</v>
      </c>
      <c r="K2467" s="9">
        <f>(PricingDataTable[[#This Row],[Current Price ($)]]-PricingDataTable[[#This Row],[Prior Price ($)]])/PricingDataTable[[#This Row],[Prior Price ($)]]</f>
        <v>-1.0409654878901411E-3</v>
      </c>
      <c r="L2467" s="9">
        <f>(PricingDataTable[[#This Row],[Vendor Price ($)]]-PricingDataTable[[#This Row],[Current Price ($)]])/PricingDataTable[[#This Row],[Current Price ($)]]</f>
        <v>2.4475355751249147E-4</v>
      </c>
      <c r="M2467" t="str">
        <f t="shared" si="76"/>
        <v>PASS</v>
      </c>
      <c r="N2467" s="10" t="str">
        <f t="shared" si="77"/>
        <v>NONE</v>
      </c>
    </row>
    <row r="2468" spans="1:14">
      <c r="A2468" s="4" t="s">
        <v>4952</v>
      </c>
      <c r="B2468" s="4" t="s">
        <v>4953</v>
      </c>
      <c r="C2468" s="4" t="s">
        <v>16</v>
      </c>
      <c r="D2468" s="4" t="s">
        <v>13</v>
      </c>
      <c r="E2468" s="5">
        <v>99.577500000000001</v>
      </c>
      <c r="F2468" s="5">
        <v>99.984999999999999</v>
      </c>
      <c r="G2468" s="5">
        <v>99.551900000000003</v>
      </c>
      <c r="H2468" s="4">
        <v>3</v>
      </c>
      <c r="I2468" s="6">
        <v>3229497</v>
      </c>
      <c r="J2468" s="7">
        <v>360.9</v>
      </c>
      <c r="K2468" s="9">
        <f>(PricingDataTable[[#This Row],[Current Price ($)]]-PricingDataTable[[#This Row],[Prior Price ($)]])/PricingDataTable[[#This Row],[Prior Price ($)]]</f>
        <v>4.0922899249328298E-3</v>
      </c>
      <c r="L2468" s="9">
        <f>(PricingDataTable[[#This Row],[Vendor Price ($)]]-PricingDataTable[[#This Row],[Current Price ($)]])/PricingDataTable[[#This Row],[Current Price ($)]]</f>
        <v>-4.33164974746208E-3</v>
      </c>
      <c r="M2468" t="str">
        <f t="shared" si="76"/>
        <v>STALE</v>
      </c>
      <c r="N2468" s="10" t="str">
        <f t="shared" si="77"/>
        <v>LOW</v>
      </c>
    </row>
    <row r="2469" spans="1:14">
      <c r="A2469" s="4" t="s">
        <v>4954</v>
      </c>
      <c r="B2469" s="4" t="s">
        <v>4955</v>
      </c>
      <c r="C2469" s="4" t="s">
        <v>35</v>
      </c>
      <c r="D2469" s="4" t="s">
        <v>13</v>
      </c>
      <c r="E2469" s="5">
        <v>64.796400000000006</v>
      </c>
      <c r="F2469" s="5">
        <v>65.954499999999996</v>
      </c>
      <c r="G2469" s="5">
        <v>65.970100000000002</v>
      </c>
      <c r="H2469" s="4">
        <v>0</v>
      </c>
      <c r="I2469" s="6">
        <v>2690851</v>
      </c>
      <c r="J2469" s="7">
        <v>833.93</v>
      </c>
      <c r="K2469" s="9">
        <f>(PricingDataTable[[#This Row],[Current Price ($)]]-PricingDataTable[[#This Row],[Prior Price ($)]])/PricingDataTable[[#This Row],[Prior Price ($)]]</f>
        <v>1.7872906519497845E-2</v>
      </c>
      <c r="L2469" s="9">
        <f>(PricingDataTable[[#This Row],[Vendor Price ($)]]-PricingDataTable[[#This Row],[Current Price ($)]])/PricingDataTable[[#This Row],[Current Price ($)]]</f>
        <v>2.3652669643475845E-4</v>
      </c>
      <c r="M2469" t="str">
        <f t="shared" si="76"/>
        <v>PASS</v>
      </c>
      <c r="N2469" s="10" t="str">
        <f t="shared" si="77"/>
        <v>NONE</v>
      </c>
    </row>
    <row r="2470" spans="1:14">
      <c r="A2470" s="4" t="s">
        <v>4956</v>
      </c>
      <c r="B2470" s="4" t="s">
        <v>4957</v>
      </c>
      <c r="C2470" s="4" t="s">
        <v>16</v>
      </c>
      <c r="D2470" s="4" t="s">
        <v>13</v>
      </c>
      <c r="E2470" s="5">
        <v>106.16030000000001</v>
      </c>
      <c r="F2470" s="5">
        <v>104.60809999999999</v>
      </c>
      <c r="G2470" s="5">
        <v>104.5613</v>
      </c>
      <c r="H2470" s="4">
        <v>5</v>
      </c>
      <c r="I2470" s="6">
        <v>2315198</v>
      </c>
      <c r="J2470" s="7">
        <v>127.74</v>
      </c>
      <c r="K2470" s="9">
        <f>(PricingDataTable[[#This Row],[Current Price ($)]]-PricingDataTable[[#This Row],[Prior Price ($)]])/PricingDataTable[[#This Row],[Prior Price ($)]]</f>
        <v>-1.4621284981297276E-2</v>
      </c>
      <c r="L2470" s="9">
        <f>(PricingDataTable[[#This Row],[Vendor Price ($)]]-PricingDataTable[[#This Row],[Current Price ($)]])/PricingDataTable[[#This Row],[Current Price ($)]]</f>
        <v>-4.4738409358348357E-4</v>
      </c>
      <c r="M2470" t="str">
        <f t="shared" si="76"/>
        <v>STALE</v>
      </c>
      <c r="N2470" s="10" t="str">
        <f t="shared" si="77"/>
        <v>MEDIUM</v>
      </c>
    </row>
    <row r="2471" spans="1:14">
      <c r="A2471" s="4" t="s">
        <v>4958</v>
      </c>
      <c r="B2471" s="4" t="s">
        <v>4959</v>
      </c>
      <c r="C2471" s="4" t="s">
        <v>19</v>
      </c>
      <c r="D2471" s="4" t="s">
        <v>13</v>
      </c>
      <c r="E2471" s="5">
        <v>131.74090000000001</v>
      </c>
      <c r="F2471" s="5">
        <v>134.95769999999999</v>
      </c>
      <c r="G2471" s="5">
        <v>135.17250000000001</v>
      </c>
      <c r="H2471" s="4">
        <v>0</v>
      </c>
      <c r="I2471" s="6">
        <v>3623155</v>
      </c>
      <c r="J2471" s="7">
        <v>706.65</v>
      </c>
      <c r="K2471" s="9">
        <f>(PricingDataTable[[#This Row],[Current Price ($)]]-PricingDataTable[[#This Row],[Prior Price ($)]])/PricingDataTable[[#This Row],[Prior Price ($)]]</f>
        <v>2.4417625809448527E-2</v>
      </c>
      <c r="L2471" s="9">
        <f>(PricingDataTable[[#This Row],[Vendor Price ($)]]-PricingDataTable[[#This Row],[Current Price ($)]])/PricingDataTable[[#This Row],[Current Price ($)]]</f>
        <v>1.5916098155201609E-3</v>
      </c>
      <c r="M2471" t="str">
        <f t="shared" si="76"/>
        <v>PASS</v>
      </c>
      <c r="N2471" s="10" t="str">
        <f t="shared" si="77"/>
        <v>NONE</v>
      </c>
    </row>
    <row r="2472" spans="1:14">
      <c r="A2472" s="4" t="s">
        <v>4960</v>
      </c>
      <c r="B2472" s="4" t="s">
        <v>4961</v>
      </c>
      <c r="C2472" s="4" t="s">
        <v>19</v>
      </c>
      <c r="D2472" s="4" t="s">
        <v>32</v>
      </c>
      <c r="E2472" s="5">
        <v>55.774900000000002</v>
      </c>
      <c r="F2472" s="5">
        <v>54.313299999999998</v>
      </c>
      <c r="G2472" s="5">
        <v>54.524000000000001</v>
      </c>
      <c r="H2472" s="4">
        <v>0</v>
      </c>
      <c r="I2472" s="6">
        <v>467488</v>
      </c>
      <c r="J2472" s="7">
        <v>174.74</v>
      </c>
      <c r="K2472" s="9">
        <f>(PricingDataTable[[#This Row],[Current Price ($)]]-PricingDataTable[[#This Row],[Prior Price ($)]])/PricingDataTable[[#This Row],[Prior Price ($)]]</f>
        <v>-2.6205336092041478E-2</v>
      </c>
      <c r="L2472" s="9">
        <f>(PricingDataTable[[#This Row],[Vendor Price ($)]]-PricingDataTable[[#This Row],[Current Price ($)]])/PricingDataTable[[#This Row],[Current Price ($)]]</f>
        <v>3.8793444699549242E-3</v>
      </c>
      <c r="M2472" t="str">
        <f t="shared" si="76"/>
        <v>PASS</v>
      </c>
      <c r="N2472" s="10" t="str">
        <f t="shared" si="77"/>
        <v>NONE</v>
      </c>
    </row>
    <row r="2473" spans="1:14">
      <c r="A2473" s="4" t="s">
        <v>4962</v>
      </c>
      <c r="B2473" s="4" t="s">
        <v>4963</v>
      </c>
      <c r="C2473" s="4" t="s">
        <v>35</v>
      </c>
      <c r="D2473" s="4" t="s">
        <v>64</v>
      </c>
      <c r="E2473" s="5">
        <v>44.553600000000003</v>
      </c>
      <c r="F2473" s="5">
        <v>45.043999999999997</v>
      </c>
      <c r="G2473" s="5">
        <v>44.783999999999999</v>
      </c>
      <c r="H2473" s="4">
        <v>2</v>
      </c>
      <c r="I2473" s="6">
        <v>2967561</v>
      </c>
      <c r="J2473" s="7">
        <v>226.58</v>
      </c>
      <c r="K2473" s="9">
        <f>(PricingDataTable[[#This Row],[Current Price ($)]]-PricingDataTable[[#This Row],[Prior Price ($)]])/PricingDataTable[[#This Row],[Prior Price ($)]]</f>
        <v>1.1006966889319694E-2</v>
      </c>
      <c r="L2473" s="9">
        <f>(PricingDataTable[[#This Row],[Vendor Price ($)]]-PricingDataTable[[#This Row],[Current Price ($)]])/PricingDataTable[[#This Row],[Current Price ($)]]</f>
        <v>-5.7721339135067499E-3</v>
      </c>
      <c r="M2473" t="str">
        <f t="shared" si="76"/>
        <v>PASS</v>
      </c>
      <c r="N2473" s="10" t="str">
        <f t="shared" si="77"/>
        <v>NONE</v>
      </c>
    </row>
    <row r="2474" spans="1:14">
      <c r="A2474" s="4" t="s">
        <v>4964</v>
      </c>
      <c r="B2474" s="4" t="s">
        <v>4965</v>
      </c>
      <c r="C2474" s="4" t="s">
        <v>19</v>
      </c>
      <c r="D2474" s="4" t="s">
        <v>13</v>
      </c>
      <c r="E2474" s="5">
        <v>135.0635</v>
      </c>
      <c r="F2474" s="5">
        <v>134.56270000000001</v>
      </c>
      <c r="G2474" s="5">
        <v>134.2055</v>
      </c>
      <c r="H2474" s="4">
        <v>0</v>
      </c>
      <c r="I2474" s="6">
        <v>2122911</v>
      </c>
      <c r="J2474" s="7">
        <v>311.93</v>
      </c>
      <c r="K2474" s="9">
        <f>(PricingDataTable[[#This Row],[Current Price ($)]]-PricingDataTable[[#This Row],[Prior Price ($)]])/PricingDataTable[[#This Row],[Prior Price ($)]]</f>
        <v>-3.70788555013011E-3</v>
      </c>
      <c r="L2474" s="9">
        <f>(PricingDataTable[[#This Row],[Vendor Price ($)]]-PricingDataTable[[#This Row],[Current Price ($)]])/PricingDataTable[[#This Row],[Current Price ($)]]</f>
        <v>-2.6545246193782224E-3</v>
      </c>
      <c r="M2474" t="str">
        <f t="shared" si="76"/>
        <v>PASS</v>
      </c>
      <c r="N2474" s="10" t="str">
        <f t="shared" si="77"/>
        <v>NONE</v>
      </c>
    </row>
    <row r="2475" spans="1:14">
      <c r="A2475" s="4" t="s">
        <v>4966</v>
      </c>
      <c r="B2475" s="4" t="s">
        <v>4967</v>
      </c>
      <c r="C2475" s="4" t="s">
        <v>19</v>
      </c>
      <c r="D2475" s="4" t="s">
        <v>13</v>
      </c>
      <c r="E2475" s="5">
        <v>162.94880000000001</v>
      </c>
      <c r="F2475" s="5">
        <v>160.7372</v>
      </c>
      <c r="G2475" s="5">
        <v>160.4726</v>
      </c>
      <c r="H2475" s="4">
        <v>3</v>
      </c>
      <c r="I2475" s="6">
        <v>3334772</v>
      </c>
      <c r="J2475" s="7">
        <v>859.73</v>
      </c>
      <c r="K2475" s="9">
        <f>(PricingDataTable[[#This Row],[Current Price ($)]]-PricingDataTable[[#This Row],[Prior Price ($)]])/PricingDataTable[[#This Row],[Prior Price ($)]]</f>
        <v>-1.357236137977085E-2</v>
      </c>
      <c r="L2475" s="9">
        <f>(PricingDataTable[[#This Row],[Vendor Price ($)]]-PricingDataTable[[#This Row],[Current Price ($)]])/PricingDataTable[[#This Row],[Current Price ($)]]</f>
        <v>-1.64616529341062E-3</v>
      </c>
      <c r="M2475" t="str">
        <f t="shared" si="76"/>
        <v>STALE</v>
      </c>
      <c r="N2475" s="10" t="str">
        <f t="shared" si="77"/>
        <v>LOW</v>
      </c>
    </row>
    <row r="2476" spans="1:14">
      <c r="A2476" s="4" t="s">
        <v>4968</v>
      </c>
      <c r="B2476" s="4" t="s">
        <v>4969</v>
      </c>
      <c r="C2476" s="4" t="s">
        <v>35</v>
      </c>
      <c r="D2476" s="4" t="s">
        <v>13</v>
      </c>
      <c r="E2476" s="5">
        <v>177.6874</v>
      </c>
      <c r="F2476" s="5">
        <v>178.6362</v>
      </c>
      <c r="G2476" s="5">
        <v>178.00970000000001</v>
      </c>
      <c r="H2476" s="4">
        <v>2</v>
      </c>
      <c r="I2476" s="6">
        <v>573872</v>
      </c>
      <c r="J2476" s="7">
        <v>417.68</v>
      </c>
      <c r="K2476" s="9">
        <f>(PricingDataTable[[#This Row],[Current Price ($)]]-PricingDataTable[[#This Row],[Prior Price ($)]])/PricingDataTable[[#This Row],[Prior Price ($)]]</f>
        <v>5.3397145773983164E-3</v>
      </c>
      <c r="L2476" s="9">
        <f>(PricingDataTable[[#This Row],[Vendor Price ($)]]-PricingDataTable[[#This Row],[Current Price ($)]])/PricingDataTable[[#This Row],[Current Price ($)]]</f>
        <v>-3.5071278945700422E-3</v>
      </c>
      <c r="M2476" t="str">
        <f t="shared" si="76"/>
        <v>PASS</v>
      </c>
      <c r="N2476" s="10" t="str">
        <f t="shared" si="77"/>
        <v>NONE</v>
      </c>
    </row>
    <row r="2477" spans="1:14">
      <c r="A2477" s="4" t="s">
        <v>4970</v>
      </c>
      <c r="B2477" s="4" t="s">
        <v>4971</v>
      </c>
      <c r="C2477" s="4" t="s">
        <v>19</v>
      </c>
      <c r="D2477" s="4" t="s">
        <v>13</v>
      </c>
      <c r="E2477" s="5">
        <v>317.15359999999998</v>
      </c>
      <c r="F2477" s="5">
        <v>315.33249999999998</v>
      </c>
      <c r="G2477" s="5">
        <v>314.1345</v>
      </c>
      <c r="H2477" s="4">
        <v>1</v>
      </c>
      <c r="I2477" s="6">
        <v>2213386</v>
      </c>
      <c r="J2477" s="7">
        <v>774.67</v>
      </c>
      <c r="K2477" s="9">
        <f>(PricingDataTable[[#This Row],[Current Price ($)]]-PricingDataTable[[#This Row],[Prior Price ($)]])/PricingDataTable[[#This Row],[Prior Price ($)]]</f>
        <v>-5.7420127029931285E-3</v>
      </c>
      <c r="L2477" s="9">
        <f>(PricingDataTable[[#This Row],[Vendor Price ($)]]-PricingDataTable[[#This Row],[Current Price ($)]])/PricingDataTable[[#This Row],[Current Price ($)]]</f>
        <v>-3.7991643741129731E-3</v>
      </c>
      <c r="M2477" t="str">
        <f t="shared" si="76"/>
        <v>PASS</v>
      </c>
      <c r="N2477" s="10" t="str">
        <f t="shared" si="77"/>
        <v>NONE</v>
      </c>
    </row>
    <row r="2478" spans="1:14">
      <c r="A2478" s="4" t="s">
        <v>4972</v>
      </c>
      <c r="B2478" s="4" t="s">
        <v>4973</v>
      </c>
      <c r="C2478" s="4" t="s">
        <v>12</v>
      </c>
      <c r="D2478" s="4" t="s">
        <v>13</v>
      </c>
      <c r="E2478" s="5">
        <v>122.44889999999999</v>
      </c>
      <c r="F2478" s="5">
        <v>121.21810000000001</v>
      </c>
      <c r="G2478" s="5">
        <v>121.0196</v>
      </c>
      <c r="H2478" s="4">
        <v>0</v>
      </c>
      <c r="I2478" s="6">
        <v>981818</v>
      </c>
      <c r="J2478" s="7">
        <v>436.82</v>
      </c>
      <c r="K2478" s="9">
        <f>(PricingDataTable[[#This Row],[Current Price ($)]]-PricingDataTable[[#This Row],[Prior Price ($)]])/PricingDataTable[[#This Row],[Prior Price ($)]]</f>
        <v>-1.0051539866834148E-2</v>
      </c>
      <c r="L2478" s="9">
        <f>(PricingDataTable[[#This Row],[Vendor Price ($)]]-PricingDataTable[[#This Row],[Current Price ($)]])/PricingDataTable[[#This Row],[Current Price ($)]]</f>
        <v>-1.6375442281310289E-3</v>
      </c>
      <c r="M2478" t="str">
        <f t="shared" si="76"/>
        <v>PASS</v>
      </c>
      <c r="N2478" s="10" t="str">
        <f t="shared" si="77"/>
        <v>NONE</v>
      </c>
    </row>
    <row r="2479" spans="1:14">
      <c r="A2479" s="4" t="s">
        <v>4974</v>
      </c>
      <c r="B2479" s="4" t="s">
        <v>4975</v>
      </c>
      <c r="C2479" s="4" t="s">
        <v>19</v>
      </c>
      <c r="D2479" s="4" t="s">
        <v>13</v>
      </c>
      <c r="E2479" s="5">
        <v>256.59500000000003</v>
      </c>
      <c r="F2479" s="5">
        <v>249.4915</v>
      </c>
      <c r="G2479" s="5">
        <v>248.1311</v>
      </c>
      <c r="H2479" s="4">
        <v>0</v>
      </c>
      <c r="I2479" s="6">
        <v>4148774</v>
      </c>
      <c r="J2479" s="7">
        <v>731.91</v>
      </c>
      <c r="K2479" s="9">
        <f>(PricingDataTable[[#This Row],[Current Price ($)]]-PricingDataTable[[#This Row],[Prior Price ($)]])/PricingDataTable[[#This Row],[Prior Price ($)]]</f>
        <v>-2.7683703891346379E-2</v>
      </c>
      <c r="L2479" s="9">
        <f>(PricingDataTable[[#This Row],[Vendor Price ($)]]-PricingDataTable[[#This Row],[Current Price ($)]])/PricingDataTable[[#This Row],[Current Price ($)]]</f>
        <v>-5.4526907730323418E-3</v>
      </c>
      <c r="M2479" t="str">
        <f t="shared" si="76"/>
        <v>PASS</v>
      </c>
      <c r="N2479" s="10" t="str">
        <f t="shared" si="77"/>
        <v>NONE</v>
      </c>
    </row>
    <row r="2480" spans="1:14">
      <c r="A2480" s="4" t="s">
        <v>4976</v>
      </c>
      <c r="B2480" s="4" t="s">
        <v>4977</v>
      </c>
      <c r="C2480" s="4" t="s">
        <v>12</v>
      </c>
      <c r="D2480" s="4" t="s">
        <v>237</v>
      </c>
      <c r="E2480" s="5">
        <v>90.6404</v>
      </c>
      <c r="F2480" s="5">
        <v>90.337400000000002</v>
      </c>
      <c r="G2480" s="5">
        <v>93.559200000000004</v>
      </c>
      <c r="H2480" s="4">
        <v>3</v>
      </c>
      <c r="I2480" s="6">
        <v>3065614</v>
      </c>
      <c r="J2480" s="7">
        <v>573.32000000000005</v>
      </c>
      <c r="K2480" s="9">
        <f>(PricingDataTable[[#This Row],[Current Price ($)]]-PricingDataTable[[#This Row],[Prior Price ($)]])/PricingDataTable[[#This Row],[Prior Price ($)]]</f>
        <v>-3.3428802167686515E-3</v>
      </c>
      <c r="L2480" s="9">
        <f>(PricingDataTable[[#This Row],[Vendor Price ($)]]-PricingDataTable[[#This Row],[Current Price ($)]])/PricingDataTable[[#This Row],[Current Price ($)]]</f>
        <v>3.5664077115347595E-2</v>
      </c>
      <c r="M2480" t="str">
        <f t="shared" si="76"/>
        <v>STALE</v>
      </c>
      <c r="N2480" s="10" t="str">
        <f t="shared" si="77"/>
        <v>MEDIUM</v>
      </c>
    </row>
    <row r="2481" spans="1:14">
      <c r="A2481" s="4" t="s">
        <v>4978</v>
      </c>
      <c r="B2481" s="4" t="s">
        <v>4979</v>
      </c>
      <c r="C2481" s="4" t="s">
        <v>12</v>
      </c>
      <c r="D2481" s="4" t="s">
        <v>36</v>
      </c>
      <c r="E2481" s="5">
        <v>111.5505</v>
      </c>
      <c r="F2481" s="5">
        <v>109.6961</v>
      </c>
      <c r="G2481" s="5">
        <v>110.1099</v>
      </c>
      <c r="H2481" s="4">
        <v>0</v>
      </c>
      <c r="I2481" s="6">
        <v>3278312</v>
      </c>
      <c r="J2481" s="7">
        <v>303.06</v>
      </c>
      <c r="K2481" s="9">
        <f>(PricingDataTable[[#This Row],[Current Price ($)]]-PricingDataTable[[#This Row],[Prior Price ($)]])/PricingDataTable[[#This Row],[Prior Price ($)]]</f>
        <v>-1.6623860941905221E-2</v>
      </c>
      <c r="L2481" s="9">
        <f>(PricingDataTable[[#This Row],[Vendor Price ($)]]-PricingDataTable[[#This Row],[Current Price ($)]])/PricingDataTable[[#This Row],[Current Price ($)]]</f>
        <v>3.772239851735794E-3</v>
      </c>
      <c r="M2481" t="str">
        <f t="shared" si="76"/>
        <v>PASS</v>
      </c>
      <c r="N2481" s="10" t="str">
        <f t="shared" si="77"/>
        <v>NONE</v>
      </c>
    </row>
    <row r="2482" spans="1:14">
      <c r="A2482" s="4" t="s">
        <v>4980</v>
      </c>
      <c r="B2482" s="4" t="s">
        <v>4981</v>
      </c>
      <c r="C2482" s="4" t="s">
        <v>12</v>
      </c>
      <c r="D2482" s="4" t="s">
        <v>13</v>
      </c>
      <c r="E2482" s="5">
        <v>85.606899999999996</v>
      </c>
      <c r="F2482" s="5">
        <v>85.484700000000004</v>
      </c>
      <c r="G2482" s="5">
        <v>85.421800000000005</v>
      </c>
      <c r="H2482" s="4">
        <v>0</v>
      </c>
      <c r="I2482" s="6">
        <v>4517929</v>
      </c>
      <c r="J2482" s="7">
        <v>82.39</v>
      </c>
      <c r="K2482" s="9">
        <f>(PricingDataTable[[#This Row],[Current Price ($)]]-PricingDataTable[[#This Row],[Prior Price ($)]])/PricingDataTable[[#This Row],[Prior Price ($)]]</f>
        <v>-1.4274550299098825E-3</v>
      </c>
      <c r="L2482" s="9">
        <f>(PricingDataTable[[#This Row],[Vendor Price ($)]]-PricingDataTable[[#This Row],[Current Price ($)]])/PricingDataTable[[#This Row],[Current Price ($)]]</f>
        <v>-7.3580418484242289E-4</v>
      </c>
      <c r="M2482" t="str">
        <f t="shared" si="76"/>
        <v>PASS</v>
      </c>
      <c r="N2482" s="10" t="str">
        <f t="shared" si="77"/>
        <v>NONE</v>
      </c>
    </row>
    <row r="2483" spans="1:14">
      <c r="A2483" s="4" t="s">
        <v>4982</v>
      </c>
      <c r="B2483" s="4" t="s">
        <v>4983</v>
      </c>
      <c r="C2483" s="4" t="s">
        <v>19</v>
      </c>
      <c r="D2483" s="4" t="s">
        <v>13</v>
      </c>
      <c r="E2483" s="5">
        <v>115.34650000000001</v>
      </c>
      <c r="F2483" s="5">
        <v>117.0959</v>
      </c>
      <c r="G2483" s="5">
        <v>116.9341</v>
      </c>
      <c r="H2483" s="4">
        <v>1</v>
      </c>
      <c r="I2483" s="6">
        <v>2375667</v>
      </c>
      <c r="J2483" s="7">
        <v>476.39</v>
      </c>
      <c r="K2483" s="9">
        <f>(PricingDataTable[[#This Row],[Current Price ($)]]-PricingDataTable[[#This Row],[Prior Price ($)]])/PricingDataTable[[#This Row],[Prior Price ($)]]</f>
        <v>1.5166476659456456E-2</v>
      </c>
      <c r="L2483" s="9">
        <f>(PricingDataTable[[#This Row],[Vendor Price ($)]]-PricingDataTable[[#This Row],[Current Price ($)]])/PricingDataTable[[#This Row],[Current Price ($)]]</f>
        <v>-1.3817734011182246E-3</v>
      </c>
      <c r="M2483" t="str">
        <f t="shared" si="76"/>
        <v>PASS</v>
      </c>
      <c r="N2483" s="10" t="str">
        <f t="shared" si="77"/>
        <v>NONE</v>
      </c>
    </row>
    <row r="2484" spans="1:14">
      <c r="A2484" s="4" t="s">
        <v>4984</v>
      </c>
      <c r="B2484" s="4" t="s">
        <v>4985</v>
      </c>
      <c r="C2484" s="4" t="s">
        <v>19</v>
      </c>
      <c r="D2484" s="4" t="s">
        <v>13</v>
      </c>
      <c r="E2484" s="5">
        <v>12.953099999999999</v>
      </c>
      <c r="F2484" s="5">
        <v>13.155099999999999</v>
      </c>
      <c r="G2484" s="5">
        <v>13.1401</v>
      </c>
      <c r="H2484" s="4">
        <v>0</v>
      </c>
      <c r="I2484" s="6">
        <v>4740610</v>
      </c>
      <c r="J2484" s="7">
        <v>547.37</v>
      </c>
      <c r="K2484" s="9">
        <f>(PricingDataTable[[#This Row],[Current Price ($)]]-PricingDataTable[[#This Row],[Prior Price ($)]])/PricingDataTable[[#This Row],[Prior Price ($)]]</f>
        <v>1.5594722498861274E-2</v>
      </c>
      <c r="L2484" s="9">
        <f>(PricingDataTable[[#This Row],[Vendor Price ($)]]-PricingDataTable[[#This Row],[Current Price ($)]])/PricingDataTable[[#This Row],[Current Price ($)]]</f>
        <v>-1.1402421874405206E-3</v>
      </c>
      <c r="M2484" t="str">
        <f t="shared" si="76"/>
        <v>PASS</v>
      </c>
      <c r="N2484" s="10" t="str">
        <f t="shared" si="77"/>
        <v>NONE</v>
      </c>
    </row>
    <row r="2485" spans="1:14">
      <c r="A2485" s="4" t="s">
        <v>4986</v>
      </c>
      <c r="B2485" s="4" t="s">
        <v>4987</v>
      </c>
      <c r="C2485" s="4" t="s">
        <v>19</v>
      </c>
      <c r="D2485" s="4" t="s">
        <v>13</v>
      </c>
      <c r="E2485" s="5">
        <v>111.3797</v>
      </c>
      <c r="F2485" s="5">
        <v>111.5129</v>
      </c>
      <c r="G2485" s="5">
        <v>115.1818</v>
      </c>
      <c r="H2485" s="4">
        <v>0</v>
      </c>
      <c r="I2485" s="6">
        <v>2027068</v>
      </c>
      <c r="J2485" s="7">
        <v>844.84</v>
      </c>
      <c r="K2485" s="9">
        <f>(PricingDataTable[[#This Row],[Current Price ($)]]-PricingDataTable[[#This Row],[Prior Price ($)]])/PricingDataTable[[#This Row],[Prior Price ($)]]</f>
        <v>1.1959091288628197E-3</v>
      </c>
      <c r="L2485" s="9">
        <f>(PricingDataTable[[#This Row],[Vendor Price ($)]]-PricingDataTable[[#This Row],[Current Price ($)]])/PricingDataTable[[#This Row],[Current Price ($)]]</f>
        <v>3.2901126237412835E-2</v>
      </c>
      <c r="M2485" t="str">
        <f t="shared" si="76"/>
        <v>VENDOR DIFFERENCE</v>
      </c>
      <c r="N2485" s="10" t="str">
        <f t="shared" si="77"/>
        <v>MEDIUM</v>
      </c>
    </row>
    <row r="2486" spans="1:14">
      <c r="A2486" s="4" t="s">
        <v>4988</v>
      </c>
      <c r="B2486" s="4" t="s">
        <v>4989</v>
      </c>
      <c r="C2486" s="4" t="s">
        <v>16</v>
      </c>
      <c r="D2486" s="4" t="s">
        <v>13</v>
      </c>
      <c r="E2486" s="5">
        <v>99.475899999999996</v>
      </c>
      <c r="F2486" s="5">
        <v>98.913499999999999</v>
      </c>
      <c r="G2486" s="5">
        <v>99.094700000000003</v>
      </c>
      <c r="H2486" s="4">
        <v>0</v>
      </c>
      <c r="I2486" s="6">
        <v>2689470</v>
      </c>
      <c r="J2486" s="7">
        <v>279.12</v>
      </c>
      <c r="K2486" s="9">
        <f>(PricingDataTable[[#This Row],[Current Price ($)]]-PricingDataTable[[#This Row],[Prior Price ($)]])/PricingDataTable[[#This Row],[Prior Price ($)]]</f>
        <v>-5.653630678385385E-3</v>
      </c>
      <c r="L2486" s="9">
        <f>(PricingDataTable[[#This Row],[Vendor Price ($)]]-PricingDataTable[[#This Row],[Current Price ($)]])/PricingDataTable[[#This Row],[Current Price ($)]]</f>
        <v>1.8319036329722841E-3</v>
      </c>
      <c r="M2486" t="str">
        <f t="shared" si="76"/>
        <v>PASS</v>
      </c>
      <c r="N2486" s="10" t="str">
        <f t="shared" si="77"/>
        <v>NONE</v>
      </c>
    </row>
    <row r="2487" spans="1:14">
      <c r="A2487" s="4" t="s">
        <v>4990</v>
      </c>
      <c r="B2487" s="4" t="s">
        <v>4991</v>
      </c>
      <c r="C2487" s="4" t="s">
        <v>16</v>
      </c>
      <c r="D2487" s="4" t="s">
        <v>13</v>
      </c>
      <c r="E2487" s="5">
        <v>120.4569</v>
      </c>
      <c r="F2487" s="5">
        <v>119.88849999999999</v>
      </c>
      <c r="G2487" s="5">
        <v>119.983</v>
      </c>
      <c r="H2487" s="4">
        <v>0</v>
      </c>
      <c r="I2487" s="6">
        <v>1070856</v>
      </c>
      <c r="J2487" s="7">
        <v>546.57000000000005</v>
      </c>
      <c r="K2487" s="9">
        <f>(PricingDataTable[[#This Row],[Current Price ($)]]-PricingDataTable[[#This Row],[Prior Price ($)]])/PricingDataTable[[#This Row],[Prior Price ($)]]</f>
        <v>-4.7187002155958781E-3</v>
      </c>
      <c r="L2487" s="9">
        <f>(PricingDataTable[[#This Row],[Vendor Price ($)]]-PricingDataTable[[#This Row],[Current Price ($)]])/PricingDataTable[[#This Row],[Current Price ($)]]</f>
        <v>7.8823239927107848E-4</v>
      </c>
      <c r="M2487" t="str">
        <f t="shared" si="76"/>
        <v>PASS</v>
      </c>
      <c r="N2487" s="10" t="str">
        <f t="shared" si="77"/>
        <v>NONE</v>
      </c>
    </row>
    <row r="2488" spans="1:14">
      <c r="A2488" s="4" t="s">
        <v>4992</v>
      </c>
      <c r="B2488" s="4" t="s">
        <v>4993</v>
      </c>
      <c r="C2488" s="4" t="s">
        <v>12</v>
      </c>
      <c r="D2488" s="4" t="s">
        <v>64</v>
      </c>
      <c r="E2488" s="5">
        <v>123.086</v>
      </c>
      <c r="F2488" s="5">
        <v>121.1384</v>
      </c>
      <c r="G2488" s="5">
        <v>121.8364</v>
      </c>
      <c r="H2488" s="4">
        <v>1</v>
      </c>
      <c r="I2488" s="6">
        <v>424953</v>
      </c>
      <c r="J2488" s="7">
        <v>393.11</v>
      </c>
      <c r="K2488" s="9">
        <f>(PricingDataTable[[#This Row],[Current Price ($)]]-PricingDataTable[[#This Row],[Prior Price ($)]])/PricingDataTable[[#This Row],[Prior Price ($)]]</f>
        <v>-1.582308304762519E-2</v>
      </c>
      <c r="L2488" s="9">
        <f>(PricingDataTable[[#This Row],[Vendor Price ($)]]-PricingDataTable[[#This Row],[Current Price ($)]])/PricingDataTable[[#This Row],[Current Price ($)]]</f>
        <v>5.7620044511071077E-3</v>
      </c>
      <c r="M2488" t="str">
        <f t="shared" si="76"/>
        <v>PASS</v>
      </c>
      <c r="N2488" s="10" t="str">
        <f t="shared" si="77"/>
        <v>NONE</v>
      </c>
    </row>
    <row r="2489" spans="1:14">
      <c r="A2489" s="4" t="s">
        <v>4994</v>
      </c>
      <c r="B2489" s="4" t="s">
        <v>4995</v>
      </c>
      <c r="C2489" s="4" t="s">
        <v>39</v>
      </c>
      <c r="D2489" s="4" t="s">
        <v>13</v>
      </c>
      <c r="E2489" s="5">
        <v>217.65770000000001</v>
      </c>
      <c r="F2489" s="5">
        <v>219.98259999999999</v>
      </c>
      <c r="G2489" s="5">
        <v>219.46680000000001</v>
      </c>
      <c r="H2489" s="4">
        <v>0</v>
      </c>
      <c r="I2489" s="6">
        <v>4740327</v>
      </c>
      <c r="J2489" s="7">
        <v>63.07</v>
      </c>
      <c r="K2489" s="9">
        <f>(PricingDataTable[[#This Row],[Current Price ($)]]-PricingDataTable[[#This Row],[Prior Price ($)]])/PricingDataTable[[#This Row],[Prior Price ($)]]</f>
        <v>1.068145073663824E-2</v>
      </c>
      <c r="L2489" s="9">
        <f>(PricingDataTable[[#This Row],[Vendor Price ($)]]-PricingDataTable[[#This Row],[Current Price ($)]])/PricingDataTable[[#This Row],[Current Price ($)]]</f>
        <v>-2.3447309014439531E-3</v>
      </c>
      <c r="M2489" t="str">
        <f t="shared" si="76"/>
        <v>PASS</v>
      </c>
      <c r="N2489" s="10" t="str">
        <f t="shared" si="77"/>
        <v>NONE</v>
      </c>
    </row>
    <row r="2490" spans="1:14">
      <c r="A2490" s="4" t="s">
        <v>4996</v>
      </c>
      <c r="B2490" s="4" t="s">
        <v>4997</v>
      </c>
      <c r="C2490" s="4" t="s">
        <v>39</v>
      </c>
      <c r="D2490" s="4" t="s">
        <v>64</v>
      </c>
      <c r="E2490" s="5">
        <v>83.598200000000006</v>
      </c>
      <c r="F2490" s="5">
        <v>84.936300000000003</v>
      </c>
      <c r="G2490" s="5">
        <v>84.746499999999997</v>
      </c>
      <c r="H2490" s="4">
        <v>0</v>
      </c>
      <c r="I2490" s="6">
        <v>3042974</v>
      </c>
      <c r="J2490" s="7">
        <v>283.69</v>
      </c>
      <c r="K2490" s="9">
        <f>(PricingDataTable[[#This Row],[Current Price ($)]]-PricingDataTable[[#This Row],[Prior Price ($)]])/PricingDataTable[[#This Row],[Prior Price ($)]]</f>
        <v>1.6006325495046509E-2</v>
      </c>
      <c r="L2490" s="9">
        <f>(PricingDataTable[[#This Row],[Vendor Price ($)]]-PricingDataTable[[#This Row],[Current Price ($)]])/PricingDataTable[[#This Row],[Current Price ($)]]</f>
        <v>-2.2346158238586481E-3</v>
      </c>
      <c r="M2490" t="str">
        <f t="shared" si="76"/>
        <v>PASS</v>
      </c>
      <c r="N2490" s="10" t="str">
        <f t="shared" si="77"/>
        <v>NONE</v>
      </c>
    </row>
    <row r="2491" spans="1:14">
      <c r="A2491" s="4" t="s">
        <v>4998</v>
      </c>
      <c r="B2491" s="4" t="s">
        <v>4999</v>
      </c>
      <c r="C2491" s="4" t="s">
        <v>35</v>
      </c>
      <c r="D2491" s="4" t="s">
        <v>32</v>
      </c>
      <c r="E2491" s="5">
        <v>17.001100000000001</v>
      </c>
      <c r="F2491" s="5">
        <v>16.986899999999999</v>
      </c>
      <c r="G2491" s="5">
        <v>16.933700000000002</v>
      </c>
      <c r="H2491" s="4">
        <v>0</v>
      </c>
      <c r="I2491" s="6">
        <v>2728996</v>
      </c>
      <c r="J2491" s="7">
        <v>538.32000000000005</v>
      </c>
      <c r="K2491" s="9">
        <f>(PricingDataTable[[#This Row],[Current Price ($)]]-PricingDataTable[[#This Row],[Prior Price ($)]])/PricingDataTable[[#This Row],[Prior Price ($)]]</f>
        <v>-8.3524007270132121E-4</v>
      </c>
      <c r="L2491" s="9">
        <f>(PricingDataTable[[#This Row],[Vendor Price ($)]]-PricingDataTable[[#This Row],[Current Price ($)]])/PricingDataTable[[#This Row],[Current Price ($)]]</f>
        <v>-3.1318251122922258E-3</v>
      </c>
      <c r="M2491" t="str">
        <f t="shared" si="76"/>
        <v>PASS</v>
      </c>
      <c r="N2491" s="10" t="str">
        <f t="shared" si="77"/>
        <v>NONE</v>
      </c>
    </row>
    <row r="2492" spans="1:14">
      <c r="A2492" s="4" t="s">
        <v>5000</v>
      </c>
      <c r="B2492" s="4" t="s">
        <v>5001</v>
      </c>
      <c r="C2492" s="4" t="s">
        <v>12</v>
      </c>
      <c r="D2492" s="4" t="s">
        <v>64</v>
      </c>
      <c r="E2492" s="5">
        <v>84.479500000000002</v>
      </c>
      <c r="F2492" s="5">
        <v>84.474199999999996</v>
      </c>
      <c r="G2492" s="5">
        <v>84.650800000000004</v>
      </c>
      <c r="H2492" s="4">
        <v>1</v>
      </c>
      <c r="I2492" s="6">
        <v>3510819</v>
      </c>
      <c r="J2492" s="7">
        <v>529.5</v>
      </c>
      <c r="K2492" s="9">
        <f>(PricingDataTable[[#This Row],[Current Price ($)]]-PricingDataTable[[#This Row],[Prior Price ($)]])/PricingDataTable[[#This Row],[Prior Price ($)]]</f>
        <v>-6.2737113737716381E-5</v>
      </c>
      <c r="L2492" s="9">
        <f>(PricingDataTable[[#This Row],[Vendor Price ($)]]-PricingDataTable[[#This Row],[Current Price ($)]])/PricingDataTable[[#This Row],[Current Price ($)]]</f>
        <v>2.0905791354047468E-3</v>
      </c>
      <c r="M2492" t="str">
        <f t="shared" si="76"/>
        <v>PASS</v>
      </c>
      <c r="N2492" s="10" t="str">
        <f t="shared" si="77"/>
        <v>NONE</v>
      </c>
    </row>
    <row r="2493" spans="1:14">
      <c r="A2493" s="4" t="s">
        <v>5002</v>
      </c>
      <c r="B2493" s="4" t="s">
        <v>5003</v>
      </c>
      <c r="C2493" s="4" t="s">
        <v>19</v>
      </c>
      <c r="D2493" s="4" t="s">
        <v>32</v>
      </c>
      <c r="E2493" s="5">
        <v>323.75920000000002</v>
      </c>
      <c r="F2493" s="5">
        <v>325.08120000000002</v>
      </c>
      <c r="G2493" s="5">
        <v>325.09679999999997</v>
      </c>
      <c r="H2493" s="4">
        <v>2</v>
      </c>
      <c r="I2493" s="6">
        <v>2005680</v>
      </c>
      <c r="J2493" s="7">
        <v>287.36</v>
      </c>
      <c r="K2493" s="9">
        <f>(PricingDataTable[[#This Row],[Current Price ($)]]-PricingDataTable[[#This Row],[Prior Price ($)]])/PricingDataTable[[#This Row],[Prior Price ($)]]</f>
        <v>4.0832816488303733E-3</v>
      </c>
      <c r="L2493" s="9">
        <f>(PricingDataTable[[#This Row],[Vendor Price ($)]]-PricingDataTable[[#This Row],[Current Price ($)]])/PricingDataTable[[#This Row],[Current Price ($)]]</f>
        <v>4.7988010380020223E-5</v>
      </c>
      <c r="M2493" t="str">
        <f t="shared" si="76"/>
        <v>PASS</v>
      </c>
      <c r="N2493" s="10" t="str">
        <f t="shared" si="77"/>
        <v>NONE</v>
      </c>
    </row>
    <row r="2494" spans="1:14">
      <c r="A2494" s="4" t="s">
        <v>5004</v>
      </c>
      <c r="B2494" s="4" t="s">
        <v>5005</v>
      </c>
      <c r="C2494" s="4" t="s">
        <v>19</v>
      </c>
      <c r="D2494" s="4" t="s">
        <v>13</v>
      </c>
      <c r="E2494" s="5">
        <v>316.64100000000002</v>
      </c>
      <c r="F2494" s="5">
        <v>324.15940000000001</v>
      </c>
      <c r="G2494" s="5">
        <v>323.10289999999998</v>
      </c>
      <c r="H2494" s="4">
        <v>0</v>
      </c>
      <c r="I2494" s="6">
        <v>3122677</v>
      </c>
      <c r="J2494" s="7">
        <v>196.4</v>
      </c>
      <c r="K2494" s="9">
        <f>(PricingDataTable[[#This Row],[Current Price ($)]]-PricingDataTable[[#This Row],[Prior Price ($)]])/PricingDataTable[[#This Row],[Prior Price ($)]]</f>
        <v>2.3744240322636629E-2</v>
      </c>
      <c r="L2494" s="9">
        <f>(PricingDataTable[[#This Row],[Vendor Price ($)]]-PricingDataTable[[#This Row],[Current Price ($)]])/PricingDataTable[[#This Row],[Current Price ($)]]</f>
        <v>-3.2591990236902836E-3</v>
      </c>
      <c r="M2494" t="str">
        <f t="shared" si="76"/>
        <v>PASS</v>
      </c>
      <c r="N2494" s="10" t="str">
        <f t="shared" si="77"/>
        <v>NONE</v>
      </c>
    </row>
    <row r="2495" spans="1:14">
      <c r="A2495" s="4" t="s">
        <v>5006</v>
      </c>
      <c r="B2495" s="4" t="s">
        <v>5007</v>
      </c>
      <c r="C2495" s="4" t="s">
        <v>12</v>
      </c>
      <c r="D2495" s="4" t="s">
        <v>36</v>
      </c>
      <c r="E2495" s="5">
        <v>108.2801</v>
      </c>
      <c r="F2495" s="5">
        <v>109.1232</v>
      </c>
      <c r="G2495" s="5">
        <v>109.989</v>
      </c>
      <c r="H2495" s="4">
        <v>0</v>
      </c>
      <c r="I2495" s="6">
        <v>2775159</v>
      </c>
      <c r="J2495" s="7">
        <v>255.46</v>
      </c>
      <c r="K2495" s="9">
        <f>(PricingDataTable[[#This Row],[Current Price ($)]]-PricingDataTable[[#This Row],[Prior Price ($)]])/PricingDataTable[[#This Row],[Prior Price ($)]]</f>
        <v>7.7862876003992661E-3</v>
      </c>
      <c r="L2495" s="9">
        <f>(PricingDataTable[[#This Row],[Vendor Price ($)]]-PricingDataTable[[#This Row],[Current Price ($)]])/PricingDataTable[[#This Row],[Current Price ($)]]</f>
        <v>7.9341514911586836E-3</v>
      </c>
      <c r="M2495" t="str">
        <f t="shared" si="76"/>
        <v>PASS</v>
      </c>
      <c r="N2495" s="10" t="str">
        <f t="shared" si="77"/>
        <v>NONE</v>
      </c>
    </row>
    <row r="2496" spans="1:14">
      <c r="A2496" s="4" t="s">
        <v>5008</v>
      </c>
      <c r="B2496" s="4" t="s">
        <v>5009</v>
      </c>
      <c r="C2496" s="4" t="s">
        <v>16</v>
      </c>
      <c r="D2496" s="4" t="s">
        <v>13</v>
      </c>
      <c r="E2496" s="5">
        <v>102.637</v>
      </c>
      <c r="F2496" s="5">
        <v>112.0557</v>
      </c>
      <c r="G2496" s="5">
        <v>112.40479999999999</v>
      </c>
      <c r="H2496" s="4">
        <v>0</v>
      </c>
      <c r="I2496" s="6">
        <v>3176432</v>
      </c>
      <c r="J2496" s="7">
        <v>318.47000000000003</v>
      </c>
      <c r="K2496" s="9">
        <f>(PricingDataTable[[#This Row],[Current Price ($)]]-PricingDataTable[[#This Row],[Prior Price ($)]])/PricingDataTable[[#This Row],[Prior Price ($)]]</f>
        <v>9.1767101532585729E-2</v>
      </c>
      <c r="L2496" s="9">
        <f>(PricingDataTable[[#This Row],[Vendor Price ($)]]-PricingDataTable[[#This Row],[Current Price ($)]])/PricingDataTable[[#This Row],[Current Price ($)]]</f>
        <v>3.115414923114066E-3</v>
      </c>
      <c r="M2496" t="str">
        <f t="shared" si="76"/>
        <v>LARGE MOVE</v>
      </c>
      <c r="N2496" s="10" t="str">
        <f t="shared" si="77"/>
        <v>MEDIUM</v>
      </c>
    </row>
    <row r="2497" spans="1:14">
      <c r="A2497" s="4" t="s">
        <v>5010</v>
      </c>
      <c r="B2497" s="4" t="s">
        <v>5011</v>
      </c>
      <c r="C2497" s="4" t="s">
        <v>39</v>
      </c>
      <c r="D2497" s="4" t="s">
        <v>13</v>
      </c>
      <c r="E2497" s="5">
        <v>328.88990000000001</v>
      </c>
      <c r="F2497" s="5">
        <v>329.36320000000001</v>
      </c>
      <c r="G2497" s="5">
        <v>328.47989999999999</v>
      </c>
      <c r="H2497" s="4">
        <v>0</v>
      </c>
      <c r="I2497" s="6">
        <v>2631517</v>
      </c>
      <c r="J2497" s="7">
        <v>875.59</v>
      </c>
      <c r="K2497" s="9">
        <f>(PricingDataTable[[#This Row],[Current Price ($)]]-PricingDataTable[[#This Row],[Prior Price ($)]])/PricingDataTable[[#This Row],[Prior Price ($)]]</f>
        <v>1.4390834136286785E-3</v>
      </c>
      <c r="L2497" s="9">
        <f>(PricingDataTable[[#This Row],[Vendor Price ($)]]-PricingDataTable[[#This Row],[Current Price ($)]])/PricingDataTable[[#This Row],[Current Price ($)]]</f>
        <v>-2.6818418086781391E-3</v>
      </c>
      <c r="M2497" t="str">
        <f t="shared" si="76"/>
        <v>PASS</v>
      </c>
      <c r="N2497" s="10" t="str">
        <f t="shared" si="77"/>
        <v>NONE</v>
      </c>
    </row>
    <row r="2498" spans="1:14">
      <c r="A2498" s="4" t="s">
        <v>5012</v>
      </c>
      <c r="B2498" s="4" t="s">
        <v>5013</v>
      </c>
      <c r="C2498" s="4" t="s">
        <v>16</v>
      </c>
      <c r="D2498" s="4" t="s">
        <v>32</v>
      </c>
      <c r="E2498" s="5">
        <v>117.15649999999999</v>
      </c>
      <c r="F2498" s="5">
        <v>115.33280000000001</v>
      </c>
      <c r="G2498" s="5">
        <v>115.3336</v>
      </c>
      <c r="H2498" s="4">
        <v>0</v>
      </c>
      <c r="I2498" s="6">
        <v>3455773</v>
      </c>
      <c r="J2498" s="7">
        <v>11.54</v>
      </c>
      <c r="K2498" s="9">
        <f>(PricingDataTable[[#This Row],[Current Price ($)]]-PricingDataTable[[#This Row],[Prior Price ($)]])/PricingDataTable[[#This Row],[Prior Price ($)]]</f>
        <v>-1.5566357820522021E-2</v>
      </c>
      <c r="L2498" s="9">
        <f>(PricingDataTable[[#This Row],[Vendor Price ($)]]-PricingDataTable[[#This Row],[Current Price ($)]])/PricingDataTable[[#This Row],[Current Price ($)]]</f>
        <v>6.9364482610162544E-6</v>
      </c>
      <c r="M2498" t="str">
        <f t="shared" ref="M2498:M2561" si="78">IF(OR(F2498="",F2498=0),"MISSING",IF(H2498&gt;=3,"STALE",IF(ABS(K2498)&gt;=5%,"LARGE MOVE",IF(ABS(L2498)&gt;=2%,"VENDOR DIFFERENCE","PASS"))))</f>
        <v>PASS</v>
      </c>
      <c r="N2498" s="10" t="str">
        <f t="shared" ref="N2498:N2561" si="79">IF(M2498="PASS","NONE",IF(M2498="MISSING","HIGH",IF(OR(ABS(K2498)&gt;=10%,ABS(L2498)&gt;=5%),"HIGH",IF(OR(ABS(K2498)&gt;=7%,ABS(L2498)&gt;=3%,H2498&gt;=5),"MEDIUM","LOW"))))</f>
        <v>NONE</v>
      </c>
    </row>
    <row r="2499" spans="1:14">
      <c r="A2499" s="4" t="s">
        <v>5014</v>
      </c>
      <c r="B2499" s="4" t="s">
        <v>5015</v>
      </c>
      <c r="C2499" s="4" t="s">
        <v>12</v>
      </c>
      <c r="D2499" s="4" t="s">
        <v>13</v>
      </c>
      <c r="E2499" s="5">
        <v>90.738799999999998</v>
      </c>
      <c r="F2499" s="5">
        <v>91.602999999999994</v>
      </c>
      <c r="G2499" s="5">
        <v>92.084800000000001</v>
      </c>
      <c r="H2499" s="4">
        <v>0</v>
      </c>
      <c r="I2499" s="6">
        <v>1544601</v>
      </c>
      <c r="J2499" s="7">
        <v>873.69</v>
      </c>
      <c r="K2499" s="9">
        <f>(PricingDataTable[[#This Row],[Current Price ($)]]-PricingDataTable[[#This Row],[Prior Price ($)]])/PricingDataTable[[#This Row],[Prior Price ($)]]</f>
        <v>9.5240404325381955E-3</v>
      </c>
      <c r="L2499" s="9">
        <f>(PricingDataTable[[#This Row],[Vendor Price ($)]]-PricingDataTable[[#This Row],[Current Price ($)]])/PricingDataTable[[#This Row],[Current Price ($)]]</f>
        <v>5.2596530681310316E-3</v>
      </c>
      <c r="M2499" t="str">
        <f t="shared" si="78"/>
        <v>PASS</v>
      </c>
      <c r="N2499" s="10" t="str">
        <f t="shared" si="79"/>
        <v>NONE</v>
      </c>
    </row>
    <row r="2500" spans="1:14">
      <c r="A2500" s="4" t="s">
        <v>5016</v>
      </c>
      <c r="B2500" s="4" t="s">
        <v>5017</v>
      </c>
      <c r="C2500" s="4" t="s">
        <v>19</v>
      </c>
      <c r="D2500" s="4" t="s">
        <v>13</v>
      </c>
      <c r="E2500" s="5">
        <v>128.76929999999999</v>
      </c>
      <c r="F2500" s="5">
        <v>130.67420000000001</v>
      </c>
      <c r="G2500" s="5">
        <v>130.3998</v>
      </c>
      <c r="H2500" s="4">
        <v>0</v>
      </c>
      <c r="I2500" s="6">
        <v>379106</v>
      </c>
      <c r="J2500" s="7">
        <v>245.86</v>
      </c>
      <c r="K2500" s="9">
        <f>(PricingDataTable[[#This Row],[Current Price ($)]]-PricingDataTable[[#This Row],[Prior Price ($)]])/PricingDataTable[[#This Row],[Prior Price ($)]]</f>
        <v>1.4793122273709856E-2</v>
      </c>
      <c r="L2500" s="9">
        <f>(PricingDataTable[[#This Row],[Vendor Price ($)]]-PricingDataTable[[#This Row],[Current Price ($)]])/PricingDataTable[[#This Row],[Current Price ($)]]</f>
        <v>-2.0998789355512731E-3</v>
      </c>
      <c r="M2500" t="str">
        <f t="shared" si="78"/>
        <v>PASS</v>
      </c>
      <c r="N2500" s="10" t="str">
        <f t="shared" si="79"/>
        <v>NONE</v>
      </c>
    </row>
    <row r="2501" spans="1:14">
      <c r="A2501" s="4" t="s">
        <v>5018</v>
      </c>
      <c r="B2501" s="4" t="s">
        <v>5019</v>
      </c>
      <c r="C2501" s="4" t="s">
        <v>35</v>
      </c>
      <c r="D2501" s="4" t="s">
        <v>13</v>
      </c>
      <c r="E2501" s="5">
        <v>12.2203</v>
      </c>
      <c r="F2501" s="5">
        <v>12.098699999999999</v>
      </c>
      <c r="G2501" s="5">
        <v>12.0709</v>
      </c>
      <c r="H2501" s="4">
        <v>0</v>
      </c>
      <c r="I2501" s="6">
        <v>1023233</v>
      </c>
      <c r="J2501" s="7">
        <v>14.72</v>
      </c>
      <c r="K2501" s="9">
        <f>(PricingDataTable[[#This Row],[Current Price ($)]]-PricingDataTable[[#This Row],[Prior Price ($)]])/PricingDataTable[[#This Row],[Prior Price ($)]]</f>
        <v>-9.9506558758787281E-3</v>
      </c>
      <c r="L2501" s="9">
        <f>(PricingDataTable[[#This Row],[Vendor Price ($)]]-PricingDataTable[[#This Row],[Current Price ($)]])/PricingDataTable[[#This Row],[Current Price ($)]]</f>
        <v>-2.2977675287426881E-3</v>
      </c>
      <c r="M2501" t="str">
        <f t="shared" si="78"/>
        <v>PASS</v>
      </c>
      <c r="N2501" s="10" t="str">
        <f t="shared" si="79"/>
        <v>NONE</v>
      </c>
    </row>
    <row r="2502" spans="1:14">
      <c r="A2502" s="4" t="s">
        <v>5020</v>
      </c>
      <c r="B2502" s="4" t="s">
        <v>5021</v>
      </c>
      <c r="C2502" s="4" t="s">
        <v>12</v>
      </c>
      <c r="D2502" s="4" t="s">
        <v>13</v>
      </c>
      <c r="E2502" s="5">
        <v>119.6246</v>
      </c>
      <c r="F2502" s="5">
        <v>118.69329999999999</v>
      </c>
      <c r="G2502" s="5">
        <v>118.26560000000001</v>
      </c>
      <c r="H2502" s="4">
        <v>0</v>
      </c>
      <c r="I2502" s="6">
        <v>2564659</v>
      </c>
      <c r="J2502" s="7">
        <v>511.08</v>
      </c>
      <c r="K2502" s="9">
        <f>(PricingDataTable[[#This Row],[Current Price ($)]]-PricingDataTable[[#This Row],[Prior Price ($)]])/PricingDataTable[[#This Row],[Prior Price ($)]]</f>
        <v>-7.7851879964489527E-3</v>
      </c>
      <c r="L2502" s="9">
        <f>(PricingDataTable[[#This Row],[Vendor Price ($)]]-PricingDataTable[[#This Row],[Current Price ($)]])/PricingDataTable[[#This Row],[Current Price ($)]]</f>
        <v>-3.6034047414638176E-3</v>
      </c>
      <c r="M2502" t="str">
        <f t="shared" si="78"/>
        <v>PASS</v>
      </c>
      <c r="N2502" s="10" t="str">
        <f t="shared" si="79"/>
        <v>NONE</v>
      </c>
    </row>
    <row r="2503" spans="1:14">
      <c r="A2503" s="4" t="s">
        <v>5022</v>
      </c>
      <c r="B2503" s="4" t="s">
        <v>5023</v>
      </c>
      <c r="C2503" s="4" t="s">
        <v>19</v>
      </c>
      <c r="D2503" s="4" t="s">
        <v>13</v>
      </c>
      <c r="E2503" s="5">
        <v>155.9211</v>
      </c>
      <c r="F2503" s="5">
        <v>154.40389999999999</v>
      </c>
      <c r="G2503" s="5">
        <v>153.91069999999999</v>
      </c>
      <c r="H2503" s="4">
        <v>3</v>
      </c>
      <c r="I2503" s="6">
        <v>2467737</v>
      </c>
      <c r="J2503" s="7">
        <v>676.42</v>
      </c>
      <c r="K2503" s="9">
        <f>(PricingDataTable[[#This Row],[Current Price ($)]]-PricingDataTable[[#This Row],[Prior Price ($)]])/PricingDataTable[[#This Row],[Prior Price ($)]]</f>
        <v>-9.7305624447236623E-3</v>
      </c>
      <c r="L2503" s="9">
        <f>(PricingDataTable[[#This Row],[Vendor Price ($)]]-PricingDataTable[[#This Row],[Current Price ($)]])/PricingDataTable[[#This Row],[Current Price ($)]]</f>
        <v>-3.1942198351207558E-3</v>
      </c>
      <c r="M2503" t="str">
        <f t="shared" si="78"/>
        <v>STALE</v>
      </c>
      <c r="N2503" s="10" t="str">
        <f t="shared" si="79"/>
        <v>LOW</v>
      </c>
    </row>
    <row r="2504" spans="1:14">
      <c r="A2504" s="4" t="s">
        <v>5024</v>
      </c>
      <c r="B2504" s="4" t="s">
        <v>5025</v>
      </c>
      <c r="C2504" s="4" t="s">
        <v>12</v>
      </c>
      <c r="D2504" s="4" t="s">
        <v>13</v>
      </c>
      <c r="E2504" s="5">
        <v>122.5442</v>
      </c>
      <c r="F2504" s="5">
        <v>121.7518</v>
      </c>
      <c r="G2504" s="5">
        <v>121.8321</v>
      </c>
      <c r="H2504" s="4">
        <v>0</v>
      </c>
      <c r="I2504" s="6">
        <v>1863111</v>
      </c>
      <c r="J2504" s="7">
        <v>388.4</v>
      </c>
      <c r="K2504" s="9">
        <f>(PricingDataTable[[#This Row],[Current Price ($)]]-PricingDataTable[[#This Row],[Prior Price ($)]])/PricingDataTable[[#This Row],[Prior Price ($)]]</f>
        <v>-6.4662383042200337E-3</v>
      </c>
      <c r="L2504" s="9">
        <f>(PricingDataTable[[#This Row],[Vendor Price ($)]]-PricingDataTable[[#This Row],[Current Price ($)]])/PricingDataTable[[#This Row],[Current Price ($)]]</f>
        <v>6.5953850374281156E-4</v>
      </c>
      <c r="M2504" t="str">
        <f t="shared" si="78"/>
        <v>PASS</v>
      </c>
      <c r="N2504" s="10" t="str">
        <f t="shared" si="79"/>
        <v>NONE</v>
      </c>
    </row>
    <row r="2505" spans="1:14">
      <c r="A2505" s="4" t="s">
        <v>5026</v>
      </c>
      <c r="B2505" s="4" t="s">
        <v>5027</v>
      </c>
      <c r="C2505" s="4" t="s">
        <v>12</v>
      </c>
      <c r="D2505" s="4" t="s">
        <v>13</v>
      </c>
      <c r="E2505" s="5">
        <v>90.464799999999997</v>
      </c>
      <c r="F2505" s="5">
        <v>89.184700000000007</v>
      </c>
      <c r="G2505" s="5">
        <v>89.148799999999994</v>
      </c>
      <c r="H2505" s="4">
        <v>2</v>
      </c>
      <c r="I2505" s="6">
        <v>4860364</v>
      </c>
      <c r="J2505" s="7">
        <v>162.85</v>
      </c>
      <c r="K2505" s="9">
        <f>(PricingDataTable[[#This Row],[Current Price ($)]]-PricingDataTable[[#This Row],[Prior Price ($)]])/PricingDataTable[[#This Row],[Prior Price ($)]]</f>
        <v>-1.4150255126855863E-2</v>
      </c>
      <c r="L2505" s="9">
        <f>(PricingDataTable[[#This Row],[Vendor Price ($)]]-PricingDataTable[[#This Row],[Current Price ($)]])/PricingDataTable[[#This Row],[Current Price ($)]]</f>
        <v>-4.0253541246438294E-4</v>
      </c>
      <c r="M2505" t="str">
        <f t="shared" si="78"/>
        <v>PASS</v>
      </c>
      <c r="N2505" s="10" t="str">
        <f t="shared" si="79"/>
        <v>NONE</v>
      </c>
    </row>
    <row r="2506" spans="1:14">
      <c r="A2506" s="4" t="s">
        <v>5028</v>
      </c>
      <c r="B2506" s="4" t="s">
        <v>5029</v>
      </c>
      <c r="C2506" s="4" t="s">
        <v>19</v>
      </c>
      <c r="D2506" s="4" t="s">
        <v>13</v>
      </c>
      <c r="E2506" s="5">
        <v>71.0518</v>
      </c>
      <c r="F2506" s="5">
        <v>70.013800000000003</v>
      </c>
      <c r="G2506" s="5">
        <v>70.252899999999997</v>
      </c>
      <c r="H2506" s="4">
        <v>1</v>
      </c>
      <c r="I2506" s="6">
        <v>1333443</v>
      </c>
      <c r="J2506" s="7">
        <v>439.16</v>
      </c>
      <c r="K2506" s="9">
        <f>(PricingDataTable[[#This Row],[Current Price ($)]]-PricingDataTable[[#This Row],[Prior Price ($)]])/PricingDataTable[[#This Row],[Prior Price ($)]]</f>
        <v>-1.4609059868996939E-2</v>
      </c>
      <c r="L2506" s="9">
        <f>(PricingDataTable[[#This Row],[Vendor Price ($)]]-PricingDataTable[[#This Row],[Current Price ($)]])/PricingDataTable[[#This Row],[Current Price ($)]]</f>
        <v>3.4150410347673376E-3</v>
      </c>
      <c r="M2506" t="str">
        <f t="shared" si="78"/>
        <v>PASS</v>
      </c>
      <c r="N2506" s="10" t="str">
        <f t="shared" si="79"/>
        <v>NONE</v>
      </c>
    </row>
    <row r="2507" spans="1:14">
      <c r="A2507" s="4" t="s">
        <v>5030</v>
      </c>
      <c r="B2507" s="4" t="s">
        <v>5031</v>
      </c>
      <c r="C2507" s="4" t="s">
        <v>12</v>
      </c>
      <c r="D2507" s="4" t="s">
        <v>64</v>
      </c>
      <c r="E2507" s="5">
        <v>121.09059999999999</v>
      </c>
      <c r="F2507" s="5">
        <v>121.93510000000001</v>
      </c>
      <c r="G2507" s="5">
        <v>121.4836</v>
      </c>
      <c r="H2507" s="4">
        <v>1</v>
      </c>
      <c r="I2507" s="6">
        <v>2022347</v>
      </c>
      <c r="J2507" s="7">
        <v>228.13</v>
      </c>
      <c r="K2507" s="9">
        <f>(PricingDataTable[[#This Row],[Current Price ($)]]-PricingDataTable[[#This Row],[Prior Price ($)]])/PricingDataTable[[#This Row],[Prior Price ($)]]</f>
        <v>6.9741169008990852E-3</v>
      </c>
      <c r="L2507" s="9">
        <f>(PricingDataTable[[#This Row],[Vendor Price ($)]]-PricingDataTable[[#This Row],[Current Price ($)]])/PricingDataTable[[#This Row],[Current Price ($)]]</f>
        <v>-3.7027894347075613E-3</v>
      </c>
      <c r="M2507" t="str">
        <f t="shared" si="78"/>
        <v>PASS</v>
      </c>
      <c r="N2507" s="10" t="str">
        <f t="shared" si="79"/>
        <v>NONE</v>
      </c>
    </row>
    <row r="2508" spans="1:14">
      <c r="A2508" s="4" t="s">
        <v>5032</v>
      </c>
      <c r="B2508" s="4" t="s">
        <v>5033</v>
      </c>
      <c r="C2508" s="4" t="s">
        <v>16</v>
      </c>
      <c r="D2508" s="4" t="s">
        <v>13</v>
      </c>
      <c r="E2508" s="5">
        <v>92.671899999999994</v>
      </c>
      <c r="F2508" s="5">
        <v>93.536299999999997</v>
      </c>
      <c r="G2508" s="5">
        <v>93.445700000000002</v>
      </c>
      <c r="H2508" s="4">
        <v>0</v>
      </c>
      <c r="I2508" s="6">
        <v>3321677</v>
      </c>
      <c r="J2508" s="7">
        <v>152.09</v>
      </c>
      <c r="K2508" s="9">
        <f>(PricingDataTable[[#This Row],[Current Price ($)]]-PricingDataTable[[#This Row],[Prior Price ($)]])/PricingDataTable[[#This Row],[Prior Price ($)]]</f>
        <v>9.3275307833334958E-3</v>
      </c>
      <c r="L2508" s="9">
        <f>(PricingDataTable[[#This Row],[Vendor Price ($)]]-PricingDataTable[[#This Row],[Current Price ($)]])/PricingDataTable[[#This Row],[Current Price ($)]]</f>
        <v>-9.6860790944258972E-4</v>
      </c>
      <c r="M2508" t="str">
        <f t="shared" si="78"/>
        <v>PASS</v>
      </c>
      <c r="N2508" s="10" t="str">
        <f t="shared" si="79"/>
        <v>NONE</v>
      </c>
    </row>
    <row r="2509" spans="1:14">
      <c r="A2509" s="4" t="s">
        <v>5034</v>
      </c>
      <c r="B2509" s="4" t="s">
        <v>5035</v>
      </c>
      <c r="C2509" s="4" t="s">
        <v>39</v>
      </c>
      <c r="D2509" s="4" t="s">
        <v>32</v>
      </c>
      <c r="E2509" s="5">
        <v>245.82579999999999</v>
      </c>
      <c r="F2509" s="5">
        <v>252.608</v>
      </c>
      <c r="G2509" s="5">
        <v>252.1104</v>
      </c>
      <c r="H2509" s="4">
        <v>4</v>
      </c>
      <c r="I2509" s="6">
        <v>160436</v>
      </c>
      <c r="J2509" s="7">
        <v>678.57</v>
      </c>
      <c r="K2509" s="9">
        <f>(PricingDataTable[[#This Row],[Current Price ($)]]-PricingDataTable[[#This Row],[Prior Price ($)]])/PricingDataTable[[#This Row],[Prior Price ($)]]</f>
        <v>2.7589455622640167E-2</v>
      </c>
      <c r="L2509" s="9">
        <f>(PricingDataTable[[#This Row],[Vendor Price ($)]]-PricingDataTable[[#This Row],[Current Price ($)]])/PricingDataTable[[#This Row],[Current Price ($)]]</f>
        <v>-1.9698505193818309E-3</v>
      </c>
      <c r="M2509" t="str">
        <f t="shared" si="78"/>
        <v>STALE</v>
      </c>
      <c r="N2509" s="10" t="str">
        <f t="shared" si="79"/>
        <v>LOW</v>
      </c>
    </row>
    <row r="2510" spans="1:14">
      <c r="A2510" s="4" t="s">
        <v>5036</v>
      </c>
      <c r="B2510" s="4" t="s">
        <v>5037</v>
      </c>
      <c r="C2510" s="4" t="s">
        <v>16</v>
      </c>
      <c r="D2510" s="4" t="s">
        <v>13</v>
      </c>
      <c r="E2510" s="5">
        <v>96.362200000000001</v>
      </c>
      <c r="F2510" s="5">
        <v>96.043599999999998</v>
      </c>
      <c r="G2510" s="5">
        <v>95.754900000000006</v>
      </c>
      <c r="H2510" s="4">
        <v>0</v>
      </c>
      <c r="I2510" s="6">
        <v>1912412</v>
      </c>
      <c r="J2510" s="7">
        <v>625.91999999999996</v>
      </c>
      <c r="K2510" s="9">
        <f>(PricingDataTable[[#This Row],[Current Price ($)]]-PricingDataTable[[#This Row],[Prior Price ($)]])/PricingDataTable[[#This Row],[Prior Price ($)]]</f>
        <v>-3.3062756973170344E-3</v>
      </c>
      <c r="L2510" s="9">
        <f>(PricingDataTable[[#This Row],[Vendor Price ($)]]-PricingDataTable[[#This Row],[Current Price ($)]])/PricingDataTable[[#This Row],[Current Price ($)]]</f>
        <v>-3.0059264750591556E-3</v>
      </c>
      <c r="M2510" t="str">
        <f t="shared" si="78"/>
        <v>PASS</v>
      </c>
      <c r="N2510" s="10" t="str">
        <f t="shared" si="79"/>
        <v>NONE</v>
      </c>
    </row>
    <row r="2511" spans="1:14">
      <c r="A2511" s="4" t="s">
        <v>5038</v>
      </c>
      <c r="B2511" s="4" t="s">
        <v>5039</v>
      </c>
      <c r="C2511" s="4" t="s">
        <v>16</v>
      </c>
      <c r="D2511" s="4" t="s">
        <v>13</v>
      </c>
      <c r="E2511" s="5">
        <v>81.065299999999993</v>
      </c>
      <c r="F2511" s="5">
        <v>80.509500000000003</v>
      </c>
      <c r="G2511" s="5">
        <v>80.4345</v>
      </c>
      <c r="H2511" s="4">
        <v>1</v>
      </c>
      <c r="I2511" s="6">
        <v>1708006</v>
      </c>
      <c r="J2511" s="7">
        <v>444.66</v>
      </c>
      <c r="K2511" s="9">
        <f>(PricingDataTable[[#This Row],[Current Price ($)]]-PricingDataTable[[#This Row],[Prior Price ($)]])/PricingDataTable[[#This Row],[Prior Price ($)]]</f>
        <v>-6.8562011119429741E-3</v>
      </c>
      <c r="L2511" s="9">
        <f>(PricingDataTable[[#This Row],[Vendor Price ($)]]-PricingDataTable[[#This Row],[Current Price ($)]])/PricingDataTable[[#This Row],[Current Price ($)]]</f>
        <v>-9.3156708214562061E-4</v>
      </c>
      <c r="M2511" t="str">
        <f t="shared" si="78"/>
        <v>PASS</v>
      </c>
      <c r="N2511" s="10" t="str">
        <f t="shared" si="79"/>
        <v>NONE</v>
      </c>
    </row>
    <row r="2512" spans="1:14">
      <c r="A2512" s="4" t="s">
        <v>5040</v>
      </c>
      <c r="B2512" s="4" t="s">
        <v>5041</v>
      </c>
      <c r="C2512" s="4" t="s">
        <v>35</v>
      </c>
      <c r="D2512" s="4" t="s">
        <v>13</v>
      </c>
      <c r="E2512" s="5">
        <v>174.6122</v>
      </c>
      <c r="F2512" s="5">
        <v>174.47559999999999</v>
      </c>
      <c r="G2512" s="5">
        <v>174.46420000000001</v>
      </c>
      <c r="H2512" s="4">
        <v>0</v>
      </c>
      <c r="I2512" s="6">
        <v>1805064</v>
      </c>
      <c r="J2512" s="7">
        <v>86.4</v>
      </c>
      <c r="K2512" s="9">
        <f>(PricingDataTable[[#This Row],[Current Price ($)]]-PricingDataTable[[#This Row],[Prior Price ($)]])/PricingDataTable[[#This Row],[Prior Price ($)]]</f>
        <v>-7.8230501648805524E-4</v>
      </c>
      <c r="L2512" s="9">
        <f>(PricingDataTable[[#This Row],[Vendor Price ($)]]-PricingDataTable[[#This Row],[Current Price ($)]])/PricingDataTable[[#This Row],[Current Price ($)]]</f>
        <v>-6.5338649071735748E-5</v>
      </c>
      <c r="M2512" t="str">
        <f t="shared" si="78"/>
        <v>PASS</v>
      </c>
      <c r="N2512" s="10" t="str">
        <f t="shared" si="79"/>
        <v>NONE</v>
      </c>
    </row>
    <row r="2513" spans="1:14">
      <c r="A2513" s="4" t="s">
        <v>5042</v>
      </c>
      <c r="B2513" s="4" t="s">
        <v>5043</v>
      </c>
      <c r="C2513" s="4" t="s">
        <v>19</v>
      </c>
      <c r="D2513" s="4" t="s">
        <v>13</v>
      </c>
      <c r="E2513" s="5">
        <v>90.237399999999994</v>
      </c>
      <c r="F2513" s="5">
        <v>90.741699999999994</v>
      </c>
      <c r="G2513" s="5">
        <v>90.832999999999998</v>
      </c>
      <c r="H2513" s="4">
        <v>1</v>
      </c>
      <c r="I2513" s="6">
        <v>1820077</v>
      </c>
      <c r="J2513" s="7">
        <v>611.05999999999995</v>
      </c>
      <c r="K2513" s="9">
        <f>(PricingDataTable[[#This Row],[Current Price ($)]]-PricingDataTable[[#This Row],[Prior Price ($)]])/PricingDataTable[[#This Row],[Prior Price ($)]]</f>
        <v>5.5885918698898758E-3</v>
      </c>
      <c r="L2513" s="9">
        <f>(PricingDataTable[[#This Row],[Vendor Price ($)]]-PricingDataTable[[#This Row],[Current Price ($)]])/PricingDataTable[[#This Row],[Current Price ($)]]</f>
        <v>1.0061526288355181E-3</v>
      </c>
      <c r="M2513" t="str">
        <f t="shared" si="78"/>
        <v>PASS</v>
      </c>
      <c r="N2513" s="10" t="str">
        <f t="shared" si="79"/>
        <v>NONE</v>
      </c>
    </row>
    <row r="2514" spans="1:14">
      <c r="A2514" s="4" t="s">
        <v>5044</v>
      </c>
      <c r="B2514" s="4" t="s">
        <v>5045</v>
      </c>
      <c r="C2514" s="4" t="s">
        <v>12</v>
      </c>
      <c r="D2514" s="4" t="s">
        <v>13</v>
      </c>
      <c r="E2514" s="5">
        <v>83.398099999999999</v>
      </c>
      <c r="F2514" s="5">
        <v>84.116900000000001</v>
      </c>
      <c r="G2514" s="5">
        <v>84.170199999999994</v>
      </c>
      <c r="H2514" s="4">
        <v>0</v>
      </c>
      <c r="I2514" s="6">
        <v>2917582</v>
      </c>
      <c r="J2514" s="7">
        <v>544.03</v>
      </c>
      <c r="K2514" s="9">
        <f>(PricingDataTable[[#This Row],[Current Price ($)]]-PricingDataTable[[#This Row],[Prior Price ($)]])/PricingDataTable[[#This Row],[Prior Price ($)]]</f>
        <v>8.6189013898398358E-3</v>
      </c>
      <c r="L2514" s="9">
        <f>(PricingDataTable[[#This Row],[Vendor Price ($)]]-PricingDataTable[[#This Row],[Current Price ($)]])/PricingDataTable[[#This Row],[Current Price ($)]]</f>
        <v>6.3364199108613157E-4</v>
      </c>
      <c r="M2514" t="str">
        <f t="shared" si="78"/>
        <v>PASS</v>
      </c>
      <c r="N2514" s="10" t="str">
        <f t="shared" si="79"/>
        <v>NONE</v>
      </c>
    </row>
    <row r="2515" spans="1:14">
      <c r="A2515" s="4" t="s">
        <v>5046</v>
      </c>
      <c r="B2515" s="4" t="s">
        <v>5047</v>
      </c>
      <c r="C2515" s="4" t="s">
        <v>12</v>
      </c>
      <c r="D2515" s="4" t="s">
        <v>13</v>
      </c>
      <c r="E2515" s="5">
        <v>106.78019999999999</v>
      </c>
      <c r="F2515" s="5">
        <v>105.4307</v>
      </c>
      <c r="G2515" s="5">
        <v>96.126999999999995</v>
      </c>
      <c r="H2515" s="4">
        <v>0</v>
      </c>
      <c r="I2515" s="6">
        <v>665230</v>
      </c>
      <c r="J2515" s="7">
        <v>856.11</v>
      </c>
      <c r="K2515" s="9">
        <f>(PricingDataTable[[#This Row],[Current Price ($)]]-PricingDataTable[[#This Row],[Prior Price ($)]])/PricingDataTable[[#This Row],[Prior Price ($)]]</f>
        <v>-1.2638110810805674E-2</v>
      </c>
      <c r="L2515" s="9">
        <f>(PricingDataTable[[#This Row],[Vendor Price ($)]]-PricingDataTable[[#This Row],[Current Price ($)]])/PricingDataTable[[#This Row],[Current Price ($)]]</f>
        <v>-8.8244695330676984E-2</v>
      </c>
      <c r="M2515" t="str">
        <f t="shared" si="78"/>
        <v>VENDOR DIFFERENCE</v>
      </c>
      <c r="N2515" s="10" t="str">
        <f t="shared" si="79"/>
        <v>HIGH</v>
      </c>
    </row>
    <row r="2516" spans="1:14">
      <c r="A2516" s="4" t="s">
        <v>5048</v>
      </c>
      <c r="B2516" s="4" t="s">
        <v>5049</v>
      </c>
      <c r="C2516" s="4" t="s">
        <v>39</v>
      </c>
      <c r="D2516" s="4" t="s">
        <v>64</v>
      </c>
      <c r="E2516" s="5">
        <v>288.72340000000003</v>
      </c>
      <c r="F2516" s="5">
        <v>290.04950000000002</v>
      </c>
      <c r="G2516" s="5">
        <v>290.69479999999999</v>
      </c>
      <c r="H2516" s="4">
        <v>5</v>
      </c>
      <c r="I2516" s="6">
        <v>4035580</v>
      </c>
      <c r="J2516" s="7">
        <v>102.54</v>
      </c>
      <c r="K2516" s="9">
        <f>(PricingDataTable[[#This Row],[Current Price ($)]]-PricingDataTable[[#This Row],[Prior Price ($)]])/PricingDataTable[[#This Row],[Prior Price ($)]]</f>
        <v>4.5929772231831454E-3</v>
      </c>
      <c r="L2516" s="9">
        <f>(PricingDataTable[[#This Row],[Vendor Price ($)]]-PricingDataTable[[#This Row],[Current Price ($)]])/PricingDataTable[[#This Row],[Current Price ($)]]</f>
        <v>2.2247926647002091E-3</v>
      </c>
      <c r="M2516" t="str">
        <f t="shared" si="78"/>
        <v>STALE</v>
      </c>
      <c r="N2516" s="10" t="str">
        <f t="shared" si="79"/>
        <v>MEDIUM</v>
      </c>
    </row>
    <row r="2517" spans="1:14">
      <c r="A2517" s="4" t="s">
        <v>5050</v>
      </c>
      <c r="B2517" s="4" t="s">
        <v>5051</v>
      </c>
      <c r="C2517" s="4" t="s">
        <v>19</v>
      </c>
      <c r="D2517" s="4" t="s">
        <v>13</v>
      </c>
      <c r="E2517" s="5">
        <v>156.89420000000001</v>
      </c>
      <c r="F2517" s="5">
        <v>158.47190000000001</v>
      </c>
      <c r="G2517" s="5">
        <v>158.82429999999999</v>
      </c>
      <c r="H2517" s="4">
        <v>1</v>
      </c>
      <c r="I2517" s="6">
        <v>1180703</v>
      </c>
      <c r="J2517" s="7">
        <v>479.83</v>
      </c>
      <c r="K2517" s="9">
        <f>(PricingDataTable[[#This Row],[Current Price ($)]]-PricingDataTable[[#This Row],[Prior Price ($)]])/PricingDataTable[[#This Row],[Prior Price ($)]]</f>
        <v>1.0055821056482603E-2</v>
      </c>
      <c r="L2517" s="9">
        <f>(PricingDataTable[[#This Row],[Vendor Price ($)]]-PricingDataTable[[#This Row],[Current Price ($)]])/PricingDataTable[[#This Row],[Current Price ($)]]</f>
        <v>2.2237380885821948E-3</v>
      </c>
      <c r="M2517" t="str">
        <f t="shared" si="78"/>
        <v>PASS</v>
      </c>
      <c r="N2517" s="10" t="str">
        <f t="shared" si="79"/>
        <v>NONE</v>
      </c>
    </row>
    <row r="2518" spans="1:14">
      <c r="A2518" s="4" t="s">
        <v>5052</v>
      </c>
      <c r="B2518" s="4" t="s">
        <v>5053</v>
      </c>
      <c r="C2518" s="4" t="s">
        <v>39</v>
      </c>
      <c r="D2518" s="4" t="s">
        <v>13</v>
      </c>
      <c r="E2518" s="5">
        <v>221.14959999999999</v>
      </c>
      <c r="F2518" s="5">
        <v>218.76650000000001</v>
      </c>
      <c r="G2518" s="5">
        <v>217.87799999999999</v>
      </c>
      <c r="H2518" s="4">
        <v>0</v>
      </c>
      <c r="I2518" s="6">
        <v>4764903</v>
      </c>
      <c r="J2518" s="7">
        <v>577.42999999999995</v>
      </c>
      <c r="K2518" s="9">
        <f>(PricingDataTable[[#This Row],[Current Price ($)]]-PricingDataTable[[#This Row],[Prior Price ($)]])/PricingDataTable[[#This Row],[Prior Price ($)]]</f>
        <v>-1.077596342023673E-2</v>
      </c>
      <c r="L2518" s="9">
        <f>(PricingDataTable[[#This Row],[Vendor Price ($)]]-PricingDataTable[[#This Row],[Current Price ($)]])/PricingDataTable[[#This Row],[Current Price ($)]]</f>
        <v>-4.0614079395155187E-3</v>
      </c>
      <c r="M2518" t="str">
        <f t="shared" si="78"/>
        <v>PASS</v>
      </c>
      <c r="N2518" s="10" t="str">
        <f t="shared" si="79"/>
        <v>NONE</v>
      </c>
    </row>
    <row r="2519" spans="1:14">
      <c r="A2519" s="4" t="s">
        <v>5054</v>
      </c>
      <c r="B2519" s="4" t="s">
        <v>5055</v>
      </c>
      <c r="C2519" s="4" t="s">
        <v>19</v>
      </c>
      <c r="D2519" s="4" t="s">
        <v>13</v>
      </c>
      <c r="E2519" s="5">
        <v>240.99199999999999</v>
      </c>
      <c r="F2519" s="5">
        <v>246.66759999999999</v>
      </c>
      <c r="G2519" s="5">
        <v>246.89760000000001</v>
      </c>
      <c r="H2519" s="4">
        <v>0</v>
      </c>
      <c r="I2519" s="6">
        <v>2939556</v>
      </c>
      <c r="J2519" s="7">
        <v>168.37</v>
      </c>
      <c r="K2519" s="9">
        <f>(PricingDataTable[[#This Row],[Current Price ($)]]-PricingDataTable[[#This Row],[Prior Price ($)]])/PricingDataTable[[#This Row],[Prior Price ($)]]</f>
        <v>2.3550989244456259E-2</v>
      </c>
      <c r="L2519" s="9">
        <f>(PricingDataTable[[#This Row],[Vendor Price ($)]]-PricingDataTable[[#This Row],[Current Price ($)]])/PricingDataTable[[#This Row],[Current Price ($)]]</f>
        <v>9.3242890432313852E-4</v>
      </c>
      <c r="M2519" t="str">
        <f t="shared" si="78"/>
        <v>PASS</v>
      </c>
      <c r="N2519" s="10" t="str">
        <f t="shared" si="79"/>
        <v>NONE</v>
      </c>
    </row>
    <row r="2520" spans="1:14">
      <c r="A2520" s="4" t="s">
        <v>5056</v>
      </c>
      <c r="B2520" s="4" t="s">
        <v>5057</v>
      </c>
      <c r="C2520" s="4" t="s">
        <v>19</v>
      </c>
      <c r="D2520" s="4" t="s">
        <v>13</v>
      </c>
      <c r="E2520" s="5">
        <v>305.17930000000001</v>
      </c>
      <c r="F2520" s="5">
        <v>306.35399999999998</v>
      </c>
      <c r="G2520" s="5">
        <v>306.09089999999998</v>
      </c>
      <c r="H2520" s="4">
        <v>0</v>
      </c>
      <c r="I2520" s="6">
        <v>1805432</v>
      </c>
      <c r="J2520" s="7">
        <v>150.88999999999999</v>
      </c>
      <c r="K2520" s="9">
        <f>(PricingDataTable[[#This Row],[Current Price ($)]]-PricingDataTable[[#This Row],[Prior Price ($)]])/PricingDataTable[[#This Row],[Prior Price ($)]]</f>
        <v>3.8492125776550799E-3</v>
      </c>
      <c r="L2520" s="9">
        <f>(PricingDataTable[[#This Row],[Vendor Price ($)]]-PricingDataTable[[#This Row],[Current Price ($)]])/PricingDataTable[[#This Row],[Current Price ($)]]</f>
        <v>-8.5881039581663229E-4</v>
      </c>
      <c r="M2520" t="str">
        <f t="shared" si="78"/>
        <v>PASS</v>
      </c>
      <c r="N2520" s="10" t="str">
        <f t="shared" si="79"/>
        <v>NONE</v>
      </c>
    </row>
    <row r="2521" spans="1:14">
      <c r="A2521" s="4" t="s">
        <v>5058</v>
      </c>
      <c r="B2521" s="4" t="s">
        <v>5059</v>
      </c>
      <c r="C2521" s="4" t="s">
        <v>12</v>
      </c>
      <c r="D2521" s="4" t="s">
        <v>13</v>
      </c>
      <c r="E2521" s="5">
        <v>112.8729</v>
      </c>
      <c r="F2521" s="5">
        <v>111.5671</v>
      </c>
      <c r="G2521" s="5">
        <v>111.7988</v>
      </c>
      <c r="H2521" s="4">
        <v>3</v>
      </c>
      <c r="I2521" s="6">
        <v>3452362</v>
      </c>
      <c r="J2521" s="7">
        <v>663.22</v>
      </c>
      <c r="K2521" s="9">
        <f>(PricingDataTable[[#This Row],[Current Price ($)]]-PricingDataTable[[#This Row],[Prior Price ($)]])/PricingDataTable[[#This Row],[Prior Price ($)]]</f>
        <v>-1.156876451300538E-2</v>
      </c>
      <c r="L2521" s="9">
        <f>(PricingDataTable[[#This Row],[Vendor Price ($)]]-PricingDataTable[[#This Row],[Current Price ($)]])/PricingDataTable[[#This Row],[Current Price ($)]]</f>
        <v>2.0767771144002451E-3</v>
      </c>
      <c r="M2521" t="str">
        <f t="shared" si="78"/>
        <v>STALE</v>
      </c>
      <c r="N2521" s="10" t="str">
        <f t="shared" si="79"/>
        <v>LOW</v>
      </c>
    </row>
    <row r="2522" spans="1:14">
      <c r="A2522" s="4" t="s">
        <v>5060</v>
      </c>
      <c r="B2522" s="4" t="s">
        <v>5061</v>
      </c>
      <c r="C2522" s="4" t="s">
        <v>19</v>
      </c>
      <c r="D2522" s="4" t="s">
        <v>13</v>
      </c>
      <c r="E2522" s="5">
        <v>72.570300000000003</v>
      </c>
      <c r="F2522" s="5">
        <v>72.035300000000007</v>
      </c>
      <c r="G2522" s="5">
        <v>72.1357</v>
      </c>
      <c r="H2522" s="4">
        <v>1</v>
      </c>
      <c r="I2522" s="6">
        <v>4810795</v>
      </c>
      <c r="J2522" s="7">
        <v>269.12</v>
      </c>
      <c r="K2522" s="9">
        <f>(PricingDataTable[[#This Row],[Current Price ($)]]-PricingDataTable[[#This Row],[Prior Price ($)]])/PricingDataTable[[#This Row],[Prior Price ($)]]</f>
        <v>-7.3721618899191066E-3</v>
      </c>
      <c r="L2522" s="9">
        <f>(PricingDataTable[[#This Row],[Vendor Price ($)]]-PricingDataTable[[#This Row],[Current Price ($)]])/PricingDataTable[[#This Row],[Current Price ($)]]</f>
        <v>1.3937611143424594E-3</v>
      </c>
      <c r="M2522" t="str">
        <f t="shared" si="78"/>
        <v>PASS</v>
      </c>
      <c r="N2522" s="10" t="str">
        <f t="shared" si="79"/>
        <v>NONE</v>
      </c>
    </row>
    <row r="2523" spans="1:14">
      <c r="A2523" s="4" t="s">
        <v>5062</v>
      </c>
      <c r="B2523" s="4" t="s">
        <v>5063</v>
      </c>
      <c r="C2523" s="4" t="s">
        <v>19</v>
      </c>
      <c r="D2523" s="4" t="s">
        <v>64</v>
      </c>
      <c r="E2523" s="5">
        <v>104.7563</v>
      </c>
      <c r="F2523" s="5">
        <v>104.2076</v>
      </c>
      <c r="G2523" s="5">
        <v>103.9451</v>
      </c>
      <c r="H2523" s="4">
        <v>0</v>
      </c>
      <c r="I2523" s="6">
        <v>231423</v>
      </c>
      <c r="J2523" s="7">
        <v>402.73</v>
      </c>
      <c r="K2523" s="9">
        <f>(PricingDataTable[[#This Row],[Current Price ($)]]-PricingDataTable[[#This Row],[Prior Price ($)]])/PricingDataTable[[#This Row],[Prior Price ($)]]</f>
        <v>-5.2378711351966098E-3</v>
      </c>
      <c r="L2523" s="9">
        <f>(PricingDataTable[[#This Row],[Vendor Price ($)]]-PricingDataTable[[#This Row],[Current Price ($)]])/PricingDataTable[[#This Row],[Current Price ($)]]</f>
        <v>-2.5190101297794293E-3</v>
      </c>
      <c r="M2523" t="str">
        <f t="shared" si="78"/>
        <v>PASS</v>
      </c>
      <c r="N2523" s="10" t="str">
        <f t="shared" si="79"/>
        <v>NONE</v>
      </c>
    </row>
    <row r="2524" spans="1:14">
      <c r="A2524" s="4" t="s">
        <v>5064</v>
      </c>
      <c r="B2524" s="4" t="s">
        <v>5065</v>
      </c>
      <c r="C2524" s="4" t="s">
        <v>16</v>
      </c>
      <c r="D2524" s="4" t="s">
        <v>13</v>
      </c>
      <c r="E2524" s="5">
        <v>83.190799999999996</v>
      </c>
      <c r="F2524" s="5">
        <v>82.602699999999999</v>
      </c>
      <c r="G2524" s="5">
        <v>83.153800000000004</v>
      </c>
      <c r="H2524" s="4">
        <v>0</v>
      </c>
      <c r="I2524" s="6">
        <v>4129348</v>
      </c>
      <c r="J2524" s="7">
        <v>44.75</v>
      </c>
      <c r="K2524" s="9">
        <f>(PricingDataTable[[#This Row],[Current Price ($)]]-PricingDataTable[[#This Row],[Prior Price ($)]])/PricingDataTable[[#This Row],[Prior Price ($)]]</f>
        <v>-7.0692913158666246E-3</v>
      </c>
      <c r="L2524" s="9">
        <f>(PricingDataTable[[#This Row],[Vendor Price ($)]]-PricingDataTable[[#This Row],[Current Price ($)]])/PricingDataTable[[#This Row],[Current Price ($)]]</f>
        <v>6.671694750898037E-3</v>
      </c>
      <c r="M2524" t="str">
        <f t="shared" si="78"/>
        <v>PASS</v>
      </c>
      <c r="N2524" s="10" t="str">
        <f t="shared" si="79"/>
        <v>NONE</v>
      </c>
    </row>
    <row r="2525" spans="1:14">
      <c r="A2525" s="4" t="s">
        <v>5066</v>
      </c>
      <c r="B2525" s="4" t="s">
        <v>5067</v>
      </c>
      <c r="C2525" s="4" t="s">
        <v>12</v>
      </c>
      <c r="D2525" s="4" t="s">
        <v>13</v>
      </c>
      <c r="E2525" s="5">
        <v>76.184799999999996</v>
      </c>
      <c r="F2525" s="5">
        <v>75.491799999999998</v>
      </c>
      <c r="G2525" s="5">
        <v>75.548199999999994</v>
      </c>
      <c r="H2525" s="4">
        <v>3</v>
      </c>
      <c r="I2525" s="6">
        <v>66250</v>
      </c>
      <c r="J2525" s="7">
        <v>75.97</v>
      </c>
      <c r="K2525" s="9">
        <f>(PricingDataTable[[#This Row],[Current Price ($)]]-PricingDataTable[[#This Row],[Prior Price ($)]])/PricingDataTable[[#This Row],[Prior Price ($)]]</f>
        <v>-9.0963026745492261E-3</v>
      </c>
      <c r="L2525" s="9">
        <f>(PricingDataTable[[#This Row],[Vendor Price ($)]]-PricingDataTable[[#This Row],[Current Price ($)]])/PricingDataTable[[#This Row],[Current Price ($)]]</f>
        <v>7.4710100964603377E-4</v>
      </c>
      <c r="M2525" t="str">
        <f t="shared" si="78"/>
        <v>STALE</v>
      </c>
      <c r="N2525" s="10" t="str">
        <f t="shared" si="79"/>
        <v>LOW</v>
      </c>
    </row>
    <row r="2526" spans="1:14">
      <c r="A2526" s="4" t="s">
        <v>5068</v>
      </c>
      <c r="B2526" s="4" t="s">
        <v>5069</v>
      </c>
      <c r="C2526" s="4" t="s">
        <v>19</v>
      </c>
      <c r="D2526" s="4" t="s">
        <v>13</v>
      </c>
      <c r="E2526" s="5">
        <v>343.81009999999998</v>
      </c>
      <c r="F2526" s="5">
        <v>344.12759999999997</v>
      </c>
      <c r="G2526" s="5">
        <v>345.78480000000002</v>
      </c>
      <c r="H2526" s="4">
        <v>0</v>
      </c>
      <c r="I2526" s="6">
        <v>1095177</v>
      </c>
      <c r="J2526" s="7">
        <v>9.99</v>
      </c>
      <c r="K2526" s="9">
        <f>(PricingDataTable[[#This Row],[Current Price ($)]]-PricingDataTable[[#This Row],[Prior Price ($)]])/PricingDataTable[[#This Row],[Prior Price ($)]]</f>
        <v>9.2347490664176381E-4</v>
      </c>
      <c r="L2526" s="9">
        <f>(PricingDataTable[[#This Row],[Vendor Price ($)]]-PricingDataTable[[#This Row],[Current Price ($)]])/PricingDataTable[[#This Row],[Current Price ($)]]</f>
        <v>4.815655588217992E-3</v>
      </c>
      <c r="M2526" t="str">
        <f t="shared" si="78"/>
        <v>PASS</v>
      </c>
      <c r="N2526" s="10" t="str">
        <f t="shared" si="79"/>
        <v>NONE</v>
      </c>
    </row>
    <row r="2527" spans="1:14">
      <c r="A2527" s="4" t="s">
        <v>5070</v>
      </c>
      <c r="B2527" s="4" t="s">
        <v>5071</v>
      </c>
      <c r="C2527" s="4" t="s">
        <v>39</v>
      </c>
      <c r="D2527" s="4" t="s">
        <v>13</v>
      </c>
      <c r="E2527" s="5">
        <v>74.100899999999996</v>
      </c>
      <c r="F2527" s="5">
        <v>75.961799999999997</v>
      </c>
      <c r="G2527" s="5">
        <v>76.045699999999997</v>
      </c>
      <c r="H2527" s="4">
        <v>0</v>
      </c>
      <c r="I2527" s="6">
        <v>248214</v>
      </c>
      <c r="J2527" s="7">
        <v>161.06</v>
      </c>
      <c r="K2527" s="9">
        <f>(PricingDataTable[[#This Row],[Current Price ($)]]-PricingDataTable[[#This Row],[Prior Price ($)]])/PricingDataTable[[#This Row],[Prior Price ($)]]</f>
        <v>2.5113055307020574E-2</v>
      </c>
      <c r="L2527" s="9">
        <f>(PricingDataTable[[#This Row],[Vendor Price ($)]]-PricingDataTable[[#This Row],[Current Price ($)]])/PricingDataTable[[#This Row],[Current Price ($)]]</f>
        <v>1.1045025262697813E-3</v>
      </c>
      <c r="M2527" t="str">
        <f t="shared" si="78"/>
        <v>PASS</v>
      </c>
      <c r="N2527" s="10" t="str">
        <f t="shared" si="79"/>
        <v>NONE</v>
      </c>
    </row>
    <row r="2528" spans="1:14">
      <c r="A2528" s="4" t="s">
        <v>5072</v>
      </c>
      <c r="B2528" s="4" t="s">
        <v>5073</v>
      </c>
      <c r="C2528" s="4" t="s">
        <v>19</v>
      </c>
      <c r="D2528" s="4" t="s">
        <v>13</v>
      </c>
      <c r="E2528" s="5">
        <v>168.41980000000001</v>
      </c>
      <c r="F2528" s="5">
        <v>168.0504</v>
      </c>
      <c r="G2528" s="5">
        <v>167.6583</v>
      </c>
      <c r="H2528" s="4">
        <v>1</v>
      </c>
      <c r="I2528" s="6">
        <v>2278645</v>
      </c>
      <c r="J2528" s="7">
        <v>486.78</v>
      </c>
      <c r="K2528" s="9">
        <f>(PricingDataTable[[#This Row],[Current Price ($)]]-PricingDataTable[[#This Row],[Prior Price ($)]])/PricingDataTable[[#This Row],[Prior Price ($)]]</f>
        <v>-2.1933288128831233E-3</v>
      </c>
      <c r="L2528" s="9">
        <f>(PricingDataTable[[#This Row],[Vendor Price ($)]]-PricingDataTable[[#This Row],[Current Price ($)]])/PricingDataTable[[#This Row],[Current Price ($)]]</f>
        <v>-2.3332286028477124E-3</v>
      </c>
      <c r="M2528" t="str">
        <f t="shared" si="78"/>
        <v>PASS</v>
      </c>
      <c r="N2528" s="10" t="str">
        <f t="shared" si="79"/>
        <v>NONE</v>
      </c>
    </row>
    <row r="2529" spans="1:14">
      <c r="A2529" s="4" t="s">
        <v>5074</v>
      </c>
      <c r="B2529" s="4" t="s">
        <v>5075</v>
      </c>
      <c r="C2529" s="4" t="s">
        <v>16</v>
      </c>
      <c r="D2529" s="4" t="s">
        <v>13</v>
      </c>
      <c r="E2529" s="5">
        <v>95.276899999999998</v>
      </c>
      <c r="F2529" s="5">
        <v>95.841399999999993</v>
      </c>
      <c r="G2529" s="5">
        <v>96.2376</v>
      </c>
      <c r="H2529" s="4">
        <v>1</v>
      </c>
      <c r="I2529" s="6">
        <v>212727</v>
      </c>
      <c r="J2529" s="7">
        <v>277.25</v>
      </c>
      <c r="K2529" s="9">
        <f>(PricingDataTable[[#This Row],[Current Price ($)]]-PricingDataTable[[#This Row],[Prior Price ($)]])/PricingDataTable[[#This Row],[Prior Price ($)]]</f>
        <v>5.9248359256020644E-3</v>
      </c>
      <c r="L2529" s="9">
        <f>(PricingDataTable[[#This Row],[Vendor Price ($)]]-PricingDataTable[[#This Row],[Current Price ($)]])/PricingDataTable[[#This Row],[Current Price ($)]]</f>
        <v>4.133912901940158E-3</v>
      </c>
      <c r="M2529" t="str">
        <f t="shared" si="78"/>
        <v>PASS</v>
      </c>
      <c r="N2529" s="10" t="str">
        <f t="shared" si="79"/>
        <v>NONE</v>
      </c>
    </row>
    <row r="2530" spans="1:14">
      <c r="A2530" s="4" t="s">
        <v>5076</v>
      </c>
      <c r="B2530" s="4" t="s">
        <v>5077</v>
      </c>
      <c r="C2530" s="4" t="s">
        <v>12</v>
      </c>
      <c r="D2530" s="4" t="s">
        <v>36</v>
      </c>
      <c r="E2530" s="5">
        <v>102.1204</v>
      </c>
      <c r="F2530" s="5">
        <v>101.78</v>
      </c>
      <c r="G2530" s="5">
        <v>101.6506</v>
      </c>
      <c r="H2530" s="4">
        <v>5</v>
      </c>
      <c r="I2530" s="6">
        <v>2813433</v>
      </c>
      <c r="J2530" s="7">
        <v>628.89</v>
      </c>
      <c r="K2530" s="9">
        <f>(PricingDataTable[[#This Row],[Current Price ($)]]-PricingDataTable[[#This Row],[Prior Price ($)]])/PricingDataTable[[#This Row],[Prior Price ($)]]</f>
        <v>-3.3333202768497036E-3</v>
      </c>
      <c r="L2530" s="9">
        <f>(PricingDataTable[[#This Row],[Vendor Price ($)]]-PricingDataTable[[#This Row],[Current Price ($)]])/PricingDataTable[[#This Row],[Current Price ($)]]</f>
        <v>-1.2713696207506775E-3</v>
      </c>
      <c r="M2530" t="str">
        <f t="shared" si="78"/>
        <v>STALE</v>
      </c>
      <c r="N2530" s="10" t="str">
        <f t="shared" si="79"/>
        <v>MEDIUM</v>
      </c>
    </row>
    <row r="2531" spans="1:14">
      <c r="A2531" s="4" t="s">
        <v>5078</v>
      </c>
      <c r="B2531" s="4" t="s">
        <v>5079</v>
      </c>
      <c r="C2531" s="4" t="s">
        <v>16</v>
      </c>
      <c r="D2531" s="4" t="s">
        <v>13</v>
      </c>
      <c r="E2531" s="5">
        <v>78.561300000000003</v>
      </c>
      <c r="F2531" s="5">
        <v>78.878699999999995</v>
      </c>
      <c r="G2531" s="5">
        <v>78.783000000000001</v>
      </c>
      <c r="H2531" s="4">
        <v>0</v>
      </c>
      <c r="I2531" s="6">
        <v>794204</v>
      </c>
      <c r="J2531" s="7">
        <v>404.98</v>
      </c>
      <c r="K2531" s="9">
        <f>(PricingDataTable[[#This Row],[Current Price ($)]]-PricingDataTable[[#This Row],[Prior Price ($)]])/PricingDataTable[[#This Row],[Prior Price ($)]]</f>
        <v>4.0401571766250323E-3</v>
      </c>
      <c r="L2531" s="9">
        <f>(PricingDataTable[[#This Row],[Vendor Price ($)]]-PricingDataTable[[#This Row],[Current Price ($)]])/PricingDataTable[[#This Row],[Current Price ($)]]</f>
        <v>-1.2132552894506842E-3</v>
      </c>
      <c r="M2531" t="str">
        <f t="shared" si="78"/>
        <v>PASS</v>
      </c>
      <c r="N2531" s="10" t="str">
        <f t="shared" si="79"/>
        <v>NONE</v>
      </c>
    </row>
    <row r="2532" spans="1:14">
      <c r="A2532" s="4" t="s">
        <v>5080</v>
      </c>
      <c r="B2532" s="4" t="s">
        <v>5081</v>
      </c>
      <c r="C2532" s="4" t="s">
        <v>19</v>
      </c>
      <c r="D2532" s="4" t="s">
        <v>36</v>
      </c>
      <c r="E2532" s="5">
        <v>305.54059999999998</v>
      </c>
      <c r="F2532" s="5"/>
      <c r="G2532" s="5">
        <v>299.45409999999998</v>
      </c>
      <c r="H2532" s="4">
        <v>0</v>
      </c>
      <c r="I2532" s="6">
        <v>2937069</v>
      </c>
      <c r="J2532" s="7">
        <v>861.54</v>
      </c>
      <c r="K2532" s="9">
        <f>(PricingDataTable[[#This Row],[Current Price ($)]]-PricingDataTable[[#This Row],[Prior Price ($)]])/PricingDataTable[[#This Row],[Prior Price ($)]]</f>
        <v>-1</v>
      </c>
      <c r="L2532" s="9" t="e">
        <f>(PricingDataTable[[#This Row],[Vendor Price ($)]]-PricingDataTable[[#This Row],[Current Price ($)]])/PricingDataTable[[#This Row],[Current Price ($)]]</f>
        <v>#DIV/0!</v>
      </c>
      <c r="M2532" t="str">
        <f t="shared" si="78"/>
        <v>MISSING</v>
      </c>
      <c r="N2532" s="10" t="str">
        <f t="shared" si="79"/>
        <v>HIGH</v>
      </c>
    </row>
    <row r="2533" spans="1:14">
      <c r="A2533" s="4" t="s">
        <v>5082</v>
      </c>
      <c r="B2533" s="4" t="s">
        <v>5083</v>
      </c>
      <c r="C2533" s="4" t="s">
        <v>16</v>
      </c>
      <c r="D2533" s="4" t="s">
        <v>13</v>
      </c>
      <c r="E2533" s="5">
        <v>98.022400000000005</v>
      </c>
      <c r="F2533" s="5">
        <v>99.559799999999996</v>
      </c>
      <c r="G2533" s="5">
        <v>100.0082</v>
      </c>
      <c r="H2533" s="4">
        <v>3</v>
      </c>
      <c r="I2533" s="6">
        <v>1532643</v>
      </c>
      <c r="J2533" s="7">
        <v>479</v>
      </c>
      <c r="K2533" s="9">
        <f>(PricingDataTable[[#This Row],[Current Price ($)]]-PricingDataTable[[#This Row],[Prior Price ($)]])/PricingDataTable[[#This Row],[Prior Price ($)]]</f>
        <v>1.5684170148863842E-2</v>
      </c>
      <c r="L2533" s="9">
        <f>(PricingDataTable[[#This Row],[Vendor Price ($)]]-PricingDataTable[[#This Row],[Current Price ($)]])/PricingDataTable[[#This Row],[Current Price ($)]]</f>
        <v>4.503825841353705E-3</v>
      </c>
      <c r="M2533" t="str">
        <f t="shared" si="78"/>
        <v>STALE</v>
      </c>
      <c r="N2533" s="10" t="str">
        <f t="shared" si="79"/>
        <v>LOW</v>
      </c>
    </row>
    <row r="2534" spans="1:14">
      <c r="A2534" s="4" t="s">
        <v>5084</v>
      </c>
      <c r="B2534" s="4" t="s">
        <v>5085</v>
      </c>
      <c r="C2534" s="4" t="s">
        <v>16</v>
      </c>
      <c r="D2534" s="4" t="s">
        <v>32</v>
      </c>
      <c r="E2534" s="5">
        <v>93.037999999999997</v>
      </c>
      <c r="F2534" s="5">
        <v>92.346299999999999</v>
      </c>
      <c r="G2534" s="5">
        <v>92.344200000000001</v>
      </c>
      <c r="H2534" s="4">
        <v>0</v>
      </c>
      <c r="I2534" s="6">
        <v>2848515</v>
      </c>
      <c r="J2534" s="7">
        <v>630.59</v>
      </c>
      <c r="K2534" s="9">
        <f>(PricingDataTable[[#This Row],[Current Price ($)]]-PricingDataTable[[#This Row],[Prior Price ($)]])/PricingDataTable[[#This Row],[Prior Price ($)]]</f>
        <v>-7.4345966164362665E-3</v>
      </c>
      <c r="L2534" s="9">
        <f>(PricingDataTable[[#This Row],[Vendor Price ($)]]-PricingDataTable[[#This Row],[Current Price ($)]])/PricingDataTable[[#This Row],[Current Price ($)]]</f>
        <v>-2.274048879054882E-5</v>
      </c>
      <c r="M2534" t="str">
        <f t="shared" si="78"/>
        <v>PASS</v>
      </c>
      <c r="N2534" s="10" t="str">
        <f t="shared" si="79"/>
        <v>NONE</v>
      </c>
    </row>
    <row r="2535" spans="1:14">
      <c r="A2535" s="4" t="s">
        <v>5086</v>
      </c>
      <c r="B2535" s="4" t="s">
        <v>5087</v>
      </c>
      <c r="C2535" s="4" t="s">
        <v>19</v>
      </c>
      <c r="D2535" s="4" t="s">
        <v>36</v>
      </c>
      <c r="E2535" s="5">
        <v>18.264399999999998</v>
      </c>
      <c r="F2535" s="5">
        <v>18.329799999999999</v>
      </c>
      <c r="G2535" s="5">
        <v>18.292300000000001</v>
      </c>
      <c r="H2535" s="4">
        <v>0</v>
      </c>
      <c r="I2535" s="6">
        <v>3223267</v>
      </c>
      <c r="J2535" s="7">
        <v>257.70999999999998</v>
      </c>
      <c r="K2535" s="9">
        <f>(PricingDataTable[[#This Row],[Current Price ($)]]-PricingDataTable[[#This Row],[Prior Price ($)]])/PricingDataTable[[#This Row],[Prior Price ($)]]</f>
        <v>3.5807362957447466E-3</v>
      </c>
      <c r="L2535" s="9">
        <f>(PricingDataTable[[#This Row],[Vendor Price ($)]]-PricingDataTable[[#This Row],[Current Price ($)]])/PricingDataTable[[#This Row],[Current Price ($)]]</f>
        <v>-2.0458488363210656E-3</v>
      </c>
      <c r="M2535" t="str">
        <f t="shared" si="78"/>
        <v>PASS</v>
      </c>
      <c r="N2535" s="10" t="str">
        <f t="shared" si="79"/>
        <v>NONE</v>
      </c>
    </row>
    <row r="2536" spans="1:14">
      <c r="A2536" s="4" t="s">
        <v>5088</v>
      </c>
      <c r="B2536" s="4" t="s">
        <v>5089</v>
      </c>
      <c r="C2536" s="4" t="s">
        <v>19</v>
      </c>
      <c r="D2536" s="4" t="s">
        <v>13</v>
      </c>
      <c r="E2536" s="5">
        <v>208.2534</v>
      </c>
      <c r="F2536" s="5">
        <v>208.69220000000001</v>
      </c>
      <c r="G2536" s="5">
        <v>209.6891</v>
      </c>
      <c r="H2536" s="4">
        <v>0</v>
      </c>
      <c r="I2536" s="6">
        <v>4638700</v>
      </c>
      <c r="J2536" s="7">
        <v>374.79</v>
      </c>
      <c r="K2536" s="9">
        <f>(PricingDataTable[[#This Row],[Current Price ($)]]-PricingDataTable[[#This Row],[Prior Price ($)]])/PricingDataTable[[#This Row],[Prior Price ($)]]</f>
        <v>2.1070484323425921E-3</v>
      </c>
      <c r="L2536" s="9">
        <f>(PricingDataTable[[#This Row],[Vendor Price ($)]]-PricingDataTable[[#This Row],[Current Price ($)]])/PricingDataTable[[#This Row],[Current Price ($)]]</f>
        <v>4.7768915177471049E-3</v>
      </c>
      <c r="M2536" t="str">
        <f t="shared" si="78"/>
        <v>PASS</v>
      </c>
      <c r="N2536" s="10" t="str">
        <f t="shared" si="79"/>
        <v>NONE</v>
      </c>
    </row>
    <row r="2537" spans="1:14">
      <c r="A2537" s="4" t="s">
        <v>5090</v>
      </c>
      <c r="B2537" s="4" t="s">
        <v>5091</v>
      </c>
      <c r="C2537" s="4" t="s">
        <v>19</v>
      </c>
      <c r="D2537" s="4" t="s">
        <v>237</v>
      </c>
      <c r="E2537" s="5">
        <v>169.8758</v>
      </c>
      <c r="F2537" s="5"/>
      <c r="G2537" s="5">
        <v>168.22630000000001</v>
      </c>
      <c r="H2537" s="4">
        <v>0</v>
      </c>
      <c r="I2537" s="6">
        <v>1326715</v>
      </c>
      <c r="J2537" s="7">
        <v>51.06</v>
      </c>
      <c r="K2537" s="9">
        <f>(PricingDataTable[[#This Row],[Current Price ($)]]-PricingDataTable[[#This Row],[Prior Price ($)]])/PricingDataTable[[#This Row],[Prior Price ($)]]</f>
        <v>-1</v>
      </c>
      <c r="L2537" s="9" t="e">
        <f>(PricingDataTable[[#This Row],[Vendor Price ($)]]-PricingDataTable[[#This Row],[Current Price ($)]])/PricingDataTable[[#This Row],[Current Price ($)]]</f>
        <v>#DIV/0!</v>
      </c>
      <c r="M2537" t="str">
        <f t="shared" si="78"/>
        <v>MISSING</v>
      </c>
      <c r="N2537" s="10" t="str">
        <f t="shared" si="79"/>
        <v>HIGH</v>
      </c>
    </row>
    <row r="2538" spans="1:14">
      <c r="A2538" s="4" t="s">
        <v>5092</v>
      </c>
      <c r="B2538" s="4" t="s">
        <v>5093</v>
      </c>
      <c r="C2538" s="4" t="s">
        <v>16</v>
      </c>
      <c r="D2538" s="4" t="s">
        <v>13</v>
      </c>
      <c r="E2538" s="5">
        <v>113.9772</v>
      </c>
      <c r="F2538" s="5">
        <v>115.5351</v>
      </c>
      <c r="G2538" s="5">
        <v>115.8907</v>
      </c>
      <c r="H2538" s="4">
        <v>1</v>
      </c>
      <c r="I2538" s="6">
        <v>2881384</v>
      </c>
      <c r="J2538" s="7">
        <v>159.51</v>
      </c>
      <c r="K2538" s="9">
        <f>(PricingDataTable[[#This Row],[Current Price ($)]]-PricingDataTable[[#This Row],[Prior Price ($)]])/PricingDataTable[[#This Row],[Prior Price ($)]]</f>
        <v>1.3668523178319906E-2</v>
      </c>
      <c r="L2538" s="9">
        <f>(PricingDataTable[[#This Row],[Vendor Price ($)]]-PricingDataTable[[#This Row],[Current Price ($)]])/PricingDataTable[[#This Row],[Current Price ($)]]</f>
        <v>3.077852531395182E-3</v>
      </c>
      <c r="M2538" t="str">
        <f t="shared" si="78"/>
        <v>PASS</v>
      </c>
      <c r="N2538" s="10" t="str">
        <f t="shared" si="79"/>
        <v>NONE</v>
      </c>
    </row>
    <row r="2539" spans="1:14">
      <c r="A2539" s="4" t="s">
        <v>5094</v>
      </c>
      <c r="B2539" s="4" t="s">
        <v>5095</v>
      </c>
      <c r="C2539" s="4" t="s">
        <v>16</v>
      </c>
      <c r="D2539" s="4" t="s">
        <v>32</v>
      </c>
      <c r="E2539" s="5">
        <v>101.40900000000001</v>
      </c>
      <c r="F2539" s="5">
        <v>99.185699999999997</v>
      </c>
      <c r="G2539" s="5">
        <v>99.486400000000003</v>
      </c>
      <c r="H2539" s="4">
        <v>0</v>
      </c>
      <c r="I2539" s="6">
        <v>984088</v>
      </c>
      <c r="J2539" s="7">
        <v>666.23</v>
      </c>
      <c r="K2539" s="9">
        <f>(PricingDataTable[[#This Row],[Current Price ($)]]-PricingDataTable[[#This Row],[Prior Price ($)]])/PricingDataTable[[#This Row],[Prior Price ($)]]</f>
        <v>-2.1924089577848208E-2</v>
      </c>
      <c r="L2539" s="9">
        <f>(PricingDataTable[[#This Row],[Vendor Price ($)]]-PricingDataTable[[#This Row],[Current Price ($)]])/PricingDataTable[[#This Row],[Current Price ($)]]</f>
        <v>3.0316870274647071E-3</v>
      </c>
      <c r="M2539" t="str">
        <f t="shared" si="78"/>
        <v>PASS</v>
      </c>
      <c r="N2539" s="10" t="str">
        <f t="shared" si="79"/>
        <v>NONE</v>
      </c>
    </row>
    <row r="2540" spans="1:14">
      <c r="A2540" s="4" t="s">
        <v>5096</v>
      </c>
      <c r="B2540" s="4" t="s">
        <v>5097</v>
      </c>
      <c r="C2540" s="4" t="s">
        <v>19</v>
      </c>
      <c r="D2540" s="4" t="s">
        <v>64</v>
      </c>
      <c r="E2540" s="5">
        <v>327.4332</v>
      </c>
      <c r="F2540" s="5">
        <v>329.03390000000002</v>
      </c>
      <c r="G2540" s="5">
        <v>329.26850000000002</v>
      </c>
      <c r="H2540" s="4">
        <v>0</v>
      </c>
      <c r="I2540" s="6">
        <v>2423788</v>
      </c>
      <c r="J2540" s="7">
        <v>150.19999999999999</v>
      </c>
      <c r="K2540" s="9">
        <f>(PricingDataTable[[#This Row],[Current Price ($)]]-PricingDataTable[[#This Row],[Prior Price ($)]])/PricingDataTable[[#This Row],[Prior Price ($)]]</f>
        <v>4.8886307191818596E-3</v>
      </c>
      <c r="L2540" s="9">
        <f>(PricingDataTable[[#This Row],[Vendor Price ($)]]-PricingDataTable[[#This Row],[Current Price ($)]])/PricingDataTable[[#This Row],[Current Price ($)]]</f>
        <v>7.1299644200795219E-4</v>
      </c>
      <c r="M2540" t="str">
        <f t="shared" si="78"/>
        <v>PASS</v>
      </c>
      <c r="N2540" s="10" t="str">
        <f t="shared" si="79"/>
        <v>NONE</v>
      </c>
    </row>
    <row r="2541" spans="1:14">
      <c r="A2541" s="4" t="s">
        <v>5098</v>
      </c>
      <c r="B2541" s="4" t="s">
        <v>5099</v>
      </c>
      <c r="C2541" s="4" t="s">
        <v>16</v>
      </c>
      <c r="D2541" s="4" t="s">
        <v>13</v>
      </c>
      <c r="E2541" s="5">
        <v>117.8147</v>
      </c>
      <c r="F2541" s="5">
        <v>117.9727</v>
      </c>
      <c r="G2541" s="5">
        <v>117.6297</v>
      </c>
      <c r="H2541" s="4">
        <v>0</v>
      </c>
      <c r="I2541" s="6">
        <v>3422465</v>
      </c>
      <c r="J2541" s="7">
        <v>245.95</v>
      </c>
      <c r="K2541" s="9">
        <f>(PricingDataTable[[#This Row],[Current Price ($)]]-PricingDataTable[[#This Row],[Prior Price ($)]])/PricingDataTable[[#This Row],[Prior Price ($)]]</f>
        <v>1.3410890152077903E-3</v>
      </c>
      <c r="L2541" s="9">
        <f>(PricingDataTable[[#This Row],[Vendor Price ($)]]-PricingDataTable[[#This Row],[Current Price ($)]])/PricingDataTable[[#This Row],[Current Price ($)]]</f>
        <v>-2.9074523173581984E-3</v>
      </c>
      <c r="M2541" t="str">
        <f t="shared" si="78"/>
        <v>PASS</v>
      </c>
      <c r="N2541" s="10" t="str">
        <f t="shared" si="79"/>
        <v>NONE</v>
      </c>
    </row>
    <row r="2542" spans="1:14">
      <c r="A2542" s="4" t="s">
        <v>5100</v>
      </c>
      <c r="B2542" s="4" t="s">
        <v>5101</v>
      </c>
      <c r="C2542" s="4" t="s">
        <v>19</v>
      </c>
      <c r="D2542" s="4" t="s">
        <v>13</v>
      </c>
      <c r="E2542" s="5">
        <v>140.48920000000001</v>
      </c>
      <c r="F2542" s="5">
        <v>141.4812</v>
      </c>
      <c r="G2542" s="5">
        <v>141.99539999999999</v>
      </c>
      <c r="H2542" s="4">
        <v>0</v>
      </c>
      <c r="I2542" s="6">
        <v>4432803</v>
      </c>
      <c r="J2542" s="7">
        <v>793.96</v>
      </c>
      <c r="K2542" s="9">
        <f>(PricingDataTable[[#This Row],[Current Price ($)]]-PricingDataTable[[#This Row],[Prior Price ($)]])/PricingDataTable[[#This Row],[Prior Price ($)]]</f>
        <v>7.0610409910511996E-3</v>
      </c>
      <c r="L2542" s="9">
        <f>(PricingDataTable[[#This Row],[Vendor Price ($)]]-PricingDataTable[[#This Row],[Current Price ($)]])/PricingDataTable[[#This Row],[Current Price ($)]]</f>
        <v>3.6344051365127536E-3</v>
      </c>
      <c r="M2542" t="str">
        <f t="shared" si="78"/>
        <v>PASS</v>
      </c>
      <c r="N2542" s="10" t="str">
        <f t="shared" si="79"/>
        <v>NONE</v>
      </c>
    </row>
    <row r="2543" spans="1:14">
      <c r="A2543" s="4" t="s">
        <v>5102</v>
      </c>
      <c r="B2543" s="4" t="s">
        <v>5103</v>
      </c>
      <c r="C2543" s="4" t="s">
        <v>39</v>
      </c>
      <c r="D2543" s="4" t="s">
        <v>13</v>
      </c>
      <c r="E2543" s="5">
        <v>300.09100000000001</v>
      </c>
      <c r="F2543" s="5">
        <v>303.00110000000001</v>
      </c>
      <c r="G2543" s="5">
        <v>303.29809999999998</v>
      </c>
      <c r="H2543" s="4">
        <v>3</v>
      </c>
      <c r="I2543" s="6">
        <v>2332690</v>
      </c>
      <c r="J2543" s="7">
        <v>432.2</v>
      </c>
      <c r="K2543" s="9">
        <f>(PricingDataTable[[#This Row],[Current Price ($)]]-PricingDataTable[[#This Row],[Prior Price ($)]])/PricingDataTable[[#This Row],[Prior Price ($)]]</f>
        <v>9.6973917911566815E-3</v>
      </c>
      <c r="L2543" s="9">
        <f>(PricingDataTable[[#This Row],[Vendor Price ($)]]-PricingDataTable[[#This Row],[Current Price ($)]])/PricingDataTable[[#This Row],[Current Price ($)]]</f>
        <v>9.8019446134013579E-4</v>
      </c>
      <c r="M2543" t="str">
        <f t="shared" si="78"/>
        <v>STALE</v>
      </c>
      <c r="N2543" s="10" t="str">
        <f t="shared" si="79"/>
        <v>LOW</v>
      </c>
    </row>
    <row r="2544" spans="1:14">
      <c r="A2544" s="4" t="s">
        <v>5104</v>
      </c>
      <c r="B2544" s="4" t="s">
        <v>5105</v>
      </c>
      <c r="C2544" s="4" t="s">
        <v>35</v>
      </c>
      <c r="D2544" s="4" t="s">
        <v>36</v>
      </c>
      <c r="E2544" s="5">
        <v>10.6716</v>
      </c>
      <c r="F2544" s="5">
        <v>10.8978</v>
      </c>
      <c r="G2544" s="5">
        <v>10.882199999999999</v>
      </c>
      <c r="H2544" s="4">
        <v>1</v>
      </c>
      <c r="I2544" s="6">
        <v>4221913</v>
      </c>
      <c r="J2544" s="7">
        <v>82.79</v>
      </c>
      <c r="K2544" s="9">
        <f>(PricingDataTable[[#This Row],[Current Price ($)]]-PricingDataTable[[#This Row],[Prior Price ($)]])/PricingDataTable[[#This Row],[Prior Price ($)]]</f>
        <v>2.1196446643427454E-2</v>
      </c>
      <c r="L2544" s="9">
        <f>(PricingDataTable[[#This Row],[Vendor Price ($)]]-PricingDataTable[[#This Row],[Current Price ($)]])/PricingDataTable[[#This Row],[Current Price ($)]]</f>
        <v>-1.4314815834389461E-3</v>
      </c>
      <c r="M2544" t="str">
        <f t="shared" si="78"/>
        <v>PASS</v>
      </c>
      <c r="N2544" s="10" t="str">
        <f t="shared" si="79"/>
        <v>NONE</v>
      </c>
    </row>
    <row r="2545" spans="1:14">
      <c r="A2545" s="4" t="s">
        <v>5106</v>
      </c>
      <c r="B2545" s="4" t="s">
        <v>5107</v>
      </c>
      <c r="C2545" s="4" t="s">
        <v>35</v>
      </c>
      <c r="D2545" s="4" t="s">
        <v>36</v>
      </c>
      <c r="E2545" s="5">
        <v>44.472900000000003</v>
      </c>
      <c r="F2545" s="5">
        <v>43.717100000000002</v>
      </c>
      <c r="G2545" s="5">
        <v>43.7425</v>
      </c>
      <c r="H2545" s="4">
        <v>0</v>
      </c>
      <c r="I2545" s="6">
        <v>596687</v>
      </c>
      <c r="J2545" s="7">
        <v>828.84</v>
      </c>
      <c r="K2545" s="9">
        <f>(PricingDataTable[[#This Row],[Current Price ($)]]-PricingDataTable[[#This Row],[Prior Price ($)]])/PricingDataTable[[#This Row],[Prior Price ($)]]</f>
        <v>-1.6994619195060377E-2</v>
      </c>
      <c r="L2545" s="9">
        <f>(PricingDataTable[[#This Row],[Vendor Price ($)]]-PricingDataTable[[#This Row],[Current Price ($)]])/PricingDataTable[[#This Row],[Current Price ($)]]</f>
        <v>5.8100834684820461E-4</v>
      </c>
      <c r="M2545" t="str">
        <f t="shared" si="78"/>
        <v>PASS</v>
      </c>
      <c r="N2545" s="10" t="str">
        <f t="shared" si="79"/>
        <v>NONE</v>
      </c>
    </row>
    <row r="2546" spans="1:14">
      <c r="A2546" s="4" t="s">
        <v>5108</v>
      </c>
      <c r="B2546" s="4" t="s">
        <v>5109</v>
      </c>
      <c r="C2546" s="4" t="s">
        <v>19</v>
      </c>
      <c r="D2546" s="4" t="s">
        <v>13</v>
      </c>
      <c r="E2546" s="5">
        <v>262.25850000000003</v>
      </c>
      <c r="F2546" s="5">
        <v>258.37509999999997</v>
      </c>
      <c r="G2546" s="5">
        <v>259.1739</v>
      </c>
      <c r="H2546" s="4">
        <v>0</v>
      </c>
      <c r="I2546" s="6">
        <v>2597370</v>
      </c>
      <c r="J2546" s="7">
        <v>546.5</v>
      </c>
      <c r="K2546" s="9">
        <f>(PricingDataTable[[#This Row],[Current Price ($)]]-PricingDataTable[[#This Row],[Prior Price ($)]])/PricingDataTable[[#This Row],[Prior Price ($)]]</f>
        <v>-1.4807527687377343E-2</v>
      </c>
      <c r="L2546" s="9">
        <f>(PricingDataTable[[#This Row],[Vendor Price ($)]]-PricingDataTable[[#This Row],[Current Price ($)]])/PricingDataTable[[#This Row],[Current Price ($)]]</f>
        <v>3.0916291856298399E-3</v>
      </c>
      <c r="M2546" t="str">
        <f t="shared" si="78"/>
        <v>PASS</v>
      </c>
      <c r="N2546" s="10" t="str">
        <f t="shared" si="79"/>
        <v>NONE</v>
      </c>
    </row>
    <row r="2547" spans="1:14">
      <c r="A2547" s="4" t="s">
        <v>5110</v>
      </c>
      <c r="B2547" s="4" t="s">
        <v>5111</v>
      </c>
      <c r="C2547" s="4" t="s">
        <v>16</v>
      </c>
      <c r="D2547" s="4" t="s">
        <v>13</v>
      </c>
      <c r="E2547" s="5">
        <v>122.7876</v>
      </c>
      <c r="F2547" s="5">
        <v>97.912099999999995</v>
      </c>
      <c r="G2547" s="5">
        <v>97.702200000000005</v>
      </c>
      <c r="H2547" s="4">
        <v>0</v>
      </c>
      <c r="I2547" s="6">
        <v>1382519</v>
      </c>
      <c r="J2547" s="7">
        <v>286.72000000000003</v>
      </c>
      <c r="K2547" s="9">
        <f>(PricingDataTable[[#This Row],[Current Price ($)]]-PricingDataTable[[#This Row],[Prior Price ($)]])/PricingDataTable[[#This Row],[Prior Price ($)]]</f>
        <v>-0.2025896751789269</v>
      </c>
      <c r="L2547" s="9">
        <f>(PricingDataTable[[#This Row],[Vendor Price ($)]]-PricingDataTable[[#This Row],[Current Price ($)]])/PricingDataTable[[#This Row],[Current Price ($)]]</f>
        <v>-2.1437595557647158E-3</v>
      </c>
      <c r="M2547" t="str">
        <f t="shared" si="78"/>
        <v>LARGE MOVE</v>
      </c>
      <c r="N2547" s="10" t="str">
        <f t="shared" si="79"/>
        <v>HIGH</v>
      </c>
    </row>
    <row r="2548" spans="1:14">
      <c r="A2548" s="4" t="s">
        <v>5112</v>
      </c>
      <c r="B2548" s="4" t="s">
        <v>5113</v>
      </c>
      <c r="C2548" s="4" t="s">
        <v>19</v>
      </c>
      <c r="D2548" s="4" t="s">
        <v>13</v>
      </c>
      <c r="E2548" s="5">
        <v>319.14280000000002</v>
      </c>
      <c r="F2548" s="5">
        <v>319.32139999999998</v>
      </c>
      <c r="G2548" s="5">
        <v>318.70620000000002</v>
      </c>
      <c r="H2548" s="4">
        <v>3</v>
      </c>
      <c r="I2548" s="6">
        <v>4291248</v>
      </c>
      <c r="J2548" s="7">
        <v>865.74</v>
      </c>
      <c r="K2548" s="9">
        <f>(PricingDataTable[[#This Row],[Current Price ($)]]-PricingDataTable[[#This Row],[Prior Price ($)]])/PricingDataTable[[#This Row],[Prior Price ($)]]</f>
        <v>5.5962409303910452E-4</v>
      </c>
      <c r="L2548" s="9">
        <f>(PricingDataTable[[#This Row],[Vendor Price ($)]]-PricingDataTable[[#This Row],[Current Price ($)]])/PricingDataTable[[#This Row],[Current Price ($)]]</f>
        <v>-1.9265855655147413E-3</v>
      </c>
      <c r="M2548" t="str">
        <f t="shared" si="78"/>
        <v>STALE</v>
      </c>
      <c r="N2548" s="10" t="str">
        <f t="shared" si="79"/>
        <v>LOW</v>
      </c>
    </row>
    <row r="2549" spans="1:14">
      <c r="A2549" s="4" t="s">
        <v>5114</v>
      </c>
      <c r="B2549" s="4" t="s">
        <v>5115</v>
      </c>
      <c r="C2549" s="4" t="s">
        <v>19</v>
      </c>
      <c r="D2549" s="4" t="s">
        <v>13</v>
      </c>
      <c r="E2549" s="5">
        <v>197.53100000000001</v>
      </c>
      <c r="F2549" s="5">
        <v>198.9511</v>
      </c>
      <c r="G2549" s="5">
        <v>198.6498</v>
      </c>
      <c r="H2549" s="4">
        <v>0</v>
      </c>
      <c r="I2549" s="6">
        <v>3314747</v>
      </c>
      <c r="J2549" s="7">
        <v>686.62</v>
      </c>
      <c r="K2549" s="9">
        <f>(PricingDataTable[[#This Row],[Current Price ($)]]-PricingDataTable[[#This Row],[Prior Price ($)]])/PricingDataTable[[#This Row],[Prior Price ($)]]</f>
        <v>7.1892513073896795E-3</v>
      </c>
      <c r="L2549" s="9">
        <f>(PricingDataTable[[#This Row],[Vendor Price ($)]]-PricingDataTable[[#This Row],[Current Price ($)]])/PricingDataTable[[#This Row],[Current Price ($)]]</f>
        <v>-1.5144424936579777E-3</v>
      </c>
      <c r="M2549" t="str">
        <f t="shared" si="78"/>
        <v>PASS</v>
      </c>
      <c r="N2549" s="10" t="str">
        <f t="shared" si="79"/>
        <v>NONE</v>
      </c>
    </row>
    <row r="2550" spans="1:14">
      <c r="A2550" s="4" t="s">
        <v>5116</v>
      </c>
      <c r="B2550" s="4" t="s">
        <v>5117</v>
      </c>
      <c r="C2550" s="4" t="s">
        <v>39</v>
      </c>
      <c r="D2550" s="4" t="s">
        <v>32</v>
      </c>
      <c r="E2550" s="5">
        <v>162.8092</v>
      </c>
      <c r="F2550" s="5">
        <v>163.63640000000001</v>
      </c>
      <c r="G2550" s="5">
        <v>163.4288</v>
      </c>
      <c r="H2550" s="4">
        <v>0</v>
      </c>
      <c r="I2550" s="6">
        <v>2160128</v>
      </c>
      <c r="J2550" s="7">
        <v>353.15</v>
      </c>
      <c r="K2550" s="9">
        <f>(PricingDataTable[[#This Row],[Current Price ($)]]-PricingDataTable[[#This Row],[Prior Price ($)]])/PricingDataTable[[#This Row],[Prior Price ($)]]</f>
        <v>5.0807939600465138E-3</v>
      </c>
      <c r="L2550" s="9">
        <f>(PricingDataTable[[#This Row],[Vendor Price ($)]]-PricingDataTable[[#This Row],[Current Price ($)]])/PricingDataTable[[#This Row],[Current Price ($)]]</f>
        <v>-1.2686663847408862E-3</v>
      </c>
      <c r="M2550" t="str">
        <f t="shared" si="78"/>
        <v>PASS</v>
      </c>
      <c r="N2550" s="10" t="str">
        <f t="shared" si="79"/>
        <v>NONE</v>
      </c>
    </row>
    <row r="2551" spans="1:14">
      <c r="A2551" s="4" t="s">
        <v>5118</v>
      </c>
      <c r="B2551" s="4" t="s">
        <v>5119</v>
      </c>
      <c r="C2551" s="4" t="s">
        <v>19</v>
      </c>
      <c r="D2551" s="4" t="s">
        <v>13</v>
      </c>
      <c r="E2551" s="5">
        <v>92.368300000000005</v>
      </c>
      <c r="F2551" s="5">
        <v>93.745900000000006</v>
      </c>
      <c r="G2551" s="5">
        <v>93.224100000000007</v>
      </c>
      <c r="H2551" s="4">
        <v>0</v>
      </c>
      <c r="I2551" s="6">
        <v>2702613</v>
      </c>
      <c r="J2551" s="7">
        <v>665.93</v>
      </c>
      <c r="K2551" s="9">
        <f>(PricingDataTable[[#This Row],[Current Price ($)]]-PricingDataTable[[#This Row],[Prior Price ($)]])/PricingDataTable[[#This Row],[Prior Price ($)]]</f>
        <v>1.4914207579873192E-2</v>
      </c>
      <c r="L2551" s="9">
        <f>(PricingDataTable[[#This Row],[Vendor Price ($)]]-PricingDataTable[[#This Row],[Current Price ($)]])/PricingDataTable[[#This Row],[Current Price ($)]]</f>
        <v>-5.5661100912146443E-3</v>
      </c>
      <c r="M2551" t="str">
        <f t="shared" si="78"/>
        <v>PASS</v>
      </c>
      <c r="N2551" s="10" t="str">
        <f t="shared" si="79"/>
        <v>NONE</v>
      </c>
    </row>
    <row r="2552" spans="1:14">
      <c r="A2552" s="4" t="s">
        <v>5120</v>
      </c>
      <c r="B2552" s="4" t="s">
        <v>5121</v>
      </c>
      <c r="C2552" s="4" t="s">
        <v>19</v>
      </c>
      <c r="D2552" s="4" t="s">
        <v>237</v>
      </c>
      <c r="E2552" s="5">
        <v>233.61680000000001</v>
      </c>
      <c r="F2552" s="5">
        <v>232.988</v>
      </c>
      <c r="G2552" s="5">
        <v>232.5299</v>
      </c>
      <c r="H2552" s="4">
        <v>1</v>
      </c>
      <c r="I2552" s="6">
        <v>241876</v>
      </c>
      <c r="J2552" s="7">
        <v>306.14</v>
      </c>
      <c r="K2552" s="9">
        <f>(PricingDataTable[[#This Row],[Current Price ($)]]-PricingDataTable[[#This Row],[Prior Price ($)]])/PricingDataTable[[#This Row],[Prior Price ($)]]</f>
        <v>-2.6915872488622924E-3</v>
      </c>
      <c r="L2552" s="9">
        <f>(PricingDataTable[[#This Row],[Vendor Price ($)]]-PricingDataTable[[#This Row],[Current Price ($)]])/PricingDataTable[[#This Row],[Current Price ($)]]</f>
        <v>-1.9661956838978906E-3</v>
      </c>
      <c r="M2552" t="str">
        <f t="shared" si="78"/>
        <v>PASS</v>
      </c>
      <c r="N2552" s="10" t="str">
        <f t="shared" si="79"/>
        <v>NONE</v>
      </c>
    </row>
    <row r="2553" spans="1:14">
      <c r="A2553" s="4" t="s">
        <v>5122</v>
      </c>
      <c r="B2553" s="4" t="s">
        <v>5123</v>
      </c>
      <c r="C2553" s="4" t="s">
        <v>12</v>
      </c>
      <c r="D2553" s="4" t="s">
        <v>13</v>
      </c>
      <c r="E2553" s="5">
        <v>105.04089999999999</v>
      </c>
      <c r="F2553" s="5">
        <v>102.717</v>
      </c>
      <c r="G2553" s="5">
        <v>102.5913</v>
      </c>
      <c r="H2553" s="4">
        <v>0</v>
      </c>
      <c r="I2553" s="6">
        <v>3096159</v>
      </c>
      <c r="J2553" s="7">
        <v>528.04999999999995</v>
      </c>
      <c r="K2553" s="9">
        <f>(PricingDataTable[[#This Row],[Current Price ($)]]-PricingDataTable[[#This Row],[Prior Price ($)]])/PricingDataTable[[#This Row],[Prior Price ($)]]</f>
        <v>-2.2123763219850504E-2</v>
      </c>
      <c r="L2553" s="9">
        <f>(PricingDataTable[[#This Row],[Vendor Price ($)]]-PricingDataTable[[#This Row],[Current Price ($)]])/PricingDataTable[[#This Row],[Current Price ($)]]</f>
        <v>-1.2237506936533856E-3</v>
      </c>
      <c r="M2553" t="str">
        <f t="shared" si="78"/>
        <v>PASS</v>
      </c>
      <c r="N2553" s="10" t="str">
        <f t="shared" si="79"/>
        <v>NONE</v>
      </c>
    </row>
    <row r="2554" spans="1:14">
      <c r="A2554" s="4" t="s">
        <v>5124</v>
      </c>
      <c r="B2554" s="4" t="s">
        <v>5125</v>
      </c>
      <c r="C2554" s="4" t="s">
        <v>12</v>
      </c>
      <c r="D2554" s="4" t="s">
        <v>13</v>
      </c>
      <c r="E2554" s="5">
        <v>90.822999999999993</v>
      </c>
      <c r="F2554" s="5">
        <v>91.098399999999998</v>
      </c>
      <c r="G2554" s="5">
        <v>90.599199999999996</v>
      </c>
      <c r="H2554" s="4">
        <v>0</v>
      </c>
      <c r="I2554" s="6">
        <v>214210</v>
      </c>
      <c r="J2554" s="7">
        <v>787.14</v>
      </c>
      <c r="K2554" s="9">
        <f>(PricingDataTable[[#This Row],[Current Price ($)]]-PricingDataTable[[#This Row],[Prior Price ($)]])/PricingDataTable[[#This Row],[Prior Price ($)]]</f>
        <v>3.0322715611684789E-3</v>
      </c>
      <c r="L2554" s="9">
        <f>(PricingDataTable[[#This Row],[Vendor Price ($)]]-PricingDataTable[[#This Row],[Current Price ($)]])/PricingDataTable[[#This Row],[Current Price ($)]]</f>
        <v>-5.47978888762044E-3</v>
      </c>
      <c r="M2554" t="str">
        <f t="shared" si="78"/>
        <v>PASS</v>
      </c>
      <c r="N2554" s="10" t="str">
        <f t="shared" si="79"/>
        <v>NONE</v>
      </c>
    </row>
    <row r="2555" spans="1:14">
      <c r="A2555" s="4" t="s">
        <v>5126</v>
      </c>
      <c r="B2555" s="4" t="s">
        <v>5127</v>
      </c>
      <c r="C2555" s="4" t="s">
        <v>39</v>
      </c>
      <c r="D2555" s="4" t="s">
        <v>13</v>
      </c>
      <c r="E2555" s="5">
        <v>219.6885</v>
      </c>
      <c r="F2555" s="5">
        <v>241.27539999999999</v>
      </c>
      <c r="G2555" s="5">
        <v>241.1037</v>
      </c>
      <c r="H2555" s="4">
        <v>0</v>
      </c>
      <c r="I2555" s="6">
        <v>4079286</v>
      </c>
      <c r="J2555" s="7">
        <v>294.12</v>
      </c>
      <c r="K2555" s="9">
        <f>(PricingDataTable[[#This Row],[Current Price ($)]]-PricingDataTable[[#This Row],[Prior Price ($)]])/PricingDataTable[[#This Row],[Prior Price ($)]]</f>
        <v>9.8261401939564355E-2</v>
      </c>
      <c r="L2555" s="9">
        <f>(PricingDataTable[[#This Row],[Vendor Price ($)]]-PricingDataTable[[#This Row],[Current Price ($)]])/PricingDataTable[[#This Row],[Current Price ($)]]</f>
        <v>-7.1163492009540584E-4</v>
      </c>
      <c r="M2555" t="str">
        <f t="shared" si="78"/>
        <v>LARGE MOVE</v>
      </c>
      <c r="N2555" s="10" t="str">
        <f t="shared" si="79"/>
        <v>MEDIUM</v>
      </c>
    </row>
    <row r="2556" spans="1:14">
      <c r="A2556" s="4" t="s">
        <v>5128</v>
      </c>
      <c r="B2556" s="4" t="s">
        <v>5129</v>
      </c>
      <c r="C2556" s="4" t="s">
        <v>19</v>
      </c>
      <c r="D2556" s="4" t="s">
        <v>13</v>
      </c>
      <c r="E2556" s="5">
        <v>107.50960000000001</v>
      </c>
      <c r="F2556" s="5">
        <v>106.04730000000001</v>
      </c>
      <c r="G2556" s="5">
        <v>106.3479</v>
      </c>
      <c r="H2556" s="4">
        <v>0</v>
      </c>
      <c r="I2556" s="6">
        <v>1097019</v>
      </c>
      <c r="J2556" s="7">
        <v>769.17</v>
      </c>
      <c r="K2556" s="9">
        <f>(PricingDataTable[[#This Row],[Current Price ($)]]-PricingDataTable[[#This Row],[Prior Price ($)]])/PricingDataTable[[#This Row],[Prior Price ($)]]</f>
        <v>-1.3601576045301992E-2</v>
      </c>
      <c r="L2556" s="9">
        <f>(PricingDataTable[[#This Row],[Vendor Price ($)]]-PricingDataTable[[#This Row],[Current Price ($)]])/PricingDataTable[[#This Row],[Current Price ($)]]</f>
        <v>2.8345841902621626E-3</v>
      </c>
      <c r="M2556" t="str">
        <f t="shared" si="78"/>
        <v>PASS</v>
      </c>
      <c r="N2556" s="10" t="str">
        <f t="shared" si="79"/>
        <v>NONE</v>
      </c>
    </row>
    <row r="2557" spans="1:14">
      <c r="A2557" s="4" t="s">
        <v>5130</v>
      </c>
      <c r="B2557" s="4" t="s">
        <v>5131</v>
      </c>
      <c r="C2557" s="4" t="s">
        <v>19</v>
      </c>
      <c r="D2557" s="4" t="s">
        <v>13</v>
      </c>
      <c r="E2557" s="5">
        <v>344.07229999999998</v>
      </c>
      <c r="F2557" s="5">
        <v>341.70740000000001</v>
      </c>
      <c r="G2557" s="5">
        <v>341.24279999999999</v>
      </c>
      <c r="H2557" s="4">
        <v>0</v>
      </c>
      <c r="I2557" s="6">
        <v>3802354</v>
      </c>
      <c r="J2557" s="7">
        <v>687.45</v>
      </c>
      <c r="K2557" s="9">
        <f>(PricingDataTable[[#This Row],[Current Price ($)]]-PricingDataTable[[#This Row],[Prior Price ($)]])/PricingDataTable[[#This Row],[Prior Price ($)]]</f>
        <v>-6.8732647179095135E-3</v>
      </c>
      <c r="L2557" s="9">
        <f>(PricingDataTable[[#This Row],[Vendor Price ($)]]-PricingDataTable[[#This Row],[Current Price ($)]])/PricingDataTable[[#This Row],[Current Price ($)]]</f>
        <v>-1.3596427820995933E-3</v>
      </c>
      <c r="M2557" t="str">
        <f t="shared" si="78"/>
        <v>PASS</v>
      </c>
      <c r="N2557" s="10" t="str">
        <f t="shared" si="79"/>
        <v>NONE</v>
      </c>
    </row>
    <row r="2558" spans="1:14">
      <c r="A2558" s="4" t="s">
        <v>5132</v>
      </c>
      <c r="B2558" s="4" t="s">
        <v>5133</v>
      </c>
      <c r="C2558" s="4" t="s">
        <v>19</v>
      </c>
      <c r="D2558" s="4" t="s">
        <v>13</v>
      </c>
      <c r="E2558" s="5">
        <v>313.92219999999998</v>
      </c>
      <c r="F2558" s="5">
        <v>321.49549999999999</v>
      </c>
      <c r="G2558" s="5">
        <v>320.4477</v>
      </c>
      <c r="H2558" s="4">
        <v>2</v>
      </c>
      <c r="I2558" s="6">
        <v>4699717</v>
      </c>
      <c r="J2558" s="7">
        <v>731.21</v>
      </c>
      <c r="K2558" s="9">
        <f>(PricingDataTable[[#This Row],[Current Price ($)]]-PricingDataTable[[#This Row],[Prior Price ($)]])/PricingDataTable[[#This Row],[Prior Price ($)]]</f>
        <v>2.4124767219393908E-2</v>
      </c>
      <c r="L2558" s="9">
        <f>(PricingDataTable[[#This Row],[Vendor Price ($)]]-PricingDataTable[[#This Row],[Current Price ($)]])/PricingDataTable[[#This Row],[Current Price ($)]]</f>
        <v>-3.2591435961000859E-3</v>
      </c>
      <c r="M2558" t="str">
        <f t="shared" si="78"/>
        <v>PASS</v>
      </c>
      <c r="N2558" s="10" t="str">
        <f t="shared" si="79"/>
        <v>NONE</v>
      </c>
    </row>
    <row r="2559" spans="1:14">
      <c r="A2559" s="4" t="s">
        <v>5134</v>
      </c>
      <c r="B2559" s="4" t="s">
        <v>5135</v>
      </c>
      <c r="C2559" s="4" t="s">
        <v>12</v>
      </c>
      <c r="D2559" s="4" t="s">
        <v>32</v>
      </c>
      <c r="E2559" s="5">
        <v>91.512900000000002</v>
      </c>
      <c r="F2559" s="5">
        <v>92.773200000000003</v>
      </c>
      <c r="G2559" s="5">
        <v>93.358199999999997</v>
      </c>
      <c r="H2559" s="4">
        <v>1</v>
      </c>
      <c r="I2559" s="6">
        <v>431993</v>
      </c>
      <c r="J2559" s="7">
        <v>74.25</v>
      </c>
      <c r="K2559" s="9">
        <f>(PricingDataTable[[#This Row],[Current Price ($)]]-PricingDataTable[[#This Row],[Prior Price ($)]])/PricingDataTable[[#This Row],[Prior Price ($)]]</f>
        <v>1.3771828889697527E-2</v>
      </c>
      <c r="L2559" s="9">
        <f>(PricingDataTable[[#This Row],[Vendor Price ($)]]-PricingDataTable[[#This Row],[Current Price ($)]])/PricingDataTable[[#This Row],[Current Price ($)]]</f>
        <v>6.305700353119152E-3</v>
      </c>
      <c r="M2559" t="str">
        <f t="shared" si="78"/>
        <v>PASS</v>
      </c>
      <c r="N2559" s="10" t="str">
        <f t="shared" si="79"/>
        <v>NONE</v>
      </c>
    </row>
    <row r="2560" spans="1:14">
      <c r="A2560" s="4" t="s">
        <v>5136</v>
      </c>
      <c r="B2560" s="4" t="s">
        <v>5137</v>
      </c>
      <c r="C2560" s="4" t="s">
        <v>39</v>
      </c>
      <c r="D2560" s="4" t="s">
        <v>64</v>
      </c>
      <c r="E2560" s="5">
        <v>299.35590000000002</v>
      </c>
      <c r="F2560" s="5">
        <v>295.03519999999997</v>
      </c>
      <c r="G2560" s="5">
        <v>294.36900000000003</v>
      </c>
      <c r="H2560" s="4">
        <v>1</v>
      </c>
      <c r="I2560" s="6">
        <v>1360864</v>
      </c>
      <c r="J2560" s="7">
        <v>188.28</v>
      </c>
      <c r="K2560" s="9">
        <f>(PricingDataTable[[#This Row],[Current Price ($)]]-PricingDataTable[[#This Row],[Prior Price ($)]])/PricingDataTable[[#This Row],[Prior Price ($)]]</f>
        <v>-1.4433321674969642E-2</v>
      </c>
      <c r="L2560" s="9">
        <f>(PricingDataTable[[#This Row],[Vendor Price ($)]]-PricingDataTable[[#This Row],[Current Price ($)]])/PricingDataTable[[#This Row],[Current Price ($)]]</f>
        <v>-2.2580356513390494E-3</v>
      </c>
      <c r="M2560" t="str">
        <f t="shared" si="78"/>
        <v>PASS</v>
      </c>
      <c r="N2560" s="10" t="str">
        <f t="shared" si="79"/>
        <v>NONE</v>
      </c>
    </row>
    <row r="2561" spans="1:14">
      <c r="A2561" s="4" t="s">
        <v>5138</v>
      </c>
      <c r="B2561" s="4" t="s">
        <v>5139</v>
      </c>
      <c r="C2561" s="4" t="s">
        <v>16</v>
      </c>
      <c r="D2561" s="4" t="s">
        <v>13</v>
      </c>
      <c r="E2561" s="5">
        <v>104.24</v>
      </c>
      <c r="F2561" s="5">
        <v>105.83199999999999</v>
      </c>
      <c r="G2561" s="5">
        <v>105.6589</v>
      </c>
      <c r="H2561" s="4">
        <v>0</v>
      </c>
      <c r="I2561" s="6">
        <v>8729</v>
      </c>
      <c r="J2561" s="7">
        <v>53.15</v>
      </c>
      <c r="K2561" s="9">
        <f>(PricingDataTable[[#This Row],[Current Price ($)]]-PricingDataTable[[#This Row],[Prior Price ($)]])/PricingDataTable[[#This Row],[Prior Price ($)]]</f>
        <v>1.5272448196469675E-2</v>
      </c>
      <c r="L2561" s="9">
        <f>(PricingDataTable[[#This Row],[Vendor Price ($)]]-PricingDataTable[[#This Row],[Current Price ($)]])/PricingDataTable[[#This Row],[Current Price ($)]]</f>
        <v>-1.6356111573058332E-3</v>
      </c>
      <c r="M2561" t="str">
        <f t="shared" si="78"/>
        <v>PASS</v>
      </c>
      <c r="N2561" s="10" t="str">
        <f t="shared" si="79"/>
        <v>NONE</v>
      </c>
    </row>
    <row r="2562" spans="1:14">
      <c r="A2562" s="4" t="s">
        <v>5140</v>
      </c>
      <c r="B2562" s="4" t="s">
        <v>5141</v>
      </c>
      <c r="C2562" s="4" t="s">
        <v>19</v>
      </c>
      <c r="D2562" s="4" t="s">
        <v>13</v>
      </c>
      <c r="E2562" s="5">
        <v>329.93990000000002</v>
      </c>
      <c r="F2562" s="5">
        <v>329.0994</v>
      </c>
      <c r="G2562" s="5">
        <v>330.09980000000002</v>
      </c>
      <c r="H2562" s="4">
        <v>0</v>
      </c>
      <c r="I2562" s="6">
        <v>581413</v>
      </c>
      <c r="J2562" s="7">
        <v>636.51</v>
      </c>
      <c r="K2562" s="9">
        <f>(PricingDataTable[[#This Row],[Current Price ($)]]-PricingDataTable[[#This Row],[Prior Price ($)]])/PricingDataTable[[#This Row],[Prior Price ($)]]</f>
        <v>-2.5474336386718307E-3</v>
      </c>
      <c r="L2562" s="9">
        <f>(PricingDataTable[[#This Row],[Vendor Price ($)]]-PricingDataTable[[#This Row],[Current Price ($)]])/PricingDataTable[[#This Row],[Current Price ($)]]</f>
        <v>3.0398110722778993E-3</v>
      </c>
      <c r="M2562" t="str">
        <f t="shared" ref="M2562:M2625" si="80">IF(OR(F2562="",F2562=0),"MISSING",IF(H2562&gt;=3,"STALE",IF(ABS(K2562)&gt;=5%,"LARGE MOVE",IF(ABS(L2562)&gt;=2%,"VENDOR DIFFERENCE","PASS"))))</f>
        <v>PASS</v>
      </c>
      <c r="N2562" s="10" t="str">
        <f t="shared" ref="N2562:N2625" si="81">IF(M2562="PASS","NONE",IF(M2562="MISSING","HIGH",IF(OR(ABS(K2562)&gt;=10%,ABS(L2562)&gt;=5%),"HIGH",IF(OR(ABS(K2562)&gt;=7%,ABS(L2562)&gt;=3%,H2562&gt;=5),"MEDIUM","LOW"))))</f>
        <v>NONE</v>
      </c>
    </row>
    <row r="2563" spans="1:14">
      <c r="A2563" s="4" t="s">
        <v>5142</v>
      </c>
      <c r="B2563" s="4" t="s">
        <v>5143</v>
      </c>
      <c r="C2563" s="4" t="s">
        <v>39</v>
      </c>
      <c r="D2563" s="4" t="s">
        <v>13</v>
      </c>
      <c r="E2563" s="5">
        <v>92.698999999999998</v>
      </c>
      <c r="F2563" s="5">
        <v>93.1815</v>
      </c>
      <c r="G2563" s="5">
        <v>93.375399999999999</v>
      </c>
      <c r="H2563" s="4">
        <v>0</v>
      </c>
      <c r="I2563" s="6">
        <v>4288602</v>
      </c>
      <c r="J2563" s="7">
        <v>318.88</v>
      </c>
      <c r="K2563" s="9">
        <f>(PricingDataTable[[#This Row],[Current Price ($)]]-PricingDataTable[[#This Row],[Prior Price ($)]])/PricingDataTable[[#This Row],[Prior Price ($)]]</f>
        <v>5.2050183928629406E-3</v>
      </c>
      <c r="L2563" s="9">
        <f>(PricingDataTable[[#This Row],[Vendor Price ($)]]-PricingDataTable[[#This Row],[Current Price ($)]])/PricingDataTable[[#This Row],[Current Price ($)]]</f>
        <v>2.0808851542419827E-3</v>
      </c>
      <c r="M2563" t="str">
        <f t="shared" si="80"/>
        <v>PASS</v>
      </c>
      <c r="N2563" s="10" t="str">
        <f t="shared" si="81"/>
        <v>NONE</v>
      </c>
    </row>
    <row r="2564" spans="1:14">
      <c r="A2564" s="4" t="s">
        <v>5144</v>
      </c>
      <c r="B2564" s="4" t="s">
        <v>5145</v>
      </c>
      <c r="C2564" s="4" t="s">
        <v>39</v>
      </c>
      <c r="D2564" s="4" t="s">
        <v>13</v>
      </c>
      <c r="E2564" s="5">
        <v>310.7192</v>
      </c>
      <c r="F2564" s="5">
        <v>314.76960000000003</v>
      </c>
      <c r="G2564" s="5">
        <v>315.30220000000003</v>
      </c>
      <c r="H2564" s="4">
        <v>0</v>
      </c>
      <c r="I2564" s="6">
        <v>2931378</v>
      </c>
      <c r="J2564" s="7">
        <v>896.94</v>
      </c>
      <c r="K2564" s="9">
        <f>(PricingDataTable[[#This Row],[Current Price ($)]]-PricingDataTable[[#This Row],[Prior Price ($)]])/PricingDataTable[[#This Row],[Prior Price ($)]]</f>
        <v>1.3035563943264609E-2</v>
      </c>
      <c r="L2564" s="9">
        <f>(PricingDataTable[[#This Row],[Vendor Price ($)]]-PricingDataTable[[#This Row],[Current Price ($)]])/PricingDataTable[[#This Row],[Current Price ($)]]</f>
        <v>1.6920312507942385E-3</v>
      </c>
      <c r="M2564" t="str">
        <f t="shared" si="80"/>
        <v>PASS</v>
      </c>
      <c r="N2564" s="10" t="str">
        <f t="shared" si="81"/>
        <v>NONE</v>
      </c>
    </row>
    <row r="2565" spans="1:14">
      <c r="A2565" s="4" t="s">
        <v>5146</v>
      </c>
      <c r="B2565" s="4" t="s">
        <v>5147</v>
      </c>
      <c r="C2565" s="4" t="s">
        <v>12</v>
      </c>
      <c r="D2565" s="4" t="s">
        <v>13</v>
      </c>
      <c r="E2565" s="5">
        <v>80.120500000000007</v>
      </c>
      <c r="F2565" s="5">
        <v>80.461200000000005</v>
      </c>
      <c r="G2565" s="5">
        <v>80.436000000000007</v>
      </c>
      <c r="H2565" s="4">
        <v>0</v>
      </c>
      <c r="I2565" s="6">
        <v>1942183</v>
      </c>
      <c r="J2565" s="7">
        <v>55.23</v>
      </c>
      <c r="K2565" s="9">
        <f>(PricingDataTable[[#This Row],[Current Price ($)]]-PricingDataTable[[#This Row],[Prior Price ($)]])/PricingDataTable[[#This Row],[Prior Price ($)]]</f>
        <v>4.2523449054860888E-3</v>
      </c>
      <c r="L2565" s="9">
        <f>(PricingDataTable[[#This Row],[Vendor Price ($)]]-PricingDataTable[[#This Row],[Current Price ($)]])/PricingDataTable[[#This Row],[Current Price ($)]]</f>
        <v>-3.1319443408746219E-4</v>
      </c>
      <c r="M2565" t="str">
        <f t="shared" si="80"/>
        <v>PASS</v>
      </c>
      <c r="N2565" s="10" t="str">
        <f t="shared" si="81"/>
        <v>NONE</v>
      </c>
    </row>
    <row r="2566" spans="1:14">
      <c r="A2566" s="4" t="s">
        <v>5148</v>
      </c>
      <c r="B2566" s="4" t="s">
        <v>5149</v>
      </c>
      <c r="C2566" s="4" t="s">
        <v>19</v>
      </c>
      <c r="D2566" s="4" t="s">
        <v>13</v>
      </c>
      <c r="E2566" s="5">
        <v>111.06570000000001</v>
      </c>
      <c r="F2566" s="5">
        <v>108.95869999999999</v>
      </c>
      <c r="G2566" s="5">
        <v>109.2444</v>
      </c>
      <c r="H2566" s="4">
        <v>1</v>
      </c>
      <c r="I2566" s="6">
        <v>732166</v>
      </c>
      <c r="J2566" s="7">
        <v>200.42</v>
      </c>
      <c r="K2566" s="9">
        <f>(PricingDataTable[[#This Row],[Current Price ($)]]-PricingDataTable[[#This Row],[Prior Price ($)]])/PricingDataTable[[#This Row],[Prior Price ($)]]</f>
        <v>-1.8970753346892997E-2</v>
      </c>
      <c r="L2566" s="9">
        <f>(PricingDataTable[[#This Row],[Vendor Price ($)]]-PricingDataTable[[#This Row],[Current Price ($)]])/PricingDataTable[[#This Row],[Current Price ($)]]</f>
        <v>2.6220944266038934E-3</v>
      </c>
      <c r="M2566" t="str">
        <f t="shared" si="80"/>
        <v>PASS</v>
      </c>
      <c r="N2566" s="10" t="str">
        <f t="shared" si="81"/>
        <v>NONE</v>
      </c>
    </row>
    <row r="2567" spans="1:14">
      <c r="A2567" s="4" t="s">
        <v>5150</v>
      </c>
      <c r="B2567" s="4" t="s">
        <v>5151</v>
      </c>
      <c r="C2567" s="4" t="s">
        <v>19</v>
      </c>
      <c r="D2567" s="4" t="s">
        <v>13</v>
      </c>
      <c r="E2567" s="5">
        <v>318.70870000000002</v>
      </c>
      <c r="F2567" s="5">
        <v>321.48899999999998</v>
      </c>
      <c r="G2567" s="5">
        <v>321.6293</v>
      </c>
      <c r="H2567" s="4">
        <v>1</v>
      </c>
      <c r="I2567" s="6">
        <v>3891445</v>
      </c>
      <c r="J2567" s="7">
        <v>409.54</v>
      </c>
      <c r="K2567" s="9">
        <f>(PricingDataTable[[#This Row],[Current Price ($)]]-PricingDataTable[[#This Row],[Prior Price ($)]])/PricingDataTable[[#This Row],[Prior Price ($)]]</f>
        <v>8.7236401139973718E-3</v>
      </c>
      <c r="L2567" s="9">
        <f>(PricingDataTable[[#This Row],[Vendor Price ($)]]-PricingDataTable[[#This Row],[Current Price ($)]])/PricingDataTable[[#This Row],[Current Price ($)]]</f>
        <v>4.3640684440221825E-4</v>
      </c>
      <c r="M2567" t="str">
        <f t="shared" si="80"/>
        <v>PASS</v>
      </c>
      <c r="N2567" s="10" t="str">
        <f t="shared" si="81"/>
        <v>NONE</v>
      </c>
    </row>
    <row r="2568" spans="1:14">
      <c r="A2568" s="4" t="s">
        <v>5152</v>
      </c>
      <c r="B2568" s="4" t="s">
        <v>5153</v>
      </c>
      <c r="C2568" s="4" t="s">
        <v>39</v>
      </c>
      <c r="D2568" s="4" t="s">
        <v>13</v>
      </c>
      <c r="E2568" s="5">
        <v>114.414</v>
      </c>
      <c r="F2568" s="5">
        <v>113.6994</v>
      </c>
      <c r="G2568" s="5">
        <v>113.94840000000001</v>
      </c>
      <c r="H2568" s="4">
        <v>2</v>
      </c>
      <c r="I2568" s="6">
        <v>2099144</v>
      </c>
      <c r="J2568" s="7">
        <v>182</v>
      </c>
      <c r="K2568" s="9">
        <f>(PricingDataTable[[#This Row],[Current Price ($)]]-PricingDataTable[[#This Row],[Prior Price ($)]])/PricingDataTable[[#This Row],[Prior Price ($)]]</f>
        <v>-6.2457391577954123E-3</v>
      </c>
      <c r="L2568" s="9">
        <f>(PricingDataTable[[#This Row],[Vendor Price ($)]]-PricingDataTable[[#This Row],[Current Price ($)]])/PricingDataTable[[#This Row],[Current Price ($)]]</f>
        <v>2.18998517142579E-3</v>
      </c>
      <c r="M2568" t="str">
        <f t="shared" si="80"/>
        <v>PASS</v>
      </c>
      <c r="N2568" s="10" t="str">
        <f t="shared" si="81"/>
        <v>NONE</v>
      </c>
    </row>
    <row r="2569" spans="1:14">
      <c r="A2569" s="4" t="s">
        <v>5154</v>
      </c>
      <c r="B2569" s="4" t="s">
        <v>5155</v>
      </c>
      <c r="C2569" s="4" t="s">
        <v>19</v>
      </c>
      <c r="D2569" s="4" t="s">
        <v>13</v>
      </c>
      <c r="E2569" s="5">
        <v>138.58199999999999</v>
      </c>
      <c r="F2569" s="5">
        <v>138.99160000000001</v>
      </c>
      <c r="G2569" s="5">
        <v>139.33959999999999</v>
      </c>
      <c r="H2569" s="4">
        <v>0</v>
      </c>
      <c r="I2569" s="6">
        <v>2093865</v>
      </c>
      <c r="J2569" s="7">
        <v>169.9</v>
      </c>
      <c r="K2569" s="9">
        <f>(PricingDataTable[[#This Row],[Current Price ($)]]-PricingDataTable[[#This Row],[Prior Price ($)]])/PricingDataTable[[#This Row],[Prior Price ($)]]</f>
        <v>2.9556508060210687E-3</v>
      </c>
      <c r="L2569" s="9">
        <f>(PricingDataTable[[#This Row],[Vendor Price ($)]]-PricingDataTable[[#This Row],[Current Price ($)]])/PricingDataTable[[#This Row],[Current Price ($)]]</f>
        <v>2.5037484279624433E-3</v>
      </c>
      <c r="M2569" t="str">
        <f t="shared" si="80"/>
        <v>PASS</v>
      </c>
      <c r="N2569" s="10" t="str">
        <f t="shared" si="81"/>
        <v>NONE</v>
      </c>
    </row>
    <row r="2570" spans="1:14">
      <c r="A2570" s="4" t="s">
        <v>5156</v>
      </c>
      <c r="B2570" s="4" t="s">
        <v>5157</v>
      </c>
      <c r="C2570" s="4" t="s">
        <v>16</v>
      </c>
      <c r="D2570" s="4" t="s">
        <v>32</v>
      </c>
      <c r="E2570" s="5">
        <v>78.491699999999994</v>
      </c>
      <c r="F2570" s="5">
        <v>79.617500000000007</v>
      </c>
      <c r="G2570" s="5">
        <v>79.569999999999993</v>
      </c>
      <c r="H2570" s="4">
        <v>0</v>
      </c>
      <c r="I2570" s="6">
        <v>3626259</v>
      </c>
      <c r="J2570" s="7">
        <v>124.93</v>
      </c>
      <c r="K2570" s="9">
        <f>(PricingDataTable[[#This Row],[Current Price ($)]]-PricingDataTable[[#This Row],[Prior Price ($)]])/PricingDataTable[[#This Row],[Prior Price ($)]]</f>
        <v>1.4342917786211948E-2</v>
      </c>
      <c r="L2570" s="9">
        <f>(PricingDataTable[[#This Row],[Vendor Price ($)]]-PricingDataTable[[#This Row],[Current Price ($)]])/PricingDataTable[[#This Row],[Current Price ($)]]</f>
        <v>-5.9660250573069539E-4</v>
      </c>
      <c r="M2570" t="str">
        <f t="shared" si="80"/>
        <v>PASS</v>
      </c>
      <c r="N2570" s="10" t="str">
        <f t="shared" si="81"/>
        <v>NONE</v>
      </c>
    </row>
    <row r="2571" spans="1:14">
      <c r="A2571" s="4" t="s">
        <v>5158</v>
      </c>
      <c r="B2571" s="4" t="s">
        <v>5159</v>
      </c>
      <c r="C2571" s="4" t="s">
        <v>16</v>
      </c>
      <c r="D2571" s="4" t="s">
        <v>13</v>
      </c>
      <c r="E2571" s="5">
        <v>80.306200000000004</v>
      </c>
      <c r="F2571" s="5">
        <v>79.972899999999996</v>
      </c>
      <c r="G2571" s="5">
        <v>79.882000000000005</v>
      </c>
      <c r="H2571" s="4">
        <v>0</v>
      </c>
      <c r="I2571" s="6">
        <v>3524765</v>
      </c>
      <c r="J2571" s="7">
        <v>863.27</v>
      </c>
      <c r="K2571" s="9">
        <f>(PricingDataTable[[#This Row],[Current Price ($)]]-PricingDataTable[[#This Row],[Prior Price ($)]])/PricingDataTable[[#This Row],[Prior Price ($)]]</f>
        <v>-4.1503644799530844E-3</v>
      </c>
      <c r="L2571" s="9">
        <f>(PricingDataTable[[#This Row],[Vendor Price ($)]]-PricingDataTable[[#This Row],[Current Price ($)]])/PricingDataTable[[#This Row],[Current Price ($)]]</f>
        <v>-1.1366350351180296E-3</v>
      </c>
      <c r="M2571" t="str">
        <f t="shared" si="80"/>
        <v>PASS</v>
      </c>
      <c r="N2571" s="10" t="str">
        <f t="shared" si="81"/>
        <v>NONE</v>
      </c>
    </row>
    <row r="2572" spans="1:14">
      <c r="A2572" s="4" t="s">
        <v>5160</v>
      </c>
      <c r="B2572" s="4" t="s">
        <v>5161</v>
      </c>
      <c r="C2572" s="4" t="s">
        <v>39</v>
      </c>
      <c r="D2572" s="4" t="s">
        <v>13</v>
      </c>
      <c r="E2572" s="5">
        <v>54.446899999999999</v>
      </c>
      <c r="F2572" s="5">
        <v>54.043300000000002</v>
      </c>
      <c r="G2572" s="5">
        <v>53.752099999999999</v>
      </c>
      <c r="H2572" s="4">
        <v>0</v>
      </c>
      <c r="I2572" s="6">
        <v>2745681</v>
      </c>
      <c r="J2572" s="7">
        <v>742.58</v>
      </c>
      <c r="K2572" s="9">
        <f>(PricingDataTable[[#This Row],[Current Price ($)]]-PricingDataTable[[#This Row],[Prior Price ($)]])/PricingDataTable[[#This Row],[Prior Price ($)]]</f>
        <v>-7.4127268953787509E-3</v>
      </c>
      <c r="L2572" s="9">
        <f>(PricingDataTable[[#This Row],[Vendor Price ($)]]-PricingDataTable[[#This Row],[Current Price ($)]])/PricingDataTable[[#This Row],[Current Price ($)]]</f>
        <v>-5.3882719967138096E-3</v>
      </c>
      <c r="M2572" t="str">
        <f t="shared" si="80"/>
        <v>PASS</v>
      </c>
      <c r="N2572" s="10" t="str">
        <f t="shared" si="81"/>
        <v>NONE</v>
      </c>
    </row>
    <row r="2573" spans="1:14">
      <c r="A2573" s="4" t="s">
        <v>5162</v>
      </c>
      <c r="B2573" s="4" t="s">
        <v>5163</v>
      </c>
      <c r="C2573" s="4" t="s">
        <v>19</v>
      </c>
      <c r="D2573" s="4" t="s">
        <v>13</v>
      </c>
      <c r="E2573" s="5">
        <v>86.280299999999997</v>
      </c>
      <c r="F2573" s="5">
        <v>87.047899999999998</v>
      </c>
      <c r="G2573" s="5">
        <v>86.420100000000005</v>
      </c>
      <c r="H2573" s="4">
        <v>0</v>
      </c>
      <c r="I2573" s="6">
        <v>1517129</v>
      </c>
      <c r="J2573" s="7">
        <v>483.4</v>
      </c>
      <c r="K2573" s="9">
        <f>(PricingDataTable[[#This Row],[Current Price ($)]]-PricingDataTable[[#This Row],[Prior Price ($)]])/PricingDataTable[[#This Row],[Prior Price ($)]]</f>
        <v>8.8965847360289851E-3</v>
      </c>
      <c r="L2573" s="9">
        <f>(PricingDataTable[[#This Row],[Vendor Price ($)]]-PricingDataTable[[#This Row],[Current Price ($)]])/PricingDataTable[[#This Row],[Current Price ($)]]</f>
        <v>-7.2121211424973318E-3</v>
      </c>
      <c r="M2573" t="str">
        <f t="shared" si="80"/>
        <v>PASS</v>
      </c>
      <c r="N2573" s="10" t="str">
        <f t="shared" si="81"/>
        <v>NONE</v>
      </c>
    </row>
    <row r="2574" spans="1:14">
      <c r="A2574" s="4" t="s">
        <v>5164</v>
      </c>
      <c r="B2574" s="4" t="s">
        <v>5165</v>
      </c>
      <c r="C2574" s="4" t="s">
        <v>12</v>
      </c>
      <c r="D2574" s="4" t="s">
        <v>13</v>
      </c>
      <c r="E2574" s="5">
        <v>108.4948</v>
      </c>
      <c r="F2574" s="5">
        <v>109.30540000000001</v>
      </c>
      <c r="G2574" s="5">
        <v>108.9183</v>
      </c>
      <c r="H2574" s="4">
        <v>0</v>
      </c>
      <c r="I2574" s="6">
        <v>2801230</v>
      </c>
      <c r="J2574" s="7">
        <v>562.52</v>
      </c>
      <c r="K2574" s="9">
        <f>(PricingDataTable[[#This Row],[Current Price ($)]]-PricingDataTable[[#This Row],[Prior Price ($)]])/PricingDataTable[[#This Row],[Prior Price ($)]]</f>
        <v>7.4713258146934967E-3</v>
      </c>
      <c r="L2574" s="9">
        <f>(PricingDataTable[[#This Row],[Vendor Price ($)]]-PricingDataTable[[#This Row],[Current Price ($)]])/PricingDataTable[[#This Row],[Current Price ($)]]</f>
        <v>-3.5414535786887358E-3</v>
      </c>
      <c r="M2574" t="str">
        <f t="shared" si="80"/>
        <v>PASS</v>
      </c>
      <c r="N2574" s="10" t="str">
        <f t="shared" si="81"/>
        <v>NONE</v>
      </c>
    </row>
    <row r="2575" spans="1:14">
      <c r="A2575" s="4" t="s">
        <v>5166</v>
      </c>
      <c r="B2575" s="4" t="s">
        <v>5167</v>
      </c>
      <c r="C2575" s="4" t="s">
        <v>19</v>
      </c>
      <c r="D2575" s="4" t="s">
        <v>64</v>
      </c>
      <c r="E2575" s="5">
        <v>142.60560000000001</v>
      </c>
      <c r="F2575" s="5">
        <v>148.75720000000001</v>
      </c>
      <c r="G2575" s="5"/>
      <c r="H2575" s="4">
        <v>0</v>
      </c>
      <c r="I2575" s="6">
        <v>2163814</v>
      </c>
      <c r="J2575" s="7">
        <v>65.48</v>
      </c>
      <c r="K2575" s="9">
        <f>(PricingDataTable[[#This Row],[Current Price ($)]]-PricingDataTable[[#This Row],[Prior Price ($)]])/PricingDataTable[[#This Row],[Prior Price ($)]]</f>
        <v>4.313715590411598E-2</v>
      </c>
      <c r="L2575" s="9">
        <f>(PricingDataTable[[#This Row],[Vendor Price ($)]]-PricingDataTable[[#This Row],[Current Price ($)]])/PricingDataTable[[#This Row],[Current Price ($)]]</f>
        <v>-1</v>
      </c>
      <c r="M2575" t="str">
        <f t="shared" si="80"/>
        <v>VENDOR DIFFERENCE</v>
      </c>
      <c r="N2575" s="10" t="str">
        <f t="shared" si="81"/>
        <v>HIGH</v>
      </c>
    </row>
    <row r="2576" spans="1:14">
      <c r="A2576" s="4" t="s">
        <v>5168</v>
      </c>
      <c r="B2576" s="4" t="s">
        <v>5169</v>
      </c>
      <c r="C2576" s="4" t="s">
        <v>19</v>
      </c>
      <c r="D2576" s="4" t="s">
        <v>13</v>
      </c>
      <c r="E2576" s="5">
        <v>307.6078</v>
      </c>
      <c r="F2576" s="5">
        <v>310.34690000000001</v>
      </c>
      <c r="G2576" s="5">
        <v>309.44240000000002</v>
      </c>
      <c r="H2576" s="4">
        <v>0</v>
      </c>
      <c r="I2576" s="6">
        <v>4212974</v>
      </c>
      <c r="J2576" s="7">
        <v>529.21</v>
      </c>
      <c r="K2576" s="9">
        <f>(PricingDataTable[[#This Row],[Current Price ($)]]-PricingDataTable[[#This Row],[Prior Price ($)]])/PricingDataTable[[#This Row],[Prior Price ($)]]</f>
        <v>8.9045206265901174E-3</v>
      </c>
      <c r="L2576" s="9">
        <f>(PricingDataTable[[#This Row],[Vendor Price ($)]]-PricingDataTable[[#This Row],[Current Price ($)]])/PricingDataTable[[#This Row],[Current Price ($)]]</f>
        <v>-2.9144805377465813E-3</v>
      </c>
      <c r="M2576" t="str">
        <f t="shared" si="80"/>
        <v>PASS</v>
      </c>
      <c r="N2576" s="10" t="str">
        <f t="shared" si="81"/>
        <v>NONE</v>
      </c>
    </row>
    <row r="2577" spans="1:14">
      <c r="A2577" s="4" t="s">
        <v>5170</v>
      </c>
      <c r="B2577" s="4" t="s">
        <v>5171</v>
      </c>
      <c r="C2577" s="4" t="s">
        <v>12</v>
      </c>
      <c r="D2577" s="4" t="s">
        <v>32</v>
      </c>
      <c r="E2577" s="5">
        <v>81.246799999999993</v>
      </c>
      <c r="F2577" s="5">
        <v>80.870099999999994</v>
      </c>
      <c r="G2577" s="5">
        <v>80.653999999999996</v>
      </c>
      <c r="H2577" s="4">
        <v>0</v>
      </c>
      <c r="I2577" s="6">
        <v>1202691</v>
      </c>
      <c r="J2577" s="7">
        <v>682.94</v>
      </c>
      <c r="K2577" s="9">
        <f>(PricingDataTable[[#This Row],[Current Price ($)]]-PricingDataTable[[#This Row],[Prior Price ($)]])/PricingDataTable[[#This Row],[Prior Price ($)]]</f>
        <v>-4.6364902986948363E-3</v>
      </c>
      <c r="L2577" s="9">
        <f>(PricingDataTable[[#This Row],[Vendor Price ($)]]-PricingDataTable[[#This Row],[Current Price ($)]])/PricingDataTable[[#This Row],[Current Price ($)]]</f>
        <v>-2.6721866301636491E-3</v>
      </c>
      <c r="M2577" t="str">
        <f t="shared" si="80"/>
        <v>PASS</v>
      </c>
      <c r="N2577" s="10" t="str">
        <f t="shared" si="81"/>
        <v>NONE</v>
      </c>
    </row>
    <row r="2578" spans="1:14">
      <c r="A2578" s="4" t="s">
        <v>5172</v>
      </c>
      <c r="B2578" s="4" t="s">
        <v>5173</v>
      </c>
      <c r="C2578" s="4" t="s">
        <v>39</v>
      </c>
      <c r="D2578" s="4" t="s">
        <v>36</v>
      </c>
      <c r="E2578" s="5">
        <v>246.6061</v>
      </c>
      <c r="F2578" s="5">
        <v>250.8519</v>
      </c>
      <c r="G2578" s="5">
        <v>251.25829999999999</v>
      </c>
      <c r="H2578" s="4">
        <v>2</v>
      </c>
      <c r="I2578" s="6">
        <v>2025284</v>
      </c>
      <c r="J2578" s="7">
        <v>243.01</v>
      </c>
      <c r="K2578" s="9">
        <f>(PricingDataTable[[#This Row],[Current Price ($)]]-PricingDataTable[[#This Row],[Prior Price ($)]])/PricingDataTable[[#This Row],[Prior Price ($)]]</f>
        <v>1.7216930157039921E-2</v>
      </c>
      <c r="L2578" s="9">
        <f>(PricingDataTable[[#This Row],[Vendor Price ($)]]-PricingDataTable[[#This Row],[Current Price ($)]])/PricingDataTable[[#This Row],[Current Price ($)]]</f>
        <v>1.6200794173773082E-3</v>
      </c>
      <c r="M2578" t="str">
        <f t="shared" si="80"/>
        <v>PASS</v>
      </c>
      <c r="N2578" s="10" t="str">
        <f t="shared" si="81"/>
        <v>NONE</v>
      </c>
    </row>
    <row r="2579" spans="1:14">
      <c r="A2579" s="4" t="s">
        <v>5174</v>
      </c>
      <c r="B2579" s="4" t="s">
        <v>5175</v>
      </c>
      <c r="C2579" s="4" t="s">
        <v>12</v>
      </c>
      <c r="D2579" s="4" t="s">
        <v>13</v>
      </c>
      <c r="E2579" s="5">
        <v>79.887200000000007</v>
      </c>
      <c r="F2579" s="5">
        <v>79.808400000000006</v>
      </c>
      <c r="G2579" s="5">
        <v>79.775800000000004</v>
      </c>
      <c r="H2579" s="4">
        <v>1</v>
      </c>
      <c r="I2579" s="6">
        <v>2250779</v>
      </c>
      <c r="J2579" s="7">
        <v>315.18</v>
      </c>
      <c r="K2579" s="9">
        <f>(PricingDataTable[[#This Row],[Current Price ($)]]-PricingDataTable[[#This Row],[Prior Price ($)]])/PricingDataTable[[#This Row],[Prior Price ($)]]</f>
        <v>-9.8639081104358491E-4</v>
      </c>
      <c r="L2579" s="9">
        <f>(PricingDataTable[[#This Row],[Vendor Price ($)]]-PricingDataTable[[#This Row],[Current Price ($)]])/PricingDataTable[[#This Row],[Current Price ($)]]</f>
        <v>-4.0847830554179986E-4</v>
      </c>
      <c r="M2579" t="str">
        <f t="shared" si="80"/>
        <v>PASS</v>
      </c>
      <c r="N2579" s="10" t="str">
        <f t="shared" si="81"/>
        <v>NONE</v>
      </c>
    </row>
    <row r="2580" spans="1:14">
      <c r="A2580" s="4" t="s">
        <v>5176</v>
      </c>
      <c r="B2580" s="4" t="s">
        <v>5177</v>
      </c>
      <c r="C2580" s="4" t="s">
        <v>16</v>
      </c>
      <c r="D2580" s="4" t="s">
        <v>13</v>
      </c>
      <c r="E2580" s="5">
        <v>83.959100000000007</v>
      </c>
      <c r="F2580" s="5">
        <v>81.686099999999996</v>
      </c>
      <c r="G2580" s="5">
        <v>81.676199999999994</v>
      </c>
      <c r="H2580" s="4">
        <v>1</v>
      </c>
      <c r="I2580" s="6">
        <v>4213115</v>
      </c>
      <c r="J2580" s="7">
        <v>304.74</v>
      </c>
      <c r="K2580" s="9">
        <f>(PricingDataTable[[#This Row],[Current Price ($)]]-PricingDataTable[[#This Row],[Prior Price ($)]])/PricingDataTable[[#This Row],[Prior Price ($)]]</f>
        <v>-2.7072705638817116E-2</v>
      </c>
      <c r="L2580" s="9">
        <f>(PricingDataTable[[#This Row],[Vendor Price ($)]]-PricingDataTable[[#This Row],[Current Price ($)]])/PricingDataTable[[#This Row],[Current Price ($)]]</f>
        <v>-1.2119565017795925E-4</v>
      </c>
      <c r="M2580" t="str">
        <f t="shared" si="80"/>
        <v>PASS</v>
      </c>
      <c r="N2580" s="10" t="str">
        <f t="shared" si="81"/>
        <v>NONE</v>
      </c>
    </row>
    <row r="2581" spans="1:14">
      <c r="A2581" s="4" t="s">
        <v>5178</v>
      </c>
      <c r="B2581" s="4" t="s">
        <v>5179</v>
      </c>
      <c r="C2581" s="4" t="s">
        <v>12</v>
      </c>
      <c r="D2581" s="4" t="s">
        <v>13</v>
      </c>
      <c r="E2581" s="5">
        <v>119.2256</v>
      </c>
      <c r="F2581" s="5">
        <v>117.5363</v>
      </c>
      <c r="G2581" s="5">
        <v>117.4808</v>
      </c>
      <c r="H2581" s="4">
        <v>0</v>
      </c>
      <c r="I2581" s="6">
        <v>3494017</v>
      </c>
      <c r="J2581" s="7">
        <v>73.040000000000006</v>
      </c>
      <c r="K2581" s="9">
        <f>(PricingDataTable[[#This Row],[Current Price ($)]]-PricingDataTable[[#This Row],[Prior Price ($)]])/PricingDataTable[[#This Row],[Prior Price ($)]]</f>
        <v>-1.4168936872617985E-2</v>
      </c>
      <c r="L2581" s="9">
        <f>(PricingDataTable[[#This Row],[Vendor Price ($)]]-PricingDataTable[[#This Row],[Current Price ($)]])/PricingDataTable[[#This Row],[Current Price ($)]]</f>
        <v>-4.7219454755675482E-4</v>
      </c>
      <c r="M2581" t="str">
        <f t="shared" si="80"/>
        <v>PASS</v>
      </c>
      <c r="N2581" s="10" t="str">
        <f t="shared" si="81"/>
        <v>NONE</v>
      </c>
    </row>
    <row r="2582" spans="1:14">
      <c r="A2582" s="4" t="s">
        <v>5180</v>
      </c>
      <c r="B2582" s="4" t="s">
        <v>5181</v>
      </c>
      <c r="C2582" s="4" t="s">
        <v>16</v>
      </c>
      <c r="D2582" s="4" t="s">
        <v>13</v>
      </c>
      <c r="E2582" s="5">
        <v>90.075800000000001</v>
      </c>
      <c r="F2582" s="5">
        <v>90.846500000000006</v>
      </c>
      <c r="G2582" s="5">
        <v>90.900499999999994</v>
      </c>
      <c r="H2582" s="4">
        <v>0</v>
      </c>
      <c r="I2582" s="6">
        <v>3108944</v>
      </c>
      <c r="J2582" s="7">
        <v>282.36</v>
      </c>
      <c r="K2582" s="9">
        <f>(PricingDataTable[[#This Row],[Current Price ($)]]-PricingDataTable[[#This Row],[Prior Price ($)]])/PricingDataTable[[#This Row],[Prior Price ($)]]</f>
        <v>8.5561271728922198E-3</v>
      </c>
      <c r="L2582" s="9">
        <f>(PricingDataTable[[#This Row],[Vendor Price ($)]]-PricingDataTable[[#This Row],[Current Price ($)]])/PricingDataTable[[#This Row],[Current Price ($)]]</f>
        <v>5.9440925076902063E-4</v>
      </c>
      <c r="M2582" t="str">
        <f t="shared" si="80"/>
        <v>PASS</v>
      </c>
      <c r="N2582" s="10" t="str">
        <f t="shared" si="81"/>
        <v>NONE</v>
      </c>
    </row>
    <row r="2583" spans="1:14">
      <c r="A2583" s="4" t="s">
        <v>5182</v>
      </c>
      <c r="B2583" s="4" t="s">
        <v>5183</v>
      </c>
      <c r="C2583" s="4" t="s">
        <v>19</v>
      </c>
      <c r="D2583" s="4" t="s">
        <v>36</v>
      </c>
      <c r="E2583" s="5">
        <v>82.926599999999993</v>
      </c>
      <c r="F2583" s="5">
        <v>82.045900000000003</v>
      </c>
      <c r="G2583" s="5">
        <v>81.913300000000007</v>
      </c>
      <c r="H2583" s="4">
        <v>2</v>
      </c>
      <c r="I2583" s="6">
        <v>3131567</v>
      </c>
      <c r="J2583" s="7">
        <v>355.55</v>
      </c>
      <c r="K2583" s="9">
        <f>(PricingDataTable[[#This Row],[Current Price ($)]]-PricingDataTable[[#This Row],[Prior Price ($)]])/PricingDataTable[[#This Row],[Prior Price ($)]]</f>
        <v>-1.0620235244179677E-2</v>
      </c>
      <c r="L2583" s="9">
        <f>(PricingDataTable[[#This Row],[Vendor Price ($)]]-PricingDataTable[[#This Row],[Current Price ($)]])/PricingDataTable[[#This Row],[Current Price ($)]]</f>
        <v>-1.6161685105531964E-3</v>
      </c>
      <c r="M2583" t="str">
        <f t="shared" si="80"/>
        <v>PASS</v>
      </c>
      <c r="N2583" s="10" t="str">
        <f t="shared" si="81"/>
        <v>NONE</v>
      </c>
    </row>
    <row r="2584" spans="1:14">
      <c r="A2584" s="4" t="s">
        <v>5184</v>
      </c>
      <c r="B2584" s="4" t="s">
        <v>5185</v>
      </c>
      <c r="C2584" s="4" t="s">
        <v>12</v>
      </c>
      <c r="D2584" s="4" t="s">
        <v>13</v>
      </c>
      <c r="E2584" s="5">
        <v>82.266199999999998</v>
      </c>
      <c r="F2584" s="5">
        <v>81.7226</v>
      </c>
      <c r="G2584" s="5">
        <v>81.209800000000001</v>
      </c>
      <c r="H2584" s="4">
        <v>0</v>
      </c>
      <c r="I2584" s="6">
        <v>3254376</v>
      </c>
      <c r="J2584" s="7">
        <v>521.84</v>
      </c>
      <c r="K2584" s="9">
        <f>(PricingDataTable[[#This Row],[Current Price ($)]]-PricingDataTable[[#This Row],[Prior Price ($)]])/PricingDataTable[[#This Row],[Prior Price ($)]]</f>
        <v>-6.6078170621713152E-3</v>
      </c>
      <c r="L2584" s="9">
        <f>(PricingDataTable[[#This Row],[Vendor Price ($)]]-PricingDataTable[[#This Row],[Current Price ($)]])/PricingDataTable[[#This Row],[Current Price ($)]]</f>
        <v>-6.2748860168423248E-3</v>
      </c>
      <c r="M2584" t="str">
        <f t="shared" si="80"/>
        <v>PASS</v>
      </c>
      <c r="N2584" s="10" t="str">
        <f t="shared" si="81"/>
        <v>NONE</v>
      </c>
    </row>
    <row r="2585" spans="1:14">
      <c r="A2585" s="4" t="s">
        <v>5186</v>
      </c>
      <c r="B2585" s="4" t="s">
        <v>5187</v>
      </c>
      <c r="C2585" s="4" t="s">
        <v>16</v>
      </c>
      <c r="D2585" s="4" t="s">
        <v>13</v>
      </c>
      <c r="E2585" s="5">
        <v>116.3639</v>
      </c>
      <c r="F2585" s="5">
        <v>113.4011</v>
      </c>
      <c r="G2585" s="5">
        <v>112.65649999999999</v>
      </c>
      <c r="H2585" s="4">
        <v>0</v>
      </c>
      <c r="I2585" s="6">
        <v>4150514</v>
      </c>
      <c r="J2585" s="7">
        <v>564.35</v>
      </c>
      <c r="K2585" s="9">
        <f>(PricingDataTable[[#This Row],[Current Price ($)]]-PricingDataTable[[#This Row],[Prior Price ($)]])/PricingDataTable[[#This Row],[Prior Price ($)]]</f>
        <v>-2.5461504813778169E-2</v>
      </c>
      <c r="L2585" s="9">
        <f>(PricingDataTable[[#This Row],[Vendor Price ($)]]-PricingDataTable[[#This Row],[Current Price ($)]])/PricingDataTable[[#This Row],[Current Price ($)]]</f>
        <v>-6.5660738740629986E-3</v>
      </c>
      <c r="M2585" t="str">
        <f t="shared" si="80"/>
        <v>PASS</v>
      </c>
      <c r="N2585" s="10" t="str">
        <f t="shared" si="81"/>
        <v>NONE</v>
      </c>
    </row>
    <row r="2586" spans="1:14">
      <c r="A2586" s="4" t="s">
        <v>5188</v>
      </c>
      <c r="B2586" s="4" t="s">
        <v>5189</v>
      </c>
      <c r="C2586" s="4" t="s">
        <v>16</v>
      </c>
      <c r="D2586" s="4" t="s">
        <v>64</v>
      </c>
      <c r="E2586" s="5">
        <v>124.4614</v>
      </c>
      <c r="F2586" s="5">
        <v>125.0457</v>
      </c>
      <c r="G2586" s="5">
        <v>125.35980000000001</v>
      </c>
      <c r="H2586" s="4">
        <v>0</v>
      </c>
      <c r="I2586" s="6">
        <v>1126273</v>
      </c>
      <c r="J2586" s="7">
        <v>434.51</v>
      </c>
      <c r="K2586" s="9">
        <f>(PricingDataTable[[#This Row],[Current Price ($)]]-PricingDataTable[[#This Row],[Prior Price ($)]])/PricingDataTable[[#This Row],[Prior Price ($)]]</f>
        <v>4.6946282140486843E-3</v>
      </c>
      <c r="L2586" s="9">
        <f>(PricingDataTable[[#This Row],[Vendor Price ($)]]-PricingDataTable[[#This Row],[Current Price ($)]])/PricingDataTable[[#This Row],[Current Price ($)]]</f>
        <v>2.511881656066626E-3</v>
      </c>
      <c r="M2586" t="str">
        <f t="shared" si="80"/>
        <v>PASS</v>
      </c>
      <c r="N2586" s="10" t="str">
        <f t="shared" si="81"/>
        <v>NONE</v>
      </c>
    </row>
    <row r="2587" spans="1:14">
      <c r="A2587" s="4" t="s">
        <v>5190</v>
      </c>
      <c r="B2587" s="4" t="s">
        <v>5191</v>
      </c>
      <c r="C2587" s="4" t="s">
        <v>35</v>
      </c>
      <c r="D2587" s="4" t="s">
        <v>32</v>
      </c>
      <c r="E2587" s="5">
        <v>21.6861</v>
      </c>
      <c r="F2587" s="5">
        <v>21.145900000000001</v>
      </c>
      <c r="G2587" s="5">
        <v>21.254200000000001</v>
      </c>
      <c r="H2587" s="4">
        <v>1</v>
      </c>
      <c r="I2587" s="6">
        <v>143432</v>
      </c>
      <c r="J2587" s="7">
        <v>753.2</v>
      </c>
      <c r="K2587" s="9">
        <f>(PricingDataTable[[#This Row],[Current Price ($)]]-PricingDataTable[[#This Row],[Prior Price ($)]])/PricingDataTable[[#This Row],[Prior Price ($)]]</f>
        <v>-2.4909965369522353E-2</v>
      </c>
      <c r="L2587" s="9">
        <f>(PricingDataTable[[#This Row],[Vendor Price ($)]]-PricingDataTable[[#This Row],[Current Price ($)]])/PricingDataTable[[#This Row],[Current Price ($)]]</f>
        <v>5.1215602078889923E-3</v>
      </c>
      <c r="M2587" t="str">
        <f t="shared" si="80"/>
        <v>PASS</v>
      </c>
      <c r="N2587" s="10" t="str">
        <f t="shared" si="81"/>
        <v>NONE</v>
      </c>
    </row>
    <row r="2588" spans="1:14">
      <c r="A2588" s="4" t="s">
        <v>5192</v>
      </c>
      <c r="B2588" s="4" t="s">
        <v>5193</v>
      </c>
      <c r="C2588" s="4" t="s">
        <v>19</v>
      </c>
      <c r="D2588" s="4" t="s">
        <v>13</v>
      </c>
      <c r="E2588" s="5">
        <v>151.6609</v>
      </c>
      <c r="F2588" s="5">
        <v>152.3613</v>
      </c>
      <c r="G2588" s="5">
        <v>152.60310000000001</v>
      </c>
      <c r="H2588" s="4">
        <v>0</v>
      </c>
      <c r="I2588" s="6">
        <v>3815919</v>
      </c>
      <c r="J2588" s="7">
        <v>336.47</v>
      </c>
      <c r="K2588" s="9">
        <f>(PricingDataTable[[#This Row],[Current Price ($)]]-PricingDataTable[[#This Row],[Prior Price ($)]])/PricingDataTable[[#This Row],[Prior Price ($)]]</f>
        <v>4.6181975710285371E-3</v>
      </c>
      <c r="L2588" s="9">
        <f>(PricingDataTable[[#This Row],[Vendor Price ($)]]-PricingDataTable[[#This Row],[Current Price ($)]])/PricingDataTable[[#This Row],[Current Price ($)]]</f>
        <v>1.5870171756214473E-3</v>
      </c>
      <c r="M2588" t="str">
        <f t="shared" si="80"/>
        <v>PASS</v>
      </c>
      <c r="N2588" s="10" t="str">
        <f t="shared" si="81"/>
        <v>NONE</v>
      </c>
    </row>
    <row r="2589" spans="1:14">
      <c r="A2589" s="4" t="s">
        <v>5194</v>
      </c>
      <c r="B2589" s="4" t="s">
        <v>5195</v>
      </c>
      <c r="C2589" s="4" t="s">
        <v>19</v>
      </c>
      <c r="D2589" s="4" t="s">
        <v>13</v>
      </c>
      <c r="E2589" s="5">
        <v>113.8107</v>
      </c>
      <c r="F2589" s="5">
        <v>116.05759999999999</v>
      </c>
      <c r="G2589" s="5">
        <v>116.30500000000001</v>
      </c>
      <c r="H2589" s="4">
        <v>1</v>
      </c>
      <c r="I2589" s="6">
        <v>3933358</v>
      </c>
      <c r="J2589" s="7">
        <v>183.07</v>
      </c>
      <c r="K2589" s="9">
        <f>(PricingDataTable[[#This Row],[Current Price ($)]]-PricingDataTable[[#This Row],[Prior Price ($)]])/PricingDataTable[[#This Row],[Prior Price ($)]]</f>
        <v>1.9742431950598639E-2</v>
      </c>
      <c r="L2589" s="9">
        <f>(PricingDataTable[[#This Row],[Vendor Price ($)]]-PricingDataTable[[#This Row],[Current Price ($)]])/PricingDataTable[[#This Row],[Current Price ($)]]</f>
        <v>2.1317001213191828E-3</v>
      </c>
      <c r="M2589" t="str">
        <f t="shared" si="80"/>
        <v>PASS</v>
      </c>
      <c r="N2589" s="10" t="str">
        <f t="shared" si="81"/>
        <v>NONE</v>
      </c>
    </row>
    <row r="2590" spans="1:14">
      <c r="A2590" s="4" t="s">
        <v>5196</v>
      </c>
      <c r="B2590" s="4" t="s">
        <v>5197</v>
      </c>
      <c r="C2590" s="4" t="s">
        <v>19</v>
      </c>
      <c r="D2590" s="4" t="s">
        <v>13</v>
      </c>
      <c r="E2590" s="5">
        <v>250.63130000000001</v>
      </c>
      <c r="F2590" s="5">
        <v>249.07259999999999</v>
      </c>
      <c r="G2590" s="5">
        <v>250.1567</v>
      </c>
      <c r="H2590" s="4">
        <v>0</v>
      </c>
      <c r="I2590" s="6">
        <v>2866050</v>
      </c>
      <c r="J2590" s="7">
        <v>755.18</v>
      </c>
      <c r="K2590" s="9">
        <f>(PricingDataTable[[#This Row],[Current Price ($)]]-PricingDataTable[[#This Row],[Prior Price ($)]])/PricingDataTable[[#This Row],[Prior Price ($)]]</f>
        <v>-6.2190955399426002E-3</v>
      </c>
      <c r="L2590" s="9">
        <f>(PricingDataTable[[#This Row],[Vendor Price ($)]]-PricingDataTable[[#This Row],[Current Price ($)]])/PricingDataTable[[#This Row],[Current Price ($)]]</f>
        <v>4.3525462054035914E-3</v>
      </c>
      <c r="M2590" t="str">
        <f t="shared" si="80"/>
        <v>PASS</v>
      </c>
      <c r="N2590" s="10" t="str">
        <f t="shared" si="81"/>
        <v>NONE</v>
      </c>
    </row>
    <row r="2591" spans="1:14">
      <c r="A2591" s="4" t="s">
        <v>5198</v>
      </c>
      <c r="B2591" s="4" t="s">
        <v>5199</v>
      </c>
      <c r="C2591" s="4" t="s">
        <v>16</v>
      </c>
      <c r="D2591" s="4" t="s">
        <v>13</v>
      </c>
      <c r="E2591" s="5">
        <v>82.562299999999993</v>
      </c>
      <c r="F2591" s="5">
        <v>84.398099999999999</v>
      </c>
      <c r="G2591" s="5">
        <v>84.294300000000007</v>
      </c>
      <c r="H2591" s="4">
        <v>0</v>
      </c>
      <c r="I2591" s="6">
        <v>4888971</v>
      </c>
      <c r="J2591" s="7">
        <v>296.7</v>
      </c>
      <c r="K2591" s="9">
        <f>(PricingDataTable[[#This Row],[Current Price ($)]]-PricingDataTable[[#This Row],[Prior Price ($)]])/PricingDataTable[[#This Row],[Prior Price ($)]]</f>
        <v>2.2235330168854383E-2</v>
      </c>
      <c r="L2591" s="9">
        <f>(PricingDataTable[[#This Row],[Vendor Price ($)]]-PricingDataTable[[#This Row],[Current Price ($)]])/PricingDataTable[[#This Row],[Current Price ($)]]</f>
        <v>-1.2298855069011337E-3</v>
      </c>
      <c r="M2591" t="str">
        <f t="shared" si="80"/>
        <v>PASS</v>
      </c>
      <c r="N2591" s="10" t="str">
        <f t="shared" si="81"/>
        <v>NONE</v>
      </c>
    </row>
    <row r="2592" spans="1:14">
      <c r="A2592" s="4" t="s">
        <v>5200</v>
      </c>
      <c r="B2592" s="4" t="s">
        <v>5201</v>
      </c>
      <c r="C2592" s="4" t="s">
        <v>35</v>
      </c>
      <c r="D2592" s="4" t="s">
        <v>13</v>
      </c>
      <c r="E2592" s="5">
        <v>102.0684</v>
      </c>
      <c r="F2592" s="5">
        <v>102.6178</v>
      </c>
      <c r="G2592" s="5">
        <v>103.0416</v>
      </c>
      <c r="H2592" s="4">
        <v>0</v>
      </c>
      <c r="I2592" s="6">
        <v>660361</v>
      </c>
      <c r="J2592" s="7">
        <v>420.08</v>
      </c>
      <c r="K2592" s="9">
        <f>(PricingDataTable[[#This Row],[Current Price ($)]]-PricingDataTable[[#This Row],[Prior Price ($)]])/PricingDataTable[[#This Row],[Prior Price ($)]]</f>
        <v>5.382664958008607E-3</v>
      </c>
      <c r="L2592" s="9">
        <f>(PricingDataTable[[#This Row],[Vendor Price ($)]]-PricingDataTable[[#This Row],[Current Price ($)]])/PricingDataTable[[#This Row],[Current Price ($)]]</f>
        <v>4.1298877972437524E-3</v>
      </c>
      <c r="M2592" t="str">
        <f t="shared" si="80"/>
        <v>PASS</v>
      </c>
      <c r="N2592" s="10" t="str">
        <f t="shared" si="81"/>
        <v>NONE</v>
      </c>
    </row>
    <row r="2593" spans="1:14">
      <c r="A2593" s="4" t="s">
        <v>5202</v>
      </c>
      <c r="B2593" s="4" t="s">
        <v>5203</v>
      </c>
      <c r="C2593" s="4" t="s">
        <v>39</v>
      </c>
      <c r="D2593" s="4" t="s">
        <v>13</v>
      </c>
      <c r="E2593" s="5">
        <v>141.827</v>
      </c>
      <c r="F2593" s="5">
        <v>140.90770000000001</v>
      </c>
      <c r="G2593" s="5">
        <v>141.10910000000001</v>
      </c>
      <c r="H2593" s="4">
        <v>0</v>
      </c>
      <c r="I2593" s="6">
        <v>2066806</v>
      </c>
      <c r="J2593" s="7">
        <v>142.69999999999999</v>
      </c>
      <c r="K2593" s="9">
        <f>(PricingDataTable[[#This Row],[Current Price ($)]]-PricingDataTable[[#This Row],[Prior Price ($)]])/PricingDataTable[[#This Row],[Prior Price ($)]]</f>
        <v>-6.4818405522220216E-3</v>
      </c>
      <c r="L2593" s="9">
        <f>(PricingDataTable[[#This Row],[Vendor Price ($)]]-PricingDataTable[[#This Row],[Current Price ($)]])/PricingDataTable[[#This Row],[Current Price ($)]]</f>
        <v>1.4293044311986262E-3</v>
      </c>
      <c r="M2593" t="str">
        <f t="shared" si="80"/>
        <v>PASS</v>
      </c>
      <c r="N2593" s="10" t="str">
        <f t="shared" si="81"/>
        <v>NONE</v>
      </c>
    </row>
    <row r="2594" spans="1:14">
      <c r="A2594" s="4" t="s">
        <v>5204</v>
      </c>
      <c r="B2594" s="4" t="s">
        <v>5205</v>
      </c>
      <c r="C2594" s="4" t="s">
        <v>16</v>
      </c>
      <c r="D2594" s="4" t="s">
        <v>13</v>
      </c>
      <c r="E2594" s="5">
        <v>84.624700000000004</v>
      </c>
      <c r="F2594" s="5">
        <v>85.793400000000005</v>
      </c>
      <c r="G2594" s="5">
        <v>85.750600000000006</v>
      </c>
      <c r="H2594" s="4">
        <v>0</v>
      </c>
      <c r="I2594" s="6">
        <v>1887722</v>
      </c>
      <c r="J2594" s="7">
        <v>441.61</v>
      </c>
      <c r="K2594" s="9">
        <f>(PricingDataTable[[#This Row],[Current Price ($)]]-PricingDataTable[[#This Row],[Prior Price ($)]])/PricingDataTable[[#This Row],[Prior Price ($)]]</f>
        <v>1.3810388692663031E-2</v>
      </c>
      <c r="L2594" s="9">
        <f>(PricingDataTable[[#This Row],[Vendor Price ($)]]-PricingDataTable[[#This Row],[Current Price ($)]])/PricingDataTable[[#This Row],[Current Price ($)]]</f>
        <v>-4.9887287367093185E-4</v>
      </c>
      <c r="M2594" t="str">
        <f t="shared" si="80"/>
        <v>PASS</v>
      </c>
      <c r="N2594" s="10" t="str">
        <f t="shared" si="81"/>
        <v>NONE</v>
      </c>
    </row>
    <row r="2595" spans="1:14">
      <c r="A2595" s="4" t="s">
        <v>5206</v>
      </c>
      <c r="B2595" s="4" t="s">
        <v>5207</v>
      </c>
      <c r="C2595" s="4" t="s">
        <v>12</v>
      </c>
      <c r="D2595" s="4" t="s">
        <v>13</v>
      </c>
      <c r="E2595" s="5">
        <v>112.1133</v>
      </c>
      <c r="F2595" s="5">
        <v>111.6951</v>
      </c>
      <c r="G2595" s="5">
        <v>111.53060000000001</v>
      </c>
      <c r="H2595" s="4">
        <v>2</v>
      </c>
      <c r="I2595" s="6">
        <v>3478505</v>
      </c>
      <c r="J2595" s="7">
        <v>406.57</v>
      </c>
      <c r="K2595" s="9">
        <f>(PricingDataTable[[#This Row],[Current Price ($)]]-PricingDataTable[[#This Row],[Prior Price ($)]])/PricingDataTable[[#This Row],[Prior Price ($)]]</f>
        <v>-3.7301551198653401E-3</v>
      </c>
      <c r="L2595" s="9">
        <f>(PricingDataTable[[#This Row],[Vendor Price ($)]]-PricingDataTable[[#This Row],[Current Price ($)]])/PricingDataTable[[#This Row],[Current Price ($)]]</f>
        <v>-1.4727593242674895E-3</v>
      </c>
      <c r="M2595" t="str">
        <f t="shared" si="80"/>
        <v>PASS</v>
      </c>
      <c r="N2595" s="10" t="str">
        <f t="shared" si="81"/>
        <v>NONE</v>
      </c>
    </row>
    <row r="2596" spans="1:14">
      <c r="A2596" s="4" t="s">
        <v>5208</v>
      </c>
      <c r="B2596" s="4" t="s">
        <v>5209</v>
      </c>
      <c r="C2596" s="4" t="s">
        <v>12</v>
      </c>
      <c r="D2596" s="4" t="s">
        <v>13</v>
      </c>
      <c r="E2596" s="5">
        <v>115.31189999999999</v>
      </c>
      <c r="F2596" s="5">
        <v>115.5321</v>
      </c>
      <c r="G2596" s="5">
        <v>115.2753</v>
      </c>
      <c r="H2596" s="4">
        <v>0</v>
      </c>
      <c r="I2596" s="6">
        <v>3339808</v>
      </c>
      <c r="J2596" s="7">
        <v>296.92</v>
      </c>
      <c r="K2596" s="9">
        <f>(PricingDataTable[[#This Row],[Current Price ($)]]-PricingDataTable[[#This Row],[Prior Price ($)]])/PricingDataTable[[#This Row],[Prior Price ($)]]</f>
        <v>1.9096034320829464E-3</v>
      </c>
      <c r="L2596" s="9">
        <f>(PricingDataTable[[#This Row],[Vendor Price ($)]]-PricingDataTable[[#This Row],[Current Price ($)]])/PricingDataTable[[#This Row],[Current Price ($)]]</f>
        <v>-2.2227588696128466E-3</v>
      </c>
      <c r="M2596" t="str">
        <f t="shared" si="80"/>
        <v>PASS</v>
      </c>
      <c r="N2596" s="10" t="str">
        <f t="shared" si="81"/>
        <v>NONE</v>
      </c>
    </row>
    <row r="2597" spans="1:14">
      <c r="A2597" s="4" t="s">
        <v>5210</v>
      </c>
      <c r="B2597" s="4" t="s">
        <v>5211</v>
      </c>
      <c r="C2597" s="4" t="s">
        <v>19</v>
      </c>
      <c r="D2597" s="4" t="s">
        <v>13</v>
      </c>
      <c r="E2597" s="5">
        <v>32.709200000000003</v>
      </c>
      <c r="F2597" s="5">
        <v>32.2761</v>
      </c>
      <c r="G2597" s="5">
        <v>32.4129</v>
      </c>
      <c r="H2597" s="4">
        <v>0</v>
      </c>
      <c r="I2597" s="6">
        <v>620389</v>
      </c>
      <c r="J2597" s="7">
        <v>295.33999999999997</v>
      </c>
      <c r="K2597" s="9">
        <f>(PricingDataTable[[#This Row],[Current Price ($)]]-PricingDataTable[[#This Row],[Prior Price ($)]])/PricingDataTable[[#This Row],[Prior Price ($)]]</f>
        <v>-1.3240923043058317E-2</v>
      </c>
      <c r="L2597" s="9">
        <f>(PricingDataTable[[#This Row],[Vendor Price ($)]]-PricingDataTable[[#This Row],[Current Price ($)]])/PricingDataTable[[#This Row],[Current Price ($)]]</f>
        <v>4.2384302936228644E-3</v>
      </c>
      <c r="M2597" t="str">
        <f t="shared" si="80"/>
        <v>PASS</v>
      </c>
      <c r="N2597" s="10" t="str">
        <f t="shared" si="81"/>
        <v>NONE</v>
      </c>
    </row>
    <row r="2598" spans="1:14">
      <c r="A2598" s="4" t="s">
        <v>5212</v>
      </c>
      <c r="B2598" s="4" t="s">
        <v>5213</v>
      </c>
      <c r="C2598" s="4" t="s">
        <v>16</v>
      </c>
      <c r="D2598" s="4" t="s">
        <v>13</v>
      </c>
      <c r="E2598" s="5">
        <v>88.412300000000002</v>
      </c>
      <c r="F2598" s="5">
        <v>89.320400000000006</v>
      </c>
      <c r="G2598" s="5">
        <v>89.464399999999998</v>
      </c>
      <c r="H2598" s="4">
        <v>0</v>
      </c>
      <c r="I2598" s="6">
        <v>1397900</v>
      </c>
      <c r="J2598" s="7">
        <v>862.93</v>
      </c>
      <c r="K2598" s="9">
        <f>(PricingDataTable[[#This Row],[Current Price ($)]]-PricingDataTable[[#This Row],[Prior Price ($)]])/PricingDataTable[[#This Row],[Prior Price ($)]]</f>
        <v>1.027119529748694E-2</v>
      </c>
      <c r="L2598" s="9">
        <f>(PricingDataTable[[#This Row],[Vendor Price ($)]]-PricingDataTable[[#This Row],[Current Price ($)]])/PricingDataTable[[#This Row],[Current Price ($)]]</f>
        <v>1.6121737027598537E-3</v>
      </c>
      <c r="M2598" t="str">
        <f t="shared" si="80"/>
        <v>PASS</v>
      </c>
      <c r="N2598" s="10" t="str">
        <f t="shared" si="81"/>
        <v>NONE</v>
      </c>
    </row>
    <row r="2599" spans="1:14">
      <c r="A2599" s="4" t="s">
        <v>5214</v>
      </c>
      <c r="B2599" s="4" t="s">
        <v>5215</v>
      </c>
      <c r="C2599" s="4" t="s">
        <v>19</v>
      </c>
      <c r="D2599" s="4" t="s">
        <v>13</v>
      </c>
      <c r="E2599" s="5">
        <v>120.104</v>
      </c>
      <c r="F2599" s="5">
        <v>119.7115</v>
      </c>
      <c r="G2599" s="5">
        <v>111.1392</v>
      </c>
      <c r="H2599" s="4">
        <v>0</v>
      </c>
      <c r="I2599" s="6">
        <v>1592418</v>
      </c>
      <c r="J2599" s="7">
        <v>603.88</v>
      </c>
      <c r="K2599" s="9">
        <f>(PricingDataTable[[#This Row],[Current Price ($)]]-PricingDataTable[[#This Row],[Prior Price ($)]])/PricingDataTable[[#This Row],[Prior Price ($)]]</f>
        <v>-3.2680010657430087E-3</v>
      </c>
      <c r="L2599" s="9">
        <f>(PricingDataTable[[#This Row],[Vendor Price ($)]]-PricingDataTable[[#This Row],[Current Price ($)]])/PricingDataTable[[#This Row],[Current Price ($)]]</f>
        <v>-7.160799087806935E-2</v>
      </c>
      <c r="M2599" t="str">
        <f t="shared" si="80"/>
        <v>VENDOR DIFFERENCE</v>
      </c>
      <c r="N2599" s="10" t="str">
        <f t="shared" si="81"/>
        <v>HIGH</v>
      </c>
    </row>
    <row r="2600" spans="1:14">
      <c r="A2600" s="4" t="s">
        <v>5216</v>
      </c>
      <c r="B2600" s="4" t="s">
        <v>5217</v>
      </c>
      <c r="C2600" s="4" t="s">
        <v>39</v>
      </c>
      <c r="D2600" s="4" t="s">
        <v>13</v>
      </c>
      <c r="E2600" s="5">
        <v>172.2482</v>
      </c>
      <c r="F2600" s="5">
        <v>173.01390000000001</v>
      </c>
      <c r="G2600" s="5">
        <v>172.51730000000001</v>
      </c>
      <c r="H2600" s="4">
        <v>0</v>
      </c>
      <c r="I2600" s="6">
        <v>2880484</v>
      </c>
      <c r="J2600" s="7">
        <v>562.88</v>
      </c>
      <c r="K2600" s="9">
        <f>(PricingDataTable[[#This Row],[Current Price ($)]]-PricingDataTable[[#This Row],[Prior Price ($)]])/PricingDataTable[[#This Row],[Prior Price ($)]]</f>
        <v>4.4453294722383721E-3</v>
      </c>
      <c r="L2600" s="9">
        <f>(PricingDataTable[[#This Row],[Vendor Price ($)]]-PricingDataTable[[#This Row],[Current Price ($)]])/PricingDataTable[[#This Row],[Current Price ($)]]</f>
        <v>-2.8702896125687057E-3</v>
      </c>
      <c r="M2600" t="str">
        <f t="shared" si="80"/>
        <v>PASS</v>
      </c>
      <c r="N2600" s="10" t="str">
        <f t="shared" si="81"/>
        <v>NONE</v>
      </c>
    </row>
    <row r="2601" spans="1:14">
      <c r="A2601" s="4" t="s">
        <v>5218</v>
      </c>
      <c r="B2601" s="4" t="s">
        <v>5219</v>
      </c>
      <c r="C2601" s="4" t="s">
        <v>12</v>
      </c>
      <c r="D2601" s="4" t="s">
        <v>13</v>
      </c>
      <c r="E2601" s="5">
        <v>79.520200000000003</v>
      </c>
      <c r="F2601" s="5">
        <v>78.927599999999998</v>
      </c>
      <c r="G2601" s="5">
        <v>79.089200000000005</v>
      </c>
      <c r="H2601" s="4">
        <v>0</v>
      </c>
      <c r="I2601" s="6">
        <v>3059432</v>
      </c>
      <c r="J2601" s="7">
        <v>863.35</v>
      </c>
      <c r="K2601" s="9">
        <f>(PricingDataTable[[#This Row],[Current Price ($)]]-PricingDataTable[[#This Row],[Prior Price ($)]])/PricingDataTable[[#This Row],[Prior Price ($)]]</f>
        <v>-7.4521945367341186E-3</v>
      </c>
      <c r="L2601" s="9">
        <f>(PricingDataTable[[#This Row],[Vendor Price ($)]]-PricingDataTable[[#This Row],[Current Price ($)]])/PricingDataTable[[#This Row],[Current Price ($)]]</f>
        <v>2.0474460138152823E-3</v>
      </c>
      <c r="M2601" t="str">
        <f t="shared" si="80"/>
        <v>PASS</v>
      </c>
      <c r="N2601" s="10" t="str">
        <f t="shared" si="81"/>
        <v>NONE</v>
      </c>
    </row>
    <row r="2602" spans="1:14">
      <c r="A2602" s="4" t="s">
        <v>5220</v>
      </c>
      <c r="B2602" s="4" t="s">
        <v>5221</v>
      </c>
      <c r="C2602" s="4" t="s">
        <v>16</v>
      </c>
      <c r="D2602" s="4" t="s">
        <v>13</v>
      </c>
      <c r="E2602" s="5">
        <v>80.851100000000002</v>
      </c>
      <c r="F2602" s="5">
        <v>80.929199999999994</v>
      </c>
      <c r="G2602" s="5">
        <v>80.827500000000001</v>
      </c>
      <c r="H2602" s="4">
        <v>0</v>
      </c>
      <c r="I2602" s="6">
        <v>1928204</v>
      </c>
      <c r="J2602" s="7">
        <v>368.9</v>
      </c>
      <c r="K2602" s="9">
        <f>(PricingDataTable[[#This Row],[Current Price ($)]]-PricingDataTable[[#This Row],[Prior Price ($)]])/PricingDataTable[[#This Row],[Prior Price ($)]]</f>
        <v>9.6597325206449955E-4</v>
      </c>
      <c r="L2602" s="9">
        <f>(PricingDataTable[[#This Row],[Vendor Price ($)]]-PricingDataTable[[#This Row],[Current Price ($)]])/PricingDataTable[[#This Row],[Current Price ($)]]</f>
        <v>-1.2566539642056751E-3</v>
      </c>
      <c r="M2602" t="str">
        <f t="shared" si="80"/>
        <v>PASS</v>
      </c>
      <c r="N2602" s="10" t="str">
        <f t="shared" si="81"/>
        <v>NONE</v>
      </c>
    </row>
    <row r="2603" spans="1:14">
      <c r="A2603" s="4" t="s">
        <v>5222</v>
      </c>
      <c r="B2603" s="4" t="s">
        <v>5223</v>
      </c>
      <c r="C2603" s="4" t="s">
        <v>16</v>
      </c>
      <c r="D2603" s="4" t="s">
        <v>13</v>
      </c>
      <c r="E2603" s="5">
        <v>121.8027</v>
      </c>
      <c r="F2603" s="5">
        <v>97.958699999999993</v>
      </c>
      <c r="G2603" s="5">
        <v>98.287899999999993</v>
      </c>
      <c r="H2603" s="4">
        <v>0</v>
      </c>
      <c r="I2603" s="6">
        <v>1325924</v>
      </c>
      <c r="J2603" s="7">
        <v>10.46</v>
      </c>
      <c r="K2603" s="9">
        <f>(PricingDataTable[[#This Row],[Current Price ($)]]-PricingDataTable[[#This Row],[Prior Price ($)]])/PricingDataTable[[#This Row],[Prior Price ($)]]</f>
        <v>-0.19575920730821245</v>
      </c>
      <c r="L2603" s="9">
        <f>(PricingDataTable[[#This Row],[Vendor Price ($)]]-PricingDataTable[[#This Row],[Current Price ($)]])/PricingDataTable[[#This Row],[Current Price ($)]]</f>
        <v>3.3605999262954715E-3</v>
      </c>
      <c r="M2603" t="str">
        <f t="shared" si="80"/>
        <v>LARGE MOVE</v>
      </c>
      <c r="N2603" s="10" t="str">
        <f t="shared" si="81"/>
        <v>HIGH</v>
      </c>
    </row>
    <row r="2604" spans="1:14">
      <c r="A2604" s="4" t="s">
        <v>5224</v>
      </c>
      <c r="B2604" s="4" t="s">
        <v>5225</v>
      </c>
      <c r="C2604" s="4" t="s">
        <v>16</v>
      </c>
      <c r="D2604" s="4" t="s">
        <v>64</v>
      </c>
      <c r="E2604" s="5">
        <v>96.430499999999995</v>
      </c>
      <c r="F2604" s="5">
        <v>105.0471</v>
      </c>
      <c r="G2604" s="5">
        <v>105.2323</v>
      </c>
      <c r="H2604" s="4">
        <v>0</v>
      </c>
      <c r="I2604" s="6">
        <v>3528639</v>
      </c>
      <c r="J2604" s="7">
        <v>434.82</v>
      </c>
      <c r="K2604" s="9">
        <f>(PricingDataTable[[#This Row],[Current Price ($)]]-PricingDataTable[[#This Row],[Prior Price ($)]])/PricingDataTable[[#This Row],[Prior Price ($)]]</f>
        <v>8.9355546222408946E-2</v>
      </c>
      <c r="L2604" s="9">
        <f>(PricingDataTable[[#This Row],[Vendor Price ($)]]-PricingDataTable[[#This Row],[Current Price ($)]])/PricingDataTable[[#This Row],[Current Price ($)]]</f>
        <v>1.7630186839997935E-3</v>
      </c>
      <c r="M2604" t="str">
        <f t="shared" si="80"/>
        <v>LARGE MOVE</v>
      </c>
      <c r="N2604" s="10" t="str">
        <f t="shared" si="81"/>
        <v>MEDIUM</v>
      </c>
    </row>
    <row r="2605" spans="1:14">
      <c r="A2605" s="4" t="s">
        <v>5226</v>
      </c>
      <c r="B2605" s="4" t="s">
        <v>5227</v>
      </c>
      <c r="C2605" s="4" t="s">
        <v>12</v>
      </c>
      <c r="D2605" s="4" t="s">
        <v>13</v>
      </c>
      <c r="E2605" s="5">
        <v>92.375299999999996</v>
      </c>
      <c r="F2605" s="5">
        <v>91.844399999999993</v>
      </c>
      <c r="G2605" s="5">
        <v>91.638300000000001</v>
      </c>
      <c r="H2605" s="4">
        <v>2</v>
      </c>
      <c r="I2605" s="6">
        <v>285938</v>
      </c>
      <c r="J2605" s="7">
        <v>286.02</v>
      </c>
      <c r="K2605" s="9">
        <f>(PricingDataTable[[#This Row],[Current Price ($)]]-PricingDataTable[[#This Row],[Prior Price ($)]])/PricingDataTable[[#This Row],[Prior Price ($)]]</f>
        <v>-5.7472073162414912E-3</v>
      </c>
      <c r="L2605" s="9">
        <f>(PricingDataTable[[#This Row],[Vendor Price ($)]]-PricingDataTable[[#This Row],[Current Price ($)]])/PricingDataTable[[#This Row],[Current Price ($)]]</f>
        <v>-2.2440126997399102E-3</v>
      </c>
      <c r="M2605" t="str">
        <f t="shared" si="80"/>
        <v>PASS</v>
      </c>
      <c r="N2605" s="10" t="str">
        <f t="shared" si="81"/>
        <v>NONE</v>
      </c>
    </row>
    <row r="2606" spans="1:14">
      <c r="A2606" s="4" t="s">
        <v>5228</v>
      </c>
      <c r="B2606" s="4" t="s">
        <v>5229</v>
      </c>
      <c r="C2606" s="4" t="s">
        <v>19</v>
      </c>
      <c r="D2606" s="4" t="s">
        <v>13</v>
      </c>
      <c r="E2606" s="5">
        <v>142.22479999999999</v>
      </c>
      <c r="F2606" s="5">
        <v>142.19730000000001</v>
      </c>
      <c r="G2606" s="5">
        <v>142.1524</v>
      </c>
      <c r="H2606" s="4">
        <v>0</v>
      </c>
      <c r="I2606" s="6">
        <v>4469443</v>
      </c>
      <c r="J2606" s="7">
        <v>445.74</v>
      </c>
      <c r="K2606" s="9">
        <f>(PricingDataTable[[#This Row],[Current Price ($)]]-PricingDataTable[[#This Row],[Prior Price ($)]])/PricingDataTable[[#This Row],[Prior Price ($)]]</f>
        <v>-1.9335587042467272E-4</v>
      </c>
      <c r="L2606" s="9">
        <f>(PricingDataTable[[#This Row],[Vendor Price ($)]]-PricingDataTable[[#This Row],[Current Price ($)]])/PricingDataTable[[#This Row],[Current Price ($)]]</f>
        <v>-3.1575845673590563E-4</v>
      </c>
      <c r="M2606" t="str">
        <f t="shared" si="80"/>
        <v>PASS</v>
      </c>
      <c r="N2606" s="10" t="str">
        <f t="shared" si="81"/>
        <v>NONE</v>
      </c>
    </row>
    <row r="2607" spans="1:14">
      <c r="A2607" s="4" t="s">
        <v>5230</v>
      </c>
      <c r="B2607" s="4" t="s">
        <v>5231</v>
      </c>
      <c r="C2607" s="4" t="s">
        <v>39</v>
      </c>
      <c r="D2607" s="4" t="s">
        <v>13</v>
      </c>
      <c r="E2607" s="5">
        <v>179.8939</v>
      </c>
      <c r="F2607" s="5">
        <v>179.1635</v>
      </c>
      <c r="G2607" s="5">
        <v>179.12430000000001</v>
      </c>
      <c r="H2607" s="4">
        <v>0</v>
      </c>
      <c r="I2607" s="6">
        <v>3544529</v>
      </c>
      <c r="J2607" s="7">
        <v>755.24</v>
      </c>
      <c r="K2607" s="9">
        <f>(PricingDataTable[[#This Row],[Current Price ($)]]-PricingDataTable[[#This Row],[Prior Price ($)]])/PricingDataTable[[#This Row],[Prior Price ($)]]</f>
        <v>-4.0601710230308147E-3</v>
      </c>
      <c r="L2607" s="9">
        <f>(PricingDataTable[[#This Row],[Vendor Price ($)]]-PricingDataTable[[#This Row],[Current Price ($)]])/PricingDataTable[[#This Row],[Current Price ($)]]</f>
        <v>-2.1879456474111026E-4</v>
      </c>
      <c r="M2607" t="str">
        <f t="shared" si="80"/>
        <v>PASS</v>
      </c>
      <c r="N2607" s="10" t="str">
        <f t="shared" si="81"/>
        <v>NONE</v>
      </c>
    </row>
    <row r="2608" spans="1:14">
      <c r="A2608" s="4" t="s">
        <v>5232</v>
      </c>
      <c r="B2608" s="4" t="s">
        <v>5233</v>
      </c>
      <c r="C2608" s="4" t="s">
        <v>19</v>
      </c>
      <c r="D2608" s="4" t="s">
        <v>237</v>
      </c>
      <c r="E2608" s="5">
        <v>273.85539999999997</v>
      </c>
      <c r="F2608" s="5">
        <v>277.8021</v>
      </c>
      <c r="G2608" s="5">
        <v>277.0215</v>
      </c>
      <c r="H2608" s="4">
        <v>0</v>
      </c>
      <c r="I2608" s="6">
        <v>3239886</v>
      </c>
      <c r="J2608" s="7">
        <v>110.11</v>
      </c>
      <c r="K2608" s="9">
        <f>(PricingDataTable[[#This Row],[Current Price ($)]]-PricingDataTable[[#This Row],[Prior Price ($)]])/PricingDataTable[[#This Row],[Prior Price ($)]]</f>
        <v>1.4411620146982756E-2</v>
      </c>
      <c r="L2608" s="9">
        <f>(PricingDataTable[[#This Row],[Vendor Price ($)]]-PricingDataTable[[#This Row],[Current Price ($)]])/PricingDataTable[[#This Row],[Current Price ($)]]</f>
        <v>-2.8099139639332915E-3</v>
      </c>
      <c r="M2608" t="str">
        <f t="shared" si="80"/>
        <v>PASS</v>
      </c>
      <c r="N2608" s="10" t="str">
        <f t="shared" si="81"/>
        <v>NONE</v>
      </c>
    </row>
    <row r="2609" spans="1:14">
      <c r="A2609" s="4" t="s">
        <v>5234</v>
      </c>
      <c r="B2609" s="4" t="s">
        <v>5235</v>
      </c>
      <c r="C2609" s="4" t="s">
        <v>39</v>
      </c>
      <c r="D2609" s="4" t="s">
        <v>32</v>
      </c>
      <c r="E2609" s="5">
        <v>12.444699999999999</v>
      </c>
      <c r="F2609" s="5">
        <v>12.773099999999999</v>
      </c>
      <c r="G2609" s="5">
        <v>12.7867</v>
      </c>
      <c r="H2609" s="4">
        <v>3</v>
      </c>
      <c r="I2609" s="6">
        <v>2687250</v>
      </c>
      <c r="J2609" s="7">
        <v>232.02</v>
      </c>
      <c r="K2609" s="9">
        <f>(PricingDataTable[[#This Row],[Current Price ($)]]-PricingDataTable[[#This Row],[Prior Price ($)]])/PricingDataTable[[#This Row],[Prior Price ($)]]</f>
        <v>2.6388743802582645E-2</v>
      </c>
      <c r="L2609" s="9">
        <f>(PricingDataTable[[#This Row],[Vendor Price ($)]]-PricingDataTable[[#This Row],[Current Price ($)]])/PricingDataTable[[#This Row],[Current Price ($)]]</f>
        <v>1.0647376126390836E-3</v>
      </c>
      <c r="M2609" t="str">
        <f t="shared" si="80"/>
        <v>STALE</v>
      </c>
      <c r="N2609" s="10" t="str">
        <f t="shared" si="81"/>
        <v>LOW</v>
      </c>
    </row>
    <row r="2610" spans="1:14">
      <c r="A2610" s="4" t="s">
        <v>5236</v>
      </c>
      <c r="B2610" s="4" t="s">
        <v>5237</v>
      </c>
      <c r="C2610" s="4" t="s">
        <v>12</v>
      </c>
      <c r="D2610" s="4" t="s">
        <v>32</v>
      </c>
      <c r="E2610" s="5">
        <v>89.152900000000002</v>
      </c>
      <c r="F2610" s="5">
        <v>90.154700000000005</v>
      </c>
      <c r="G2610" s="5">
        <v>89.779700000000005</v>
      </c>
      <c r="H2610" s="4">
        <v>4</v>
      </c>
      <c r="I2610" s="6">
        <v>1768210</v>
      </c>
      <c r="J2610" s="7">
        <v>96.76</v>
      </c>
      <c r="K2610" s="9">
        <f>(PricingDataTable[[#This Row],[Current Price ($)]]-PricingDataTable[[#This Row],[Prior Price ($)]])/PricingDataTable[[#This Row],[Prior Price ($)]]</f>
        <v>1.1236875076413699E-2</v>
      </c>
      <c r="L2610" s="9">
        <f>(PricingDataTable[[#This Row],[Vendor Price ($)]]-PricingDataTable[[#This Row],[Current Price ($)]])/PricingDataTable[[#This Row],[Current Price ($)]]</f>
        <v>-4.1595169192510202E-3</v>
      </c>
      <c r="M2610" t="str">
        <f t="shared" si="80"/>
        <v>STALE</v>
      </c>
      <c r="N2610" s="10" t="str">
        <f t="shared" si="81"/>
        <v>LOW</v>
      </c>
    </row>
    <row r="2611" spans="1:14">
      <c r="A2611" s="4" t="s">
        <v>5238</v>
      </c>
      <c r="B2611" s="4" t="s">
        <v>5239</v>
      </c>
      <c r="C2611" s="4" t="s">
        <v>35</v>
      </c>
      <c r="D2611" s="4" t="s">
        <v>13</v>
      </c>
      <c r="E2611" s="5">
        <v>14.047700000000001</v>
      </c>
      <c r="F2611" s="5">
        <v>14.0633</v>
      </c>
      <c r="G2611" s="5">
        <v>14.083299999999999</v>
      </c>
      <c r="H2611" s="4">
        <v>0</v>
      </c>
      <c r="I2611" s="6">
        <v>1470209</v>
      </c>
      <c r="J2611" s="7">
        <v>322.74</v>
      </c>
      <c r="K2611" s="9">
        <f>(PricingDataTable[[#This Row],[Current Price ($)]]-PricingDataTable[[#This Row],[Prior Price ($)]])/PricingDataTable[[#This Row],[Prior Price ($)]]</f>
        <v>1.1105020750727286E-3</v>
      </c>
      <c r="L2611" s="9">
        <f>(PricingDataTable[[#This Row],[Vendor Price ($)]]-PricingDataTable[[#This Row],[Current Price ($)]])/PricingDataTable[[#This Row],[Current Price ($)]]</f>
        <v>1.4221413181827575E-3</v>
      </c>
      <c r="M2611" t="str">
        <f t="shared" si="80"/>
        <v>PASS</v>
      </c>
      <c r="N2611" s="10" t="str">
        <f t="shared" si="81"/>
        <v>NONE</v>
      </c>
    </row>
    <row r="2612" spans="1:14">
      <c r="A2612" s="4" t="s">
        <v>5240</v>
      </c>
      <c r="B2612" s="4" t="s">
        <v>5241</v>
      </c>
      <c r="C2612" s="4" t="s">
        <v>19</v>
      </c>
      <c r="D2612" s="4" t="s">
        <v>36</v>
      </c>
      <c r="E2612" s="5">
        <v>232.42570000000001</v>
      </c>
      <c r="F2612" s="5">
        <v>233.2876</v>
      </c>
      <c r="G2612" s="5">
        <v>233.90430000000001</v>
      </c>
      <c r="H2612" s="4">
        <v>0</v>
      </c>
      <c r="I2612" s="6">
        <v>529930</v>
      </c>
      <c r="J2612" s="7">
        <v>743.16</v>
      </c>
      <c r="K2612" s="9">
        <f>(PricingDataTable[[#This Row],[Current Price ($)]]-PricingDataTable[[#This Row],[Prior Price ($)]])/PricingDataTable[[#This Row],[Prior Price ($)]]</f>
        <v>3.7082818294189991E-3</v>
      </c>
      <c r="L2612" s="9">
        <f>(PricingDataTable[[#This Row],[Vendor Price ($)]]-PricingDataTable[[#This Row],[Current Price ($)]])/PricingDataTable[[#This Row],[Current Price ($)]]</f>
        <v>2.6435181295534297E-3</v>
      </c>
      <c r="M2612" t="str">
        <f t="shared" si="80"/>
        <v>PASS</v>
      </c>
      <c r="N2612" s="10" t="str">
        <f t="shared" si="81"/>
        <v>NONE</v>
      </c>
    </row>
    <row r="2613" spans="1:14">
      <c r="A2613" s="4" t="s">
        <v>5242</v>
      </c>
      <c r="B2613" s="4" t="s">
        <v>5243</v>
      </c>
      <c r="C2613" s="4" t="s">
        <v>16</v>
      </c>
      <c r="D2613" s="4" t="s">
        <v>13</v>
      </c>
      <c r="E2613" s="5">
        <v>116.0218</v>
      </c>
      <c r="F2613" s="5">
        <v>118.078</v>
      </c>
      <c r="G2613" s="5">
        <v>118.19970000000001</v>
      </c>
      <c r="H2613" s="4">
        <v>0</v>
      </c>
      <c r="I2613" s="6">
        <v>3929051</v>
      </c>
      <c r="J2613" s="7">
        <v>350.39</v>
      </c>
      <c r="K2613" s="9">
        <f>(PricingDataTable[[#This Row],[Current Price ($)]]-PricingDataTable[[#This Row],[Prior Price ($)]])/PricingDataTable[[#This Row],[Prior Price ($)]]</f>
        <v>1.7722531455295506E-2</v>
      </c>
      <c r="L2613" s="9">
        <f>(PricingDataTable[[#This Row],[Vendor Price ($)]]-PricingDataTable[[#This Row],[Current Price ($)]])/PricingDataTable[[#This Row],[Current Price ($)]]</f>
        <v>1.0306746387981176E-3</v>
      </c>
      <c r="M2613" t="str">
        <f t="shared" si="80"/>
        <v>PASS</v>
      </c>
      <c r="N2613" s="10" t="str">
        <f t="shared" si="81"/>
        <v>NONE</v>
      </c>
    </row>
    <row r="2614" spans="1:14">
      <c r="A2614" s="4" t="s">
        <v>5244</v>
      </c>
      <c r="B2614" s="4" t="s">
        <v>5245</v>
      </c>
      <c r="C2614" s="4" t="s">
        <v>35</v>
      </c>
      <c r="D2614" s="4" t="s">
        <v>13</v>
      </c>
      <c r="E2614" s="5">
        <v>31.4267</v>
      </c>
      <c r="F2614" s="5">
        <v>31.3583</v>
      </c>
      <c r="G2614" s="5">
        <v>31.236000000000001</v>
      </c>
      <c r="H2614" s="4">
        <v>0</v>
      </c>
      <c r="I2614" s="6">
        <v>2599307</v>
      </c>
      <c r="J2614" s="7">
        <v>15.22</v>
      </c>
      <c r="K2614" s="9">
        <f>(PricingDataTable[[#This Row],[Current Price ($)]]-PricingDataTable[[#This Row],[Prior Price ($)]])/PricingDataTable[[#This Row],[Prior Price ($)]]</f>
        <v>-2.1764932366427421E-3</v>
      </c>
      <c r="L2614" s="9">
        <f>(PricingDataTable[[#This Row],[Vendor Price ($)]]-PricingDataTable[[#This Row],[Current Price ($)]])/PricingDataTable[[#This Row],[Current Price ($)]]</f>
        <v>-3.900083869342381E-3</v>
      </c>
      <c r="M2614" t="str">
        <f t="shared" si="80"/>
        <v>PASS</v>
      </c>
      <c r="N2614" s="10" t="str">
        <f t="shared" si="81"/>
        <v>NONE</v>
      </c>
    </row>
    <row r="2615" spans="1:14">
      <c r="A2615" s="4" t="s">
        <v>5246</v>
      </c>
      <c r="B2615" s="4" t="s">
        <v>5247</v>
      </c>
      <c r="C2615" s="4" t="s">
        <v>12</v>
      </c>
      <c r="D2615" s="4" t="s">
        <v>237</v>
      </c>
      <c r="E2615" s="5">
        <v>102.5057</v>
      </c>
      <c r="F2615" s="5">
        <v>101.517</v>
      </c>
      <c r="G2615" s="5">
        <v>101.46429999999999</v>
      </c>
      <c r="H2615" s="4">
        <v>0</v>
      </c>
      <c r="I2615" s="6">
        <v>2004352</v>
      </c>
      <c r="J2615" s="7">
        <v>145.13999999999999</v>
      </c>
      <c r="K2615" s="9">
        <f>(PricingDataTable[[#This Row],[Current Price ($)]]-PricingDataTable[[#This Row],[Prior Price ($)]])/PricingDataTable[[#This Row],[Prior Price ($)]]</f>
        <v>-9.645317284794978E-3</v>
      </c>
      <c r="L2615" s="9">
        <f>(PricingDataTable[[#This Row],[Vendor Price ($)]]-PricingDataTable[[#This Row],[Current Price ($)]])/PricingDataTable[[#This Row],[Current Price ($)]]</f>
        <v>-5.1912487563660797E-4</v>
      </c>
      <c r="M2615" t="str">
        <f t="shared" si="80"/>
        <v>PASS</v>
      </c>
      <c r="N2615" s="10" t="str">
        <f t="shared" si="81"/>
        <v>NONE</v>
      </c>
    </row>
    <row r="2616" spans="1:14">
      <c r="A2616" s="4" t="s">
        <v>5248</v>
      </c>
      <c r="B2616" s="4" t="s">
        <v>5249</v>
      </c>
      <c r="C2616" s="4" t="s">
        <v>12</v>
      </c>
      <c r="D2616" s="4" t="s">
        <v>64</v>
      </c>
      <c r="E2616" s="5">
        <v>115.9472</v>
      </c>
      <c r="F2616" s="5"/>
      <c r="G2616" s="5">
        <v>115.4954</v>
      </c>
      <c r="H2616" s="4">
        <v>0</v>
      </c>
      <c r="I2616" s="6">
        <v>2592386</v>
      </c>
      <c r="J2616" s="7">
        <v>503.4</v>
      </c>
      <c r="K2616" s="9">
        <f>(PricingDataTable[[#This Row],[Current Price ($)]]-PricingDataTable[[#This Row],[Prior Price ($)]])/PricingDataTable[[#This Row],[Prior Price ($)]]</f>
        <v>-1</v>
      </c>
      <c r="L2616" s="9" t="e">
        <f>(PricingDataTable[[#This Row],[Vendor Price ($)]]-PricingDataTable[[#This Row],[Current Price ($)]])/PricingDataTable[[#This Row],[Current Price ($)]]</f>
        <v>#DIV/0!</v>
      </c>
      <c r="M2616" t="str">
        <f t="shared" si="80"/>
        <v>MISSING</v>
      </c>
      <c r="N2616" s="10" t="str">
        <f t="shared" si="81"/>
        <v>HIGH</v>
      </c>
    </row>
    <row r="2617" spans="1:14">
      <c r="A2617" s="4" t="s">
        <v>5250</v>
      </c>
      <c r="B2617" s="4" t="s">
        <v>5251</v>
      </c>
      <c r="C2617" s="4" t="s">
        <v>19</v>
      </c>
      <c r="D2617" s="4" t="s">
        <v>13</v>
      </c>
      <c r="E2617" s="5">
        <v>304.5557</v>
      </c>
      <c r="F2617" s="5">
        <v>308.19260000000003</v>
      </c>
      <c r="G2617" s="5">
        <v>308.68099999999998</v>
      </c>
      <c r="H2617" s="4">
        <v>1</v>
      </c>
      <c r="I2617" s="6">
        <v>600583</v>
      </c>
      <c r="J2617" s="7">
        <v>533.71</v>
      </c>
      <c r="K2617" s="9">
        <f>(PricingDataTable[[#This Row],[Current Price ($)]]-PricingDataTable[[#This Row],[Prior Price ($)]])/PricingDataTable[[#This Row],[Prior Price ($)]]</f>
        <v>1.1941657962730711E-2</v>
      </c>
      <c r="L2617" s="9">
        <f>(PricingDataTable[[#This Row],[Vendor Price ($)]]-PricingDataTable[[#This Row],[Current Price ($)]])/PricingDataTable[[#This Row],[Current Price ($)]]</f>
        <v>1.5847233191191351E-3</v>
      </c>
      <c r="M2617" t="str">
        <f t="shared" si="80"/>
        <v>PASS</v>
      </c>
      <c r="N2617" s="10" t="str">
        <f t="shared" si="81"/>
        <v>NONE</v>
      </c>
    </row>
    <row r="2618" spans="1:14">
      <c r="A2618" s="4" t="s">
        <v>5252</v>
      </c>
      <c r="B2618" s="4" t="s">
        <v>5253</v>
      </c>
      <c r="C2618" s="4" t="s">
        <v>16</v>
      </c>
      <c r="D2618" s="4" t="s">
        <v>13</v>
      </c>
      <c r="E2618" s="5">
        <v>76.668499999999995</v>
      </c>
      <c r="F2618" s="5">
        <v>76.959000000000003</v>
      </c>
      <c r="G2618" s="5">
        <v>77.475200000000001</v>
      </c>
      <c r="H2618" s="4">
        <v>0</v>
      </c>
      <c r="I2618" s="6">
        <v>3000109</v>
      </c>
      <c r="J2618" s="7">
        <v>453.23</v>
      </c>
      <c r="K2618" s="9">
        <f>(PricingDataTable[[#This Row],[Current Price ($)]]-PricingDataTable[[#This Row],[Prior Price ($)]])/PricingDataTable[[#This Row],[Prior Price ($)]]</f>
        <v>3.7890398273085902E-3</v>
      </c>
      <c r="L2618" s="9">
        <f>(PricingDataTable[[#This Row],[Vendor Price ($)]]-PricingDataTable[[#This Row],[Current Price ($)]])/PricingDataTable[[#This Row],[Current Price ($)]]</f>
        <v>6.7074676126248753E-3</v>
      </c>
      <c r="M2618" t="str">
        <f t="shared" si="80"/>
        <v>PASS</v>
      </c>
      <c r="N2618" s="10" t="str">
        <f t="shared" si="81"/>
        <v>NONE</v>
      </c>
    </row>
    <row r="2619" spans="1:14">
      <c r="A2619" s="4" t="s">
        <v>5254</v>
      </c>
      <c r="B2619" s="4" t="s">
        <v>5255</v>
      </c>
      <c r="C2619" s="4" t="s">
        <v>12</v>
      </c>
      <c r="D2619" s="4" t="s">
        <v>13</v>
      </c>
      <c r="E2619" s="5">
        <v>95.882300000000001</v>
      </c>
      <c r="F2619" s="5">
        <v>94.921800000000005</v>
      </c>
      <c r="G2619" s="5">
        <v>95.150499999999994</v>
      </c>
      <c r="H2619" s="4">
        <v>0</v>
      </c>
      <c r="I2619" s="6">
        <v>1468732</v>
      </c>
      <c r="J2619" s="7">
        <v>340.33</v>
      </c>
      <c r="K2619" s="9">
        <f>(PricingDataTable[[#This Row],[Current Price ($)]]-PricingDataTable[[#This Row],[Prior Price ($)]])/PricingDataTable[[#This Row],[Prior Price ($)]]</f>
        <v>-1.0017490193706201E-2</v>
      </c>
      <c r="L2619" s="9">
        <f>(PricingDataTable[[#This Row],[Vendor Price ($)]]-PricingDataTable[[#This Row],[Current Price ($)]])/PricingDataTable[[#This Row],[Current Price ($)]]</f>
        <v>2.409351697923862E-3</v>
      </c>
      <c r="M2619" t="str">
        <f t="shared" si="80"/>
        <v>PASS</v>
      </c>
      <c r="N2619" s="10" t="str">
        <f t="shared" si="81"/>
        <v>NONE</v>
      </c>
    </row>
    <row r="2620" spans="1:14">
      <c r="A2620" s="4" t="s">
        <v>5256</v>
      </c>
      <c r="B2620" s="4" t="s">
        <v>5257</v>
      </c>
      <c r="C2620" s="4" t="s">
        <v>19</v>
      </c>
      <c r="D2620" s="4" t="s">
        <v>36</v>
      </c>
      <c r="E2620" s="5">
        <v>104.37690000000001</v>
      </c>
      <c r="F2620" s="5">
        <v>105.15219999999999</v>
      </c>
      <c r="G2620" s="5">
        <v>104.8509</v>
      </c>
      <c r="H2620" s="4">
        <v>1</v>
      </c>
      <c r="I2620" s="6">
        <v>2990692</v>
      </c>
      <c r="J2620" s="7">
        <v>689.01</v>
      </c>
      <c r="K2620" s="9">
        <f>(PricingDataTable[[#This Row],[Current Price ($)]]-PricingDataTable[[#This Row],[Prior Price ($)]])/PricingDataTable[[#This Row],[Prior Price ($)]]</f>
        <v>7.4278887378336315E-3</v>
      </c>
      <c r="L2620" s="9">
        <f>(PricingDataTable[[#This Row],[Vendor Price ($)]]-PricingDataTable[[#This Row],[Current Price ($)]])/PricingDataTable[[#This Row],[Current Price ($)]]</f>
        <v>-2.8653703869248358E-3</v>
      </c>
      <c r="M2620" t="str">
        <f t="shared" si="80"/>
        <v>PASS</v>
      </c>
      <c r="N2620" s="10" t="str">
        <f t="shared" si="81"/>
        <v>NONE</v>
      </c>
    </row>
    <row r="2621" spans="1:14">
      <c r="A2621" s="4" t="s">
        <v>5258</v>
      </c>
      <c r="B2621" s="4" t="s">
        <v>5259</v>
      </c>
      <c r="C2621" s="4" t="s">
        <v>12</v>
      </c>
      <c r="D2621" s="4" t="s">
        <v>237</v>
      </c>
      <c r="E2621" s="5">
        <v>89.858599999999996</v>
      </c>
      <c r="F2621" s="5">
        <v>90.608199999999997</v>
      </c>
      <c r="G2621" s="5">
        <v>90.138499999999993</v>
      </c>
      <c r="H2621" s="4">
        <v>0</v>
      </c>
      <c r="I2621" s="6">
        <v>4811405</v>
      </c>
      <c r="J2621" s="7">
        <v>870.43</v>
      </c>
      <c r="K2621" s="9">
        <f>(PricingDataTable[[#This Row],[Current Price ($)]]-PricingDataTable[[#This Row],[Prior Price ($)]])/PricingDataTable[[#This Row],[Prior Price ($)]]</f>
        <v>8.3419950900637339E-3</v>
      </c>
      <c r="L2621" s="9">
        <f>(PricingDataTable[[#This Row],[Vendor Price ($)]]-PricingDataTable[[#This Row],[Current Price ($)]])/PricingDataTable[[#This Row],[Current Price ($)]]</f>
        <v>-5.1838575316583172E-3</v>
      </c>
      <c r="M2621" t="str">
        <f t="shared" si="80"/>
        <v>PASS</v>
      </c>
      <c r="N2621" s="10" t="str">
        <f t="shared" si="81"/>
        <v>NONE</v>
      </c>
    </row>
    <row r="2622" spans="1:14">
      <c r="A2622" s="4" t="s">
        <v>5260</v>
      </c>
      <c r="B2622" s="4" t="s">
        <v>5261</v>
      </c>
      <c r="C2622" s="4" t="s">
        <v>39</v>
      </c>
      <c r="D2622" s="4" t="s">
        <v>13</v>
      </c>
      <c r="E2622" s="5">
        <v>43.646099999999997</v>
      </c>
      <c r="F2622" s="5">
        <v>44.510199999999998</v>
      </c>
      <c r="G2622" s="5">
        <v>44.398800000000001</v>
      </c>
      <c r="H2622" s="4">
        <v>2</v>
      </c>
      <c r="I2622" s="6">
        <v>2889356</v>
      </c>
      <c r="J2622" s="7">
        <v>67.3</v>
      </c>
      <c r="K2622" s="9">
        <f>(PricingDataTable[[#This Row],[Current Price ($)]]-PricingDataTable[[#This Row],[Prior Price ($)]])/PricingDataTable[[#This Row],[Prior Price ($)]]</f>
        <v>1.9797874265971085E-2</v>
      </c>
      <c r="L2622" s="9">
        <f>(PricingDataTable[[#This Row],[Vendor Price ($)]]-PricingDataTable[[#This Row],[Current Price ($)]])/PricingDataTable[[#This Row],[Current Price ($)]]</f>
        <v>-2.5027971116731934E-3</v>
      </c>
      <c r="M2622" t="str">
        <f t="shared" si="80"/>
        <v>PASS</v>
      </c>
      <c r="N2622" s="10" t="str">
        <f t="shared" si="81"/>
        <v>NONE</v>
      </c>
    </row>
    <row r="2623" spans="1:14">
      <c r="A2623" s="4" t="s">
        <v>5262</v>
      </c>
      <c r="B2623" s="4" t="s">
        <v>5263</v>
      </c>
      <c r="C2623" s="4" t="s">
        <v>19</v>
      </c>
      <c r="D2623" s="4" t="s">
        <v>13</v>
      </c>
      <c r="E2623" s="5">
        <v>347.66989999999998</v>
      </c>
      <c r="F2623" s="5">
        <v>0</v>
      </c>
      <c r="G2623" s="5">
        <v>346.50229999999999</v>
      </c>
      <c r="H2623" s="4">
        <v>5</v>
      </c>
      <c r="I2623" s="6">
        <v>1697794</v>
      </c>
      <c r="J2623" s="7">
        <v>453.7</v>
      </c>
      <c r="K2623" s="9">
        <f>(PricingDataTable[[#This Row],[Current Price ($)]]-PricingDataTable[[#This Row],[Prior Price ($)]])/PricingDataTable[[#This Row],[Prior Price ($)]]</f>
        <v>-1</v>
      </c>
      <c r="L2623" s="9" t="e">
        <f>(PricingDataTable[[#This Row],[Vendor Price ($)]]-PricingDataTable[[#This Row],[Current Price ($)]])/PricingDataTable[[#This Row],[Current Price ($)]]</f>
        <v>#DIV/0!</v>
      </c>
      <c r="M2623" t="str">
        <f t="shared" si="80"/>
        <v>MISSING</v>
      </c>
      <c r="N2623" s="10" t="str">
        <f t="shared" si="81"/>
        <v>HIGH</v>
      </c>
    </row>
    <row r="2624" spans="1:14">
      <c r="A2624" s="4" t="s">
        <v>5264</v>
      </c>
      <c r="B2624" s="4" t="s">
        <v>5265</v>
      </c>
      <c r="C2624" s="4" t="s">
        <v>39</v>
      </c>
      <c r="D2624" s="4" t="s">
        <v>13</v>
      </c>
      <c r="E2624" s="5">
        <v>156.3999</v>
      </c>
      <c r="F2624" s="5">
        <v>156.05529999999999</v>
      </c>
      <c r="G2624" s="5">
        <v>155.7756</v>
      </c>
      <c r="H2624" s="4">
        <v>0</v>
      </c>
      <c r="I2624" s="6">
        <v>2887541</v>
      </c>
      <c r="J2624" s="7">
        <v>339.26</v>
      </c>
      <c r="K2624" s="9">
        <f>(PricingDataTable[[#This Row],[Current Price ($)]]-PricingDataTable[[#This Row],[Prior Price ($)]])/PricingDataTable[[#This Row],[Prior Price ($)]]</f>
        <v>-2.2033262169605865E-3</v>
      </c>
      <c r="L2624" s="9">
        <f>(PricingDataTable[[#This Row],[Vendor Price ($)]]-PricingDataTable[[#This Row],[Current Price ($)]])/PricingDataTable[[#This Row],[Current Price ($)]]</f>
        <v>-1.7923133658388482E-3</v>
      </c>
      <c r="M2624" t="str">
        <f t="shared" si="80"/>
        <v>PASS</v>
      </c>
      <c r="N2624" s="10" t="str">
        <f t="shared" si="81"/>
        <v>NONE</v>
      </c>
    </row>
    <row r="2625" spans="1:14">
      <c r="A2625" s="4" t="s">
        <v>5266</v>
      </c>
      <c r="B2625" s="4" t="s">
        <v>5267</v>
      </c>
      <c r="C2625" s="4" t="s">
        <v>39</v>
      </c>
      <c r="D2625" s="4" t="s">
        <v>32</v>
      </c>
      <c r="E2625" s="5">
        <v>205.7047</v>
      </c>
      <c r="F2625" s="5">
        <v>205.83019999999999</v>
      </c>
      <c r="G2625" s="5">
        <v>206.69290000000001</v>
      </c>
      <c r="H2625" s="4">
        <v>1</v>
      </c>
      <c r="I2625" s="6">
        <v>2658447</v>
      </c>
      <c r="J2625" s="7">
        <v>777.25</v>
      </c>
      <c r="K2625" s="9">
        <f>(PricingDataTable[[#This Row],[Current Price ($)]]-PricingDataTable[[#This Row],[Prior Price ($)]])/PricingDataTable[[#This Row],[Prior Price ($)]]</f>
        <v>6.1009787331056697E-4</v>
      </c>
      <c r="L2625" s="9">
        <f>(PricingDataTable[[#This Row],[Vendor Price ($)]]-PricingDataTable[[#This Row],[Current Price ($)]])/PricingDataTable[[#This Row],[Current Price ($)]]</f>
        <v>4.1913188638014152E-3</v>
      </c>
      <c r="M2625" t="str">
        <f t="shared" si="80"/>
        <v>PASS</v>
      </c>
      <c r="N2625" s="10" t="str">
        <f t="shared" si="81"/>
        <v>NONE</v>
      </c>
    </row>
    <row r="2626" spans="1:14">
      <c r="A2626" s="4" t="s">
        <v>5268</v>
      </c>
      <c r="B2626" s="4" t="s">
        <v>5269</v>
      </c>
      <c r="C2626" s="4" t="s">
        <v>39</v>
      </c>
      <c r="D2626" s="4" t="s">
        <v>36</v>
      </c>
      <c r="E2626" s="5">
        <v>226.185</v>
      </c>
      <c r="F2626" s="5">
        <v>181.20820000000001</v>
      </c>
      <c r="G2626" s="5">
        <v>181.59549999999999</v>
      </c>
      <c r="H2626" s="4">
        <v>5</v>
      </c>
      <c r="I2626" s="6">
        <v>3893207</v>
      </c>
      <c r="J2626" s="7">
        <v>79.989999999999995</v>
      </c>
      <c r="K2626" s="9">
        <f>(PricingDataTable[[#This Row],[Current Price ($)]]-PricingDataTable[[#This Row],[Prior Price ($)]])/PricingDataTable[[#This Row],[Prior Price ($)]]</f>
        <v>-0.19884961425381875</v>
      </c>
      <c r="L2626" s="9">
        <f>(PricingDataTable[[#This Row],[Vendor Price ($)]]-PricingDataTable[[#This Row],[Current Price ($)]])/PricingDataTable[[#This Row],[Current Price ($)]]</f>
        <v>2.137320496533722E-3</v>
      </c>
      <c r="M2626" t="str">
        <f t="shared" ref="M2626:M2689" si="82">IF(OR(F2626="",F2626=0),"MISSING",IF(H2626&gt;=3,"STALE",IF(ABS(K2626)&gt;=5%,"LARGE MOVE",IF(ABS(L2626)&gt;=2%,"VENDOR DIFFERENCE","PASS"))))</f>
        <v>STALE</v>
      </c>
      <c r="N2626" s="10" t="str">
        <f t="shared" ref="N2626:N2689" si="83">IF(M2626="PASS","NONE",IF(M2626="MISSING","HIGH",IF(OR(ABS(K2626)&gt;=10%,ABS(L2626)&gt;=5%),"HIGH",IF(OR(ABS(K2626)&gt;=7%,ABS(L2626)&gt;=3%,H2626&gt;=5),"MEDIUM","LOW"))))</f>
        <v>HIGH</v>
      </c>
    </row>
    <row r="2627" spans="1:14">
      <c r="A2627" s="4" t="s">
        <v>5270</v>
      </c>
      <c r="B2627" s="4" t="s">
        <v>5271</v>
      </c>
      <c r="C2627" s="4" t="s">
        <v>39</v>
      </c>
      <c r="D2627" s="4" t="s">
        <v>13</v>
      </c>
      <c r="E2627" s="5">
        <v>62.960999999999999</v>
      </c>
      <c r="F2627" s="5">
        <v>63.778300000000002</v>
      </c>
      <c r="G2627" s="5">
        <v>63.680300000000003</v>
      </c>
      <c r="H2627" s="4">
        <v>0</v>
      </c>
      <c r="I2627" s="6">
        <v>1509802</v>
      </c>
      <c r="J2627" s="7">
        <v>857.42</v>
      </c>
      <c r="K2627" s="9">
        <f>(PricingDataTable[[#This Row],[Current Price ($)]]-PricingDataTable[[#This Row],[Prior Price ($)]])/PricingDataTable[[#This Row],[Prior Price ($)]]</f>
        <v>1.2981051762202047E-2</v>
      </c>
      <c r="L2627" s="9">
        <f>(PricingDataTable[[#This Row],[Vendor Price ($)]]-PricingDataTable[[#This Row],[Current Price ($)]])/PricingDataTable[[#This Row],[Current Price ($)]]</f>
        <v>-1.5365727841601135E-3</v>
      </c>
      <c r="M2627" t="str">
        <f t="shared" si="82"/>
        <v>PASS</v>
      </c>
      <c r="N2627" s="10" t="str">
        <f t="shared" si="83"/>
        <v>NONE</v>
      </c>
    </row>
    <row r="2628" spans="1:14">
      <c r="A2628" s="4" t="s">
        <v>5272</v>
      </c>
      <c r="B2628" s="4" t="s">
        <v>5273</v>
      </c>
      <c r="C2628" s="4" t="s">
        <v>19</v>
      </c>
      <c r="D2628" s="4" t="s">
        <v>13</v>
      </c>
      <c r="E2628" s="5">
        <v>125.8336</v>
      </c>
      <c r="F2628" s="5">
        <v>127.5326</v>
      </c>
      <c r="G2628" s="5">
        <v>127.5153</v>
      </c>
      <c r="H2628" s="4">
        <v>1</v>
      </c>
      <c r="I2628" s="6">
        <v>1588209</v>
      </c>
      <c r="J2628" s="7">
        <v>826.22</v>
      </c>
      <c r="K2628" s="9">
        <f>(PricingDataTable[[#This Row],[Current Price ($)]]-PricingDataTable[[#This Row],[Prior Price ($)]])/PricingDataTable[[#This Row],[Prior Price ($)]]</f>
        <v>1.3501958141545645E-2</v>
      </c>
      <c r="L2628" s="9">
        <f>(PricingDataTable[[#This Row],[Vendor Price ($)]]-PricingDataTable[[#This Row],[Current Price ($)]])/PricingDataTable[[#This Row],[Current Price ($)]]</f>
        <v>-1.3565159026010499E-4</v>
      </c>
      <c r="M2628" t="str">
        <f t="shared" si="82"/>
        <v>PASS</v>
      </c>
      <c r="N2628" s="10" t="str">
        <f t="shared" si="83"/>
        <v>NONE</v>
      </c>
    </row>
    <row r="2629" spans="1:14">
      <c r="A2629" s="4" t="s">
        <v>5274</v>
      </c>
      <c r="B2629" s="4" t="s">
        <v>5275</v>
      </c>
      <c r="C2629" s="4" t="s">
        <v>19</v>
      </c>
      <c r="D2629" s="4" t="s">
        <v>13</v>
      </c>
      <c r="E2629" s="5">
        <v>103.9371</v>
      </c>
      <c r="F2629" s="5">
        <v>104.2072</v>
      </c>
      <c r="G2629" s="5">
        <v>103.71810000000001</v>
      </c>
      <c r="H2629" s="4">
        <v>0</v>
      </c>
      <c r="I2629" s="6">
        <v>3287300</v>
      </c>
      <c r="J2629" s="7">
        <v>167.05</v>
      </c>
      <c r="K2629" s="9">
        <f>(PricingDataTable[[#This Row],[Current Price ($)]]-PricingDataTable[[#This Row],[Prior Price ($)]])/PricingDataTable[[#This Row],[Prior Price ($)]]</f>
        <v>2.5986870905576483E-3</v>
      </c>
      <c r="L2629" s="9">
        <f>(PricingDataTable[[#This Row],[Vendor Price ($)]]-PricingDataTable[[#This Row],[Current Price ($)]])/PricingDataTable[[#This Row],[Current Price ($)]]</f>
        <v>-4.6935336521851988E-3</v>
      </c>
      <c r="M2629" t="str">
        <f t="shared" si="82"/>
        <v>PASS</v>
      </c>
      <c r="N2629" s="10" t="str">
        <f t="shared" si="83"/>
        <v>NONE</v>
      </c>
    </row>
    <row r="2630" spans="1:14">
      <c r="A2630" s="4" t="s">
        <v>5276</v>
      </c>
      <c r="B2630" s="4" t="s">
        <v>5277</v>
      </c>
      <c r="C2630" s="4" t="s">
        <v>19</v>
      </c>
      <c r="D2630" s="4" t="s">
        <v>32</v>
      </c>
      <c r="E2630" s="5">
        <v>319.71109999999999</v>
      </c>
      <c r="F2630" s="5">
        <v>317.4658</v>
      </c>
      <c r="G2630" s="5">
        <v>318.13499999999999</v>
      </c>
      <c r="H2630" s="4">
        <v>0</v>
      </c>
      <c r="I2630" s="6">
        <v>2006183</v>
      </c>
      <c r="J2630" s="7">
        <v>77.17</v>
      </c>
      <c r="K2630" s="9">
        <f>(PricingDataTable[[#This Row],[Current Price ($)]]-PricingDataTable[[#This Row],[Prior Price ($)]])/PricingDataTable[[#This Row],[Prior Price ($)]]</f>
        <v>-7.022902864492306E-3</v>
      </c>
      <c r="L2630" s="9">
        <f>(PricingDataTable[[#This Row],[Vendor Price ($)]]-PricingDataTable[[#This Row],[Current Price ($)]])/PricingDataTable[[#This Row],[Current Price ($)]]</f>
        <v>2.1079435958140666E-3</v>
      </c>
      <c r="M2630" t="str">
        <f t="shared" si="82"/>
        <v>PASS</v>
      </c>
      <c r="N2630" s="10" t="str">
        <f t="shared" si="83"/>
        <v>NONE</v>
      </c>
    </row>
    <row r="2631" spans="1:14">
      <c r="A2631" s="4" t="s">
        <v>5278</v>
      </c>
      <c r="B2631" s="4" t="s">
        <v>5279</v>
      </c>
      <c r="C2631" s="4" t="s">
        <v>35</v>
      </c>
      <c r="D2631" s="4" t="s">
        <v>13</v>
      </c>
      <c r="E2631" s="5">
        <v>41.989100000000001</v>
      </c>
      <c r="F2631" s="5">
        <v>42.314399999999999</v>
      </c>
      <c r="G2631" s="5">
        <v>42.584000000000003</v>
      </c>
      <c r="H2631" s="4">
        <v>0</v>
      </c>
      <c r="I2631" s="6">
        <v>77097</v>
      </c>
      <c r="J2631" s="7">
        <v>277.64999999999998</v>
      </c>
      <c r="K2631" s="9">
        <f>(PricingDataTable[[#This Row],[Current Price ($)]]-PricingDataTable[[#This Row],[Prior Price ($)]])/PricingDataTable[[#This Row],[Prior Price ($)]]</f>
        <v>7.7472486907316082E-3</v>
      </c>
      <c r="L2631" s="9">
        <f>(PricingDataTable[[#This Row],[Vendor Price ($)]]-PricingDataTable[[#This Row],[Current Price ($)]])/PricingDataTable[[#This Row],[Current Price ($)]]</f>
        <v>6.3713534872290303E-3</v>
      </c>
      <c r="M2631" t="str">
        <f t="shared" si="82"/>
        <v>PASS</v>
      </c>
      <c r="N2631" s="10" t="str">
        <f t="shared" si="83"/>
        <v>NONE</v>
      </c>
    </row>
    <row r="2632" spans="1:14">
      <c r="A2632" s="4" t="s">
        <v>5280</v>
      </c>
      <c r="B2632" s="4" t="s">
        <v>5281</v>
      </c>
      <c r="C2632" s="4" t="s">
        <v>39</v>
      </c>
      <c r="D2632" s="4" t="s">
        <v>13</v>
      </c>
      <c r="E2632" s="5">
        <v>138.06370000000001</v>
      </c>
      <c r="F2632" s="5">
        <v>136.4271</v>
      </c>
      <c r="G2632" s="5">
        <v>136.57830000000001</v>
      </c>
      <c r="H2632" s="4">
        <v>0</v>
      </c>
      <c r="I2632" s="6">
        <v>3076985</v>
      </c>
      <c r="J2632" s="7">
        <v>53.9</v>
      </c>
      <c r="K2632" s="9">
        <f>(PricingDataTable[[#This Row],[Current Price ($)]]-PricingDataTable[[#This Row],[Prior Price ($)]])/PricingDataTable[[#This Row],[Prior Price ($)]]</f>
        <v>-1.1853948575911086E-2</v>
      </c>
      <c r="L2632" s="9">
        <f>(PricingDataTable[[#This Row],[Vendor Price ($)]]-PricingDataTable[[#This Row],[Current Price ($)]])/PricingDataTable[[#This Row],[Current Price ($)]]</f>
        <v>1.1082842045313365E-3</v>
      </c>
      <c r="M2632" t="str">
        <f t="shared" si="82"/>
        <v>PASS</v>
      </c>
      <c r="N2632" s="10" t="str">
        <f t="shared" si="83"/>
        <v>NONE</v>
      </c>
    </row>
    <row r="2633" spans="1:14">
      <c r="A2633" s="4" t="s">
        <v>5282</v>
      </c>
      <c r="B2633" s="4" t="s">
        <v>5283</v>
      </c>
      <c r="C2633" s="4" t="s">
        <v>39</v>
      </c>
      <c r="D2633" s="4" t="s">
        <v>13</v>
      </c>
      <c r="E2633" s="5">
        <v>191.3964</v>
      </c>
      <c r="F2633" s="5">
        <v>186.99549999999999</v>
      </c>
      <c r="G2633" s="5">
        <v>187.93199999999999</v>
      </c>
      <c r="H2633" s="4">
        <v>0</v>
      </c>
      <c r="I2633" s="6">
        <v>4516299</v>
      </c>
      <c r="J2633" s="7">
        <v>157.52000000000001</v>
      </c>
      <c r="K2633" s="9">
        <f>(PricingDataTable[[#This Row],[Current Price ($)]]-PricingDataTable[[#This Row],[Prior Price ($)]])/PricingDataTable[[#This Row],[Prior Price ($)]]</f>
        <v>-2.2993640423748865E-2</v>
      </c>
      <c r="L2633" s="9">
        <f>(PricingDataTable[[#This Row],[Vendor Price ($)]]-PricingDataTable[[#This Row],[Current Price ($)]])/PricingDataTable[[#This Row],[Current Price ($)]]</f>
        <v>5.0081419071581687E-3</v>
      </c>
      <c r="M2633" t="str">
        <f t="shared" si="82"/>
        <v>PASS</v>
      </c>
      <c r="N2633" s="10" t="str">
        <f t="shared" si="83"/>
        <v>NONE</v>
      </c>
    </row>
    <row r="2634" spans="1:14">
      <c r="A2634" s="4" t="s">
        <v>5284</v>
      </c>
      <c r="B2634" s="4" t="s">
        <v>5285</v>
      </c>
      <c r="C2634" s="4" t="s">
        <v>19</v>
      </c>
      <c r="D2634" s="4" t="s">
        <v>13</v>
      </c>
      <c r="E2634" s="5">
        <v>158.2619</v>
      </c>
      <c r="F2634" s="5">
        <v>154.92760000000001</v>
      </c>
      <c r="G2634" s="5">
        <v>154.8211</v>
      </c>
      <c r="H2634" s="4">
        <v>3</v>
      </c>
      <c r="I2634" s="6">
        <v>655597</v>
      </c>
      <c r="J2634" s="7">
        <v>357.08</v>
      </c>
      <c r="K2634" s="9">
        <f>(PricingDataTable[[#This Row],[Current Price ($)]]-PricingDataTable[[#This Row],[Prior Price ($)]])/PricingDataTable[[#This Row],[Prior Price ($)]]</f>
        <v>-2.1068241945787235E-2</v>
      </c>
      <c r="L2634" s="9">
        <f>(PricingDataTable[[#This Row],[Vendor Price ($)]]-PricingDataTable[[#This Row],[Current Price ($)]])/PricingDataTable[[#This Row],[Current Price ($)]]</f>
        <v>-6.8741786486081974E-4</v>
      </c>
      <c r="M2634" t="str">
        <f t="shared" si="82"/>
        <v>STALE</v>
      </c>
      <c r="N2634" s="10" t="str">
        <f t="shared" si="83"/>
        <v>LOW</v>
      </c>
    </row>
    <row r="2635" spans="1:14">
      <c r="A2635" s="4" t="s">
        <v>5286</v>
      </c>
      <c r="B2635" s="4" t="s">
        <v>5287</v>
      </c>
      <c r="C2635" s="4" t="s">
        <v>39</v>
      </c>
      <c r="D2635" s="4" t="s">
        <v>13</v>
      </c>
      <c r="E2635" s="5">
        <v>22.3231</v>
      </c>
      <c r="F2635" s="5">
        <v>21.888999999999999</v>
      </c>
      <c r="G2635" s="5">
        <v>21.91</v>
      </c>
      <c r="H2635" s="4">
        <v>1</v>
      </c>
      <c r="I2635" s="6">
        <v>3400279</v>
      </c>
      <c r="J2635" s="7">
        <v>280.57</v>
      </c>
      <c r="K2635" s="9">
        <f>(PricingDataTable[[#This Row],[Current Price ($)]]-PricingDataTable[[#This Row],[Prior Price ($)]])/PricingDataTable[[#This Row],[Prior Price ($)]]</f>
        <v>-1.9446223866756894E-2</v>
      </c>
      <c r="L2635" s="9">
        <f>(PricingDataTable[[#This Row],[Vendor Price ($)]]-PricingDataTable[[#This Row],[Current Price ($)]])/PricingDataTable[[#This Row],[Current Price ($)]]</f>
        <v>9.5938599296453914E-4</v>
      </c>
      <c r="M2635" t="str">
        <f t="shared" si="82"/>
        <v>PASS</v>
      </c>
      <c r="N2635" s="10" t="str">
        <f t="shared" si="83"/>
        <v>NONE</v>
      </c>
    </row>
    <row r="2636" spans="1:14">
      <c r="A2636" s="4" t="s">
        <v>5288</v>
      </c>
      <c r="B2636" s="4" t="s">
        <v>5289</v>
      </c>
      <c r="C2636" s="4" t="s">
        <v>39</v>
      </c>
      <c r="D2636" s="4" t="s">
        <v>13</v>
      </c>
      <c r="E2636" s="5">
        <v>311.10680000000002</v>
      </c>
      <c r="F2636" s="5">
        <v>306.25</v>
      </c>
      <c r="G2636" s="5">
        <v>306.25299999999999</v>
      </c>
      <c r="H2636" s="4">
        <v>5</v>
      </c>
      <c r="I2636" s="6">
        <v>1868049</v>
      </c>
      <c r="J2636" s="7">
        <v>772.63</v>
      </c>
      <c r="K2636" s="9">
        <f>(PricingDataTable[[#This Row],[Current Price ($)]]-PricingDataTable[[#This Row],[Prior Price ($)]])/PricingDataTable[[#This Row],[Prior Price ($)]]</f>
        <v>-1.5611359185977359E-2</v>
      </c>
      <c r="L2636" s="9">
        <f>(PricingDataTable[[#This Row],[Vendor Price ($)]]-PricingDataTable[[#This Row],[Current Price ($)]])/PricingDataTable[[#This Row],[Current Price ($)]]</f>
        <v>9.7959183673009075E-6</v>
      </c>
      <c r="M2636" t="str">
        <f t="shared" si="82"/>
        <v>STALE</v>
      </c>
      <c r="N2636" s="10" t="str">
        <f t="shared" si="83"/>
        <v>MEDIUM</v>
      </c>
    </row>
    <row r="2637" spans="1:14">
      <c r="A2637" s="4" t="s">
        <v>5290</v>
      </c>
      <c r="B2637" s="4" t="s">
        <v>5291</v>
      </c>
      <c r="C2637" s="4" t="s">
        <v>19</v>
      </c>
      <c r="D2637" s="4" t="s">
        <v>13</v>
      </c>
      <c r="E2637" s="5">
        <v>251.95869999999999</v>
      </c>
      <c r="F2637" s="5">
        <v>250.84970000000001</v>
      </c>
      <c r="G2637" s="5">
        <v>250.1566</v>
      </c>
      <c r="H2637" s="4">
        <v>0</v>
      </c>
      <c r="I2637" s="6">
        <v>2300498</v>
      </c>
      <c r="J2637" s="7">
        <v>326.68</v>
      </c>
      <c r="K2637" s="9">
        <f>(PricingDataTable[[#This Row],[Current Price ($)]]-PricingDataTable[[#This Row],[Prior Price ($)]])/PricingDataTable[[#This Row],[Prior Price ($)]]</f>
        <v>-4.4015150101980221E-3</v>
      </c>
      <c r="L2637" s="9">
        <f>(PricingDataTable[[#This Row],[Vendor Price ($)]]-PricingDataTable[[#This Row],[Current Price ($)]])/PricingDataTable[[#This Row],[Current Price ($)]]</f>
        <v>-2.7630090847229052E-3</v>
      </c>
      <c r="M2637" t="str">
        <f t="shared" si="82"/>
        <v>PASS</v>
      </c>
      <c r="N2637" s="10" t="str">
        <f t="shared" si="83"/>
        <v>NONE</v>
      </c>
    </row>
    <row r="2638" spans="1:14">
      <c r="A2638" s="4" t="s">
        <v>5292</v>
      </c>
      <c r="B2638" s="4" t="s">
        <v>5293</v>
      </c>
      <c r="C2638" s="4" t="s">
        <v>19</v>
      </c>
      <c r="D2638" s="4" t="s">
        <v>32</v>
      </c>
      <c r="E2638" s="5">
        <v>190.43029999999999</v>
      </c>
      <c r="F2638" s="5">
        <v>188.8861</v>
      </c>
      <c r="G2638" s="5">
        <v>189.5694</v>
      </c>
      <c r="H2638" s="4">
        <v>0</v>
      </c>
      <c r="I2638" s="6">
        <v>874186</v>
      </c>
      <c r="J2638" s="7">
        <v>570.54</v>
      </c>
      <c r="K2638" s="9">
        <f>(PricingDataTable[[#This Row],[Current Price ($)]]-PricingDataTable[[#This Row],[Prior Price ($)]])/PricingDataTable[[#This Row],[Prior Price ($)]]</f>
        <v>-8.1090036617071422E-3</v>
      </c>
      <c r="L2638" s="9">
        <f>(PricingDataTable[[#This Row],[Vendor Price ($)]]-PricingDataTable[[#This Row],[Current Price ($)]])/PricingDataTable[[#This Row],[Current Price ($)]]</f>
        <v>3.6175239999131892E-3</v>
      </c>
      <c r="M2638" t="str">
        <f t="shared" si="82"/>
        <v>PASS</v>
      </c>
      <c r="N2638" s="10" t="str">
        <f t="shared" si="83"/>
        <v>NONE</v>
      </c>
    </row>
    <row r="2639" spans="1:14">
      <c r="A2639" s="4" t="s">
        <v>5294</v>
      </c>
      <c r="B2639" s="4" t="s">
        <v>5295</v>
      </c>
      <c r="C2639" s="4" t="s">
        <v>16</v>
      </c>
      <c r="D2639" s="4" t="s">
        <v>13</v>
      </c>
      <c r="E2639" s="5">
        <v>94.132499999999993</v>
      </c>
      <c r="F2639" s="5">
        <v>95.294300000000007</v>
      </c>
      <c r="G2639" s="5">
        <v>95.261700000000005</v>
      </c>
      <c r="H2639" s="4">
        <v>0</v>
      </c>
      <c r="I2639" s="6">
        <v>2485657</v>
      </c>
      <c r="J2639" s="7">
        <v>377.07</v>
      </c>
      <c r="K2639" s="9">
        <f>(PricingDataTable[[#This Row],[Current Price ($)]]-PricingDataTable[[#This Row],[Prior Price ($)]])/PricingDataTable[[#This Row],[Prior Price ($)]]</f>
        <v>1.2342177250152856E-2</v>
      </c>
      <c r="L2639" s="9">
        <f>(PricingDataTable[[#This Row],[Vendor Price ($)]]-PricingDataTable[[#This Row],[Current Price ($)]])/PricingDataTable[[#This Row],[Current Price ($)]]</f>
        <v>-3.4209811079993432E-4</v>
      </c>
      <c r="M2639" t="str">
        <f t="shared" si="82"/>
        <v>PASS</v>
      </c>
      <c r="N2639" s="10" t="str">
        <f t="shared" si="83"/>
        <v>NONE</v>
      </c>
    </row>
    <row r="2640" spans="1:14">
      <c r="A2640" s="4" t="s">
        <v>5296</v>
      </c>
      <c r="B2640" s="4" t="s">
        <v>5297</v>
      </c>
      <c r="C2640" s="4" t="s">
        <v>16</v>
      </c>
      <c r="D2640" s="4" t="s">
        <v>13</v>
      </c>
      <c r="E2640" s="5">
        <v>91.775000000000006</v>
      </c>
      <c r="F2640" s="5">
        <v>90.216899999999995</v>
      </c>
      <c r="G2640" s="5">
        <v>90.190200000000004</v>
      </c>
      <c r="H2640" s="4">
        <v>0</v>
      </c>
      <c r="I2640" s="6">
        <v>2328471</v>
      </c>
      <c r="J2640" s="7">
        <v>65.52</v>
      </c>
      <c r="K2640" s="9">
        <f>(PricingDataTable[[#This Row],[Current Price ($)]]-PricingDataTable[[#This Row],[Prior Price ($)]])/PricingDataTable[[#This Row],[Prior Price ($)]]</f>
        <v>-1.6977390356851106E-2</v>
      </c>
      <c r="L2640" s="9">
        <f>(PricingDataTable[[#This Row],[Vendor Price ($)]]-PricingDataTable[[#This Row],[Current Price ($)]])/PricingDataTable[[#This Row],[Current Price ($)]]</f>
        <v>-2.9595341892695346E-4</v>
      </c>
      <c r="M2640" t="str">
        <f t="shared" si="82"/>
        <v>PASS</v>
      </c>
      <c r="N2640" s="10" t="str">
        <f t="shared" si="83"/>
        <v>NONE</v>
      </c>
    </row>
    <row r="2641" spans="1:14">
      <c r="A2641" s="4" t="s">
        <v>5298</v>
      </c>
      <c r="B2641" s="4" t="s">
        <v>5299</v>
      </c>
      <c r="C2641" s="4" t="s">
        <v>16</v>
      </c>
      <c r="D2641" s="4" t="s">
        <v>13</v>
      </c>
      <c r="E2641" s="5">
        <v>102.2174</v>
      </c>
      <c r="F2641" s="5">
        <v>101.6326</v>
      </c>
      <c r="G2641" s="5">
        <v>101.9443</v>
      </c>
      <c r="H2641" s="4">
        <v>0</v>
      </c>
      <c r="I2641" s="6">
        <v>1491654</v>
      </c>
      <c r="J2641" s="7">
        <v>820.08</v>
      </c>
      <c r="K2641" s="9">
        <f>(PricingDataTable[[#This Row],[Current Price ($)]]-PricingDataTable[[#This Row],[Prior Price ($)]])/PricingDataTable[[#This Row],[Prior Price ($)]]</f>
        <v>-5.7211394537525053E-3</v>
      </c>
      <c r="L2641" s="9">
        <f>(PricingDataTable[[#This Row],[Vendor Price ($)]]-PricingDataTable[[#This Row],[Current Price ($)]])/PricingDataTable[[#This Row],[Current Price ($)]]</f>
        <v>3.0669293120514666E-3</v>
      </c>
      <c r="M2641" t="str">
        <f t="shared" si="82"/>
        <v>PASS</v>
      </c>
      <c r="N2641" s="10" t="str">
        <f t="shared" si="83"/>
        <v>NONE</v>
      </c>
    </row>
    <row r="2642" spans="1:14">
      <c r="A2642" s="4" t="s">
        <v>5300</v>
      </c>
      <c r="B2642" s="4" t="s">
        <v>5301</v>
      </c>
      <c r="C2642" s="4" t="s">
        <v>35</v>
      </c>
      <c r="D2642" s="4" t="s">
        <v>32</v>
      </c>
      <c r="E2642" s="5">
        <v>103.8579</v>
      </c>
      <c r="F2642" s="5">
        <v>102.6875</v>
      </c>
      <c r="G2642" s="5">
        <v>92.730500000000006</v>
      </c>
      <c r="H2642" s="4">
        <v>0</v>
      </c>
      <c r="I2642" s="6">
        <v>1439951</v>
      </c>
      <c r="J2642" s="7">
        <v>554.97</v>
      </c>
      <c r="K2642" s="9">
        <f>(PricingDataTable[[#This Row],[Current Price ($)]]-PricingDataTable[[#This Row],[Prior Price ($)]])/PricingDataTable[[#This Row],[Prior Price ($)]]</f>
        <v>-1.1269243841826196E-2</v>
      </c>
      <c r="L2642" s="9">
        <f>(PricingDataTable[[#This Row],[Vendor Price ($)]]-PricingDataTable[[#This Row],[Current Price ($)]])/PricingDataTable[[#This Row],[Current Price ($)]]</f>
        <v>-9.6964090079123488E-2</v>
      </c>
      <c r="M2642" t="str">
        <f t="shared" si="82"/>
        <v>VENDOR DIFFERENCE</v>
      </c>
      <c r="N2642" s="10" t="str">
        <f t="shared" si="83"/>
        <v>HIGH</v>
      </c>
    </row>
    <row r="2643" spans="1:14">
      <c r="A2643" s="4" t="s">
        <v>5302</v>
      </c>
      <c r="B2643" s="4" t="s">
        <v>5303</v>
      </c>
      <c r="C2643" s="4" t="s">
        <v>19</v>
      </c>
      <c r="D2643" s="4" t="s">
        <v>13</v>
      </c>
      <c r="E2643" s="5">
        <v>16.732800000000001</v>
      </c>
      <c r="F2643" s="5">
        <v>18.540299999999998</v>
      </c>
      <c r="G2643" s="5">
        <v>18.645900000000001</v>
      </c>
      <c r="H2643" s="4">
        <v>0</v>
      </c>
      <c r="I2643" s="6">
        <v>1672014</v>
      </c>
      <c r="J2643" s="7">
        <v>698.63</v>
      </c>
      <c r="K2643" s="9">
        <f>(PricingDataTable[[#This Row],[Current Price ($)]]-PricingDataTable[[#This Row],[Prior Price ($)]])/PricingDataTable[[#This Row],[Prior Price ($)]]</f>
        <v>0.10802137119908188</v>
      </c>
      <c r="L2643" s="9">
        <f>(PricingDataTable[[#This Row],[Vendor Price ($)]]-PricingDataTable[[#This Row],[Current Price ($)]])/PricingDataTable[[#This Row],[Current Price ($)]]</f>
        <v>5.6957007168170195E-3</v>
      </c>
      <c r="M2643" t="str">
        <f t="shared" si="82"/>
        <v>LARGE MOVE</v>
      </c>
      <c r="N2643" s="10" t="str">
        <f t="shared" si="83"/>
        <v>HIGH</v>
      </c>
    </row>
    <row r="2644" spans="1:14">
      <c r="A2644" s="4" t="s">
        <v>5304</v>
      </c>
      <c r="B2644" s="4" t="s">
        <v>5305</v>
      </c>
      <c r="C2644" s="4" t="s">
        <v>19</v>
      </c>
      <c r="D2644" s="4" t="s">
        <v>13</v>
      </c>
      <c r="E2644" s="5">
        <v>116.342</v>
      </c>
      <c r="F2644" s="5">
        <v>116.25449999999999</v>
      </c>
      <c r="G2644" s="5">
        <v>116.8901</v>
      </c>
      <c r="H2644" s="4">
        <v>2</v>
      </c>
      <c r="I2644" s="6">
        <v>4857918</v>
      </c>
      <c r="J2644" s="7">
        <v>160.16</v>
      </c>
      <c r="K2644" s="9">
        <f>(PricingDataTable[[#This Row],[Current Price ($)]]-PricingDataTable[[#This Row],[Prior Price ($)]])/PricingDataTable[[#This Row],[Prior Price ($)]]</f>
        <v>-7.5209296728615362E-4</v>
      </c>
      <c r="L2644" s="9">
        <f>(PricingDataTable[[#This Row],[Vendor Price ($)]]-PricingDataTable[[#This Row],[Current Price ($)]])/PricingDataTable[[#This Row],[Current Price ($)]]</f>
        <v>5.4673152437110899E-3</v>
      </c>
      <c r="M2644" t="str">
        <f t="shared" si="82"/>
        <v>PASS</v>
      </c>
      <c r="N2644" s="10" t="str">
        <f t="shared" si="83"/>
        <v>NONE</v>
      </c>
    </row>
    <row r="2645" spans="1:14">
      <c r="A2645" s="4" t="s">
        <v>5306</v>
      </c>
      <c r="B2645" s="4" t="s">
        <v>5307</v>
      </c>
      <c r="C2645" s="4" t="s">
        <v>16</v>
      </c>
      <c r="D2645" s="4" t="s">
        <v>13</v>
      </c>
      <c r="E2645" s="5">
        <v>102.44370000000001</v>
      </c>
      <c r="F2645" s="5">
        <v>101.333</v>
      </c>
      <c r="G2645" s="5">
        <v>101.6801</v>
      </c>
      <c r="H2645" s="4">
        <v>5</v>
      </c>
      <c r="I2645" s="6">
        <v>3696076</v>
      </c>
      <c r="J2645" s="7">
        <v>785.67</v>
      </c>
      <c r="K2645" s="9">
        <f>(PricingDataTable[[#This Row],[Current Price ($)]]-PricingDataTable[[#This Row],[Prior Price ($)]])/PricingDataTable[[#This Row],[Prior Price ($)]]</f>
        <v>-1.0842052756782588E-2</v>
      </c>
      <c r="L2645" s="9">
        <f>(PricingDataTable[[#This Row],[Vendor Price ($)]]-PricingDataTable[[#This Row],[Current Price ($)]])/PricingDataTable[[#This Row],[Current Price ($)]]</f>
        <v>3.425340214934893E-3</v>
      </c>
      <c r="M2645" t="str">
        <f t="shared" si="82"/>
        <v>STALE</v>
      </c>
      <c r="N2645" s="10" t="str">
        <f t="shared" si="83"/>
        <v>MEDIUM</v>
      </c>
    </row>
    <row r="2646" spans="1:14">
      <c r="A2646" s="4" t="s">
        <v>5308</v>
      </c>
      <c r="B2646" s="4" t="s">
        <v>5309</v>
      </c>
      <c r="C2646" s="4" t="s">
        <v>19</v>
      </c>
      <c r="D2646" s="4" t="s">
        <v>32</v>
      </c>
      <c r="E2646" s="5">
        <v>150.63300000000001</v>
      </c>
      <c r="F2646" s="5">
        <v>149.1574</v>
      </c>
      <c r="G2646" s="5">
        <v>149.32900000000001</v>
      </c>
      <c r="H2646" s="4">
        <v>0</v>
      </c>
      <c r="I2646" s="6">
        <v>1140768</v>
      </c>
      <c r="J2646" s="7">
        <v>250.85</v>
      </c>
      <c r="K2646" s="9">
        <f>(PricingDataTable[[#This Row],[Current Price ($)]]-PricingDataTable[[#This Row],[Prior Price ($)]])/PricingDataTable[[#This Row],[Prior Price ($)]]</f>
        <v>-9.7959942376505422E-3</v>
      </c>
      <c r="L2646" s="9">
        <f>(PricingDataTable[[#This Row],[Vendor Price ($)]]-PricingDataTable[[#This Row],[Current Price ($)]])/PricingDataTable[[#This Row],[Current Price ($)]]</f>
        <v>1.15046253152718E-3</v>
      </c>
      <c r="M2646" t="str">
        <f t="shared" si="82"/>
        <v>PASS</v>
      </c>
      <c r="N2646" s="10" t="str">
        <f t="shared" si="83"/>
        <v>NONE</v>
      </c>
    </row>
    <row r="2647" spans="1:14">
      <c r="A2647" s="4" t="s">
        <v>5310</v>
      </c>
      <c r="B2647" s="4" t="s">
        <v>5311</v>
      </c>
      <c r="C2647" s="4" t="s">
        <v>19</v>
      </c>
      <c r="D2647" s="4" t="s">
        <v>13</v>
      </c>
      <c r="E2647" s="5">
        <v>89.604500000000002</v>
      </c>
      <c r="F2647" s="5">
        <v>89.655699999999996</v>
      </c>
      <c r="G2647" s="5">
        <v>90.349699999999999</v>
      </c>
      <c r="H2647" s="4">
        <v>1</v>
      </c>
      <c r="I2647" s="6">
        <v>3334911</v>
      </c>
      <c r="J2647" s="7">
        <v>732.71</v>
      </c>
      <c r="K2647" s="9">
        <f>(PricingDataTable[[#This Row],[Current Price ($)]]-PricingDataTable[[#This Row],[Prior Price ($)]])/PricingDataTable[[#This Row],[Prior Price ($)]]</f>
        <v>5.7139987389019924E-4</v>
      </c>
      <c r="L2647" s="9">
        <f>(PricingDataTable[[#This Row],[Vendor Price ($)]]-PricingDataTable[[#This Row],[Current Price ($)]])/PricingDataTable[[#This Row],[Current Price ($)]]</f>
        <v>7.7407236795876072E-3</v>
      </c>
      <c r="M2647" t="str">
        <f t="shared" si="82"/>
        <v>PASS</v>
      </c>
      <c r="N2647" s="10" t="str">
        <f t="shared" si="83"/>
        <v>NONE</v>
      </c>
    </row>
    <row r="2648" spans="1:14">
      <c r="A2648" s="4" t="s">
        <v>5312</v>
      </c>
      <c r="B2648" s="4" t="s">
        <v>5313</v>
      </c>
      <c r="C2648" s="4" t="s">
        <v>19</v>
      </c>
      <c r="D2648" s="4" t="s">
        <v>237</v>
      </c>
      <c r="E2648" s="5">
        <v>109.12520000000001</v>
      </c>
      <c r="F2648" s="5">
        <v>109.2906</v>
      </c>
      <c r="G2648" s="5">
        <v>108.53230000000001</v>
      </c>
      <c r="H2648" s="4">
        <v>0</v>
      </c>
      <c r="I2648" s="6">
        <v>1766690</v>
      </c>
      <c r="J2648" s="7">
        <v>536.59</v>
      </c>
      <c r="K2648" s="9">
        <f>(PricingDataTable[[#This Row],[Current Price ($)]]-PricingDataTable[[#This Row],[Prior Price ($)]])/PricingDataTable[[#This Row],[Prior Price ($)]]</f>
        <v>1.5156902347028102E-3</v>
      </c>
      <c r="L2648" s="9">
        <f>(PricingDataTable[[#This Row],[Vendor Price ($)]]-PricingDataTable[[#This Row],[Current Price ($)]])/PricingDataTable[[#This Row],[Current Price ($)]]</f>
        <v>-6.9383826239401312E-3</v>
      </c>
      <c r="M2648" t="str">
        <f t="shared" si="82"/>
        <v>PASS</v>
      </c>
      <c r="N2648" s="10" t="str">
        <f t="shared" si="83"/>
        <v>NONE</v>
      </c>
    </row>
    <row r="2649" spans="1:14">
      <c r="A2649" s="4" t="s">
        <v>5314</v>
      </c>
      <c r="B2649" s="4" t="s">
        <v>5315</v>
      </c>
      <c r="C2649" s="4" t="s">
        <v>19</v>
      </c>
      <c r="D2649" s="4" t="s">
        <v>32</v>
      </c>
      <c r="E2649" s="5">
        <v>267.07010000000002</v>
      </c>
      <c r="F2649" s="5">
        <v>267.02019999999999</v>
      </c>
      <c r="G2649" s="5">
        <v>266.86309999999997</v>
      </c>
      <c r="H2649" s="4">
        <v>0</v>
      </c>
      <c r="I2649" s="6">
        <v>4670309</v>
      </c>
      <c r="J2649" s="7">
        <v>370.44</v>
      </c>
      <c r="K2649" s="9">
        <f>(PricingDataTable[[#This Row],[Current Price ($)]]-PricingDataTable[[#This Row],[Prior Price ($)]])/PricingDataTable[[#This Row],[Prior Price ($)]]</f>
        <v>-1.8684233090876314E-4</v>
      </c>
      <c r="L2649" s="9">
        <f>(PricingDataTable[[#This Row],[Vendor Price ($)]]-PricingDataTable[[#This Row],[Current Price ($)]])/PricingDataTable[[#This Row],[Current Price ($)]]</f>
        <v>-5.8834500161416257E-4</v>
      </c>
      <c r="M2649" t="str">
        <f t="shared" si="82"/>
        <v>PASS</v>
      </c>
      <c r="N2649" s="10" t="str">
        <f t="shared" si="83"/>
        <v>NONE</v>
      </c>
    </row>
    <row r="2650" spans="1:14">
      <c r="A2650" s="4" t="s">
        <v>5316</v>
      </c>
      <c r="B2650" s="4" t="s">
        <v>5317</v>
      </c>
      <c r="C2650" s="4" t="s">
        <v>12</v>
      </c>
      <c r="D2650" s="4" t="s">
        <v>13</v>
      </c>
      <c r="E2650" s="5">
        <v>90.966200000000001</v>
      </c>
      <c r="F2650" s="5">
        <v>93.900599999999997</v>
      </c>
      <c r="G2650" s="5">
        <v>93.997900000000001</v>
      </c>
      <c r="H2650" s="4">
        <v>1</v>
      </c>
      <c r="I2650" s="6">
        <v>2807659</v>
      </c>
      <c r="J2650" s="7">
        <v>526.17999999999995</v>
      </c>
      <c r="K2650" s="9">
        <f>(PricingDataTable[[#This Row],[Current Price ($)]]-PricingDataTable[[#This Row],[Prior Price ($)]])/PricingDataTable[[#This Row],[Prior Price ($)]]</f>
        <v>3.2258135439316986E-2</v>
      </c>
      <c r="L2650" s="9">
        <f>(PricingDataTable[[#This Row],[Vendor Price ($)]]-PricingDataTable[[#This Row],[Current Price ($)]])/PricingDataTable[[#This Row],[Current Price ($)]]</f>
        <v>1.0362021115946454E-3</v>
      </c>
      <c r="M2650" t="str">
        <f t="shared" si="82"/>
        <v>PASS</v>
      </c>
      <c r="N2650" s="10" t="str">
        <f t="shared" si="83"/>
        <v>NONE</v>
      </c>
    </row>
    <row r="2651" spans="1:14">
      <c r="A2651" s="4" t="s">
        <v>5318</v>
      </c>
      <c r="B2651" s="4" t="s">
        <v>5319</v>
      </c>
      <c r="C2651" s="4" t="s">
        <v>16</v>
      </c>
      <c r="D2651" s="4" t="s">
        <v>36</v>
      </c>
      <c r="E2651" s="5">
        <v>98.331199999999995</v>
      </c>
      <c r="F2651" s="5">
        <v>98.529200000000003</v>
      </c>
      <c r="G2651" s="5">
        <v>98.619900000000001</v>
      </c>
      <c r="H2651" s="4">
        <v>0</v>
      </c>
      <c r="I2651" s="6">
        <v>900439</v>
      </c>
      <c r="J2651" s="7">
        <v>622.70000000000005</v>
      </c>
      <c r="K2651" s="9">
        <f>(PricingDataTable[[#This Row],[Current Price ($)]]-PricingDataTable[[#This Row],[Prior Price ($)]])/PricingDataTable[[#This Row],[Prior Price ($)]]</f>
        <v>2.0136030069805668E-3</v>
      </c>
      <c r="L2651" s="9">
        <f>(PricingDataTable[[#This Row],[Vendor Price ($)]]-PricingDataTable[[#This Row],[Current Price ($)]])/PricingDataTable[[#This Row],[Current Price ($)]]</f>
        <v>9.2053929190532582E-4</v>
      </c>
      <c r="M2651" t="str">
        <f t="shared" si="82"/>
        <v>PASS</v>
      </c>
      <c r="N2651" s="10" t="str">
        <f t="shared" si="83"/>
        <v>NONE</v>
      </c>
    </row>
    <row r="2652" spans="1:14">
      <c r="A2652" s="4" t="s">
        <v>5320</v>
      </c>
      <c r="B2652" s="4" t="s">
        <v>5321</v>
      </c>
      <c r="C2652" s="4" t="s">
        <v>16</v>
      </c>
      <c r="D2652" s="4" t="s">
        <v>13</v>
      </c>
      <c r="E2652" s="5">
        <v>110.7128</v>
      </c>
      <c r="F2652" s="5">
        <v>112.76739999999999</v>
      </c>
      <c r="G2652" s="5">
        <v>112.8657</v>
      </c>
      <c r="H2652" s="4">
        <v>2</v>
      </c>
      <c r="I2652" s="6">
        <v>4446603</v>
      </c>
      <c r="J2652" s="7">
        <v>356.64</v>
      </c>
      <c r="K2652" s="9">
        <f>(PricingDataTable[[#This Row],[Current Price ($)]]-PricingDataTable[[#This Row],[Prior Price ($)]])/PricingDataTable[[#This Row],[Prior Price ($)]]</f>
        <v>1.8557926454754948E-2</v>
      </c>
      <c r="L2652" s="9">
        <f>(PricingDataTable[[#This Row],[Vendor Price ($)]]-PricingDataTable[[#This Row],[Current Price ($)]])/PricingDataTable[[#This Row],[Current Price ($)]]</f>
        <v>8.7170582987644422E-4</v>
      </c>
      <c r="M2652" t="str">
        <f t="shared" si="82"/>
        <v>PASS</v>
      </c>
      <c r="N2652" s="10" t="str">
        <f t="shared" si="83"/>
        <v>NONE</v>
      </c>
    </row>
    <row r="2653" spans="1:14">
      <c r="A2653" s="4" t="s">
        <v>5322</v>
      </c>
      <c r="B2653" s="4" t="s">
        <v>5323</v>
      </c>
      <c r="C2653" s="4" t="s">
        <v>39</v>
      </c>
      <c r="D2653" s="4" t="s">
        <v>13</v>
      </c>
      <c r="E2653" s="5">
        <v>275.01069999999999</v>
      </c>
      <c r="F2653" s="5">
        <v>272.27679999999998</v>
      </c>
      <c r="G2653" s="5">
        <v>271.79239999999999</v>
      </c>
      <c r="H2653" s="4">
        <v>0</v>
      </c>
      <c r="I2653" s="6">
        <v>2452020</v>
      </c>
      <c r="J2653" s="7">
        <v>766.11</v>
      </c>
      <c r="K2653" s="9">
        <f>(PricingDataTable[[#This Row],[Current Price ($)]]-PricingDataTable[[#This Row],[Prior Price ($)]])/PricingDataTable[[#This Row],[Prior Price ($)]]</f>
        <v>-9.9410677475458443E-3</v>
      </c>
      <c r="L2653" s="9">
        <f>(PricingDataTable[[#This Row],[Vendor Price ($)]]-PricingDataTable[[#This Row],[Current Price ($)]])/PricingDataTable[[#This Row],[Current Price ($)]]</f>
        <v>-1.7790718856692666E-3</v>
      </c>
      <c r="M2653" t="str">
        <f t="shared" si="82"/>
        <v>PASS</v>
      </c>
      <c r="N2653" s="10" t="str">
        <f t="shared" si="83"/>
        <v>NONE</v>
      </c>
    </row>
    <row r="2654" spans="1:14">
      <c r="A2654" s="4" t="s">
        <v>5324</v>
      </c>
      <c r="B2654" s="4" t="s">
        <v>5325</v>
      </c>
      <c r="C2654" s="4" t="s">
        <v>19</v>
      </c>
      <c r="D2654" s="4" t="s">
        <v>13</v>
      </c>
      <c r="E2654" s="5">
        <v>44.1233</v>
      </c>
      <c r="F2654" s="5">
        <v>44.690300000000001</v>
      </c>
      <c r="G2654" s="5">
        <v>44.691699999999997</v>
      </c>
      <c r="H2654" s="4">
        <v>0</v>
      </c>
      <c r="I2654" s="6">
        <v>4476141</v>
      </c>
      <c r="J2654" s="7">
        <v>610.61</v>
      </c>
      <c r="K2654" s="9">
        <f>(PricingDataTable[[#This Row],[Current Price ($)]]-PricingDataTable[[#This Row],[Prior Price ($)]])/PricingDataTable[[#This Row],[Prior Price ($)]]</f>
        <v>1.2850353441379048E-2</v>
      </c>
      <c r="L2654" s="9">
        <f>(PricingDataTable[[#This Row],[Vendor Price ($)]]-PricingDataTable[[#This Row],[Current Price ($)]])/PricingDataTable[[#This Row],[Current Price ($)]]</f>
        <v>3.1326708480290735E-5</v>
      </c>
      <c r="M2654" t="str">
        <f t="shared" si="82"/>
        <v>PASS</v>
      </c>
      <c r="N2654" s="10" t="str">
        <f t="shared" si="83"/>
        <v>NONE</v>
      </c>
    </row>
    <row r="2655" spans="1:14">
      <c r="A2655" s="4" t="s">
        <v>5326</v>
      </c>
      <c r="B2655" s="4" t="s">
        <v>5327</v>
      </c>
      <c r="C2655" s="4" t="s">
        <v>19</v>
      </c>
      <c r="D2655" s="4" t="s">
        <v>13</v>
      </c>
      <c r="E2655" s="5">
        <v>92.496799999999993</v>
      </c>
      <c r="F2655" s="5">
        <v>91.752200000000002</v>
      </c>
      <c r="G2655" s="5">
        <v>91.961600000000004</v>
      </c>
      <c r="H2655" s="4">
        <v>1</v>
      </c>
      <c r="I2655" s="6">
        <v>1111640</v>
      </c>
      <c r="J2655" s="7">
        <v>621.01</v>
      </c>
      <c r="K2655" s="9">
        <f>(PricingDataTable[[#This Row],[Current Price ($)]]-PricingDataTable[[#This Row],[Prior Price ($)]])/PricingDataTable[[#This Row],[Prior Price ($)]]</f>
        <v>-8.0500082165003688E-3</v>
      </c>
      <c r="L2655" s="9">
        <f>(PricingDataTable[[#This Row],[Vendor Price ($)]]-PricingDataTable[[#This Row],[Current Price ($)]])/PricingDataTable[[#This Row],[Current Price ($)]]</f>
        <v>2.2822341044683643E-3</v>
      </c>
      <c r="M2655" t="str">
        <f t="shared" si="82"/>
        <v>PASS</v>
      </c>
      <c r="N2655" s="10" t="str">
        <f t="shared" si="83"/>
        <v>NONE</v>
      </c>
    </row>
    <row r="2656" spans="1:14">
      <c r="A2656" s="4" t="s">
        <v>5328</v>
      </c>
      <c r="B2656" s="4" t="s">
        <v>5329</v>
      </c>
      <c r="C2656" s="4" t="s">
        <v>16</v>
      </c>
      <c r="D2656" s="4" t="s">
        <v>36</v>
      </c>
      <c r="E2656" s="5">
        <v>121.76609999999999</v>
      </c>
      <c r="F2656" s="5">
        <v>122.2598</v>
      </c>
      <c r="G2656" s="5">
        <v>122.8494</v>
      </c>
      <c r="H2656" s="4">
        <v>0</v>
      </c>
      <c r="I2656" s="6">
        <v>4643889</v>
      </c>
      <c r="J2656" s="7">
        <v>60.54</v>
      </c>
      <c r="K2656" s="9">
        <f>(PricingDataTable[[#This Row],[Current Price ($)]]-PricingDataTable[[#This Row],[Prior Price ($)]])/PricingDataTable[[#This Row],[Prior Price ($)]]</f>
        <v>4.0544946417763565E-3</v>
      </c>
      <c r="L2656" s="9">
        <f>(PricingDataTable[[#This Row],[Vendor Price ($)]]-PricingDataTable[[#This Row],[Current Price ($)]])/PricingDataTable[[#This Row],[Current Price ($)]]</f>
        <v>4.8225172951371128E-3</v>
      </c>
      <c r="M2656" t="str">
        <f t="shared" si="82"/>
        <v>PASS</v>
      </c>
      <c r="N2656" s="10" t="str">
        <f t="shared" si="83"/>
        <v>NONE</v>
      </c>
    </row>
    <row r="2657" spans="1:14">
      <c r="A2657" s="4" t="s">
        <v>5330</v>
      </c>
      <c r="B2657" s="4" t="s">
        <v>5331</v>
      </c>
      <c r="C2657" s="4" t="s">
        <v>16</v>
      </c>
      <c r="D2657" s="4" t="s">
        <v>64</v>
      </c>
      <c r="E2657" s="5">
        <v>82.836600000000004</v>
      </c>
      <c r="F2657" s="5">
        <v>83.996200000000002</v>
      </c>
      <c r="G2657" s="5">
        <v>83.461200000000005</v>
      </c>
      <c r="H2657" s="4">
        <v>0</v>
      </c>
      <c r="I2657" s="6">
        <v>3003250</v>
      </c>
      <c r="J2657" s="7">
        <v>216.45</v>
      </c>
      <c r="K2657" s="9">
        <f>(PricingDataTable[[#This Row],[Current Price ($)]]-PricingDataTable[[#This Row],[Prior Price ($)]])/PricingDataTable[[#This Row],[Prior Price ($)]]</f>
        <v>1.3998643111861152E-2</v>
      </c>
      <c r="L2657" s="9">
        <f>(PricingDataTable[[#This Row],[Vendor Price ($)]]-PricingDataTable[[#This Row],[Current Price ($)]])/PricingDataTable[[#This Row],[Current Price ($)]]</f>
        <v>-6.3693357556650967E-3</v>
      </c>
      <c r="M2657" t="str">
        <f t="shared" si="82"/>
        <v>PASS</v>
      </c>
      <c r="N2657" s="10" t="str">
        <f t="shared" si="83"/>
        <v>NONE</v>
      </c>
    </row>
    <row r="2658" spans="1:14">
      <c r="A2658" s="4" t="s">
        <v>5332</v>
      </c>
      <c r="B2658" s="4" t="s">
        <v>5333</v>
      </c>
      <c r="C2658" s="4" t="s">
        <v>39</v>
      </c>
      <c r="D2658" s="4" t="s">
        <v>64</v>
      </c>
      <c r="E2658" s="5">
        <v>143.81899999999999</v>
      </c>
      <c r="F2658" s="5">
        <v>141.69659999999999</v>
      </c>
      <c r="G2658" s="5">
        <v>141.6242</v>
      </c>
      <c r="H2658" s="4">
        <v>1</v>
      </c>
      <c r="I2658" s="6">
        <v>2436043</v>
      </c>
      <c r="J2658" s="7">
        <v>634.39</v>
      </c>
      <c r="K2658" s="9">
        <f>(PricingDataTable[[#This Row],[Current Price ($)]]-PricingDataTable[[#This Row],[Prior Price ($)]])/PricingDataTable[[#This Row],[Prior Price ($)]]</f>
        <v>-1.47574381688094E-2</v>
      </c>
      <c r="L2658" s="9">
        <f>(PricingDataTable[[#This Row],[Vendor Price ($)]]-PricingDataTable[[#This Row],[Current Price ($)]])/PricingDataTable[[#This Row],[Current Price ($)]]</f>
        <v>-5.109508626176464E-4</v>
      </c>
      <c r="M2658" t="str">
        <f t="shared" si="82"/>
        <v>PASS</v>
      </c>
      <c r="N2658" s="10" t="str">
        <f t="shared" si="83"/>
        <v>NONE</v>
      </c>
    </row>
    <row r="2659" spans="1:14">
      <c r="A2659" s="4" t="s">
        <v>5334</v>
      </c>
      <c r="B2659" s="4" t="s">
        <v>5335</v>
      </c>
      <c r="C2659" s="4" t="s">
        <v>19</v>
      </c>
      <c r="D2659" s="4" t="s">
        <v>13</v>
      </c>
      <c r="E2659" s="5">
        <v>214.02440000000001</v>
      </c>
      <c r="F2659" s="5">
        <v>215.14779999999999</v>
      </c>
      <c r="G2659" s="5">
        <v>214.6756</v>
      </c>
      <c r="H2659" s="4">
        <v>0</v>
      </c>
      <c r="I2659" s="6">
        <v>3886709</v>
      </c>
      <c r="J2659" s="7">
        <v>33.44</v>
      </c>
      <c r="K2659" s="9">
        <f>(PricingDataTable[[#This Row],[Current Price ($)]]-PricingDataTable[[#This Row],[Prior Price ($)]])/PricingDataTable[[#This Row],[Prior Price ($)]]</f>
        <v>5.2489342336666999E-3</v>
      </c>
      <c r="L2659" s="9">
        <f>(PricingDataTable[[#This Row],[Vendor Price ($)]]-PricingDataTable[[#This Row],[Current Price ($)]])/PricingDataTable[[#This Row],[Current Price ($)]]</f>
        <v>-2.1947702927940078E-3</v>
      </c>
      <c r="M2659" t="str">
        <f t="shared" si="82"/>
        <v>PASS</v>
      </c>
      <c r="N2659" s="10" t="str">
        <f t="shared" si="83"/>
        <v>NONE</v>
      </c>
    </row>
    <row r="2660" spans="1:14">
      <c r="A2660" s="4" t="s">
        <v>5336</v>
      </c>
      <c r="B2660" s="4" t="s">
        <v>5337</v>
      </c>
      <c r="C2660" s="4" t="s">
        <v>19</v>
      </c>
      <c r="D2660" s="4" t="s">
        <v>237</v>
      </c>
      <c r="E2660" s="5">
        <v>164.91679999999999</v>
      </c>
      <c r="F2660" s="5">
        <v>166.4691</v>
      </c>
      <c r="G2660" s="5">
        <v>166.64699999999999</v>
      </c>
      <c r="H2660" s="4">
        <v>2</v>
      </c>
      <c r="I2660" s="6">
        <v>1955666</v>
      </c>
      <c r="J2660" s="7">
        <v>548.72</v>
      </c>
      <c r="K2660" s="9">
        <f>(PricingDataTable[[#This Row],[Current Price ($)]]-PricingDataTable[[#This Row],[Prior Price ($)]])/PricingDataTable[[#This Row],[Prior Price ($)]]</f>
        <v>9.4126250327437981E-3</v>
      </c>
      <c r="L2660" s="9">
        <f>(PricingDataTable[[#This Row],[Vendor Price ($)]]-PricingDataTable[[#This Row],[Current Price ($)]])/PricingDataTable[[#This Row],[Current Price ($)]]</f>
        <v>1.0686667976218646E-3</v>
      </c>
      <c r="M2660" t="str">
        <f t="shared" si="82"/>
        <v>PASS</v>
      </c>
      <c r="N2660" s="10" t="str">
        <f t="shared" si="83"/>
        <v>NONE</v>
      </c>
    </row>
    <row r="2661" spans="1:14">
      <c r="A2661" s="4" t="s">
        <v>5338</v>
      </c>
      <c r="B2661" s="4" t="s">
        <v>5339</v>
      </c>
      <c r="C2661" s="4" t="s">
        <v>12</v>
      </c>
      <c r="D2661" s="4" t="s">
        <v>32</v>
      </c>
      <c r="E2661" s="5">
        <v>87.540899999999993</v>
      </c>
      <c r="F2661" s="5">
        <v>87.147300000000001</v>
      </c>
      <c r="G2661" s="5">
        <v>87.295100000000005</v>
      </c>
      <c r="H2661" s="4">
        <v>2</v>
      </c>
      <c r="I2661" s="6">
        <v>4353754</v>
      </c>
      <c r="J2661" s="7">
        <v>778.74</v>
      </c>
      <c r="K2661" s="9">
        <f>(PricingDataTable[[#This Row],[Current Price ($)]]-PricingDataTable[[#This Row],[Prior Price ($)]])/PricingDataTable[[#This Row],[Prior Price ($)]]</f>
        <v>-4.4961840693891909E-3</v>
      </c>
      <c r="L2661" s="9">
        <f>(PricingDataTable[[#This Row],[Vendor Price ($)]]-PricingDataTable[[#This Row],[Current Price ($)]])/PricingDataTable[[#This Row],[Current Price ($)]]</f>
        <v>1.6959791066390318E-3</v>
      </c>
      <c r="M2661" t="str">
        <f t="shared" si="82"/>
        <v>PASS</v>
      </c>
      <c r="N2661" s="10" t="str">
        <f t="shared" si="83"/>
        <v>NONE</v>
      </c>
    </row>
    <row r="2662" spans="1:14">
      <c r="A2662" s="4" t="s">
        <v>5340</v>
      </c>
      <c r="B2662" s="4" t="s">
        <v>5341</v>
      </c>
      <c r="C2662" s="4" t="s">
        <v>39</v>
      </c>
      <c r="D2662" s="4" t="s">
        <v>13</v>
      </c>
      <c r="E2662" s="5">
        <v>177.9442</v>
      </c>
      <c r="F2662" s="5">
        <v>179.62799999999999</v>
      </c>
      <c r="G2662" s="5">
        <v>179.24700000000001</v>
      </c>
      <c r="H2662" s="4">
        <v>0</v>
      </c>
      <c r="I2662" s="6">
        <v>874039</v>
      </c>
      <c r="J2662" s="7">
        <v>808.08</v>
      </c>
      <c r="K2662" s="9">
        <f>(PricingDataTable[[#This Row],[Current Price ($)]]-PricingDataTable[[#This Row],[Prior Price ($)]])/PricingDataTable[[#This Row],[Prior Price ($)]]</f>
        <v>9.4625169013656581E-3</v>
      </c>
      <c r="L2662" s="9">
        <f>(PricingDataTable[[#This Row],[Vendor Price ($)]]-PricingDataTable[[#This Row],[Current Price ($)]])/PricingDataTable[[#This Row],[Current Price ($)]]</f>
        <v>-2.1210501703519042E-3</v>
      </c>
      <c r="M2662" t="str">
        <f t="shared" si="82"/>
        <v>PASS</v>
      </c>
      <c r="N2662" s="10" t="str">
        <f t="shared" si="83"/>
        <v>NONE</v>
      </c>
    </row>
    <row r="2663" spans="1:14">
      <c r="A2663" s="4" t="s">
        <v>5342</v>
      </c>
      <c r="B2663" s="4" t="s">
        <v>5343</v>
      </c>
      <c r="C2663" s="4" t="s">
        <v>16</v>
      </c>
      <c r="D2663" s="4" t="s">
        <v>13</v>
      </c>
      <c r="E2663" s="5">
        <v>78.417699999999996</v>
      </c>
      <c r="F2663" s="5">
        <v>77.966200000000001</v>
      </c>
      <c r="G2663" s="5">
        <v>77.399000000000001</v>
      </c>
      <c r="H2663" s="4">
        <v>0</v>
      </c>
      <c r="I2663" s="6">
        <v>2075058</v>
      </c>
      <c r="J2663" s="7">
        <v>277.52</v>
      </c>
      <c r="K2663" s="9">
        <f>(PricingDataTable[[#This Row],[Current Price ($)]]-PricingDataTable[[#This Row],[Prior Price ($)]])/PricingDataTable[[#This Row],[Prior Price ($)]]</f>
        <v>-5.7576286986228339E-3</v>
      </c>
      <c r="L2663" s="9">
        <f>(PricingDataTable[[#This Row],[Vendor Price ($)]]-PricingDataTable[[#This Row],[Current Price ($)]])/PricingDataTable[[#This Row],[Current Price ($)]]</f>
        <v>-7.2749473489794256E-3</v>
      </c>
      <c r="M2663" t="str">
        <f t="shared" si="82"/>
        <v>PASS</v>
      </c>
      <c r="N2663" s="10" t="str">
        <f t="shared" si="83"/>
        <v>NONE</v>
      </c>
    </row>
    <row r="2664" spans="1:14">
      <c r="A2664" s="4" t="s">
        <v>5344</v>
      </c>
      <c r="B2664" s="4" t="s">
        <v>5345</v>
      </c>
      <c r="C2664" s="4" t="s">
        <v>19</v>
      </c>
      <c r="D2664" s="4" t="s">
        <v>13</v>
      </c>
      <c r="E2664" s="5">
        <v>121.4803</v>
      </c>
      <c r="F2664" s="5">
        <v>124.7336</v>
      </c>
      <c r="G2664" s="5">
        <v>124.71639999999999</v>
      </c>
      <c r="H2664" s="4">
        <v>0</v>
      </c>
      <c r="I2664" s="6">
        <v>4002877</v>
      </c>
      <c r="J2664" s="7">
        <v>624.88</v>
      </c>
      <c r="K2664" s="9">
        <f>(PricingDataTable[[#This Row],[Current Price ($)]]-PricingDataTable[[#This Row],[Prior Price ($)]])/PricingDataTable[[#This Row],[Prior Price ($)]]</f>
        <v>2.6780473871072064E-2</v>
      </c>
      <c r="L2664" s="9">
        <f>(PricingDataTable[[#This Row],[Vendor Price ($)]]-PricingDataTable[[#This Row],[Current Price ($)]])/PricingDataTable[[#This Row],[Current Price ($)]]</f>
        <v>-1.378938794358741E-4</v>
      </c>
      <c r="M2664" t="str">
        <f t="shared" si="82"/>
        <v>PASS</v>
      </c>
      <c r="N2664" s="10" t="str">
        <f t="shared" si="83"/>
        <v>NONE</v>
      </c>
    </row>
    <row r="2665" spans="1:14">
      <c r="A2665" s="4" t="s">
        <v>5346</v>
      </c>
      <c r="B2665" s="4" t="s">
        <v>5347</v>
      </c>
      <c r="C2665" s="4" t="s">
        <v>16</v>
      </c>
      <c r="D2665" s="4" t="s">
        <v>13</v>
      </c>
      <c r="E2665" s="5">
        <v>113.5099</v>
      </c>
      <c r="F2665" s="5">
        <v>113.9504</v>
      </c>
      <c r="G2665" s="5">
        <v>113.77630000000001</v>
      </c>
      <c r="H2665" s="4">
        <v>0</v>
      </c>
      <c r="I2665" s="6">
        <v>1381805</v>
      </c>
      <c r="J2665" s="7">
        <v>232.58</v>
      </c>
      <c r="K2665" s="9">
        <f>(PricingDataTable[[#This Row],[Current Price ($)]]-PricingDataTable[[#This Row],[Prior Price ($)]])/PricingDataTable[[#This Row],[Prior Price ($)]]</f>
        <v>3.8807187743095544E-3</v>
      </c>
      <c r="L2665" s="9">
        <f>(PricingDataTable[[#This Row],[Vendor Price ($)]]-PricingDataTable[[#This Row],[Current Price ($)]])/PricingDataTable[[#This Row],[Current Price ($)]]</f>
        <v>-1.5278577345932589E-3</v>
      </c>
      <c r="M2665" t="str">
        <f t="shared" si="82"/>
        <v>PASS</v>
      </c>
      <c r="N2665" s="10" t="str">
        <f t="shared" si="83"/>
        <v>NONE</v>
      </c>
    </row>
    <row r="2666" spans="1:14">
      <c r="A2666" s="4" t="s">
        <v>5348</v>
      </c>
      <c r="B2666" s="4" t="s">
        <v>5349</v>
      </c>
      <c r="C2666" s="4" t="s">
        <v>19</v>
      </c>
      <c r="D2666" s="4" t="s">
        <v>64</v>
      </c>
      <c r="E2666" s="5">
        <v>16.834900000000001</v>
      </c>
      <c r="F2666" s="5">
        <v>16.7438</v>
      </c>
      <c r="G2666" s="5">
        <v>16.7395</v>
      </c>
      <c r="H2666" s="4">
        <v>0</v>
      </c>
      <c r="I2666" s="6">
        <v>3903374</v>
      </c>
      <c r="J2666" s="7">
        <v>641.99</v>
      </c>
      <c r="K2666" s="9">
        <f>(PricingDataTable[[#This Row],[Current Price ($)]]-PricingDataTable[[#This Row],[Prior Price ($)]])/PricingDataTable[[#This Row],[Prior Price ($)]]</f>
        <v>-5.4113775549602811E-3</v>
      </c>
      <c r="L2666" s="9">
        <f>(PricingDataTable[[#This Row],[Vendor Price ($)]]-PricingDataTable[[#This Row],[Current Price ($)]])/PricingDataTable[[#This Row],[Current Price ($)]]</f>
        <v>-2.5681147648685704E-4</v>
      </c>
      <c r="M2666" t="str">
        <f t="shared" si="82"/>
        <v>PASS</v>
      </c>
      <c r="N2666" s="10" t="str">
        <f t="shared" si="83"/>
        <v>NONE</v>
      </c>
    </row>
    <row r="2667" spans="1:14">
      <c r="A2667" s="4" t="s">
        <v>5350</v>
      </c>
      <c r="B2667" s="4" t="s">
        <v>5351</v>
      </c>
      <c r="C2667" s="4" t="s">
        <v>19</v>
      </c>
      <c r="D2667" s="4" t="s">
        <v>36</v>
      </c>
      <c r="E2667" s="5">
        <v>77.495000000000005</v>
      </c>
      <c r="F2667" s="5">
        <v>76.618899999999996</v>
      </c>
      <c r="G2667" s="5">
        <v>76.578100000000006</v>
      </c>
      <c r="H2667" s="4">
        <v>0</v>
      </c>
      <c r="I2667" s="6">
        <v>2143880</v>
      </c>
      <c r="J2667" s="7">
        <v>229.89</v>
      </c>
      <c r="K2667" s="9">
        <f>(PricingDataTable[[#This Row],[Current Price ($)]]-PricingDataTable[[#This Row],[Prior Price ($)]])/PricingDataTable[[#This Row],[Prior Price ($)]]</f>
        <v>-1.1305245499709762E-2</v>
      </c>
      <c r="L2667" s="9">
        <f>(PricingDataTable[[#This Row],[Vendor Price ($)]]-PricingDataTable[[#This Row],[Current Price ($)]])/PricingDataTable[[#This Row],[Current Price ($)]]</f>
        <v>-5.3250568723892122E-4</v>
      </c>
      <c r="M2667" t="str">
        <f t="shared" si="82"/>
        <v>PASS</v>
      </c>
      <c r="N2667" s="10" t="str">
        <f t="shared" si="83"/>
        <v>NONE</v>
      </c>
    </row>
    <row r="2668" spans="1:14">
      <c r="A2668" s="4" t="s">
        <v>5352</v>
      </c>
      <c r="B2668" s="4" t="s">
        <v>5353</v>
      </c>
      <c r="C2668" s="4" t="s">
        <v>19</v>
      </c>
      <c r="D2668" s="4" t="s">
        <v>13</v>
      </c>
      <c r="E2668" s="5">
        <v>9.6341000000000001</v>
      </c>
      <c r="F2668" s="5">
        <v>9.6318999999999999</v>
      </c>
      <c r="G2668" s="5">
        <v>9.6089000000000002</v>
      </c>
      <c r="H2668" s="4">
        <v>0</v>
      </c>
      <c r="I2668" s="6">
        <v>1033111</v>
      </c>
      <c r="J2668" s="7">
        <v>46.01</v>
      </c>
      <c r="K2668" s="9">
        <f>(PricingDataTable[[#This Row],[Current Price ($)]]-PricingDataTable[[#This Row],[Prior Price ($)]])/PricingDataTable[[#This Row],[Prior Price ($)]]</f>
        <v>-2.2835552879876705E-4</v>
      </c>
      <c r="L2668" s="9">
        <f>(PricingDataTable[[#This Row],[Vendor Price ($)]]-PricingDataTable[[#This Row],[Current Price ($)]])/PricingDataTable[[#This Row],[Current Price ($)]]</f>
        <v>-2.3878985454582882E-3</v>
      </c>
      <c r="M2668" t="str">
        <f t="shared" si="82"/>
        <v>PASS</v>
      </c>
      <c r="N2668" s="10" t="str">
        <f t="shared" si="83"/>
        <v>NONE</v>
      </c>
    </row>
    <row r="2669" spans="1:14">
      <c r="A2669" s="4" t="s">
        <v>5354</v>
      </c>
      <c r="B2669" s="4" t="s">
        <v>5355</v>
      </c>
      <c r="C2669" s="4" t="s">
        <v>35</v>
      </c>
      <c r="D2669" s="4" t="s">
        <v>13</v>
      </c>
      <c r="E2669" s="5">
        <v>138.83410000000001</v>
      </c>
      <c r="F2669" s="5">
        <v>138.06829999999999</v>
      </c>
      <c r="G2669" s="5">
        <v>137.9162</v>
      </c>
      <c r="H2669" s="4">
        <v>0</v>
      </c>
      <c r="I2669" s="6">
        <v>2770832</v>
      </c>
      <c r="J2669" s="7">
        <v>674.29</v>
      </c>
      <c r="K2669" s="9">
        <f>(PricingDataTable[[#This Row],[Current Price ($)]]-PricingDataTable[[#This Row],[Prior Price ($)]])/PricingDataTable[[#This Row],[Prior Price ($)]]</f>
        <v>-5.5159359264043408E-3</v>
      </c>
      <c r="L2669" s="9">
        <f>(PricingDataTable[[#This Row],[Vendor Price ($)]]-PricingDataTable[[#This Row],[Current Price ($)]])/PricingDataTable[[#This Row],[Current Price ($)]]</f>
        <v>-1.1016286866716699E-3</v>
      </c>
      <c r="M2669" t="str">
        <f t="shared" si="82"/>
        <v>PASS</v>
      </c>
      <c r="N2669" s="10" t="str">
        <f t="shared" si="83"/>
        <v>NONE</v>
      </c>
    </row>
    <row r="2670" spans="1:14">
      <c r="A2670" s="4" t="s">
        <v>5356</v>
      </c>
      <c r="B2670" s="4" t="s">
        <v>5357</v>
      </c>
      <c r="C2670" s="4" t="s">
        <v>16</v>
      </c>
      <c r="D2670" s="4" t="s">
        <v>13</v>
      </c>
      <c r="E2670" s="5">
        <v>88.368899999999996</v>
      </c>
      <c r="F2670" s="5">
        <v>90.039299999999997</v>
      </c>
      <c r="G2670" s="5">
        <v>90.025599999999997</v>
      </c>
      <c r="H2670" s="4">
        <v>0</v>
      </c>
      <c r="I2670" s="6">
        <v>4031227</v>
      </c>
      <c r="J2670" s="7">
        <v>620.75</v>
      </c>
      <c r="K2670" s="9">
        <f>(PricingDataTable[[#This Row],[Current Price ($)]]-PricingDataTable[[#This Row],[Prior Price ($)]])/PricingDataTable[[#This Row],[Prior Price ($)]]</f>
        <v>1.89025777168212E-2</v>
      </c>
      <c r="L2670" s="9">
        <f>(PricingDataTable[[#This Row],[Vendor Price ($)]]-PricingDataTable[[#This Row],[Current Price ($)]])/PricingDataTable[[#This Row],[Current Price ($)]]</f>
        <v>-1.5215578086457852E-4</v>
      </c>
      <c r="M2670" t="str">
        <f t="shared" si="82"/>
        <v>PASS</v>
      </c>
      <c r="N2670" s="10" t="str">
        <f t="shared" si="83"/>
        <v>NONE</v>
      </c>
    </row>
    <row r="2671" spans="1:14">
      <c r="A2671" s="4" t="s">
        <v>5358</v>
      </c>
      <c r="B2671" s="4" t="s">
        <v>5359</v>
      </c>
      <c r="C2671" s="4" t="s">
        <v>12</v>
      </c>
      <c r="D2671" s="4" t="s">
        <v>64</v>
      </c>
      <c r="E2671" s="5">
        <v>124.5894</v>
      </c>
      <c r="F2671" s="5">
        <v>121.2534</v>
      </c>
      <c r="G2671" s="5">
        <v>121.5436</v>
      </c>
      <c r="H2671" s="4">
        <v>1</v>
      </c>
      <c r="I2671" s="6">
        <v>2042682</v>
      </c>
      <c r="J2671" s="7">
        <v>859.28</v>
      </c>
      <c r="K2671" s="9">
        <f>(PricingDataTable[[#This Row],[Current Price ($)]]-PricingDataTable[[#This Row],[Prior Price ($)]])/PricingDataTable[[#This Row],[Prior Price ($)]]</f>
        <v>-2.6775953652557912E-2</v>
      </c>
      <c r="L2671" s="9">
        <f>(PricingDataTable[[#This Row],[Vendor Price ($)]]-PricingDataTable[[#This Row],[Current Price ($)]])/PricingDataTable[[#This Row],[Current Price ($)]]</f>
        <v>2.3933349497828405E-3</v>
      </c>
      <c r="M2671" t="str">
        <f t="shared" si="82"/>
        <v>PASS</v>
      </c>
      <c r="N2671" s="10" t="str">
        <f t="shared" si="83"/>
        <v>NONE</v>
      </c>
    </row>
    <row r="2672" spans="1:14">
      <c r="A2672" s="4" t="s">
        <v>5360</v>
      </c>
      <c r="B2672" s="4" t="s">
        <v>5361</v>
      </c>
      <c r="C2672" s="4" t="s">
        <v>35</v>
      </c>
      <c r="D2672" s="4" t="s">
        <v>64</v>
      </c>
      <c r="E2672" s="5">
        <v>59.425400000000003</v>
      </c>
      <c r="F2672" s="5">
        <v>60.588200000000001</v>
      </c>
      <c r="G2672" s="5">
        <v>60.539200000000001</v>
      </c>
      <c r="H2672" s="4">
        <v>0</v>
      </c>
      <c r="I2672" s="6">
        <v>4158102</v>
      </c>
      <c r="J2672" s="7">
        <v>413.74</v>
      </c>
      <c r="K2672" s="9">
        <f>(PricingDataTable[[#This Row],[Current Price ($)]]-PricingDataTable[[#This Row],[Prior Price ($)]])/PricingDataTable[[#This Row],[Prior Price ($)]]</f>
        <v>1.9567390375159394E-2</v>
      </c>
      <c r="L2672" s="9">
        <f>(PricingDataTable[[#This Row],[Vendor Price ($)]]-PricingDataTable[[#This Row],[Current Price ($)]])/PricingDataTable[[#This Row],[Current Price ($)]]</f>
        <v>-8.0873833518737127E-4</v>
      </c>
      <c r="M2672" t="str">
        <f t="shared" si="82"/>
        <v>PASS</v>
      </c>
      <c r="N2672" s="10" t="str">
        <f t="shared" si="83"/>
        <v>NONE</v>
      </c>
    </row>
    <row r="2673" spans="1:14">
      <c r="A2673" s="4" t="s">
        <v>5362</v>
      </c>
      <c r="B2673" s="4" t="s">
        <v>5363</v>
      </c>
      <c r="C2673" s="4" t="s">
        <v>19</v>
      </c>
      <c r="D2673" s="4" t="s">
        <v>13</v>
      </c>
      <c r="E2673" s="5">
        <v>270.60489999999999</v>
      </c>
      <c r="F2673" s="5">
        <v>272.70729999999998</v>
      </c>
      <c r="G2673" s="5">
        <v>241.3613</v>
      </c>
      <c r="H2673" s="4">
        <v>0</v>
      </c>
      <c r="I2673" s="6">
        <v>393095</v>
      </c>
      <c r="J2673" s="7">
        <v>264.31</v>
      </c>
      <c r="K2673" s="9">
        <f>(PricingDataTable[[#This Row],[Current Price ($)]]-PricingDataTable[[#This Row],[Prior Price ($)]])/PricingDataTable[[#This Row],[Prior Price ($)]]</f>
        <v>7.7692606453171721E-3</v>
      </c>
      <c r="L2673" s="9">
        <f>(PricingDataTable[[#This Row],[Vendor Price ($)]]-PricingDataTable[[#This Row],[Current Price ($)]])/PricingDataTable[[#This Row],[Current Price ($)]]</f>
        <v>-0.11494375104736829</v>
      </c>
      <c r="M2673" t="str">
        <f t="shared" si="82"/>
        <v>VENDOR DIFFERENCE</v>
      </c>
      <c r="N2673" s="10" t="str">
        <f t="shared" si="83"/>
        <v>HIGH</v>
      </c>
    </row>
    <row r="2674" spans="1:14">
      <c r="A2674" s="4" t="s">
        <v>5364</v>
      </c>
      <c r="B2674" s="4" t="s">
        <v>5365</v>
      </c>
      <c r="C2674" s="4" t="s">
        <v>16</v>
      </c>
      <c r="D2674" s="4" t="s">
        <v>13</v>
      </c>
      <c r="E2674" s="5">
        <v>99.710099999999997</v>
      </c>
      <c r="F2674" s="5">
        <v>98.890799999999999</v>
      </c>
      <c r="G2674" s="5">
        <v>99.162700000000001</v>
      </c>
      <c r="H2674" s="4">
        <v>5</v>
      </c>
      <c r="I2674" s="6">
        <v>3932850</v>
      </c>
      <c r="J2674" s="7">
        <v>92.51</v>
      </c>
      <c r="K2674" s="9">
        <f>(PricingDataTable[[#This Row],[Current Price ($)]]-PricingDataTable[[#This Row],[Prior Price ($)]])/PricingDataTable[[#This Row],[Prior Price ($)]]</f>
        <v>-8.2168205628115748E-3</v>
      </c>
      <c r="L2674" s="9">
        <f>(PricingDataTable[[#This Row],[Vendor Price ($)]]-PricingDataTable[[#This Row],[Current Price ($)]])/PricingDataTable[[#This Row],[Current Price ($)]]</f>
        <v>2.7494974254430368E-3</v>
      </c>
      <c r="M2674" t="str">
        <f t="shared" si="82"/>
        <v>STALE</v>
      </c>
      <c r="N2674" s="10" t="str">
        <f t="shared" si="83"/>
        <v>MEDIUM</v>
      </c>
    </row>
    <row r="2675" spans="1:14">
      <c r="A2675" s="4" t="s">
        <v>5366</v>
      </c>
      <c r="B2675" s="4" t="s">
        <v>5367</v>
      </c>
      <c r="C2675" s="4" t="s">
        <v>39</v>
      </c>
      <c r="D2675" s="4" t="s">
        <v>13</v>
      </c>
      <c r="E2675" s="5">
        <v>148.36869999999999</v>
      </c>
      <c r="F2675" s="5">
        <v>148.80029999999999</v>
      </c>
      <c r="G2675" s="5">
        <v>148.4426</v>
      </c>
      <c r="H2675" s="4">
        <v>0</v>
      </c>
      <c r="I2675" s="6">
        <v>2468168</v>
      </c>
      <c r="J2675" s="7">
        <v>189.75</v>
      </c>
      <c r="K2675" s="9">
        <f>(PricingDataTable[[#This Row],[Current Price ($)]]-PricingDataTable[[#This Row],[Prior Price ($)]])/PricingDataTable[[#This Row],[Prior Price ($)]]</f>
        <v>2.9089693446124631E-3</v>
      </c>
      <c r="L2675" s="9">
        <f>(PricingDataTable[[#This Row],[Vendor Price ($)]]-PricingDataTable[[#This Row],[Current Price ($)]])/PricingDataTable[[#This Row],[Current Price ($)]]</f>
        <v>-2.4038930029038528E-3</v>
      </c>
      <c r="M2675" t="str">
        <f t="shared" si="82"/>
        <v>PASS</v>
      </c>
      <c r="N2675" s="10" t="str">
        <f t="shared" si="83"/>
        <v>NONE</v>
      </c>
    </row>
    <row r="2676" spans="1:14">
      <c r="A2676" s="4" t="s">
        <v>5368</v>
      </c>
      <c r="B2676" s="4" t="s">
        <v>5369</v>
      </c>
      <c r="C2676" s="4" t="s">
        <v>16</v>
      </c>
      <c r="D2676" s="4" t="s">
        <v>13</v>
      </c>
      <c r="E2676" s="5">
        <v>98.092699999999994</v>
      </c>
      <c r="F2676" s="5">
        <v>99.644000000000005</v>
      </c>
      <c r="G2676" s="5">
        <v>100.0936</v>
      </c>
      <c r="H2676" s="4">
        <v>0</v>
      </c>
      <c r="I2676" s="6">
        <v>603827</v>
      </c>
      <c r="J2676" s="7">
        <v>356.76</v>
      </c>
      <c r="K2676" s="9">
        <f>(PricingDataTable[[#This Row],[Current Price ($)]]-PricingDataTable[[#This Row],[Prior Price ($)]])/PricingDataTable[[#This Row],[Prior Price ($)]]</f>
        <v>1.581463248539404E-2</v>
      </c>
      <c r="L2676" s="9">
        <f>(PricingDataTable[[#This Row],[Vendor Price ($)]]-PricingDataTable[[#This Row],[Current Price ($)]])/PricingDataTable[[#This Row],[Current Price ($)]]</f>
        <v>4.5120629440808229E-3</v>
      </c>
      <c r="M2676" t="str">
        <f t="shared" si="82"/>
        <v>PASS</v>
      </c>
      <c r="N2676" s="10" t="str">
        <f t="shared" si="83"/>
        <v>NONE</v>
      </c>
    </row>
    <row r="2677" spans="1:14">
      <c r="A2677" s="4" t="s">
        <v>5370</v>
      </c>
      <c r="B2677" s="4" t="s">
        <v>5371</v>
      </c>
      <c r="C2677" s="4" t="s">
        <v>19</v>
      </c>
      <c r="D2677" s="4" t="s">
        <v>13</v>
      </c>
      <c r="E2677" s="5">
        <v>348.4991</v>
      </c>
      <c r="F2677" s="5">
        <v>347.81650000000002</v>
      </c>
      <c r="G2677" s="5">
        <v>349.00200000000001</v>
      </c>
      <c r="H2677" s="4">
        <v>0</v>
      </c>
      <c r="I2677" s="6">
        <v>4299094</v>
      </c>
      <c r="J2677" s="7">
        <v>141.99</v>
      </c>
      <c r="K2677" s="9">
        <f>(PricingDataTable[[#This Row],[Current Price ($)]]-PricingDataTable[[#This Row],[Prior Price ($)]])/PricingDataTable[[#This Row],[Prior Price ($)]]</f>
        <v>-1.9586851156860362E-3</v>
      </c>
      <c r="L2677" s="9">
        <f>(PricingDataTable[[#This Row],[Vendor Price ($)]]-PricingDataTable[[#This Row],[Current Price ($)]])/PricingDataTable[[#This Row],[Current Price ($)]]</f>
        <v>3.4084064442025906E-3</v>
      </c>
      <c r="M2677" t="str">
        <f t="shared" si="82"/>
        <v>PASS</v>
      </c>
      <c r="N2677" s="10" t="str">
        <f t="shared" si="83"/>
        <v>NONE</v>
      </c>
    </row>
    <row r="2678" spans="1:14">
      <c r="A2678" s="4" t="s">
        <v>5372</v>
      </c>
      <c r="B2678" s="4" t="s">
        <v>5373</v>
      </c>
      <c r="C2678" s="4" t="s">
        <v>12</v>
      </c>
      <c r="D2678" s="4" t="s">
        <v>13</v>
      </c>
      <c r="E2678" s="5">
        <v>76.072100000000006</v>
      </c>
      <c r="F2678" s="5">
        <v>75.921300000000002</v>
      </c>
      <c r="G2678" s="5">
        <v>75.819400000000002</v>
      </c>
      <c r="H2678" s="4">
        <v>0</v>
      </c>
      <c r="I2678" s="6">
        <v>543464</v>
      </c>
      <c r="J2678" s="7">
        <v>213.95</v>
      </c>
      <c r="K2678" s="9">
        <f>(PricingDataTable[[#This Row],[Current Price ($)]]-PricingDataTable[[#This Row],[Prior Price ($)]])/PricingDataTable[[#This Row],[Prior Price ($)]]</f>
        <v>-1.9823299212195248E-3</v>
      </c>
      <c r="L2678" s="9">
        <f>(PricingDataTable[[#This Row],[Vendor Price ($)]]-PricingDataTable[[#This Row],[Current Price ($)]])/PricingDataTable[[#This Row],[Current Price ($)]]</f>
        <v>-1.342179335706851E-3</v>
      </c>
      <c r="M2678" t="str">
        <f t="shared" si="82"/>
        <v>PASS</v>
      </c>
      <c r="N2678" s="10" t="str">
        <f t="shared" si="83"/>
        <v>NONE</v>
      </c>
    </row>
    <row r="2679" spans="1:14">
      <c r="A2679" s="4" t="s">
        <v>5374</v>
      </c>
      <c r="B2679" s="4" t="s">
        <v>5375</v>
      </c>
      <c r="C2679" s="4" t="s">
        <v>39</v>
      </c>
      <c r="D2679" s="4" t="s">
        <v>13</v>
      </c>
      <c r="E2679" s="5">
        <v>40.010100000000001</v>
      </c>
      <c r="F2679" s="5">
        <v>40.573300000000003</v>
      </c>
      <c r="G2679" s="5">
        <v>40.735399999999998</v>
      </c>
      <c r="H2679" s="4">
        <v>1</v>
      </c>
      <c r="I2679" s="6">
        <v>2710282</v>
      </c>
      <c r="J2679" s="7">
        <v>257.98</v>
      </c>
      <c r="K2679" s="9">
        <f>(PricingDataTable[[#This Row],[Current Price ($)]]-PricingDataTable[[#This Row],[Prior Price ($)]])/PricingDataTable[[#This Row],[Prior Price ($)]]</f>
        <v>1.4076445697461439E-2</v>
      </c>
      <c r="L2679" s="9">
        <f>(PricingDataTable[[#This Row],[Vendor Price ($)]]-PricingDataTable[[#This Row],[Current Price ($)]])/PricingDataTable[[#This Row],[Current Price ($)]]</f>
        <v>3.9952382478130998E-3</v>
      </c>
      <c r="M2679" t="str">
        <f t="shared" si="82"/>
        <v>PASS</v>
      </c>
      <c r="N2679" s="10" t="str">
        <f t="shared" si="83"/>
        <v>NONE</v>
      </c>
    </row>
    <row r="2680" spans="1:14">
      <c r="A2680" s="4" t="s">
        <v>5376</v>
      </c>
      <c r="B2680" s="4" t="s">
        <v>5377</v>
      </c>
      <c r="C2680" s="4" t="s">
        <v>19</v>
      </c>
      <c r="D2680" s="4" t="s">
        <v>13</v>
      </c>
      <c r="E2680" s="5">
        <v>102.9789</v>
      </c>
      <c r="F2680" s="5">
        <v>101.7272</v>
      </c>
      <c r="G2680" s="5">
        <v>101.40940000000001</v>
      </c>
      <c r="H2680" s="4">
        <v>0</v>
      </c>
      <c r="I2680" s="6">
        <v>1399083</v>
      </c>
      <c r="J2680" s="7">
        <v>850.55</v>
      </c>
      <c r="K2680" s="9">
        <f>(PricingDataTable[[#This Row],[Current Price ($)]]-PricingDataTable[[#This Row],[Prior Price ($)]])/PricingDataTable[[#This Row],[Prior Price ($)]]</f>
        <v>-1.2154917172352779E-2</v>
      </c>
      <c r="L2680" s="9">
        <f>(PricingDataTable[[#This Row],[Vendor Price ($)]]-PricingDataTable[[#This Row],[Current Price ($)]])/PricingDataTable[[#This Row],[Current Price ($)]]</f>
        <v>-3.1240415542744832E-3</v>
      </c>
      <c r="M2680" t="str">
        <f t="shared" si="82"/>
        <v>PASS</v>
      </c>
      <c r="N2680" s="10" t="str">
        <f t="shared" si="83"/>
        <v>NONE</v>
      </c>
    </row>
    <row r="2681" spans="1:14">
      <c r="A2681" s="4" t="s">
        <v>5378</v>
      </c>
      <c r="B2681" s="4" t="s">
        <v>5379</v>
      </c>
      <c r="C2681" s="4" t="s">
        <v>35</v>
      </c>
      <c r="D2681" s="4" t="s">
        <v>13</v>
      </c>
      <c r="E2681" s="5">
        <v>120.46420000000001</v>
      </c>
      <c r="F2681" s="5">
        <v>118.44799999999999</v>
      </c>
      <c r="G2681" s="5">
        <v>119.0052</v>
      </c>
      <c r="H2681" s="4">
        <v>0</v>
      </c>
      <c r="I2681" s="6">
        <v>971935</v>
      </c>
      <c r="J2681" s="7">
        <v>201.38</v>
      </c>
      <c r="K2681" s="9">
        <f>(PricingDataTable[[#This Row],[Current Price ($)]]-PricingDataTable[[#This Row],[Prior Price ($)]])/PricingDataTable[[#This Row],[Prior Price ($)]]</f>
        <v>-1.6736922670801881E-2</v>
      </c>
      <c r="L2681" s="9">
        <f>(PricingDataTable[[#This Row],[Vendor Price ($)]]-PricingDataTable[[#This Row],[Current Price ($)]])/PricingDataTable[[#This Row],[Current Price ($)]]</f>
        <v>4.7041739835202694E-3</v>
      </c>
      <c r="M2681" t="str">
        <f t="shared" si="82"/>
        <v>PASS</v>
      </c>
      <c r="N2681" s="10" t="str">
        <f t="shared" si="83"/>
        <v>NONE</v>
      </c>
    </row>
    <row r="2682" spans="1:14">
      <c r="A2682" s="4" t="s">
        <v>5380</v>
      </c>
      <c r="B2682" s="4" t="s">
        <v>5381</v>
      </c>
      <c r="C2682" s="4" t="s">
        <v>39</v>
      </c>
      <c r="D2682" s="4" t="s">
        <v>36</v>
      </c>
      <c r="E2682" s="5">
        <v>199.55109999999999</v>
      </c>
      <c r="F2682" s="5">
        <v>198.9298</v>
      </c>
      <c r="G2682" s="5">
        <v>199.44329999999999</v>
      </c>
      <c r="H2682" s="4">
        <v>0</v>
      </c>
      <c r="I2682" s="6">
        <v>2918395</v>
      </c>
      <c r="J2682" s="7">
        <v>599.1</v>
      </c>
      <c r="K2682" s="9">
        <f>(PricingDataTable[[#This Row],[Current Price ($)]]-PricingDataTable[[#This Row],[Prior Price ($)]])/PricingDataTable[[#This Row],[Prior Price ($)]]</f>
        <v>-3.1134882243194395E-3</v>
      </c>
      <c r="L2682" s="9">
        <f>(PricingDataTable[[#This Row],[Vendor Price ($)]]-PricingDataTable[[#This Row],[Current Price ($)]])/PricingDataTable[[#This Row],[Current Price ($)]]</f>
        <v>2.5813126037425938E-3</v>
      </c>
      <c r="M2682" t="str">
        <f t="shared" si="82"/>
        <v>PASS</v>
      </c>
      <c r="N2682" s="10" t="str">
        <f t="shared" si="83"/>
        <v>NONE</v>
      </c>
    </row>
    <row r="2683" spans="1:14">
      <c r="A2683" s="4" t="s">
        <v>5382</v>
      </c>
      <c r="B2683" s="4" t="s">
        <v>5383</v>
      </c>
      <c r="C2683" s="4" t="s">
        <v>16</v>
      </c>
      <c r="D2683" s="4" t="s">
        <v>237</v>
      </c>
      <c r="E2683" s="5">
        <v>106.1447</v>
      </c>
      <c r="F2683" s="5">
        <v>104.9983</v>
      </c>
      <c r="G2683" s="5">
        <v>105.2873</v>
      </c>
      <c r="H2683" s="4">
        <v>0</v>
      </c>
      <c r="I2683" s="6">
        <v>2883936</v>
      </c>
      <c r="J2683" s="7">
        <v>835.56</v>
      </c>
      <c r="K2683" s="9">
        <f>(PricingDataTable[[#This Row],[Current Price ($)]]-PricingDataTable[[#This Row],[Prior Price ($)]])/PricingDataTable[[#This Row],[Prior Price ($)]]</f>
        <v>-1.080035084182253E-2</v>
      </c>
      <c r="L2683" s="9">
        <f>(PricingDataTable[[#This Row],[Vendor Price ($)]]-PricingDataTable[[#This Row],[Current Price ($)]])/PricingDataTable[[#This Row],[Current Price ($)]]</f>
        <v>2.7524255154607407E-3</v>
      </c>
      <c r="M2683" t="str">
        <f t="shared" si="82"/>
        <v>PASS</v>
      </c>
      <c r="N2683" s="10" t="str">
        <f t="shared" si="83"/>
        <v>NONE</v>
      </c>
    </row>
    <row r="2684" spans="1:14">
      <c r="A2684" s="4" t="s">
        <v>5384</v>
      </c>
      <c r="B2684" s="4" t="s">
        <v>5385</v>
      </c>
      <c r="C2684" s="4" t="s">
        <v>39</v>
      </c>
      <c r="D2684" s="4" t="s">
        <v>237</v>
      </c>
      <c r="E2684" s="5">
        <v>194.7877</v>
      </c>
      <c r="F2684" s="5">
        <v>193.4676</v>
      </c>
      <c r="G2684" s="5">
        <v>193.61179999999999</v>
      </c>
      <c r="H2684" s="4">
        <v>0</v>
      </c>
      <c r="I2684" s="6">
        <v>3615530</v>
      </c>
      <c r="J2684" s="7">
        <v>22.66</v>
      </c>
      <c r="K2684" s="9">
        <f>(PricingDataTable[[#This Row],[Current Price ($)]]-PricingDataTable[[#This Row],[Prior Price ($)]])/PricingDataTable[[#This Row],[Prior Price ($)]]</f>
        <v>-6.7771219640665016E-3</v>
      </c>
      <c r="L2684" s="9">
        <f>(PricingDataTable[[#This Row],[Vendor Price ($)]]-PricingDataTable[[#This Row],[Current Price ($)]])/PricingDataTable[[#This Row],[Current Price ($)]]</f>
        <v>7.4534444010254772E-4</v>
      </c>
      <c r="M2684" t="str">
        <f t="shared" si="82"/>
        <v>PASS</v>
      </c>
      <c r="N2684" s="10" t="str">
        <f t="shared" si="83"/>
        <v>NONE</v>
      </c>
    </row>
    <row r="2685" spans="1:14">
      <c r="A2685" s="4" t="s">
        <v>5386</v>
      </c>
      <c r="B2685" s="4" t="s">
        <v>5387</v>
      </c>
      <c r="C2685" s="4" t="s">
        <v>19</v>
      </c>
      <c r="D2685" s="4" t="s">
        <v>13</v>
      </c>
      <c r="E2685" s="5">
        <v>133.24189999999999</v>
      </c>
      <c r="F2685" s="5">
        <v>130.5515</v>
      </c>
      <c r="G2685" s="5">
        <v>130.624</v>
      </c>
      <c r="H2685" s="4">
        <v>1</v>
      </c>
      <c r="I2685" s="6">
        <v>1685064</v>
      </c>
      <c r="J2685" s="7">
        <v>427.26</v>
      </c>
      <c r="K2685" s="9">
        <f>(PricingDataTable[[#This Row],[Current Price ($)]]-PricingDataTable[[#This Row],[Prior Price ($)]])/PricingDataTable[[#This Row],[Prior Price ($)]]</f>
        <v>-2.0191846558777551E-2</v>
      </c>
      <c r="L2685" s="9">
        <f>(PricingDataTable[[#This Row],[Vendor Price ($)]]-PricingDataTable[[#This Row],[Current Price ($)]])/PricingDataTable[[#This Row],[Current Price ($)]]</f>
        <v>5.5533639981149893E-4</v>
      </c>
      <c r="M2685" t="str">
        <f t="shared" si="82"/>
        <v>PASS</v>
      </c>
      <c r="N2685" s="10" t="str">
        <f t="shared" si="83"/>
        <v>NONE</v>
      </c>
    </row>
    <row r="2686" spans="1:14">
      <c r="A2686" s="4" t="s">
        <v>5388</v>
      </c>
      <c r="B2686" s="4" t="s">
        <v>5389</v>
      </c>
      <c r="C2686" s="4" t="s">
        <v>12</v>
      </c>
      <c r="D2686" s="4" t="s">
        <v>13</v>
      </c>
      <c r="E2686" s="5">
        <v>116.7555</v>
      </c>
      <c r="F2686" s="5">
        <v>117.9344</v>
      </c>
      <c r="G2686" s="5">
        <v>118.4979</v>
      </c>
      <c r="H2686" s="4">
        <v>1</v>
      </c>
      <c r="I2686" s="6">
        <v>555800</v>
      </c>
      <c r="J2686" s="7">
        <v>562.04999999999995</v>
      </c>
      <c r="K2686" s="9">
        <f>(PricingDataTable[[#This Row],[Current Price ($)]]-PricingDataTable[[#This Row],[Prior Price ($)]])/PricingDataTable[[#This Row],[Prior Price ($)]]</f>
        <v>1.0097168869988984E-2</v>
      </c>
      <c r="L2686" s="9">
        <f>(PricingDataTable[[#This Row],[Vendor Price ($)]]-PricingDataTable[[#This Row],[Current Price ($)]])/PricingDataTable[[#This Row],[Current Price ($)]]</f>
        <v>4.7780800173656268E-3</v>
      </c>
      <c r="M2686" t="str">
        <f t="shared" si="82"/>
        <v>PASS</v>
      </c>
      <c r="N2686" s="10" t="str">
        <f t="shared" si="83"/>
        <v>NONE</v>
      </c>
    </row>
    <row r="2687" spans="1:14">
      <c r="A2687" s="4" t="s">
        <v>5390</v>
      </c>
      <c r="B2687" s="4" t="s">
        <v>5391</v>
      </c>
      <c r="C2687" s="4" t="s">
        <v>12</v>
      </c>
      <c r="D2687" s="4" t="s">
        <v>13</v>
      </c>
      <c r="E2687" s="5">
        <v>121.8959</v>
      </c>
      <c r="F2687" s="5">
        <v>121.3479</v>
      </c>
      <c r="G2687" s="5">
        <v>121.4264</v>
      </c>
      <c r="H2687" s="4">
        <v>0</v>
      </c>
      <c r="I2687" s="6">
        <v>3620941</v>
      </c>
      <c r="J2687" s="7">
        <v>693.07</v>
      </c>
      <c r="K2687" s="9">
        <f>(PricingDataTable[[#This Row],[Current Price ($)]]-PricingDataTable[[#This Row],[Prior Price ($)]])/PricingDataTable[[#This Row],[Prior Price ($)]]</f>
        <v>-4.495639311904681E-3</v>
      </c>
      <c r="L2687" s="9">
        <f>(PricingDataTable[[#This Row],[Vendor Price ($)]]-PricingDataTable[[#This Row],[Current Price ($)]])/PricingDataTable[[#This Row],[Current Price ($)]]</f>
        <v>6.4690035839108336E-4</v>
      </c>
      <c r="M2687" t="str">
        <f t="shared" si="82"/>
        <v>PASS</v>
      </c>
      <c r="N2687" s="10" t="str">
        <f t="shared" si="83"/>
        <v>NONE</v>
      </c>
    </row>
    <row r="2688" spans="1:14">
      <c r="A2688" s="4" t="s">
        <v>5392</v>
      </c>
      <c r="B2688" s="4" t="s">
        <v>5393</v>
      </c>
      <c r="C2688" s="4" t="s">
        <v>39</v>
      </c>
      <c r="D2688" s="4" t="s">
        <v>13</v>
      </c>
      <c r="E2688" s="5">
        <v>238.9006</v>
      </c>
      <c r="F2688" s="5">
        <v>238.46770000000001</v>
      </c>
      <c r="G2688" s="5"/>
      <c r="H2688" s="4">
        <v>0</v>
      </c>
      <c r="I2688" s="6">
        <v>2264008</v>
      </c>
      <c r="J2688" s="7">
        <v>475.32</v>
      </c>
      <c r="K2688" s="9">
        <f>(PricingDataTable[[#This Row],[Current Price ($)]]-PricingDataTable[[#This Row],[Prior Price ($)]])/PricingDataTable[[#This Row],[Prior Price ($)]]</f>
        <v>-1.8120507022585518E-3</v>
      </c>
      <c r="L2688" s="9">
        <f>(PricingDataTable[[#This Row],[Vendor Price ($)]]-PricingDataTable[[#This Row],[Current Price ($)]])/PricingDataTable[[#This Row],[Current Price ($)]]</f>
        <v>-1</v>
      </c>
      <c r="M2688" t="str">
        <f t="shared" si="82"/>
        <v>VENDOR DIFFERENCE</v>
      </c>
      <c r="N2688" s="10" t="str">
        <f t="shared" si="83"/>
        <v>HIGH</v>
      </c>
    </row>
    <row r="2689" spans="1:14">
      <c r="A2689" s="4" t="s">
        <v>5394</v>
      </c>
      <c r="B2689" s="4" t="s">
        <v>5395</v>
      </c>
      <c r="C2689" s="4" t="s">
        <v>12</v>
      </c>
      <c r="D2689" s="4" t="s">
        <v>13</v>
      </c>
      <c r="E2689" s="5">
        <v>105.77119999999999</v>
      </c>
      <c r="F2689" s="5">
        <v>105.4016</v>
      </c>
      <c r="G2689" s="5">
        <v>105.3809</v>
      </c>
      <c r="H2689" s="4">
        <v>4</v>
      </c>
      <c r="I2689" s="6">
        <v>2534701</v>
      </c>
      <c r="J2689" s="7">
        <v>498.51</v>
      </c>
      <c r="K2689" s="9">
        <f>(PricingDataTable[[#This Row],[Current Price ($)]]-PricingDataTable[[#This Row],[Prior Price ($)]])/PricingDataTable[[#This Row],[Prior Price ($)]]</f>
        <v>-3.4943349418366369E-3</v>
      </c>
      <c r="L2689" s="9">
        <f>(PricingDataTable[[#This Row],[Vendor Price ($)]]-PricingDataTable[[#This Row],[Current Price ($)]])/PricingDataTable[[#This Row],[Current Price ($)]]</f>
        <v>-1.9639170562880495E-4</v>
      </c>
      <c r="M2689" t="str">
        <f t="shared" si="82"/>
        <v>STALE</v>
      </c>
      <c r="N2689" s="10" t="str">
        <f t="shared" si="83"/>
        <v>LOW</v>
      </c>
    </row>
    <row r="2690" spans="1:14">
      <c r="A2690" s="4" t="s">
        <v>5396</v>
      </c>
      <c r="B2690" s="4" t="s">
        <v>5397</v>
      </c>
      <c r="C2690" s="4" t="s">
        <v>39</v>
      </c>
      <c r="D2690" s="4" t="s">
        <v>36</v>
      </c>
      <c r="E2690" s="5">
        <v>184.24160000000001</v>
      </c>
      <c r="F2690" s="5">
        <v>179.21250000000001</v>
      </c>
      <c r="G2690" s="5">
        <v>179.30850000000001</v>
      </c>
      <c r="H2690" s="4">
        <v>0</v>
      </c>
      <c r="I2690" s="6">
        <v>4973514</v>
      </c>
      <c r="J2690" s="7">
        <v>547.29999999999995</v>
      </c>
      <c r="K2690" s="9">
        <f>(PricingDataTable[[#This Row],[Current Price ($)]]-PricingDataTable[[#This Row],[Prior Price ($)]])/PricingDataTable[[#This Row],[Prior Price ($)]]</f>
        <v>-2.7296224088370919E-2</v>
      </c>
      <c r="L2690" s="9">
        <f>(PricingDataTable[[#This Row],[Vendor Price ($)]]-PricingDataTable[[#This Row],[Current Price ($)]])/PricingDataTable[[#This Row],[Current Price ($)]]</f>
        <v>5.3567691985773112E-4</v>
      </c>
      <c r="M2690" t="str">
        <f t="shared" ref="M2690:M2753" si="84">IF(OR(F2690="",F2690=0),"MISSING",IF(H2690&gt;=3,"STALE",IF(ABS(K2690)&gt;=5%,"LARGE MOVE",IF(ABS(L2690)&gt;=2%,"VENDOR DIFFERENCE","PASS"))))</f>
        <v>PASS</v>
      </c>
      <c r="N2690" s="10" t="str">
        <f t="shared" ref="N2690:N2753" si="85">IF(M2690="PASS","NONE",IF(M2690="MISSING","HIGH",IF(OR(ABS(K2690)&gt;=10%,ABS(L2690)&gt;=5%),"HIGH",IF(OR(ABS(K2690)&gt;=7%,ABS(L2690)&gt;=3%,H2690&gt;=5),"MEDIUM","LOW"))))</f>
        <v>NONE</v>
      </c>
    </row>
    <row r="2691" spans="1:14">
      <c r="A2691" s="4" t="s">
        <v>5398</v>
      </c>
      <c r="B2691" s="4" t="s">
        <v>5399</v>
      </c>
      <c r="C2691" s="4" t="s">
        <v>39</v>
      </c>
      <c r="D2691" s="4" t="s">
        <v>36</v>
      </c>
      <c r="E2691" s="5">
        <v>181.6908</v>
      </c>
      <c r="F2691" s="5">
        <v>180.04249999999999</v>
      </c>
      <c r="G2691" s="5">
        <v>179.9196</v>
      </c>
      <c r="H2691" s="4">
        <v>1</v>
      </c>
      <c r="I2691" s="6">
        <v>943090</v>
      </c>
      <c r="J2691" s="7">
        <v>625.45000000000005</v>
      </c>
      <c r="K2691" s="9">
        <f>(PricingDataTable[[#This Row],[Current Price ($)]]-PricingDataTable[[#This Row],[Prior Price ($)]])/PricingDataTable[[#This Row],[Prior Price ($)]]</f>
        <v>-9.0720058472966505E-3</v>
      </c>
      <c r="L2691" s="9">
        <f>(PricingDataTable[[#This Row],[Vendor Price ($)]]-PricingDataTable[[#This Row],[Current Price ($)]])/PricingDataTable[[#This Row],[Current Price ($)]]</f>
        <v>-6.8261660441277551E-4</v>
      </c>
      <c r="M2691" t="str">
        <f t="shared" si="84"/>
        <v>PASS</v>
      </c>
      <c r="N2691" s="10" t="str">
        <f t="shared" si="85"/>
        <v>NONE</v>
      </c>
    </row>
    <row r="2692" spans="1:14">
      <c r="A2692" s="4" t="s">
        <v>5400</v>
      </c>
      <c r="B2692" s="4" t="s">
        <v>5401</v>
      </c>
      <c r="C2692" s="4" t="s">
        <v>16</v>
      </c>
      <c r="D2692" s="4" t="s">
        <v>36</v>
      </c>
      <c r="E2692" s="5">
        <v>86.067800000000005</v>
      </c>
      <c r="F2692" s="5">
        <v>87.271100000000004</v>
      </c>
      <c r="G2692" s="5">
        <v>87.186999999999998</v>
      </c>
      <c r="H2692" s="4">
        <v>1</v>
      </c>
      <c r="I2692" s="6">
        <v>887351</v>
      </c>
      <c r="J2692" s="7">
        <v>700.15</v>
      </c>
      <c r="K2692" s="9">
        <f>(PricingDataTable[[#This Row],[Current Price ($)]]-PricingDataTable[[#This Row],[Prior Price ($)]])/PricingDataTable[[#This Row],[Prior Price ($)]]</f>
        <v>1.3980838362314346E-2</v>
      </c>
      <c r="L2692" s="9">
        <f>(PricingDataTable[[#This Row],[Vendor Price ($)]]-PricingDataTable[[#This Row],[Current Price ($)]])/PricingDataTable[[#This Row],[Current Price ($)]]</f>
        <v>-9.6366380164804267E-4</v>
      </c>
      <c r="M2692" t="str">
        <f t="shared" si="84"/>
        <v>PASS</v>
      </c>
      <c r="N2692" s="10" t="str">
        <f t="shared" si="85"/>
        <v>NONE</v>
      </c>
    </row>
    <row r="2693" spans="1:14">
      <c r="A2693" s="4" t="s">
        <v>5402</v>
      </c>
      <c r="B2693" s="4" t="s">
        <v>5403</v>
      </c>
      <c r="C2693" s="4" t="s">
        <v>16</v>
      </c>
      <c r="D2693" s="4" t="s">
        <v>13</v>
      </c>
      <c r="E2693" s="5">
        <v>90.173000000000002</v>
      </c>
      <c r="F2693" s="5">
        <v>90.754999999999995</v>
      </c>
      <c r="G2693" s="5">
        <v>90.775400000000005</v>
      </c>
      <c r="H2693" s="4">
        <v>4</v>
      </c>
      <c r="I2693" s="6">
        <v>3759240</v>
      </c>
      <c r="J2693" s="7">
        <v>746.55</v>
      </c>
      <c r="K2693" s="9">
        <f>(PricingDataTable[[#This Row],[Current Price ($)]]-PricingDataTable[[#This Row],[Prior Price ($)]])/PricingDataTable[[#This Row],[Prior Price ($)]]</f>
        <v>6.4542601443890483E-3</v>
      </c>
      <c r="L2693" s="9">
        <f>(PricingDataTable[[#This Row],[Vendor Price ($)]]-PricingDataTable[[#This Row],[Current Price ($)]])/PricingDataTable[[#This Row],[Current Price ($)]]</f>
        <v>2.2478100380154593E-4</v>
      </c>
      <c r="M2693" t="str">
        <f t="shared" si="84"/>
        <v>STALE</v>
      </c>
      <c r="N2693" s="10" t="str">
        <f t="shared" si="85"/>
        <v>LOW</v>
      </c>
    </row>
    <row r="2694" spans="1:14">
      <c r="A2694" s="4" t="s">
        <v>5404</v>
      </c>
      <c r="B2694" s="4" t="s">
        <v>5405</v>
      </c>
      <c r="C2694" s="4" t="s">
        <v>16</v>
      </c>
      <c r="D2694" s="4" t="s">
        <v>13</v>
      </c>
      <c r="E2694" s="5">
        <v>109.2711</v>
      </c>
      <c r="F2694" s="5">
        <v>109.0295</v>
      </c>
      <c r="G2694" s="5">
        <v>108.6113</v>
      </c>
      <c r="H2694" s="4">
        <v>0</v>
      </c>
      <c r="I2694" s="6">
        <v>4272884</v>
      </c>
      <c r="J2694" s="7">
        <v>741.26</v>
      </c>
      <c r="K2694" s="9">
        <f>(PricingDataTable[[#This Row],[Current Price ($)]]-PricingDataTable[[#This Row],[Prior Price ($)]])/PricingDataTable[[#This Row],[Prior Price ($)]]</f>
        <v>-2.2110146232627416E-3</v>
      </c>
      <c r="L2694" s="9">
        <f>(PricingDataTable[[#This Row],[Vendor Price ($)]]-PricingDataTable[[#This Row],[Current Price ($)]])/PricingDataTable[[#This Row],[Current Price ($)]]</f>
        <v>-3.8356591564668169E-3</v>
      </c>
      <c r="M2694" t="str">
        <f t="shared" si="84"/>
        <v>PASS</v>
      </c>
      <c r="N2694" s="10" t="str">
        <f t="shared" si="85"/>
        <v>NONE</v>
      </c>
    </row>
    <row r="2695" spans="1:14">
      <c r="A2695" s="4" t="s">
        <v>5406</v>
      </c>
      <c r="B2695" s="4" t="s">
        <v>5407</v>
      </c>
      <c r="C2695" s="4" t="s">
        <v>35</v>
      </c>
      <c r="D2695" s="4" t="s">
        <v>32</v>
      </c>
      <c r="E2695" s="5">
        <v>108.58969999999999</v>
      </c>
      <c r="F2695" s="5">
        <v>109.3314</v>
      </c>
      <c r="G2695" s="5">
        <v>109.06480000000001</v>
      </c>
      <c r="H2695" s="4">
        <v>0</v>
      </c>
      <c r="I2695" s="6">
        <v>3631048</v>
      </c>
      <c r="J2695" s="7">
        <v>332.63</v>
      </c>
      <c r="K2695" s="9">
        <f>(PricingDataTable[[#This Row],[Current Price ($)]]-PricingDataTable[[#This Row],[Prior Price ($)]])/PricingDataTable[[#This Row],[Prior Price ($)]]</f>
        <v>6.8302979011822364E-3</v>
      </c>
      <c r="L2695" s="9">
        <f>(PricingDataTable[[#This Row],[Vendor Price ($)]]-PricingDataTable[[#This Row],[Current Price ($)]])/PricingDataTable[[#This Row],[Current Price ($)]]</f>
        <v>-2.4384577532163389E-3</v>
      </c>
      <c r="M2695" t="str">
        <f t="shared" si="84"/>
        <v>PASS</v>
      </c>
      <c r="N2695" s="10" t="str">
        <f t="shared" si="85"/>
        <v>NONE</v>
      </c>
    </row>
    <row r="2696" spans="1:14">
      <c r="A2696" s="4" t="s">
        <v>5408</v>
      </c>
      <c r="B2696" s="4" t="s">
        <v>5409</v>
      </c>
      <c r="C2696" s="4" t="s">
        <v>16</v>
      </c>
      <c r="D2696" s="4" t="s">
        <v>36</v>
      </c>
      <c r="E2696" s="5">
        <v>80.999200000000002</v>
      </c>
      <c r="F2696" s="5">
        <v>80.203500000000005</v>
      </c>
      <c r="G2696" s="5">
        <v>80.3125</v>
      </c>
      <c r="H2696" s="4">
        <v>0</v>
      </c>
      <c r="I2696" s="6">
        <v>4821928</v>
      </c>
      <c r="J2696" s="7">
        <v>561.33000000000004</v>
      </c>
      <c r="K2696" s="9">
        <f>(PricingDataTable[[#This Row],[Current Price ($)]]-PricingDataTable[[#This Row],[Prior Price ($)]])/PricingDataTable[[#This Row],[Prior Price ($)]]</f>
        <v>-9.8235538128771203E-3</v>
      </c>
      <c r="L2696" s="9">
        <f>(PricingDataTable[[#This Row],[Vendor Price ($)]]-PricingDataTable[[#This Row],[Current Price ($)]])/PricingDataTable[[#This Row],[Current Price ($)]]</f>
        <v>1.3590429345352092E-3</v>
      </c>
      <c r="M2696" t="str">
        <f t="shared" si="84"/>
        <v>PASS</v>
      </c>
      <c r="N2696" s="10" t="str">
        <f t="shared" si="85"/>
        <v>NONE</v>
      </c>
    </row>
    <row r="2697" spans="1:14">
      <c r="A2697" s="4" t="s">
        <v>5410</v>
      </c>
      <c r="B2697" s="4" t="s">
        <v>5411</v>
      </c>
      <c r="C2697" s="4" t="s">
        <v>19</v>
      </c>
      <c r="D2697" s="4" t="s">
        <v>13</v>
      </c>
      <c r="E2697" s="5">
        <v>238.99100000000001</v>
      </c>
      <c r="F2697" s="5">
        <v>235.6934</v>
      </c>
      <c r="G2697" s="5">
        <v>236.3151</v>
      </c>
      <c r="H2697" s="4">
        <v>0</v>
      </c>
      <c r="I2697" s="6">
        <v>4728307</v>
      </c>
      <c r="J2697" s="7">
        <v>789.78</v>
      </c>
      <c r="K2697" s="9">
        <f>(PricingDataTable[[#This Row],[Current Price ($)]]-PricingDataTable[[#This Row],[Prior Price ($)]])/PricingDataTable[[#This Row],[Prior Price ($)]]</f>
        <v>-1.3798009130050993E-2</v>
      </c>
      <c r="L2697" s="9">
        <f>(PricingDataTable[[#This Row],[Vendor Price ($)]]-PricingDataTable[[#This Row],[Current Price ($)]])/PricingDataTable[[#This Row],[Current Price ($)]]</f>
        <v>2.6377488720515899E-3</v>
      </c>
      <c r="M2697" t="str">
        <f t="shared" si="84"/>
        <v>PASS</v>
      </c>
      <c r="N2697" s="10" t="str">
        <f t="shared" si="85"/>
        <v>NONE</v>
      </c>
    </row>
    <row r="2698" spans="1:14">
      <c r="A2698" s="4" t="s">
        <v>5412</v>
      </c>
      <c r="B2698" s="4" t="s">
        <v>5413</v>
      </c>
      <c r="C2698" s="4" t="s">
        <v>39</v>
      </c>
      <c r="D2698" s="4" t="s">
        <v>64</v>
      </c>
      <c r="E2698" s="5">
        <v>15.854699999999999</v>
      </c>
      <c r="F2698" s="5">
        <v>16.4558</v>
      </c>
      <c r="G2698" s="5">
        <v>16.452000000000002</v>
      </c>
      <c r="H2698" s="4">
        <v>0</v>
      </c>
      <c r="I2698" s="6">
        <v>1564210</v>
      </c>
      <c r="J2698" s="7">
        <v>372.02</v>
      </c>
      <c r="K2698" s="9">
        <f>(PricingDataTable[[#This Row],[Current Price ($)]]-PricingDataTable[[#This Row],[Prior Price ($)]])/PricingDataTable[[#This Row],[Prior Price ($)]]</f>
        <v>3.7913047865932539E-2</v>
      </c>
      <c r="L2698" s="9">
        <f>(PricingDataTable[[#This Row],[Vendor Price ($)]]-PricingDataTable[[#This Row],[Current Price ($)]])/PricingDataTable[[#This Row],[Current Price ($)]]</f>
        <v>-2.3092162034044222E-4</v>
      </c>
      <c r="M2698" t="str">
        <f t="shared" si="84"/>
        <v>PASS</v>
      </c>
      <c r="N2698" s="10" t="str">
        <f t="shared" si="85"/>
        <v>NONE</v>
      </c>
    </row>
    <row r="2699" spans="1:14">
      <c r="A2699" s="4" t="s">
        <v>5414</v>
      </c>
      <c r="B2699" s="4" t="s">
        <v>5415</v>
      </c>
      <c r="C2699" s="4" t="s">
        <v>16</v>
      </c>
      <c r="D2699" s="4" t="s">
        <v>64</v>
      </c>
      <c r="E2699" s="5">
        <v>113.964</v>
      </c>
      <c r="F2699" s="5">
        <v>112.76390000000001</v>
      </c>
      <c r="G2699" s="5">
        <v>112.7826</v>
      </c>
      <c r="H2699" s="4">
        <v>0</v>
      </c>
      <c r="I2699" s="6">
        <v>4837944</v>
      </c>
      <c r="J2699" s="7">
        <v>221.01</v>
      </c>
      <c r="K2699" s="9">
        <f>(PricingDataTable[[#This Row],[Current Price ($)]]-PricingDataTable[[#This Row],[Prior Price ($)]])/PricingDataTable[[#This Row],[Prior Price ($)]]</f>
        <v>-1.0530518409322171E-2</v>
      </c>
      <c r="L2699" s="9">
        <f>(PricingDataTable[[#This Row],[Vendor Price ($)]]-PricingDataTable[[#This Row],[Current Price ($)]])/PricingDataTable[[#This Row],[Current Price ($)]]</f>
        <v>1.6583321435313515E-4</v>
      </c>
      <c r="M2699" t="str">
        <f t="shared" si="84"/>
        <v>PASS</v>
      </c>
      <c r="N2699" s="10" t="str">
        <f t="shared" si="85"/>
        <v>NONE</v>
      </c>
    </row>
    <row r="2700" spans="1:14">
      <c r="A2700" s="4" t="s">
        <v>5416</v>
      </c>
      <c r="B2700" s="4" t="s">
        <v>5417</v>
      </c>
      <c r="C2700" s="4" t="s">
        <v>19</v>
      </c>
      <c r="D2700" s="4" t="s">
        <v>13</v>
      </c>
      <c r="E2700" s="5">
        <v>286.928</v>
      </c>
      <c r="F2700" s="5">
        <v>286.58139999999997</v>
      </c>
      <c r="G2700" s="5">
        <v>287.04700000000003</v>
      </c>
      <c r="H2700" s="4">
        <v>0</v>
      </c>
      <c r="I2700" s="6">
        <v>4946178</v>
      </c>
      <c r="J2700" s="7">
        <v>154.94999999999999</v>
      </c>
      <c r="K2700" s="9">
        <f>(PricingDataTable[[#This Row],[Current Price ($)]]-PricingDataTable[[#This Row],[Prior Price ($)]])/PricingDataTable[[#This Row],[Prior Price ($)]]</f>
        <v>-1.2079685496013757E-3</v>
      </c>
      <c r="L2700" s="9">
        <f>(PricingDataTable[[#This Row],[Vendor Price ($)]]-PricingDataTable[[#This Row],[Current Price ($)]])/PricingDataTable[[#This Row],[Current Price ($)]]</f>
        <v>1.6246692911684143E-3</v>
      </c>
      <c r="M2700" t="str">
        <f t="shared" si="84"/>
        <v>PASS</v>
      </c>
      <c r="N2700" s="10" t="str">
        <f t="shared" si="85"/>
        <v>NONE</v>
      </c>
    </row>
    <row r="2701" spans="1:14">
      <c r="A2701" s="4" t="s">
        <v>5418</v>
      </c>
      <c r="B2701" s="4" t="s">
        <v>5419</v>
      </c>
      <c r="C2701" s="4" t="s">
        <v>16</v>
      </c>
      <c r="D2701" s="4" t="s">
        <v>13</v>
      </c>
      <c r="E2701" s="5">
        <v>84.807199999999995</v>
      </c>
      <c r="F2701" s="5">
        <v>83.254300000000001</v>
      </c>
      <c r="G2701" s="5">
        <v>83.657799999999995</v>
      </c>
      <c r="H2701" s="4">
        <v>0</v>
      </c>
      <c r="I2701" s="6">
        <v>3476551</v>
      </c>
      <c r="J2701" s="7">
        <v>485.08</v>
      </c>
      <c r="K2701" s="9">
        <f>(PricingDataTable[[#This Row],[Current Price ($)]]-PricingDataTable[[#This Row],[Prior Price ($)]])/PricingDataTable[[#This Row],[Prior Price ($)]]</f>
        <v>-1.8310945297097345E-2</v>
      </c>
      <c r="L2701" s="9">
        <f>(PricingDataTable[[#This Row],[Vendor Price ($)]]-PricingDataTable[[#This Row],[Current Price ($)]])/PricingDataTable[[#This Row],[Current Price ($)]]</f>
        <v>4.8465965121320337E-3</v>
      </c>
      <c r="M2701" t="str">
        <f t="shared" si="84"/>
        <v>PASS</v>
      </c>
      <c r="N2701" s="10" t="str">
        <f t="shared" si="85"/>
        <v>NONE</v>
      </c>
    </row>
    <row r="2702" spans="1:14">
      <c r="A2702" s="4" t="s">
        <v>5420</v>
      </c>
      <c r="B2702" s="4" t="s">
        <v>5421</v>
      </c>
      <c r="C2702" s="4" t="s">
        <v>16</v>
      </c>
      <c r="D2702" s="4" t="s">
        <v>13</v>
      </c>
      <c r="E2702" s="5">
        <v>87.715800000000002</v>
      </c>
      <c r="F2702" s="5">
        <v>86.295400000000001</v>
      </c>
      <c r="G2702" s="5">
        <v>86.223200000000006</v>
      </c>
      <c r="H2702" s="4">
        <v>0</v>
      </c>
      <c r="I2702" s="6">
        <v>4707207</v>
      </c>
      <c r="J2702" s="7">
        <v>739.11</v>
      </c>
      <c r="K2702" s="9">
        <f>(PricingDataTable[[#This Row],[Current Price ($)]]-PricingDataTable[[#This Row],[Prior Price ($)]])/PricingDataTable[[#This Row],[Prior Price ($)]]</f>
        <v>-1.6193205785046717E-2</v>
      </c>
      <c r="L2702" s="9">
        <f>(PricingDataTable[[#This Row],[Vendor Price ($)]]-PricingDataTable[[#This Row],[Current Price ($)]])/PricingDataTable[[#This Row],[Current Price ($)]]</f>
        <v>-8.3666105029926458E-4</v>
      </c>
      <c r="M2702" t="str">
        <f t="shared" si="84"/>
        <v>PASS</v>
      </c>
      <c r="N2702" s="10" t="str">
        <f t="shared" si="85"/>
        <v>NONE</v>
      </c>
    </row>
    <row r="2703" spans="1:14">
      <c r="A2703" s="4" t="s">
        <v>5422</v>
      </c>
      <c r="B2703" s="4" t="s">
        <v>5423</v>
      </c>
      <c r="C2703" s="4" t="s">
        <v>35</v>
      </c>
      <c r="D2703" s="4" t="s">
        <v>32</v>
      </c>
      <c r="E2703" s="5">
        <v>148.29859999999999</v>
      </c>
      <c r="F2703" s="5">
        <v>170.35429999999999</v>
      </c>
      <c r="G2703" s="5">
        <v>169.4564</v>
      </c>
      <c r="H2703" s="4">
        <v>0</v>
      </c>
      <c r="I2703" s="6">
        <v>149731</v>
      </c>
      <c r="J2703" s="7">
        <v>120.34</v>
      </c>
      <c r="K2703" s="9">
        <f>(PricingDataTable[[#This Row],[Current Price ($)]]-PricingDataTable[[#This Row],[Prior Price ($)]])/PricingDataTable[[#This Row],[Prior Price ($)]]</f>
        <v>0.14872493738983378</v>
      </c>
      <c r="L2703" s="9">
        <f>(PricingDataTable[[#This Row],[Vendor Price ($)]]-PricingDataTable[[#This Row],[Current Price ($)]])/PricingDataTable[[#This Row],[Current Price ($)]]</f>
        <v>-5.2707797807275353E-3</v>
      </c>
      <c r="M2703" t="str">
        <f t="shared" si="84"/>
        <v>LARGE MOVE</v>
      </c>
      <c r="N2703" s="10" t="str">
        <f t="shared" si="85"/>
        <v>HIGH</v>
      </c>
    </row>
    <row r="2704" spans="1:14">
      <c r="A2704" s="4" t="s">
        <v>5424</v>
      </c>
      <c r="B2704" s="4" t="s">
        <v>5425</v>
      </c>
      <c r="C2704" s="4" t="s">
        <v>19</v>
      </c>
      <c r="D2704" s="4" t="s">
        <v>13</v>
      </c>
      <c r="E2704" s="5">
        <v>273.71519999999998</v>
      </c>
      <c r="F2704" s="5">
        <v>272.39490000000001</v>
      </c>
      <c r="G2704" s="5">
        <v>271.8236</v>
      </c>
      <c r="H2704" s="4">
        <v>0</v>
      </c>
      <c r="I2704" s="6">
        <v>1821012</v>
      </c>
      <c r="J2704" s="7">
        <v>167.81</v>
      </c>
      <c r="K2704" s="9">
        <f>(PricingDataTable[[#This Row],[Current Price ($)]]-PricingDataTable[[#This Row],[Prior Price ($)]])/PricingDataTable[[#This Row],[Prior Price ($)]]</f>
        <v>-4.8236268939393021E-3</v>
      </c>
      <c r="L2704" s="9">
        <f>(PricingDataTable[[#This Row],[Vendor Price ($)]]-PricingDataTable[[#This Row],[Current Price ($)]])/PricingDataTable[[#This Row],[Current Price ($)]]</f>
        <v>-2.0973226738092671E-3</v>
      </c>
      <c r="M2704" t="str">
        <f t="shared" si="84"/>
        <v>PASS</v>
      </c>
      <c r="N2704" s="10" t="str">
        <f t="shared" si="85"/>
        <v>NONE</v>
      </c>
    </row>
    <row r="2705" spans="1:14">
      <c r="A2705" s="4" t="s">
        <v>5426</v>
      </c>
      <c r="B2705" s="4" t="s">
        <v>5427</v>
      </c>
      <c r="C2705" s="4" t="s">
        <v>39</v>
      </c>
      <c r="D2705" s="4" t="s">
        <v>13</v>
      </c>
      <c r="E2705" s="5">
        <v>234.73910000000001</v>
      </c>
      <c r="F2705" s="5">
        <v>231.8991</v>
      </c>
      <c r="G2705" s="5">
        <v>232.2457</v>
      </c>
      <c r="H2705" s="4">
        <v>0</v>
      </c>
      <c r="I2705" s="6">
        <v>2156935</v>
      </c>
      <c r="J2705" s="7">
        <v>423.73</v>
      </c>
      <c r="K2705" s="9">
        <f>(PricingDataTable[[#This Row],[Current Price ($)]]-PricingDataTable[[#This Row],[Prior Price ($)]])/PricingDataTable[[#This Row],[Prior Price ($)]]</f>
        <v>-1.2098538334687332E-2</v>
      </c>
      <c r="L2705" s="9">
        <f>(PricingDataTable[[#This Row],[Vendor Price ($)]]-PricingDataTable[[#This Row],[Current Price ($)]])/PricingDataTable[[#This Row],[Current Price ($)]]</f>
        <v>1.4946155461577691E-3</v>
      </c>
      <c r="M2705" t="str">
        <f t="shared" si="84"/>
        <v>PASS</v>
      </c>
      <c r="N2705" s="10" t="str">
        <f t="shared" si="85"/>
        <v>NONE</v>
      </c>
    </row>
    <row r="2706" spans="1:14">
      <c r="A2706" s="4" t="s">
        <v>5428</v>
      </c>
      <c r="B2706" s="4" t="s">
        <v>5429</v>
      </c>
      <c r="C2706" s="4" t="s">
        <v>39</v>
      </c>
      <c r="D2706" s="4" t="s">
        <v>13</v>
      </c>
      <c r="E2706" s="5">
        <v>41.376800000000003</v>
      </c>
      <c r="F2706" s="5">
        <v>35.6325</v>
      </c>
      <c r="G2706" s="5">
        <v>35.600099999999998</v>
      </c>
      <c r="H2706" s="4">
        <v>0</v>
      </c>
      <c r="I2706" s="6">
        <v>713468</v>
      </c>
      <c r="J2706" s="7">
        <v>578.24</v>
      </c>
      <c r="K2706" s="9">
        <f>(PricingDataTable[[#This Row],[Current Price ($)]]-PricingDataTable[[#This Row],[Prior Price ($)]])/PricingDataTable[[#This Row],[Prior Price ($)]]</f>
        <v>-0.13882900562634137</v>
      </c>
      <c r="L2706" s="9">
        <f>(PricingDataTable[[#This Row],[Vendor Price ($)]]-PricingDataTable[[#This Row],[Current Price ($)]])/PricingDataTable[[#This Row],[Current Price ($)]]</f>
        <v>-9.0928225636715491E-4</v>
      </c>
      <c r="M2706" t="str">
        <f t="shared" si="84"/>
        <v>LARGE MOVE</v>
      </c>
      <c r="N2706" s="10" t="str">
        <f t="shared" si="85"/>
        <v>HIGH</v>
      </c>
    </row>
    <row r="2707" spans="1:14">
      <c r="A2707" s="4" t="s">
        <v>5430</v>
      </c>
      <c r="B2707" s="4" t="s">
        <v>5431</v>
      </c>
      <c r="C2707" s="4" t="s">
        <v>12</v>
      </c>
      <c r="D2707" s="4" t="s">
        <v>32</v>
      </c>
      <c r="E2707" s="5">
        <v>112.6468</v>
      </c>
      <c r="F2707" s="5">
        <v>112.1086</v>
      </c>
      <c r="G2707" s="5">
        <v>111.9375</v>
      </c>
      <c r="H2707" s="4">
        <v>0</v>
      </c>
      <c r="I2707" s="6">
        <v>1088765</v>
      </c>
      <c r="J2707" s="7">
        <v>120.71</v>
      </c>
      <c r="K2707" s="9">
        <f>(PricingDataTable[[#This Row],[Current Price ($)]]-PricingDataTable[[#This Row],[Prior Price ($)]])/PricingDataTable[[#This Row],[Prior Price ($)]]</f>
        <v>-4.7777655468242627E-3</v>
      </c>
      <c r="L2707" s="9">
        <f>(PricingDataTable[[#This Row],[Vendor Price ($)]]-PricingDataTable[[#This Row],[Current Price ($)]])/PricingDataTable[[#This Row],[Current Price ($)]]</f>
        <v>-1.5261987037568537E-3</v>
      </c>
      <c r="M2707" t="str">
        <f t="shared" si="84"/>
        <v>PASS</v>
      </c>
      <c r="N2707" s="10" t="str">
        <f t="shared" si="85"/>
        <v>NONE</v>
      </c>
    </row>
    <row r="2708" spans="1:14">
      <c r="A2708" s="4" t="s">
        <v>5432</v>
      </c>
      <c r="B2708" s="4" t="s">
        <v>5433</v>
      </c>
      <c r="C2708" s="4" t="s">
        <v>35</v>
      </c>
      <c r="D2708" s="4" t="s">
        <v>13</v>
      </c>
      <c r="E2708" s="5">
        <v>82.280100000000004</v>
      </c>
      <c r="F2708" s="5">
        <v>82.735100000000003</v>
      </c>
      <c r="G2708" s="5">
        <v>82.984099999999998</v>
      </c>
      <c r="H2708" s="4">
        <v>0</v>
      </c>
      <c r="I2708" s="6">
        <v>4372855</v>
      </c>
      <c r="J2708" s="7">
        <v>473.08</v>
      </c>
      <c r="K2708" s="9">
        <f>(PricingDataTable[[#This Row],[Current Price ($)]]-PricingDataTable[[#This Row],[Prior Price ($)]])/PricingDataTable[[#This Row],[Prior Price ($)]]</f>
        <v>5.5298911887564344E-3</v>
      </c>
      <c r="L2708" s="9">
        <f>(PricingDataTable[[#This Row],[Vendor Price ($)]]-PricingDataTable[[#This Row],[Current Price ($)]])/PricingDataTable[[#This Row],[Current Price ($)]]</f>
        <v>3.0096053549218556E-3</v>
      </c>
      <c r="M2708" t="str">
        <f t="shared" si="84"/>
        <v>PASS</v>
      </c>
      <c r="N2708" s="10" t="str">
        <f t="shared" si="85"/>
        <v>NONE</v>
      </c>
    </row>
    <row r="2709" spans="1:14">
      <c r="A2709" s="4" t="s">
        <v>5434</v>
      </c>
      <c r="B2709" s="4" t="s">
        <v>5435</v>
      </c>
      <c r="C2709" s="4" t="s">
        <v>19</v>
      </c>
      <c r="D2709" s="4" t="s">
        <v>36</v>
      </c>
      <c r="E2709" s="5">
        <v>104.43510000000001</v>
      </c>
      <c r="F2709" s="5">
        <v>102.94889999999999</v>
      </c>
      <c r="G2709" s="5">
        <v>103.89100000000001</v>
      </c>
      <c r="H2709" s="4">
        <v>0</v>
      </c>
      <c r="I2709" s="6">
        <v>4482448</v>
      </c>
      <c r="J2709" s="7">
        <v>440.37</v>
      </c>
      <c r="K2709" s="9">
        <f>(PricingDataTable[[#This Row],[Current Price ($)]]-PricingDataTable[[#This Row],[Prior Price ($)]])/PricingDataTable[[#This Row],[Prior Price ($)]]</f>
        <v>-1.4230847674776113E-2</v>
      </c>
      <c r="L2709" s="9">
        <f>(PricingDataTable[[#This Row],[Vendor Price ($)]]-PricingDataTable[[#This Row],[Current Price ($)]])/PricingDataTable[[#This Row],[Current Price ($)]]</f>
        <v>9.151141974319401E-3</v>
      </c>
      <c r="M2709" t="str">
        <f t="shared" si="84"/>
        <v>PASS</v>
      </c>
      <c r="N2709" s="10" t="str">
        <f t="shared" si="85"/>
        <v>NONE</v>
      </c>
    </row>
    <row r="2710" spans="1:14">
      <c r="A2710" s="4" t="s">
        <v>5436</v>
      </c>
      <c r="B2710" s="4" t="s">
        <v>5437</v>
      </c>
      <c r="C2710" s="4" t="s">
        <v>19</v>
      </c>
      <c r="D2710" s="4" t="s">
        <v>32</v>
      </c>
      <c r="E2710" s="5">
        <v>267.27710000000002</v>
      </c>
      <c r="F2710" s="5">
        <v>268.02370000000002</v>
      </c>
      <c r="G2710" s="5">
        <v>267.39170000000001</v>
      </c>
      <c r="H2710" s="4">
        <v>1</v>
      </c>
      <c r="I2710" s="6">
        <v>3092254</v>
      </c>
      <c r="J2710" s="7">
        <v>597.12</v>
      </c>
      <c r="K2710" s="9">
        <f>(PricingDataTable[[#This Row],[Current Price ($)]]-PricingDataTable[[#This Row],[Prior Price ($)]])/PricingDataTable[[#This Row],[Prior Price ($)]]</f>
        <v>2.793355659725434E-3</v>
      </c>
      <c r="L2710" s="9">
        <f>(PricingDataTable[[#This Row],[Vendor Price ($)]]-PricingDataTable[[#This Row],[Current Price ($)]])/PricingDataTable[[#This Row],[Current Price ($)]]</f>
        <v>-2.3580004305589577E-3</v>
      </c>
      <c r="M2710" t="str">
        <f t="shared" si="84"/>
        <v>PASS</v>
      </c>
      <c r="N2710" s="10" t="str">
        <f t="shared" si="85"/>
        <v>NONE</v>
      </c>
    </row>
    <row r="2711" spans="1:14">
      <c r="A2711" s="4" t="s">
        <v>5438</v>
      </c>
      <c r="B2711" s="4" t="s">
        <v>5439</v>
      </c>
      <c r="C2711" s="4" t="s">
        <v>16</v>
      </c>
      <c r="D2711" s="4" t="s">
        <v>13</v>
      </c>
      <c r="E2711" s="5">
        <v>119.023</v>
      </c>
      <c r="F2711" s="5">
        <v>115.8973</v>
      </c>
      <c r="G2711" s="5">
        <v>115.5022</v>
      </c>
      <c r="H2711" s="4">
        <v>0</v>
      </c>
      <c r="I2711" s="6">
        <v>458770</v>
      </c>
      <c r="J2711" s="7">
        <v>135.36000000000001</v>
      </c>
      <c r="K2711" s="9">
        <f>(PricingDataTable[[#This Row],[Current Price ($)]]-PricingDataTable[[#This Row],[Prior Price ($)]])/PricingDataTable[[#This Row],[Prior Price ($)]]</f>
        <v>-2.6261310839081481E-2</v>
      </c>
      <c r="L2711" s="9">
        <f>(PricingDataTable[[#This Row],[Vendor Price ($)]]-PricingDataTable[[#This Row],[Current Price ($)]])/PricingDataTable[[#This Row],[Current Price ($)]]</f>
        <v>-3.4090526699068861E-3</v>
      </c>
      <c r="M2711" t="str">
        <f t="shared" si="84"/>
        <v>PASS</v>
      </c>
      <c r="N2711" s="10" t="str">
        <f t="shared" si="85"/>
        <v>NONE</v>
      </c>
    </row>
    <row r="2712" spans="1:14">
      <c r="A2712" s="4" t="s">
        <v>5440</v>
      </c>
      <c r="B2712" s="4" t="s">
        <v>5441</v>
      </c>
      <c r="C2712" s="4" t="s">
        <v>16</v>
      </c>
      <c r="D2712" s="4" t="s">
        <v>64</v>
      </c>
      <c r="E2712" s="5">
        <v>110.6344</v>
      </c>
      <c r="F2712" s="5">
        <v>110.20610000000001</v>
      </c>
      <c r="G2712" s="5">
        <v>109.8467</v>
      </c>
      <c r="H2712" s="4">
        <v>5</v>
      </c>
      <c r="I2712" s="6">
        <v>573508</v>
      </c>
      <c r="J2712" s="7">
        <v>467.93</v>
      </c>
      <c r="K2712" s="9">
        <f>(PricingDataTable[[#This Row],[Current Price ($)]]-PricingDataTable[[#This Row],[Prior Price ($)]])/PricingDataTable[[#This Row],[Prior Price ($)]]</f>
        <v>-3.871309466133436E-3</v>
      </c>
      <c r="L2712" s="9">
        <f>(PricingDataTable[[#This Row],[Vendor Price ($)]]-PricingDataTable[[#This Row],[Current Price ($)]])/PricingDataTable[[#This Row],[Current Price ($)]]</f>
        <v>-3.2611624946351238E-3</v>
      </c>
      <c r="M2712" t="str">
        <f t="shared" si="84"/>
        <v>STALE</v>
      </c>
      <c r="N2712" s="10" t="str">
        <f t="shared" si="85"/>
        <v>MEDIUM</v>
      </c>
    </row>
    <row r="2713" spans="1:14">
      <c r="A2713" s="4" t="s">
        <v>5442</v>
      </c>
      <c r="B2713" s="4" t="s">
        <v>5443</v>
      </c>
      <c r="C2713" s="4" t="s">
        <v>39</v>
      </c>
      <c r="D2713" s="4" t="s">
        <v>13</v>
      </c>
      <c r="E2713" s="5">
        <v>149.67859999999999</v>
      </c>
      <c r="F2713" s="5">
        <v>152.87139999999999</v>
      </c>
      <c r="G2713" s="5">
        <v>152.41990000000001</v>
      </c>
      <c r="H2713" s="4">
        <v>1</v>
      </c>
      <c r="I2713" s="6">
        <v>4914839</v>
      </c>
      <c r="J2713" s="7">
        <v>121.73</v>
      </c>
      <c r="K2713" s="9">
        <f>(PricingDataTable[[#This Row],[Current Price ($)]]-PricingDataTable[[#This Row],[Prior Price ($)]])/PricingDataTable[[#This Row],[Prior Price ($)]]</f>
        <v>2.1331038638790087E-2</v>
      </c>
      <c r="L2713" s="9">
        <f>(PricingDataTable[[#This Row],[Vendor Price ($)]]-PricingDataTable[[#This Row],[Current Price ($)]])/PricingDataTable[[#This Row],[Current Price ($)]]</f>
        <v>-2.953462845241043E-3</v>
      </c>
      <c r="M2713" t="str">
        <f t="shared" si="84"/>
        <v>PASS</v>
      </c>
      <c r="N2713" s="10" t="str">
        <f t="shared" si="85"/>
        <v>NONE</v>
      </c>
    </row>
    <row r="2714" spans="1:14">
      <c r="A2714" s="4" t="s">
        <v>5444</v>
      </c>
      <c r="B2714" s="4" t="s">
        <v>5445</v>
      </c>
      <c r="C2714" s="4" t="s">
        <v>12</v>
      </c>
      <c r="D2714" s="4" t="s">
        <v>13</v>
      </c>
      <c r="E2714" s="5">
        <v>96.9114</v>
      </c>
      <c r="F2714" s="5">
        <v>97.121200000000002</v>
      </c>
      <c r="G2714" s="5">
        <v>97.530100000000004</v>
      </c>
      <c r="H2714" s="4">
        <v>0</v>
      </c>
      <c r="I2714" s="6">
        <v>4790453</v>
      </c>
      <c r="J2714" s="7">
        <v>380.38</v>
      </c>
      <c r="K2714" s="9">
        <f>(PricingDataTable[[#This Row],[Current Price ($)]]-PricingDataTable[[#This Row],[Prior Price ($)]])/PricingDataTable[[#This Row],[Prior Price ($)]]</f>
        <v>2.1648639891695023E-3</v>
      </c>
      <c r="L2714" s="9">
        <f>(PricingDataTable[[#This Row],[Vendor Price ($)]]-PricingDataTable[[#This Row],[Current Price ($)]])/PricingDataTable[[#This Row],[Current Price ($)]]</f>
        <v>4.2102033335667463E-3</v>
      </c>
      <c r="M2714" t="str">
        <f t="shared" si="84"/>
        <v>PASS</v>
      </c>
      <c r="N2714" s="10" t="str">
        <f t="shared" si="85"/>
        <v>NONE</v>
      </c>
    </row>
    <row r="2715" spans="1:14">
      <c r="A2715" s="4" t="s">
        <v>5446</v>
      </c>
      <c r="B2715" s="4" t="s">
        <v>5447</v>
      </c>
      <c r="C2715" s="4" t="s">
        <v>16</v>
      </c>
      <c r="D2715" s="4" t="s">
        <v>32</v>
      </c>
      <c r="E2715" s="5">
        <v>93.953599999999994</v>
      </c>
      <c r="F2715" s="5">
        <v>94.408299999999997</v>
      </c>
      <c r="G2715" s="5">
        <v>94.202500000000001</v>
      </c>
      <c r="H2715" s="4">
        <v>2</v>
      </c>
      <c r="I2715" s="6">
        <v>4016549</v>
      </c>
      <c r="J2715" s="7">
        <v>498.65</v>
      </c>
      <c r="K2715" s="9">
        <f>(PricingDataTable[[#This Row],[Current Price ($)]]-PricingDataTable[[#This Row],[Prior Price ($)]])/PricingDataTable[[#This Row],[Prior Price ($)]]</f>
        <v>4.8396229628242301E-3</v>
      </c>
      <c r="L2715" s="9">
        <f>(PricingDataTable[[#This Row],[Vendor Price ($)]]-PricingDataTable[[#This Row],[Current Price ($)]])/PricingDataTable[[#This Row],[Current Price ($)]]</f>
        <v>-2.1798930814345397E-3</v>
      </c>
      <c r="M2715" t="str">
        <f t="shared" si="84"/>
        <v>PASS</v>
      </c>
      <c r="N2715" s="10" t="str">
        <f t="shared" si="85"/>
        <v>NONE</v>
      </c>
    </row>
    <row r="2716" spans="1:14">
      <c r="A2716" s="4" t="s">
        <v>5448</v>
      </c>
      <c r="B2716" s="4" t="s">
        <v>5449</v>
      </c>
      <c r="C2716" s="4" t="s">
        <v>39</v>
      </c>
      <c r="D2716" s="4" t="s">
        <v>32</v>
      </c>
      <c r="E2716" s="5">
        <v>14.9512</v>
      </c>
      <c r="F2716" s="5">
        <v>13.710599999999999</v>
      </c>
      <c r="G2716" s="5">
        <v>13.692299999999999</v>
      </c>
      <c r="H2716" s="4">
        <v>0</v>
      </c>
      <c r="I2716" s="6">
        <v>485095</v>
      </c>
      <c r="J2716" s="7">
        <v>355.72</v>
      </c>
      <c r="K2716" s="9">
        <f>(PricingDataTable[[#This Row],[Current Price ($)]]-PricingDataTable[[#This Row],[Prior Price ($)]])/PricingDataTable[[#This Row],[Prior Price ($)]]</f>
        <v>-8.2976617261490762E-2</v>
      </c>
      <c r="L2716" s="9">
        <f>(PricingDataTable[[#This Row],[Vendor Price ($)]]-PricingDataTable[[#This Row],[Current Price ($)]])/PricingDataTable[[#This Row],[Current Price ($)]]</f>
        <v>-1.3347337096844766E-3</v>
      </c>
      <c r="M2716" t="str">
        <f t="shared" si="84"/>
        <v>LARGE MOVE</v>
      </c>
      <c r="N2716" s="10" t="str">
        <f t="shared" si="85"/>
        <v>MEDIUM</v>
      </c>
    </row>
    <row r="2717" spans="1:14">
      <c r="A2717" s="4" t="s">
        <v>5450</v>
      </c>
      <c r="B2717" s="4" t="s">
        <v>5451</v>
      </c>
      <c r="C2717" s="4" t="s">
        <v>19</v>
      </c>
      <c r="D2717" s="4" t="s">
        <v>13</v>
      </c>
      <c r="E2717" s="5">
        <v>124.3466</v>
      </c>
      <c r="F2717" s="5">
        <v>124.30500000000001</v>
      </c>
      <c r="G2717" s="5">
        <v>124.7979</v>
      </c>
      <c r="H2717" s="4">
        <v>1</v>
      </c>
      <c r="I2717" s="6">
        <v>118609</v>
      </c>
      <c r="J2717" s="7">
        <v>597.49</v>
      </c>
      <c r="K2717" s="9">
        <f>(PricingDataTable[[#This Row],[Current Price ($)]]-PricingDataTable[[#This Row],[Prior Price ($)]])/PricingDataTable[[#This Row],[Prior Price ($)]]</f>
        <v>-3.3454875324285757E-4</v>
      </c>
      <c r="L2717" s="9">
        <f>(PricingDataTable[[#This Row],[Vendor Price ($)]]-PricingDataTable[[#This Row],[Current Price ($)]])/PricingDataTable[[#This Row],[Current Price ($)]]</f>
        <v>3.9652467720525456E-3</v>
      </c>
      <c r="M2717" t="str">
        <f t="shared" si="84"/>
        <v>PASS</v>
      </c>
      <c r="N2717" s="10" t="str">
        <f t="shared" si="85"/>
        <v>NONE</v>
      </c>
    </row>
    <row r="2718" spans="1:14">
      <c r="A2718" s="4" t="s">
        <v>5452</v>
      </c>
      <c r="B2718" s="4" t="s">
        <v>5453</v>
      </c>
      <c r="C2718" s="4" t="s">
        <v>12</v>
      </c>
      <c r="D2718" s="4" t="s">
        <v>13</v>
      </c>
      <c r="E2718" s="5">
        <v>92.651899999999998</v>
      </c>
      <c r="F2718" s="5">
        <v>91.838099999999997</v>
      </c>
      <c r="G2718" s="5">
        <v>91.2821</v>
      </c>
      <c r="H2718" s="4">
        <v>0</v>
      </c>
      <c r="I2718" s="6">
        <v>4942852</v>
      </c>
      <c r="J2718" s="7">
        <v>862.75</v>
      </c>
      <c r="K2718" s="9">
        <f>(PricingDataTable[[#This Row],[Current Price ($)]]-PricingDataTable[[#This Row],[Prior Price ($)]])/PricingDataTable[[#This Row],[Prior Price ($)]]</f>
        <v>-8.7834140476342158E-3</v>
      </c>
      <c r="L2718" s="9">
        <f>(PricingDataTable[[#This Row],[Vendor Price ($)]]-PricingDataTable[[#This Row],[Current Price ($)]])/PricingDataTable[[#This Row],[Current Price ($)]]</f>
        <v>-6.0541322174565608E-3</v>
      </c>
      <c r="M2718" t="str">
        <f t="shared" si="84"/>
        <v>PASS</v>
      </c>
      <c r="N2718" s="10" t="str">
        <f t="shared" si="85"/>
        <v>NONE</v>
      </c>
    </row>
    <row r="2719" spans="1:14">
      <c r="A2719" s="4" t="s">
        <v>5454</v>
      </c>
      <c r="B2719" s="4" t="s">
        <v>5455</v>
      </c>
      <c r="C2719" s="4" t="s">
        <v>12</v>
      </c>
      <c r="D2719" s="4" t="s">
        <v>13</v>
      </c>
      <c r="E2719" s="5">
        <v>89.870599999999996</v>
      </c>
      <c r="F2719" s="5">
        <v>87.767899999999997</v>
      </c>
      <c r="G2719" s="5">
        <v>87.715299999999999</v>
      </c>
      <c r="H2719" s="4">
        <v>0</v>
      </c>
      <c r="I2719" s="6">
        <v>2785073</v>
      </c>
      <c r="J2719" s="7">
        <v>57.74</v>
      </c>
      <c r="K2719" s="9">
        <f>(PricingDataTable[[#This Row],[Current Price ($)]]-PricingDataTable[[#This Row],[Prior Price ($)]])/PricingDataTable[[#This Row],[Prior Price ($)]]</f>
        <v>-2.339697298115289E-2</v>
      </c>
      <c r="L2719" s="9">
        <f>(PricingDataTable[[#This Row],[Vendor Price ($)]]-PricingDataTable[[#This Row],[Current Price ($)]])/PricingDataTable[[#This Row],[Current Price ($)]]</f>
        <v>-5.9930794743862168E-4</v>
      </c>
      <c r="M2719" t="str">
        <f t="shared" si="84"/>
        <v>PASS</v>
      </c>
      <c r="N2719" s="10" t="str">
        <f t="shared" si="85"/>
        <v>NONE</v>
      </c>
    </row>
    <row r="2720" spans="1:14">
      <c r="A2720" s="4" t="s">
        <v>5456</v>
      </c>
      <c r="B2720" s="4" t="s">
        <v>5457</v>
      </c>
      <c r="C2720" s="4" t="s">
        <v>39</v>
      </c>
      <c r="D2720" s="4" t="s">
        <v>13</v>
      </c>
      <c r="E2720" s="5">
        <v>267.53309999999999</v>
      </c>
      <c r="F2720" s="5">
        <v>267.75240000000002</v>
      </c>
      <c r="G2720" s="5">
        <v>268.33339999999998</v>
      </c>
      <c r="H2720" s="4">
        <v>0</v>
      </c>
      <c r="I2720" s="6">
        <v>2103946</v>
      </c>
      <c r="J2720" s="7">
        <v>812.9</v>
      </c>
      <c r="K2720" s="9">
        <f>(PricingDataTable[[#This Row],[Current Price ($)]]-PricingDataTable[[#This Row],[Prior Price ($)]])/PricingDataTable[[#This Row],[Prior Price ($)]]</f>
        <v>8.1971165437111327E-4</v>
      </c>
      <c r="L2720" s="9">
        <f>(PricingDataTable[[#This Row],[Vendor Price ($)]]-PricingDataTable[[#This Row],[Current Price ($)]])/PricingDataTable[[#This Row],[Current Price ($)]]</f>
        <v>2.1699151903025347E-3</v>
      </c>
      <c r="M2720" t="str">
        <f t="shared" si="84"/>
        <v>PASS</v>
      </c>
      <c r="N2720" s="10" t="str">
        <f t="shared" si="85"/>
        <v>NONE</v>
      </c>
    </row>
    <row r="2721" spans="1:14">
      <c r="A2721" s="4" t="s">
        <v>5458</v>
      </c>
      <c r="B2721" s="4" t="s">
        <v>5459</v>
      </c>
      <c r="C2721" s="4" t="s">
        <v>39</v>
      </c>
      <c r="D2721" s="4" t="s">
        <v>32</v>
      </c>
      <c r="E2721" s="5">
        <v>189.95509999999999</v>
      </c>
      <c r="F2721" s="5">
        <v>189.244</v>
      </c>
      <c r="G2721" s="5">
        <v>204.7688</v>
      </c>
      <c r="H2721" s="4">
        <v>0</v>
      </c>
      <c r="I2721" s="6">
        <v>1530477</v>
      </c>
      <c r="J2721" s="7">
        <v>780.73</v>
      </c>
      <c r="K2721" s="9">
        <f>(PricingDataTable[[#This Row],[Current Price ($)]]-PricingDataTable[[#This Row],[Prior Price ($)]])/PricingDataTable[[#This Row],[Prior Price ($)]]</f>
        <v>-3.743516230940826E-3</v>
      </c>
      <c r="L2721" s="9">
        <f>(PricingDataTable[[#This Row],[Vendor Price ($)]]-PricingDataTable[[#This Row],[Current Price ($)]])/PricingDataTable[[#This Row],[Current Price ($)]]</f>
        <v>8.2035890173532577E-2</v>
      </c>
      <c r="M2721" t="str">
        <f t="shared" si="84"/>
        <v>VENDOR DIFFERENCE</v>
      </c>
      <c r="N2721" s="10" t="str">
        <f t="shared" si="85"/>
        <v>HIGH</v>
      </c>
    </row>
    <row r="2722" spans="1:14">
      <c r="A2722" s="4" t="s">
        <v>5460</v>
      </c>
      <c r="B2722" s="4" t="s">
        <v>5461</v>
      </c>
      <c r="C2722" s="4" t="s">
        <v>19</v>
      </c>
      <c r="D2722" s="4" t="s">
        <v>13</v>
      </c>
      <c r="E2722" s="5">
        <v>205.136</v>
      </c>
      <c r="F2722" s="5">
        <v>209.75239999999999</v>
      </c>
      <c r="G2722" s="5">
        <v>210.018</v>
      </c>
      <c r="H2722" s="4">
        <v>1</v>
      </c>
      <c r="I2722" s="6">
        <v>2290664</v>
      </c>
      <c r="J2722" s="7">
        <v>427.22</v>
      </c>
      <c r="K2722" s="9">
        <f>(PricingDataTable[[#This Row],[Current Price ($)]]-PricingDataTable[[#This Row],[Prior Price ($)]])/PricingDataTable[[#This Row],[Prior Price ($)]]</f>
        <v>2.2504094844395906E-2</v>
      </c>
      <c r="L2722" s="9">
        <f>(PricingDataTable[[#This Row],[Vendor Price ($)]]-PricingDataTable[[#This Row],[Current Price ($)]])/PricingDataTable[[#This Row],[Current Price ($)]]</f>
        <v>1.2662548795627905E-3</v>
      </c>
      <c r="M2722" t="str">
        <f t="shared" si="84"/>
        <v>PASS</v>
      </c>
      <c r="N2722" s="10" t="str">
        <f t="shared" si="85"/>
        <v>NONE</v>
      </c>
    </row>
    <row r="2723" spans="1:14">
      <c r="A2723" s="4" t="s">
        <v>5462</v>
      </c>
      <c r="B2723" s="4" t="s">
        <v>5463</v>
      </c>
      <c r="C2723" s="4" t="s">
        <v>16</v>
      </c>
      <c r="D2723" s="4" t="s">
        <v>32</v>
      </c>
      <c r="E2723" s="5">
        <v>83.513900000000007</v>
      </c>
      <c r="F2723" s="5">
        <v>83.622600000000006</v>
      </c>
      <c r="G2723" s="5">
        <v>83.383700000000005</v>
      </c>
      <c r="H2723" s="4">
        <v>0</v>
      </c>
      <c r="I2723" s="6">
        <v>1289821</v>
      </c>
      <c r="J2723" s="7">
        <v>313.57</v>
      </c>
      <c r="K2723" s="9">
        <f>(PricingDataTable[[#This Row],[Current Price ($)]]-PricingDataTable[[#This Row],[Prior Price ($)]])/PricingDataTable[[#This Row],[Prior Price ($)]]</f>
        <v>1.3015797370257993E-3</v>
      </c>
      <c r="L2723" s="9">
        <f>(PricingDataTable[[#This Row],[Vendor Price ($)]]-PricingDataTable[[#This Row],[Current Price ($)]])/PricingDataTable[[#This Row],[Current Price ($)]]</f>
        <v>-2.8568831870810162E-3</v>
      </c>
      <c r="M2723" t="str">
        <f t="shared" si="84"/>
        <v>PASS</v>
      </c>
      <c r="N2723" s="10" t="str">
        <f t="shared" si="85"/>
        <v>NONE</v>
      </c>
    </row>
    <row r="2724" spans="1:14">
      <c r="A2724" s="4" t="s">
        <v>5464</v>
      </c>
      <c r="B2724" s="4" t="s">
        <v>5465</v>
      </c>
      <c r="C2724" s="4" t="s">
        <v>35</v>
      </c>
      <c r="D2724" s="4" t="s">
        <v>64</v>
      </c>
      <c r="E2724" s="5">
        <v>103.9622</v>
      </c>
      <c r="F2724" s="5">
        <v>103.3999</v>
      </c>
      <c r="G2724" s="5">
        <v>102.7719</v>
      </c>
      <c r="H2724" s="4">
        <v>1</v>
      </c>
      <c r="I2724" s="6">
        <v>89248</v>
      </c>
      <c r="J2724" s="7">
        <v>427.2</v>
      </c>
      <c r="K2724" s="9">
        <f>(PricingDataTable[[#This Row],[Current Price ($)]]-PricingDataTable[[#This Row],[Prior Price ($)]])/PricingDataTable[[#This Row],[Prior Price ($)]]</f>
        <v>-5.4086966224261646E-3</v>
      </c>
      <c r="L2724" s="9">
        <f>(PricingDataTable[[#This Row],[Vendor Price ($)]]-PricingDataTable[[#This Row],[Current Price ($)]])/PricingDataTable[[#This Row],[Current Price ($)]]</f>
        <v>-6.0735068409157079E-3</v>
      </c>
      <c r="M2724" t="str">
        <f t="shared" si="84"/>
        <v>PASS</v>
      </c>
      <c r="N2724" s="10" t="str">
        <f t="shared" si="85"/>
        <v>NONE</v>
      </c>
    </row>
    <row r="2725" spans="1:14">
      <c r="A2725" s="4" t="s">
        <v>5466</v>
      </c>
      <c r="B2725" s="4" t="s">
        <v>5467</v>
      </c>
      <c r="C2725" s="4" t="s">
        <v>39</v>
      </c>
      <c r="D2725" s="4" t="s">
        <v>13</v>
      </c>
      <c r="E2725" s="5">
        <v>68.143299999999996</v>
      </c>
      <c r="F2725" s="5">
        <v>67.695700000000002</v>
      </c>
      <c r="G2725" s="5">
        <v>67.422200000000004</v>
      </c>
      <c r="H2725" s="4">
        <v>0</v>
      </c>
      <c r="I2725" s="6">
        <v>604781</v>
      </c>
      <c r="J2725" s="7">
        <v>165.24</v>
      </c>
      <c r="K2725" s="9">
        <f>(PricingDataTable[[#This Row],[Current Price ($)]]-PricingDataTable[[#This Row],[Prior Price ($)]])/PricingDataTable[[#This Row],[Prior Price ($)]]</f>
        <v>-6.5685107706846347E-3</v>
      </c>
      <c r="L2725" s="9">
        <f>(PricingDataTable[[#This Row],[Vendor Price ($)]]-PricingDataTable[[#This Row],[Current Price ($)]])/PricingDataTable[[#This Row],[Current Price ($)]]</f>
        <v>-4.0401384430620926E-3</v>
      </c>
      <c r="M2725" t="str">
        <f t="shared" si="84"/>
        <v>PASS</v>
      </c>
      <c r="N2725" s="10" t="str">
        <f t="shared" si="85"/>
        <v>NONE</v>
      </c>
    </row>
    <row r="2726" spans="1:14">
      <c r="A2726" s="4" t="s">
        <v>5468</v>
      </c>
      <c r="B2726" s="4" t="s">
        <v>5469</v>
      </c>
      <c r="C2726" s="4" t="s">
        <v>19</v>
      </c>
      <c r="D2726" s="4" t="s">
        <v>13</v>
      </c>
      <c r="E2726" s="5">
        <v>277.7269</v>
      </c>
      <c r="F2726" s="5">
        <v>278.68220000000002</v>
      </c>
      <c r="G2726" s="5">
        <v>279.49950000000001</v>
      </c>
      <c r="H2726" s="4">
        <v>0</v>
      </c>
      <c r="I2726" s="6">
        <v>3703709</v>
      </c>
      <c r="J2726" s="7">
        <v>300.5</v>
      </c>
      <c r="K2726" s="9">
        <f>(PricingDataTable[[#This Row],[Current Price ($)]]-PricingDataTable[[#This Row],[Prior Price ($)]])/PricingDataTable[[#This Row],[Prior Price ($)]]</f>
        <v>3.4397100172868472E-3</v>
      </c>
      <c r="L2726" s="9">
        <f>(PricingDataTable[[#This Row],[Vendor Price ($)]]-PricingDataTable[[#This Row],[Current Price ($)]])/PricingDataTable[[#This Row],[Current Price ($)]]</f>
        <v>2.9327312616305914E-3</v>
      </c>
      <c r="M2726" t="str">
        <f t="shared" si="84"/>
        <v>PASS</v>
      </c>
      <c r="N2726" s="10" t="str">
        <f t="shared" si="85"/>
        <v>NONE</v>
      </c>
    </row>
    <row r="2727" spans="1:14">
      <c r="A2727" s="4" t="s">
        <v>5470</v>
      </c>
      <c r="B2727" s="4" t="s">
        <v>5471</v>
      </c>
      <c r="C2727" s="4" t="s">
        <v>19</v>
      </c>
      <c r="D2727" s="4" t="s">
        <v>13</v>
      </c>
      <c r="E2727" s="5">
        <v>268.6223</v>
      </c>
      <c r="F2727" s="5">
        <v>267.60899999999998</v>
      </c>
      <c r="G2727" s="5">
        <v>267.46390000000002</v>
      </c>
      <c r="H2727" s="4">
        <v>2</v>
      </c>
      <c r="I2727" s="6">
        <v>518277</v>
      </c>
      <c r="J2727" s="7">
        <v>586.82000000000005</v>
      </c>
      <c r="K2727" s="9">
        <f>(PricingDataTable[[#This Row],[Current Price ($)]]-PricingDataTable[[#This Row],[Prior Price ($)]])/PricingDataTable[[#This Row],[Prior Price ($)]]</f>
        <v>-3.7722110189660919E-3</v>
      </c>
      <c r="L2727" s="9">
        <f>(PricingDataTable[[#This Row],[Vendor Price ($)]]-PricingDataTable[[#This Row],[Current Price ($)]])/PricingDataTable[[#This Row],[Current Price ($)]]</f>
        <v>-5.4220896905543808E-4</v>
      </c>
      <c r="M2727" t="str">
        <f t="shared" si="84"/>
        <v>PASS</v>
      </c>
      <c r="N2727" s="10" t="str">
        <f t="shared" si="85"/>
        <v>NONE</v>
      </c>
    </row>
    <row r="2728" spans="1:14">
      <c r="A2728" s="4" t="s">
        <v>5472</v>
      </c>
      <c r="B2728" s="4" t="s">
        <v>5473</v>
      </c>
      <c r="C2728" s="4" t="s">
        <v>19</v>
      </c>
      <c r="D2728" s="4" t="s">
        <v>36</v>
      </c>
      <c r="E2728" s="5">
        <v>279.04939999999999</v>
      </c>
      <c r="F2728" s="5">
        <v>283.81049999999999</v>
      </c>
      <c r="G2728" s="5">
        <v>284.2362</v>
      </c>
      <c r="H2728" s="4">
        <v>0</v>
      </c>
      <c r="I2728" s="6">
        <v>466341</v>
      </c>
      <c r="J2728" s="7">
        <v>784.01</v>
      </c>
      <c r="K2728" s="9">
        <f>(PricingDataTable[[#This Row],[Current Price ($)]]-PricingDataTable[[#This Row],[Prior Price ($)]])/PricingDataTable[[#This Row],[Prior Price ($)]]</f>
        <v>1.7061853564279295E-2</v>
      </c>
      <c r="L2728" s="9">
        <f>(PricingDataTable[[#This Row],[Vendor Price ($)]]-PricingDataTable[[#This Row],[Current Price ($)]])/PricingDataTable[[#This Row],[Current Price ($)]]</f>
        <v>1.4999445052244586E-3</v>
      </c>
      <c r="M2728" t="str">
        <f t="shared" si="84"/>
        <v>PASS</v>
      </c>
      <c r="N2728" s="10" t="str">
        <f t="shared" si="85"/>
        <v>NONE</v>
      </c>
    </row>
    <row r="2729" spans="1:14">
      <c r="A2729" s="4" t="s">
        <v>5474</v>
      </c>
      <c r="B2729" s="4" t="s">
        <v>5475</v>
      </c>
      <c r="C2729" s="4" t="s">
        <v>19</v>
      </c>
      <c r="D2729" s="4" t="s">
        <v>32</v>
      </c>
      <c r="E2729" s="5">
        <v>132.46940000000001</v>
      </c>
      <c r="F2729" s="5">
        <v>134.21109999999999</v>
      </c>
      <c r="G2729" s="5">
        <v>133.70150000000001</v>
      </c>
      <c r="H2729" s="4">
        <v>0</v>
      </c>
      <c r="I2729" s="6">
        <v>2067442</v>
      </c>
      <c r="J2729" s="7">
        <v>544</v>
      </c>
      <c r="K2729" s="9">
        <f>(PricingDataTable[[#This Row],[Current Price ($)]]-PricingDataTable[[#This Row],[Prior Price ($)]])/PricingDataTable[[#This Row],[Prior Price ($)]]</f>
        <v>1.3147942090777041E-2</v>
      </c>
      <c r="L2729" s="9">
        <f>(PricingDataTable[[#This Row],[Vendor Price ($)]]-PricingDataTable[[#This Row],[Current Price ($)]])/PricingDataTable[[#This Row],[Current Price ($)]]</f>
        <v>-3.7970033775148082E-3</v>
      </c>
      <c r="M2729" t="str">
        <f t="shared" si="84"/>
        <v>PASS</v>
      </c>
      <c r="N2729" s="10" t="str">
        <f t="shared" si="85"/>
        <v>NONE</v>
      </c>
    </row>
    <row r="2730" spans="1:14">
      <c r="A2730" s="4" t="s">
        <v>5476</v>
      </c>
      <c r="B2730" s="4" t="s">
        <v>5477</v>
      </c>
      <c r="C2730" s="4" t="s">
        <v>16</v>
      </c>
      <c r="D2730" s="4" t="s">
        <v>13</v>
      </c>
      <c r="E2730" s="5">
        <v>83.159400000000005</v>
      </c>
      <c r="F2730" s="5">
        <v>83.438100000000006</v>
      </c>
      <c r="G2730" s="5">
        <v>83.230999999999995</v>
      </c>
      <c r="H2730" s="4">
        <v>0</v>
      </c>
      <c r="I2730" s="6">
        <v>2502477</v>
      </c>
      <c r="J2730" s="7">
        <v>465.24</v>
      </c>
      <c r="K2730" s="9">
        <f>(PricingDataTable[[#This Row],[Current Price ($)]]-PricingDataTable[[#This Row],[Prior Price ($)]])/PricingDataTable[[#This Row],[Prior Price ($)]]</f>
        <v>3.3513950317101927E-3</v>
      </c>
      <c r="L2730" s="9">
        <f>(PricingDataTable[[#This Row],[Vendor Price ($)]]-PricingDataTable[[#This Row],[Current Price ($)]])/PricingDataTable[[#This Row],[Current Price ($)]]</f>
        <v>-2.4820795296155011E-3</v>
      </c>
      <c r="M2730" t="str">
        <f t="shared" si="84"/>
        <v>PASS</v>
      </c>
      <c r="N2730" s="10" t="str">
        <f t="shared" si="85"/>
        <v>NONE</v>
      </c>
    </row>
    <row r="2731" spans="1:14">
      <c r="A2731" s="4" t="s">
        <v>5478</v>
      </c>
      <c r="B2731" s="4" t="s">
        <v>5479</v>
      </c>
      <c r="C2731" s="4" t="s">
        <v>16</v>
      </c>
      <c r="D2731" s="4" t="s">
        <v>237</v>
      </c>
      <c r="E2731" s="5">
        <v>109.6698</v>
      </c>
      <c r="F2731" s="5">
        <v>110.8051</v>
      </c>
      <c r="G2731" s="5">
        <v>110.6473</v>
      </c>
      <c r="H2731" s="4">
        <v>0</v>
      </c>
      <c r="I2731" s="6">
        <v>4012920</v>
      </c>
      <c r="J2731" s="7">
        <v>8.7200000000000006</v>
      </c>
      <c r="K2731" s="9">
        <f>(PricingDataTable[[#This Row],[Current Price ($)]]-PricingDataTable[[#This Row],[Prior Price ($)]])/PricingDataTable[[#This Row],[Prior Price ($)]]</f>
        <v>1.0351983864290816E-2</v>
      </c>
      <c r="L2731" s="9">
        <f>(PricingDataTable[[#This Row],[Vendor Price ($)]]-PricingDataTable[[#This Row],[Current Price ($)]])/PricingDataTable[[#This Row],[Current Price ($)]]</f>
        <v>-1.4241221748817934E-3</v>
      </c>
      <c r="M2731" t="str">
        <f t="shared" si="84"/>
        <v>PASS</v>
      </c>
      <c r="N2731" s="10" t="str">
        <f t="shared" si="85"/>
        <v>NONE</v>
      </c>
    </row>
    <row r="2732" spans="1:14">
      <c r="A2732" s="4" t="s">
        <v>5480</v>
      </c>
      <c r="B2732" s="4" t="s">
        <v>5481</v>
      </c>
      <c r="C2732" s="4" t="s">
        <v>12</v>
      </c>
      <c r="D2732" s="4" t="s">
        <v>13</v>
      </c>
      <c r="E2732" s="5">
        <v>109.77070000000001</v>
      </c>
      <c r="F2732" s="5">
        <v>112.69540000000001</v>
      </c>
      <c r="G2732" s="5">
        <v>113.27670000000001</v>
      </c>
      <c r="H2732" s="4">
        <v>0</v>
      </c>
      <c r="I2732" s="6">
        <v>540710</v>
      </c>
      <c r="J2732" s="7">
        <v>224.89</v>
      </c>
      <c r="K2732" s="9">
        <f>(PricingDataTable[[#This Row],[Current Price ($)]]-PricingDataTable[[#This Row],[Prior Price ($)]])/PricingDataTable[[#This Row],[Prior Price ($)]]</f>
        <v>2.6643721867492885E-2</v>
      </c>
      <c r="L2732" s="9">
        <f>(PricingDataTable[[#This Row],[Vendor Price ($)]]-PricingDataTable[[#This Row],[Current Price ($)]])/PricingDataTable[[#This Row],[Current Price ($)]]</f>
        <v>5.158151974259808E-3</v>
      </c>
      <c r="M2732" t="str">
        <f t="shared" si="84"/>
        <v>PASS</v>
      </c>
      <c r="N2732" s="10" t="str">
        <f t="shared" si="85"/>
        <v>NONE</v>
      </c>
    </row>
    <row r="2733" spans="1:14">
      <c r="A2733" s="4" t="s">
        <v>5482</v>
      </c>
      <c r="B2733" s="4" t="s">
        <v>5483</v>
      </c>
      <c r="C2733" s="4" t="s">
        <v>19</v>
      </c>
      <c r="D2733" s="4" t="s">
        <v>13</v>
      </c>
      <c r="E2733" s="5">
        <v>172.85409999999999</v>
      </c>
      <c r="F2733" s="5">
        <v>171.66130000000001</v>
      </c>
      <c r="G2733" s="5">
        <v>170.8672</v>
      </c>
      <c r="H2733" s="4">
        <v>0</v>
      </c>
      <c r="I2733" s="6">
        <v>4953935</v>
      </c>
      <c r="J2733" s="7">
        <v>318</v>
      </c>
      <c r="K2733" s="9">
        <f>(PricingDataTable[[#This Row],[Current Price ($)]]-PricingDataTable[[#This Row],[Prior Price ($)]])/PricingDataTable[[#This Row],[Prior Price ($)]]</f>
        <v>-6.90061734144563E-3</v>
      </c>
      <c r="L2733" s="9">
        <f>(PricingDataTable[[#This Row],[Vendor Price ($)]]-PricingDataTable[[#This Row],[Current Price ($)]])/PricingDataTable[[#This Row],[Current Price ($)]]</f>
        <v>-4.6259698604170793E-3</v>
      </c>
      <c r="M2733" t="str">
        <f t="shared" si="84"/>
        <v>PASS</v>
      </c>
      <c r="N2733" s="10" t="str">
        <f t="shared" si="85"/>
        <v>NONE</v>
      </c>
    </row>
    <row r="2734" spans="1:14">
      <c r="A2734" s="4" t="s">
        <v>5484</v>
      </c>
      <c r="B2734" s="4" t="s">
        <v>5485</v>
      </c>
      <c r="C2734" s="4" t="s">
        <v>16</v>
      </c>
      <c r="D2734" s="4" t="s">
        <v>13</v>
      </c>
      <c r="E2734" s="5">
        <v>120.3597</v>
      </c>
      <c r="F2734" s="5">
        <v>119.35380000000001</v>
      </c>
      <c r="G2734" s="5">
        <v>119.76949999999999</v>
      </c>
      <c r="H2734" s="4">
        <v>0</v>
      </c>
      <c r="I2734" s="6">
        <v>4668187</v>
      </c>
      <c r="J2734" s="7">
        <v>441.32</v>
      </c>
      <c r="K2734" s="9">
        <f>(PricingDataTable[[#This Row],[Current Price ($)]]-PricingDataTable[[#This Row],[Prior Price ($)]])/PricingDataTable[[#This Row],[Prior Price ($)]]</f>
        <v>-8.3574485479774117E-3</v>
      </c>
      <c r="L2734" s="9">
        <f>(PricingDataTable[[#This Row],[Vendor Price ($)]]-PricingDataTable[[#This Row],[Current Price ($)]])/PricingDataTable[[#This Row],[Current Price ($)]]</f>
        <v>3.4829222027282485E-3</v>
      </c>
      <c r="M2734" t="str">
        <f t="shared" si="84"/>
        <v>PASS</v>
      </c>
      <c r="N2734" s="10" t="str">
        <f t="shared" si="85"/>
        <v>NONE</v>
      </c>
    </row>
    <row r="2735" spans="1:14">
      <c r="A2735" s="4" t="s">
        <v>5486</v>
      </c>
      <c r="B2735" s="4" t="s">
        <v>5487</v>
      </c>
      <c r="C2735" s="4" t="s">
        <v>19</v>
      </c>
      <c r="D2735" s="4" t="s">
        <v>32</v>
      </c>
      <c r="E2735" s="5">
        <v>59.765599999999999</v>
      </c>
      <c r="F2735" s="5">
        <v>60.510800000000003</v>
      </c>
      <c r="G2735" s="5">
        <v>60.763199999999998</v>
      </c>
      <c r="H2735" s="4">
        <v>0</v>
      </c>
      <c r="I2735" s="6">
        <v>4557422</v>
      </c>
      <c r="J2735" s="7">
        <v>768.5</v>
      </c>
      <c r="K2735" s="9">
        <f>(PricingDataTable[[#This Row],[Current Price ($)]]-PricingDataTable[[#This Row],[Prior Price ($)]])/PricingDataTable[[#This Row],[Prior Price ($)]]</f>
        <v>1.2468711098023012E-2</v>
      </c>
      <c r="L2735" s="9">
        <f>(PricingDataTable[[#This Row],[Vendor Price ($)]]-PricingDataTable[[#This Row],[Current Price ($)]])/PricingDataTable[[#This Row],[Current Price ($)]]</f>
        <v>4.1711562233517716E-3</v>
      </c>
      <c r="M2735" t="str">
        <f t="shared" si="84"/>
        <v>PASS</v>
      </c>
      <c r="N2735" s="10" t="str">
        <f t="shared" si="85"/>
        <v>NONE</v>
      </c>
    </row>
    <row r="2736" spans="1:14">
      <c r="A2736" s="4" t="s">
        <v>5488</v>
      </c>
      <c r="B2736" s="4" t="s">
        <v>5489</v>
      </c>
      <c r="C2736" s="4" t="s">
        <v>16</v>
      </c>
      <c r="D2736" s="4" t="s">
        <v>13</v>
      </c>
      <c r="E2736" s="5">
        <v>119.68859999999999</v>
      </c>
      <c r="F2736" s="5">
        <v>117.8432</v>
      </c>
      <c r="G2736" s="5">
        <v>118.4623</v>
      </c>
      <c r="H2736" s="4">
        <v>3</v>
      </c>
      <c r="I2736" s="6">
        <v>4185546</v>
      </c>
      <c r="J2736" s="7">
        <v>239.62</v>
      </c>
      <c r="K2736" s="9">
        <f>(PricingDataTable[[#This Row],[Current Price ($)]]-PricingDataTable[[#This Row],[Prior Price ($)]])/PricingDataTable[[#This Row],[Prior Price ($)]]</f>
        <v>-1.541834393584684E-2</v>
      </c>
      <c r="L2736" s="9">
        <f>(PricingDataTable[[#This Row],[Vendor Price ($)]]-PricingDataTable[[#This Row],[Current Price ($)]])/PricingDataTable[[#This Row],[Current Price ($)]]</f>
        <v>5.2535912127301626E-3</v>
      </c>
      <c r="M2736" t="str">
        <f t="shared" si="84"/>
        <v>STALE</v>
      </c>
      <c r="N2736" s="10" t="str">
        <f t="shared" si="85"/>
        <v>LOW</v>
      </c>
    </row>
    <row r="2737" spans="1:14">
      <c r="A2737" s="4" t="s">
        <v>5490</v>
      </c>
      <c r="B2737" s="4" t="s">
        <v>5491</v>
      </c>
      <c r="C2737" s="4" t="s">
        <v>19</v>
      </c>
      <c r="D2737" s="4" t="s">
        <v>13</v>
      </c>
      <c r="E2737" s="5">
        <v>59.604599999999998</v>
      </c>
      <c r="F2737" s="5">
        <v>46.174199999999999</v>
      </c>
      <c r="G2737" s="5">
        <v>46.166200000000003</v>
      </c>
      <c r="H2737" s="4">
        <v>1</v>
      </c>
      <c r="I2737" s="6">
        <v>4529521</v>
      </c>
      <c r="J2737" s="7">
        <v>432.27</v>
      </c>
      <c r="K2737" s="9">
        <f>(PricingDataTable[[#This Row],[Current Price ($)]]-PricingDataTable[[#This Row],[Prior Price ($)]])/PricingDataTable[[#This Row],[Prior Price ($)]]</f>
        <v>-0.2253248910319002</v>
      </c>
      <c r="L2737" s="9">
        <f>(PricingDataTable[[#This Row],[Vendor Price ($)]]-PricingDataTable[[#This Row],[Current Price ($)]])/PricingDataTable[[#This Row],[Current Price ($)]]</f>
        <v>-1.7325692702841773E-4</v>
      </c>
      <c r="M2737" t="str">
        <f t="shared" si="84"/>
        <v>LARGE MOVE</v>
      </c>
      <c r="N2737" s="10" t="str">
        <f t="shared" si="85"/>
        <v>HIGH</v>
      </c>
    </row>
    <row r="2738" spans="1:14">
      <c r="A2738" s="4" t="s">
        <v>5492</v>
      </c>
      <c r="B2738" s="4" t="s">
        <v>5493</v>
      </c>
      <c r="C2738" s="4" t="s">
        <v>39</v>
      </c>
      <c r="D2738" s="4" t="s">
        <v>36</v>
      </c>
      <c r="E2738" s="5">
        <v>264.55739999999997</v>
      </c>
      <c r="F2738" s="5">
        <v>264.5061</v>
      </c>
      <c r="G2738" s="5">
        <v>254.4365</v>
      </c>
      <c r="H2738" s="4">
        <v>0</v>
      </c>
      <c r="I2738" s="6">
        <v>3528134</v>
      </c>
      <c r="J2738" s="7">
        <v>437.94</v>
      </c>
      <c r="K2738" s="9">
        <f>(PricingDataTable[[#This Row],[Current Price ($)]]-PricingDataTable[[#This Row],[Prior Price ($)]])/PricingDataTable[[#This Row],[Prior Price ($)]]</f>
        <v>-1.9390876989254228E-4</v>
      </c>
      <c r="L2738" s="9">
        <f>(PricingDataTable[[#This Row],[Vendor Price ($)]]-PricingDataTable[[#This Row],[Current Price ($)]])/PricingDataTable[[#This Row],[Current Price ($)]]</f>
        <v>-3.8069443389018277E-2</v>
      </c>
      <c r="M2738" t="str">
        <f t="shared" si="84"/>
        <v>VENDOR DIFFERENCE</v>
      </c>
      <c r="N2738" s="10" t="str">
        <f t="shared" si="85"/>
        <v>MEDIUM</v>
      </c>
    </row>
    <row r="2739" spans="1:14">
      <c r="A2739" s="4" t="s">
        <v>5494</v>
      </c>
      <c r="B2739" s="4" t="s">
        <v>5495</v>
      </c>
      <c r="C2739" s="4" t="s">
        <v>19</v>
      </c>
      <c r="D2739" s="4" t="s">
        <v>13</v>
      </c>
      <c r="E2739" s="5">
        <v>209.18899999999999</v>
      </c>
      <c r="F2739" s="5">
        <v>204.86080000000001</v>
      </c>
      <c r="G2739" s="5">
        <v>205.23070000000001</v>
      </c>
      <c r="H2739" s="4">
        <v>0</v>
      </c>
      <c r="I2739" s="6">
        <v>2481320</v>
      </c>
      <c r="J2739" s="7">
        <v>349.92</v>
      </c>
      <c r="K2739" s="9">
        <f>(PricingDataTable[[#This Row],[Current Price ($)]]-PricingDataTable[[#This Row],[Prior Price ($)]])/PricingDataTable[[#This Row],[Prior Price ($)]]</f>
        <v>-2.0690380469336252E-2</v>
      </c>
      <c r="L2739" s="9">
        <f>(PricingDataTable[[#This Row],[Vendor Price ($)]]-PricingDataTable[[#This Row],[Current Price ($)]])/PricingDataTable[[#This Row],[Current Price ($)]]</f>
        <v>1.8056163014105247E-3</v>
      </c>
      <c r="M2739" t="str">
        <f t="shared" si="84"/>
        <v>PASS</v>
      </c>
      <c r="N2739" s="10" t="str">
        <f t="shared" si="85"/>
        <v>NONE</v>
      </c>
    </row>
    <row r="2740" spans="1:14">
      <c r="A2740" s="4" t="s">
        <v>5496</v>
      </c>
      <c r="B2740" s="4" t="s">
        <v>5497</v>
      </c>
      <c r="C2740" s="4" t="s">
        <v>35</v>
      </c>
      <c r="D2740" s="4" t="s">
        <v>13</v>
      </c>
      <c r="E2740" s="5">
        <v>147.46850000000001</v>
      </c>
      <c r="F2740" s="5">
        <v>144.7355</v>
      </c>
      <c r="G2740" s="5">
        <v>144.988</v>
      </c>
      <c r="H2740" s="4">
        <v>4</v>
      </c>
      <c r="I2740" s="6">
        <v>1311442</v>
      </c>
      <c r="J2740" s="7">
        <v>713.93</v>
      </c>
      <c r="K2740" s="9">
        <f>(PricingDataTable[[#This Row],[Current Price ($)]]-PricingDataTable[[#This Row],[Prior Price ($)]])/PricingDataTable[[#This Row],[Prior Price ($)]]</f>
        <v>-1.8532771405418813E-2</v>
      </c>
      <c r="L2740" s="9">
        <f>(PricingDataTable[[#This Row],[Vendor Price ($)]]-PricingDataTable[[#This Row],[Current Price ($)]])/PricingDataTable[[#This Row],[Current Price ($)]]</f>
        <v>1.7445616313896571E-3</v>
      </c>
      <c r="M2740" t="str">
        <f t="shared" si="84"/>
        <v>STALE</v>
      </c>
      <c r="N2740" s="10" t="str">
        <f t="shared" si="85"/>
        <v>LOW</v>
      </c>
    </row>
    <row r="2741" spans="1:14">
      <c r="A2741" s="4" t="s">
        <v>5498</v>
      </c>
      <c r="B2741" s="4" t="s">
        <v>5499</v>
      </c>
      <c r="C2741" s="4" t="s">
        <v>35</v>
      </c>
      <c r="D2741" s="4" t="s">
        <v>13</v>
      </c>
      <c r="E2741" s="5">
        <v>22.370899999999999</v>
      </c>
      <c r="F2741" s="5">
        <v>22.590800000000002</v>
      </c>
      <c r="G2741" s="5">
        <v>22.5625</v>
      </c>
      <c r="H2741" s="4">
        <v>0</v>
      </c>
      <c r="I2741" s="6">
        <v>2419430</v>
      </c>
      <c r="J2741" s="7">
        <v>888.25</v>
      </c>
      <c r="K2741" s="9">
        <f>(PricingDataTable[[#This Row],[Current Price ($)]]-PricingDataTable[[#This Row],[Prior Price ($)]])/PricingDataTable[[#This Row],[Prior Price ($)]]</f>
        <v>9.8297341635786972E-3</v>
      </c>
      <c r="L2741" s="9">
        <f>(PricingDataTable[[#This Row],[Vendor Price ($)]]-PricingDataTable[[#This Row],[Current Price ($)]])/PricingDataTable[[#This Row],[Current Price ($)]]</f>
        <v>-1.2527223471502356E-3</v>
      </c>
      <c r="M2741" t="str">
        <f t="shared" si="84"/>
        <v>PASS</v>
      </c>
      <c r="N2741" s="10" t="str">
        <f t="shared" si="85"/>
        <v>NONE</v>
      </c>
    </row>
    <row r="2742" spans="1:14">
      <c r="A2742" s="4" t="s">
        <v>5500</v>
      </c>
      <c r="B2742" s="4" t="s">
        <v>5501</v>
      </c>
      <c r="C2742" s="4" t="s">
        <v>35</v>
      </c>
      <c r="D2742" s="4" t="s">
        <v>13</v>
      </c>
      <c r="E2742" s="5">
        <v>53.582999999999998</v>
      </c>
      <c r="F2742" s="5">
        <v>53.197800000000001</v>
      </c>
      <c r="G2742" s="5">
        <v>53.402700000000003</v>
      </c>
      <c r="H2742" s="4">
        <v>0</v>
      </c>
      <c r="I2742" s="6">
        <v>4729428</v>
      </c>
      <c r="J2742" s="7">
        <v>384.48</v>
      </c>
      <c r="K2742" s="9">
        <f>(PricingDataTable[[#This Row],[Current Price ($)]]-PricingDataTable[[#This Row],[Prior Price ($)]])/PricingDataTable[[#This Row],[Prior Price ($)]]</f>
        <v>-7.1888472090028098E-3</v>
      </c>
      <c r="L2742" s="9">
        <f>(PricingDataTable[[#This Row],[Vendor Price ($)]]-PricingDataTable[[#This Row],[Current Price ($)]])/PricingDataTable[[#This Row],[Current Price ($)]]</f>
        <v>3.8516630386971279E-3</v>
      </c>
      <c r="M2742" t="str">
        <f t="shared" si="84"/>
        <v>PASS</v>
      </c>
      <c r="N2742" s="10" t="str">
        <f t="shared" si="85"/>
        <v>NONE</v>
      </c>
    </row>
    <row r="2743" spans="1:14">
      <c r="A2743" s="4" t="s">
        <v>5502</v>
      </c>
      <c r="B2743" s="4" t="s">
        <v>5503</v>
      </c>
      <c r="C2743" s="4" t="s">
        <v>19</v>
      </c>
      <c r="D2743" s="4" t="s">
        <v>36</v>
      </c>
      <c r="E2743" s="5">
        <v>174.4897</v>
      </c>
      <c r="F2743" s="5">
        <v>174.96899999999999</v>
      </c>
      <c r="G2743" s="5">
        <v>176.3554</v>
      </c>
      <c r="H2743" s="4">
        <v>1</v>
      </c>
      <c r="I2743" s="6">
        <v>4670517</v>
      </c>
      <c r="J2743" s="7">
        <v>84</v>
      </c>
      <c r="K2743" s="9">
        <f>(PricingDataTable[[#This Row],[Current Price ($)]]-PricingDataTable[[#This Row],[Prior Price ($)]])/PricingDataTable[[#This Row],[Prior Price ($)]]</f>
        <v>2.7468670070496708E-3</v>
      </c>
      <c r="L2743" s="9">
        <f>(PricingDataTable[[#This Row],[Vendor Price ($)]]-PricingDataTable[[#This Row],[Current Price ($)]])/PricingDataTable[[#This Row],[Current Price ($)]]</f>
        <v>7.923689339254433E-3</v>
      </c>
      <c r="M2743" t="str">
        <f t="shared" si="84"/>
        <v>PASS</v>
      </c>
      <c r="N2743" s="10" t="str">
        <f t="shared" si="85"/>
        <v>NONE</v>
      </c>
    </row>
    <row r="2744" spans="1:14">
      <c r="A2744" s="4" t="s">
        <v>5504</v>
      </c>
      <c r="B2744" s="4" t="s">
        <v>5505</v>
      </c>
      <c r="C2744" s="4" t="s">
        <v>35</v>
      </c>
      <c r="D2744" s="4" t="s">
        <v>13</v>
      </c>
      <c r="E2744" s="5">
        <v>79.578999999999994</v>
      </c>
      <c r="F2744" s="5">
        <v>79.866500000000002</v>
      </c>
      <c r="G2744" s="5">
        <v>80.114800000000002</v>
      </c>
      <c r="H2744" s="4">
        <v>0</v>
      </c>
      <c r="I2744" s="6">
        <v>2906438</v>
      </c>
      <c r="J2744" s="7">
        <v>812.86</v>
      </c>
      <c r="K2744" s="9">
        <f>(PricingDataTable[[#This Row],[Current Price ($)]]-PricingDataTable[[#This Row],[Prior Price ($)]])/PricingDataTable[[#This Row],[Prior Price ($)]]</f>
        <v>3.6127621608716943E-3</v>
      </c>
      <c r="L2744" s="9">
        <f>(PricingDataTable[[#This Row],[Vendor Price ($)]]-PricingDataTable[[#This Row],[Current Price ($)]])/PricingDataTable[[#This Row],[Current Price ($)]]</f>
        <v>3.1089380403548474E-3</v>
      </c>
      <c r="M2744" t="str">
        <f t="shared" si="84"/>
        <v>PASS</v>
      </c>
      <c r="N2744" s="10" t="str">
        <f t="shared" si="85"/>
        <v>NONE</v>
      </c>
    </row>
    <row r="2745" spans="1:14">
      <c r="A2745" s="4" t="s">
        <v>5506</v>
      </c>
      <c r="B2745" s="4" t="s">
        <v>5507</v>
      </c>
      <c r="C2745" s="4" t="s">
        <v>19</v>
      </c>
      <c r="D2745" s="4" t="s">
        <v>13</v>
      </c>
      <c r="E2745" s="5">
        <v>224.05779999999999</v>
      </c>
      <c r="F2745" s="5">
        <v>217.423</v>
      </c>
      <c r="G2745" s="5">
        <v>217.0609</v>
      </c>
      <c r="H2745" s="4">
        <v>0</v>
      </c>
      <c r="I2745" s="6">
        <v>2040759</v>
      </c>
      <c r="J2745" s="7">
        <v>759.86</v>
      </c>
      <c r="K2745" s="9">
        <f>(PricingDataTable[[#This Row],[Current Price ($)]]-PricingDataTable[[#This Row],[Prior Price ($)]])/PricingDataTable[[#This Row],[Prior Price ($)]]</f>
        <v>-2.9612001903080297E-2</v>
      </c>
      <c r="L2745" s="9">
        <f>(PricingDataTable[[#This Row],[Vendor Price ($)]]-PricingDataTable[[#This Row],[Current Price ($)]])/PricingDataTable[[#This Row],[Current Price ($)]]</f>
        <v>-1.6654171821748301E-3</v>
      </c>
      <c r="M2745" t="str">
        <f t="shared" si="84"/>
        <v>PASS</v>
      </c>
      <c r="N2745" s="10" t="str">
        <f t="shared" si="85"/>
        <v>NONE</v>
      </c>
    </row>
    <row r="2746" spans="1:14">
      <c r="A2746" s="4" t="s">
        <v>5508</v>
      </c>
      <c r="B2746" s="4" t="s">
        <v>5509</v>
      </c>
      <c r="C2746" s="4" t="s">
        <v>19</v>
      </c>
      <c r="D2746" s="4" t="s">
        <v>13</v>
      </c>
      <c r="E2746" s="5">
        <v>171.0419</v>
      </c>
      <c r="F2746" s="5">
        <v>170.66040000000001</v>
      </c>
      <c r="G2746" s="5">
        <v>171.20230000000001</v>
      </c>
      <c r="H2746" s="4">
        <v>0</v>
      </c>
      <c r="I2746" s="6">
        <v>3217931</v>
      </c>
      <c r="J2746" s="7">
        <v>812.24</v>
      </c>
      <c r="K2746" s="9">
        <f>(PricingDataTable[[#This Row],[Current Price ($)]]-PricingDataTable[[#This Row],[Prior Price ($)]])/PricingDataTable[[#This Row],[Prior Price ($)]]</f>
        <v>-2.2304476271602946E-3</v>
      </c>
      <c r="L2746" s="9">
        <f>(PricingDataTable[[#This Row],[Vendor Price ($)]]-PricingDataTable[[#This Row],[Current Price ($)]])/PricingDataTable[[#This Row],[Current Price ($)]]</f>
        <v>3.1753119059840375E-3</v>
      </c>
      <c r="M2746" t="str">
        <f t="shared" si="84"/>
        <v>PASS</v>
      </c>
      <c r="N2746" s="10" t="str">
        <f t="shared" si="85"/>
        <v>NONE</v>
      </c>
    </row>
    <row r="2747" spans="1:14">
      <c r="A2747" s="4" t="s">
        <v>5510</v>
      </c>
      <c r="B2747" s="4" t="s">
        <v>5511</v>
      </c>
      <c r="C2747" s="4" t="s">
        <v>19</v>
      </c>
      <c r="D2747" s="4" t="s">
        <v>13</v>
      </c>
      <c r="E2747" s="5">
        <v>200.4726</v>
      </c>
      <c r="F2747" s="5">
        <v>198.32679999999999</v>
      </c>
      <c r="G2747" s="5">
        <v>198.26259999999999</v>
      </c>
      <c r="H2747" s="4">
        <v>0</v>
      </c>
      <c r="I2747" s="6">
        <v>1573017</v>
      </c>
      <c r="J2747" s="7">
        <v>732.62</v>
      </c>
      <c r="K2747" s="9">
        <f>(PricingDataTable[[#This Row],[Current Price ($)]]-PricingDataTable[[#This Row],[Prior Price ($)]])/PricingDataTable[[#This Row],[Prior Price ($)]]</f>
        <v>-1.0703707140028156E-2</v>
      </c>
      <c r="L2747" s="9">
        <f>(PricingDataTable[[#This Row],[Vendor Price ($)]]-PricingDataTable[[#This Row],[Current Price ($)]])/PricingDataTable[[#This Row],[Current Price ($)]]</f>
        <v>-3.2370814231863569E-4</v>
      </c>
      <c r="M2747" t="str">
        <f t="shared" si="84"/>
        <v>PASS</v>
      </c>
      <c r="N2747" s="10" t="str">
        <f t="shared" si="85"/>
        <v>NONE</v>
      </c>
    </row>
    <row r="2748" spans="1:14">
      <c r="A2748" s="4" t="s">
        <v>5512</v>
      </c>
      <c r="B2748" s="4" t="s">
        <v>5513</v>
      </c>
      <c r="C2748" s="4" t="s">
        <v>35</v>
      </c>
      <c r="D2748" s="4" t="s">
        <v>13</v>
      </c>
      <c r="E2748" s="5">
        <v>4.1886000000000001</v>
      </c>
      <c r="F2748" s="5">
        <v>4.1696999999999997</v>
      </c>
      <c r="G2748" s="5">
        <v>4.1897000000000002</v>
      </c>
      <c r="H2748" s="4">
        <v>0</v>
      </c>
      <c r="I2748" s="6">
        <v>4759648</v>
      </c>
      <c r="J2748" s="7">
        <v>60.63</v>
      </c>
      <c r="K2748" s="9">
        <f>(PricingDataTable[[#This Row],[Current Price ($)]]-PricingDataTable[[#This Row],[Prior Price ($)]])/PricingDataTable[[#This Row],[Prior Price ($)]]</f>
        <v>-4.5122475290073913E-3</v>
      </c>
      <c r="L2748" s="9">
        <f>(PricingDataTable[[#This Row],[Vendor Price ($)]]-PricingDataTable[[#This Row],[Current Price ($)]])/PricingDataTable[[#This Row],[Current Price ($)]]</f>
        <v>4.7965081420726823E-3</v>
      </c>
      <c r="M2748" t="str">
        <f t="shared" si="84"/>
        <v>PASS</v>
      </c>
      <c r="N2748" s="10" t="str">
        <f t="shared" si="85"/>
        <v>NONE</v>
      </c>
    </row>
    <row r="2749" spans="1:14">
      <c r="A2749" s="4" t="s">
        <v>5514</v>
      </c>
      <c r="B2749" s="4" t="s">
        <v>5515</v>
      </c>
      <c r="C2749" s="4" t="s">
        <v>19</v>
      </c>
      <c r="D2749" s="4" t="s">
        <v>13</v>
      </c>
      <c r="E2749" s="5">
        <v>147.79239999999999</v>
      </c>
      <c r="F2749" s="5">
        <v>149.64250000000001</v>
      </c>
      <c r="G2749" s="5">
        <v>149.0745</v>
      </c>
      <c r="H2749" s="4">
        <v>0</v>
      </c>
      <c r="I2749" s="6">
        <v>465096</v>
      </c>
      <c r="J2749" s="7">
        <v>697.34</v>
      </c>
      <c r="K2749" s="9">
        <f>(PricingDataTable[[#This Row],[Current Price ($)]]-PricingDataTable[[#This Row],[Prior Price ($)]])/PricingDataTable[[#This Row],[Prior Price ($)]]</f>
        <v>1.2518235037796437E-2</v>
      </c>
      <c r="L2749" s="9">
        <f>(PricingDataTable[[#This Row],[Vendor Price ($)]]-PricingDataTable[[#This Row],[Current Price ($)]])/PricingDataTable[[#This Row],[Current Price ($)]]</f>
        <v>-3.7957131162605008E-3</v>
      </c>
      <c r="M2749" t="str">
        <f t="shared" si="84"/>
        <v>PASS</v>
      </c>
      <c r="N2749" s="10" t="str">
        <f t="shared" si="85"/>
        <v>NONE</v>
      </c>
    </row>
    <row r="2750" spans="1:14">
      <c r="A2750" s="4" t="s">
        <v>5516</v>
      </c>
      <c r="B2750" s="4" t="s">
        <v>5517</v>
      </c>
      <c r="C2750" s="4" t="s">
        <v>19</v>
      </c>
      <c r="D2750" s="4" t="s">
        <v>13</v>
      </c>
      <c r="E2750" s="5">
        <v>278.6705</v>
      </c>
      <c r="F2750" s="5">
        <v>280.96260000000001</v>
      </c>
      <c r="G2750" s="5">
        <v>280.39769999999999</v>
      </c>
      <c r="H2750" s="4">
        <v>2</v>
      </c>
      <c r="I2750" s="6">
        <v>4785205</v>
      </c>
      <c r="J2750" s="7">
        <v>356.48</v>
      </c>
      <c r="K2750" s="9">
        <f>(PricingDataTable[[#This Row],[Current Price ($)]]-PricingDataTable[[#This Row],[Prior Price ($)]])/PricingDataTable[[#This Row],[Prior Price ($)]]</f>
        <v>8.2251260897727059E-3</v>
      </c>
      <c r="L2750" s="9">
        <f>(PricingDataTable[[#This Row],[Vendor Price ($)]]-PricingDataTable[[#This Row],[Current Price ($)]])/PricingDataTable[[#This Row],[Current Price ($)]]</f>
        <v>-2.0105878860745977E-3</v>
      </c>
      <c r="M2750" t="str">
        <f t="shared" si="84"/>
        <v>PASS</v>
      </c>
      <c r="N2750" s="10" t="str">
        <f t="shared" si="85"/>
        <v>NONE</v>
      </c>
    </row>
    <row r="2751" spans="1:14">
      <c r="A2751" s="4" t="s">
        <v>5518</v>
      </c>
      <c r="B2751" s="4" t="s">
        <v>5519</v>
      </c>
      <c r="C2751" s="4" t="s">
        <v>19</v>
      </c>
      <c r="D2751" s="4" t="s">
        <v>13</v>
      </c>
      <c r="E2751" s="5">
        <v>211.2886</v>
      </c>
      <c r="F2751" s="5">
        <v>213.9649</v>
      </c>
      <c r="G2751" s="5">
        <v>213.57130000000001</v>
      </c>
      <c r="H2751" s="4">
        <v>0</v>
      </c>
      <c r="I2751" s="6">
        <v>4631767</v>
      </c>
      <c r="J2751" s="7">
        <v>131.84</v>
      </c>
      <c r="K2751" s="9">
        <f>(PricingDataTable[[#This Row],[Current Price ($)]]-PricingDataTable[[#This Row],[Prior Price ($)]])/PricingDataTable[[#This Row],[Prior Price ($)]]</f>
        <v>1.2666561281583567E-2</v>
      </c>
      <c r="L2751" s="9">
        <f>(PricingDataTable[[#This Row],[Vendor Price ($)]]-PricingDataTable[[#This Row],[Current Price ($)]])/PricingDataTable[[#This Row],[Current Price ($)]]</f>
        <v>-1.8395540576982121E-3</v>
      </c>
      <c r="M2751" t="str">
        <f t="shared" si="84"/>
        <v>PASS</v>
      </c>
      <c r="N2751" s="10" t="str">
        <f t="shared" si="85"/>
        <v>NONE</v>
      </c>
    </row>
    <row r="2752" spans="1:14">
      <c r="A2752" s="4" t="s">
        <v>5520</v>
      </c>
      <c r="B2752" s="4" t="s">
        <v>5521</v>
      </c>
      <c r="C2752" s="4" t="s">
        <v>35</v>
      </c>
      <c r="D2752" s="4" t="s">
        <v>13</v>
      </c>
      <c r="E2752" s="5">
        <v>169.22200000000001</v>
      </c>
      <c r="F2752" s="5">
        <v>169.2636</v>
      </c>
      <c r="G2752" s="5">
        <v>169.93969999999999</v>
      </c>
      <c r="H2752" s="4">
        <v>0</v>
      </c>
      <c r="I2752" s="6">
        <v>3669713</v>
      </c>
      <c r="J2752" s="7">
        <v>761.02</v>
      </c>
      <c r="K2752" s="9">
        <f>(PricingDataTable[[#This Row],[Current Price ($)]]-PricingDataTable[[#This Row],[Prior Price ($)]])/PricingDataTable[[#This Row],[Prior Price ($)]]</f>
        <v>2.458309203294389E-4</v>
      </c>
      <c r="L2752" s="9">
        <f>(PricingDataTable[[#This Row],[Vendor Price ($)]]-PricingDataTable[[#This Row],[Current Price ($)]])/PricingDataTable[[#This Row],[Current Price ($)]]</f>
        <v>3.9943614575135532E-3</v>
      </c>
      <c r="M2752" t="str">
        <f t="shared" si="84"/>
        <v>PASS</v>
      </c>
      <c r="N2752" s="10" t="str">
        <f t="shared" si="85"/>
        <v>NONE</v>
      </c>
    </row>
    <row r="2753" spans="1:14">
      <c r="A2753" s="4" t="s">
        <v>5522</v>
      </c>
      <c r="B2753" s="4" t="s">
        <v>5523</v>
      </c>
      <c r="C2753" s="4" t="s">
        <v>16</v>
      </c>
      <c r="D2753" s="4" t="s">
        <v>13</v>
      </c>
      <c r="E2753" s="5">
        <v>124.7884</v>
      </c>
      <c r="F2753" s="5">
        <v>123.4588</v>
      </c>
      <c r="G2753" s="5">
        <v>112.3184</v>
      </c>
      <c r="H2753" s="4">
        <v>0</v>
      </c>
      <c r="I2753" s="6">
        <v>3722944</v>
      </c>
      <c r="J2753" s="7">
        <v>633.89</v>
      </c>
      <c r="K2753" s="9">
        <f>(PricingDataTable[[#This Row],[Current Price ($)]]-PricingDataTable[[#This Row],[Prior Price ($)]])/PricingDataTable[[#This Row],[Prior Price ($)]]</f>
        <v>-1.0654836507239449E-2</v>
      </c>
      <c r="L2753" s="9">
        <f>(PricingDataTable[[#This Row],[Vendor Price ($)]]-PricingDataTable[[#This Row],[Current Price ($)]])/PricingDataTable[[#This Row],[Current Price ($)]]</f>
        <v>-9.023577096164874E-2</v>
      </c>
      <c r="M2753" t="str">
        <f t="shared" si="84"/>
        <v>VENDOR DIFFERENCE</v>
      </c>
      <c r="N2753" s="10" t="str">
        <f t="shared" si="85"/>
        <v>HIGH</v>
      </c>
    </row>
    <row r="2754" spans="1:14">
      <c r="A2754" s="4" t="s">
        <v>5524</v>
      </c>
      <c r="B2754" s="4" t="s">
        <v>5525</v>
      </c>
      <c r="C2754" s="4" t="s">
        <v>19</v>
      </c>
      <c r="D2754" s="4" t="s">
        <v>13</v>
      </c>
      <c r="E2754" s="5">
        <v>340.77190000000002</v>
      </c>
      <c r="F2754" s="5">
        <v>329.767</v>
      </c>
      <c r="G2754" s="5">
        <v>329.65550000000002</v>
      </c>
      <c r="H2754" s="4">
        <v>0</v>
      </c>
      <c r="I2754" s="6">
        <v>3396385</v>
      </c>
      <c r="J2754" s="7">
        <v>320.25</v>
      </c>
      <c r="K2754" s="9">
        <f>(PricingDataTable[[#This Row],[Current Price ($)]]-PricingDataTable[[#This Row],[Prior Price ($)]])/PricingDataTable[[#This Row],[Prior Price ($)]]</f>
        <v>-3.2294035981253209E-2</v>
      </c>
      <c r="L2754" s="9">
        <f>(PricingDataTable[[#This Row],[Vendor Price ($)]]-PricingDataTable[[#This Row],[Current Price ($)]])/PricingDataTable[[#This Row],[Current Price ($)]]</f>
        <v>-3.3811751933934619E-4</v>
      </c>
      <c r="M2754" t="str">
        <f t="shared" ref="M2754:M2817" si="86">IF(OR(F2754="",F2754=0),"MISSING",IF(H2754&gt;=3,"STALE",IF(ABS(K2754)&gt;=5%,"LARGE MOVE",IF(ABS(L2754)&gt;=2%,"VENDOR DIFFERENCE","PASS"))))</f>
        <v>PASS</v>
      </c>
      <c r="N2754" s="10" t="str">
        <f t="shared" ref="N2754:N2817" si="87">IF(M2754="PASS","NONE",IF(M2754="MISSING","HIGH",IF(OR(ABS(K2754)&gt;=10%,ABS(L2754)&gt;=5%),"HIGH",IF(OR(ABS(K2754)&gt;=7%,ABS(L2754)&gt;=3%,H2754&gt;=5),"MEDIUM","LOW"))))</f>
        <v>NONE</v>
      </c>
    </row>
    <row r="2755" spans="1:14">
      <c r="A2755" s="4" t="s">
        <v>5526</v>
      </c>
      <c r="B2755" s="4" t="s">
        <v>5527</v>
      </c>
      <c r="C2755" s="4" t="s">
        <v>19</v>
      </c>
      <c r="D2755" s="4" t="s">
        <v>13</v>
      </c>
      <c r="E2755" s="5">
        <v>89.259799999999998</v>
      </c>
      <c r="F2755" s="5">
        <v>88.807400000000001</v>
      </c>
      <c r="G2755" s="5">
        <v>89.004499999999993</v>
      </c>
      <c r="H2755" s="4">
        <v>0</v>
      </c>
      <c r="I2755" s="6">
        <v>1706376</v>
      </c>
      <c r="J2755" s="7">
        <v>525.73</v>
      </c>
      <c r="K2755" s="9">
        <f>(PricingDataTable[[#This Row],[Current Price ($)]]-PricingDataTable[[#This Row],[Prior Price ($)]])/PricingDataTable[[#This Row],[Prior Price ($)]]</f>
        <v>-5.0683510382052979E-3</v>
      </c>
      <c r="L2755" s="9">
        <f>(PricingDataTable[[#This Row],[Vendor Price ($)]]-PricingDataTable[[#This Row],[Current Price ($)]])/PricingDataTable[[#This Row],[Current Price ($)]]</f>
        <v>2.2194096437908534E-3</v>
      </c>
      <c r="M2755" t="str">
        <f t="shared" si="86"/>
        <v>PASS</v>
      </c>
      <c r="N2755" s="10" t="str">
        <f t="shared" si="87"/>
        <v>NONE</v>
      </c>
    </row>
    <row r="2756" spans="1:14">
      <c r="A2756" s="4" t="s">
        <v>5528</v>
      </c>
      <c r="B2756" s="4" t="s">
        <v>5529</v>
      </c>
      <c r="C2756" s="4" t="s">
        <v>19</v>
      </c>
      <c r="D2756" s="4" t="s">
        <v>32</v>
      </c>
      <c r="E2756" s="5">
        <v>115.9802</v>
      </c>
      <c r="F2756" s="5">
        <v>118.39109999999999</v>
      </c>
      <c r="G2756" s="5">
        <v>118.7846</v>
      </c>
      <c r="H2756" s="4">
        <v>0</v>
      </c>
      <c r="I2756" s="6">
        <v>4202134</v>
      </c>
      <c r="J2756" s="7">
        <v>273.88</v>
      </c>
      <c r="K2756" s="9">
        <f>(PricingDataTable[[#This Row],[Current Price ($)]]-PricingDataTable[[#This Row],[Prior Price ($)]])/PricingDataTable[[#This Row],[Prior Price ($)]]</f>
        <v>2.0787168844337206E-2</v>
      </c>
      <c r="L2756" s="9">
        <f>(PricingDataTable[[#This Row],[Vendor Price ($)]]-PricingDataTable[[#This Row],[Current Price ($)]])/PricingDataTable[[#This Row],[Current Price ($)]]</f>
        <v>3.3237295708883783E-3</v>
      </c>
      <c r="M2756" t="str">
        <f t="shared" si="86"/>
        <v>PASS</v>
      </c>
      <c r="N2756" s="10" t="str">
        <f t="shared" si="87"/>
        <v>NONE</v>
      </c>
    </row>
    <row r="2757" spans="1:14">
      <c r="A2757" s="4" t="s">
        <v>5530</v>
      </c>
      <c r="B2757" s="4" t="s">
        <v>5531</v>
      </c>
      <c r="C2757" s="4" t="s">
        <v>12</v>
      </c>
      <c r="D2757" s="4" t="s">
        <v>32</v>
      </c>
      <c r="E2757" s="5">
        <v>109.5341</v>
      </c>
      <c r="F2757" s="5">
        <v>109.9686</v>
      </c>
      <c r="G2757" s="5">
        <v>109.6739</v>
      </c>
      <c r="H2757" s="4">
        <v>0</v>
      </c>
      <c r="I2757" s="6">
        <v>3112820</v>
      </c>
      <c r="J2757" s="7">
        <v>30.11</v>
      </c>
      <c r="K2757" s="9">
        <f>(PricingDataTable[[#This Row],[Current Price ($)]]-PricingDataTable[[#This Row],[Prior Price ($)]])/PricingDataTable[[#This Row],[Prior Price ($)]]</f>
        <v>3.9668012061997125E-3</v>
      </c>
      <c r="L2757" s="9">
        <f>(PricingDataTable[[#This Row],[Vendor Price ($)]]-PricingDataTable[[#This Row],[Current Price ($)]])/PricingDataTable[[#This Row],[Current Price ($)]]</f>
        <v>-2.6798558861346944E-3</v>
      </c>
      <c r="M2757" t="str">
        <f t="shared" si="86"/>
        <v>PASS</v>
      </c>
      <c r="N2757" s="10" t="str">
        <f t="shared" si="87"/>
        <v>NONE</v>
      </c>
    </row>
    <row r="2758" spans="1:14">
      <c r="A2758" s="4" t="s">
        <v>5532</v>
      </c>
      <c r="B2758" s="4" t="s">
        <v>5533</v>
      </c>
      <c r="C2758" s="4" t="s">
        <v>19</v>
      </c>
      <c r="D2758" s="4" t="s">
        <v>32</v>
      </c>
      <c r="E2758" s="5">
        <v>299.40300000000002</v>
      </c>
      <c r="F2758" s="5">
        <v>296.27550000000002</v>
      </c>
      <c r="G2758" s="5">
        <v>296.77510000000001</v>
      </c>
      <c r="H2758" s="4">
        <v>0</v>
      </c>
      <c r="I2758" s="6">
        <v>4638144</v>
      </c>
      <c r="J2758" s="7">
        <v>405.02</v>
      </c>
      <c r="K2758" s="9">
        <f>(PricingDataTable[[#This Row],[Current Price ($)]]-PricingDataTable[[#This Row],[Prior Price ($)]])/PricingDataTable[[#This Row],[Prior Price ($)]]</f>
        <v>-1.044578711636155E-2</v>
      </c>
      <c r="L2758" s="9">
        <f>(PricingDataTable[[#This Row],[Vendor Price ($)]]-PricingDataTable[[#This Row],[Current Price ($)]])/PricingDataTable[[#This Row],[Current Price ($)]]</f>
        <v>1.6862683549601189E-3</v>
      </c>
      <c r="M2758" t="str">
        <f t="shared" si="86"/>
        <v>PASS</v>
      </c>
      <c r="N2758" s="10" t="str">
        <f t="shared" si="87"/>
        <v>NONE</v>
      </c>
    </row>
    <row r="2759" spans="1:14">
      <c r="A2759" s="4" t="s">
        <v>5534</v>
      </c>
      <c r="B2759" s="4" t="s">
        <v>5535</v>
      </c>
      <c r="C2759" s="4" t="s">
        <v>16</v>
      </c>
      <c r="D2759" s="4" t="s">
        <v>36</v>
      </c>
      <c r="E2759" s="5">
        <v>121.84350000000001</v>
      </c>
      <c r="F2759" s="5">
        <v>122.1474</v>
      </c>
      <c r="G2759" s="5">
        <v>122.6168</v>
      </c>
      <c r="H2759" s="4">
        <v>0</v>
      </c>
      <c r="I2759" s="6">
        <v>1432508</v>
      </c>
      <c r="J2759" s="7">
        <v>279.3</v>
      </c>
      <c r="K2759" s="9">
        <f>(PricingDataTable[[#This Row],[Current Price ($)]]-PricingDataTable[[#This Row],[Prior Price ($)]])/PricingDataTable[[#This Row],[Prior Price ($)]]</f>
        <v>2.4941831119427685E-3</v>
      </c>
      <c r="L2759" s="9">
        <f>(PricingDataTable[[#This Row],[Vendor Price ($)]]-PricingDataTable[[#This Row],[Current Price ($)]])/PricingDataTable[[#This Row],[Current Price ($)]]</f>
        <v>3.8428980068343096E-3</v>
      </c>
      <c r="M2759" t="str">
        <f t="shared" si="86"/>
        <v>PASS</v>
      </c>
      <c r="N2759" s="10" t="str">
        <f t="shared" si="87"/>
        <v>NONE</v>
      </c>
    </row>
    <row r="2760" spans="1:14">
      <c r="A2760" s="4" t="s">
        <v>5536</v>
      </c>
      <c r="B2760" s="4" t="s">
        <v>5537</v>
      </c>
      <c r="C2760" s="4" t="s">
        <v>19</v>
      </c>
      <c r="D2760" s="4" t="s">
        <v>13</v>
      </c>
      <c r="E2760" s="5">
        <v>305.81229999999999</v>
      </c>
      <c r="F2760" s="5">
        <v>303.66829999999999</v>
      </c>
      <c r="G2760" s="5">
        <v>303.93490000000003</v>
      </c>
      <c r="H2760" s="4">
        <v>0</v>
      </c>
      <c r="I2760" s="6">
        <v>2188784</v>
      </c>
      <c r="J2760" s="7">
        <v>615.17999999999995</v>
      </c>
      <c r="K2760" s="9">
        <f>(PricingDataTable[[#This Row],[Current Price ($)]]-PricingDataTable[[#This Row],[Prior Price ($)]])/PricingDataTable[[#This Row],[Prior Price ($)]]</f>
        <v>-7.0108363855868631E-3</v>
      </c>
      <c r="L2760" s="9">
        <f>(PricingDataTable[[#This Row],[Vendor Price ($)]]-PricingDataTable[[#This Row],[Current Price ($)]])/PricingDataTable[[#This Row],[Current Price ($)]]</f>
        <v>8.7793161156445856E-4</v>
      </c>
      <c r="M2760" t="str">
        <f t="shared" si="86"/>
        <v>PASS</v>
      </c>
      <c r="N2760" s="10" t="str">
        <f t="shared" si="87"/>
        <v>NONE</v>
      </c>
    </row>
    <row r="2761" spans="1:14">
      <c r="A2761" s="4" t="s">
        <v>5538</v>
      </c>
      <c r="B2761" s="4" t="s">
        <v>5539</v>
      </c>
      <c r="C2761" s="4" t="s">
        <v>35</v>
      </c>
      <c r="D2761" s="4" t="s">
        <v>13</v>
      </c>
      <c r="E2761" s="5">
        <v>168.14670000000001</v>
      </c>
      <c r="F2761" s="5">
        <v>167.11529999999999</v>
      </c>
      <c r="G2761" s="5">
        <v>167.08959999999999</v>
      </c>
      <c r="H2761" s="4">
        <v>0</v>
      </c>
      <c r="I2761" s="6">
        <v>3348814</v>
      </c>
      <c r="J2761" s="7">
        <v>427.43</v>
      </c>
      <c r="K2761" s="9">
        <f>(PricingDataTable[[#This Row],[Current Price ($)]]-PricingDataTable[[#This Row],[Prior Price ($)]])/PricingDataTable[[#This Row],[Prior Price ($)]]</f>
        <v>-6.1339294794368199E-3</v>
      </c>
      <c r="L2761" s="9">
        <f>(PricingDataTable[[#This Row],[Vendor Price ($)]]-PricingDataTable[[#This Row],[Current Price ($)]])/PricingDataTable[[#This Row],[Current Price ($)]]</f>
        <v>-1.5378603874092019E-4</v>
      </c>
      <c r="M2761" t="str">
        <f t="shared" si="86"/>
        <v>PASS</v>
      </c>
      <c r="N2761" s="10" t="str">
        <f t="shared" si="87"/>
        <v>NONE</v>
      </c>
    </row>
    <row r="2762" spans="1:14">
      <c r="A2762" s="4" t="s">
        <v>5540</v>
      </c>
      <c r="B2762" s="4" t="s">
        <v>5541</v>
      </c>
      <c r="C2762" s="4" t="s">
        <v>16</v>
      </c>
      <c r="D2762" s="4" t="s">
        <v>13</v>
      </c>
      <c r="E2762" s="5">
        <v>87.175700000000006</v>
      </c>
      <c r="F2762" s="5">
        <v>88.762500000000003</v>
      </c>
      <c r="G2762" s="5">
        <v>88.520200000000003</v>
      </c>
      <c r="H2762" s="4">
        <v>0</v>
      </c>
      <c r="I2762" s="6">
        <v>3708081</v>
      </c>
      <c r="J2762" s="7">
        <v>433.36</v>
      </c>
      <c r="K2762" s="9">
        <f>(PricingDataTable[[#This Row],[Current Price ($)]]-PricingDataTable[[#This Row],[Prior Price ($)]])/PricingDataTable[[#This Row],[Prior Price ($)]]</f>
        <v>1.8202320141966127E-2</v>
      </c>
      <c r="L2762" s="9">
        <f>(PricingDataTable[[#This Row],[Vendor Price ($)]]-PricingDataTable[[#This Row],[Current Price ($)]])/PricingDataTable[[#This Row],[Current Price ($)]]</f>
        <v>-2.7297563723419258E-3</v>
      </c>
      <c r="M2762" t="str">
        <f t="shared" si="86"/>
        <v>PASS</v>
      </c>
      <c r="N2762" s="10" t="str">
        <f t="shared" si="87"/>
        <v>NONE</v>
      </c>
    </row>
    <row r="2763" spans="1:14">
      <c r="A2763" s="4" t="s">
        <v>5542</v>
      </c>
      <c r="B2763" s="4" t="s">
        <v>5543</v>
      </c>
      <c r="C2763" s="4" t="s">
        <v>16</v>
      </c>
      <c r="D2763" s="4" t="s">
        <v>13</v>
      </c>
      <c r="E2763" s="5">
        <v>76.954999999999998</v>
      </c>
      <c r="F2763" s="5">
        <v>76.141300000000001</v>
      </c>
      <c r="G2763" s="5">
        <v>76.517300000000006</v>
      </c>
      <c r="H2763" s="4">
        <v>1</v>
      </c>
      <c r="I2763" s="6">
        <v>4535709</v>
      </c>
      <c r="J2763" s="7">
        <v>820.77</v>
      </c>
      <c r="K2763" s="9">
        <f>(PricingDataTable[[#This Row],[Current Price ($)]]-PricingDataTable[[#This Row],[Prior Price ($)]])/PricingDataTable[[#This Row],[Prior Price ($)]]</f>
        <v>-1.0573711909557498E-2</v>
      </c>
      <c r="L2763" s="9">
        <f>(PricingDataTable[[#This Row],[Vendor Price ($)]]-PricingDataTable[[#This Row],[Current Price ($)]])/PricingDataTable[[#This Row],[Current Price ($)]]</f>
        <v>4.9381872912598653E-3</v>
      </c>
      <c r="M2763" t="str">
        <f t="shared" si="86"/>
        <v>PASS</v>
      </c>
      <c r="N2763" s="10" t="str">
        <f t="shared" si="87"/>
        <v>NONE</v>
      </c>
    </row>
    <row r="2764" spans="1:14">
      <c r="A2764" s="4" t="s">
        <v>5544</v>
      </c>
      <c r="B2764" s="4" t="s">
        <v>5545</v>
      </c>
      <c r="C2764" s="4" t="s">
        <v>16</v>
      </c>
      <c r="D2764" s="4" t="s">
        <v>13</v>
      </c>
      <c r="E2764" s="5">
        <v>99.221500000000006</v>
      </c>
      <c r="F2764" s="5">
        <v>98.9285</v>
      </c>
      <c r="G2764" s="5">
        <v>99.199100000000001</v>
      </c>
      <c r="H2764" s="4">
        <v>0</v>
      </c>
      <c r="I2764" s="6">
        <v>138708</v>
      </c>
      <c r="J2764" s="7">
        <v>713.72</v>
      </c>
      <c r="K2764" s="9">
        <f>(PricingDataTable[[#This Row],[Current Price ($)]]-PricingDataTable[[#This Row],[Prior Price ($)]])/PricingDataTable[[#This Row],[Prior Price ($)]]</f>
        <v>-2.9529890195170035E-3</v>
      </c>
      <c r="L2764" s="9">
        <f>(PricingDataTable[[#This Row],[Vendor Price ($)]]-PricingDataTable[[#This Row],[Current Price ($)]])/PricingDataTable[[#This Row],[Current Price ($)]]</f>
        <v>2.7353088341580205E-3</v>
      </c>
      <c r="M2764" t="str">
        <f t="shared" si="86"/>
        <v>PASS</v>
      </c>
      <c r="N2764" s="10" t="str">
        <f t="shared" si="87"/>
        <v>NONE</v>
      </c>
    </row>
    <row r="2765" spans="1:14">
      <c r="A2765" s="4" t="s">
        <v>5546</v>
      </c>
      <c r="B2765" s="4" t="s">
        <v>5547</v>
      </c>
      <c r="C2765" s="4" t="s">
        <v>19</v>
      </c>
      <c r="D2765" s="4" t="s">
        <v>13</v>
      </c>
      <c r="E2765" s="5">
        <v>332.89350000000002</v>
      </c>
      <c r="F2765" s="5">
        <v>333.31369999999998</v>
      </c>
      <c r="G2765" s="5">
        <v>332.00110000000001</v>
      </c>
      <c r="H2765" s="4">
        <v>0</v>
      </c>
      <c r="I2765" s="6">
        <v>962171</v>
      </c>
      <c r="J2765" s="7">
        <v>77.569999999999993</v>
      </c>
      <c r="K2765" s="9">
        <f>(PricingDataTable[[#This Row],[Current Price ($)]]-PricingDataTable[[#This Row],[Prior Price ($)]])/PricingDataTable[[#This Row],[Prior Price ($)]]</f>
        <v>1.2622655594055326E-3</v>
      </c>
      <c r="L2765" s="9">
        <f>(PricingDataTable[[#This Row],[Vendor Price ($)]]-PricingDataTable[[#This Row],[Current Price ($)]])/PricingDataTable[[#This Row],[Current Price ($)]]</f>
        <v>-3.9380319500817848E-3</v>
      </c>
      <c r="M2765" t="str">
        <f t="shared" si="86"/>
        <v>PASS</v>
      </c>
      <c r="N2765" s="10" t="str">
        <f t="shared" si="87"/>
        <v>NONE</v>
      </c>
    </row>
    <row r="2766" spans="1:14">
      <c r="A2766" s="4" t="s">
        <v>5548</v>
      </c>
      <c r="B2766" s="4" t="s">
        <v>5549</v>
      </c>
      <c r="C2766" s="4" t="s">
        <v>12</v>
      </c>
      <c r="D2766" s="4" t="s">
        <v>237</v>
      </c>
      <c r="E2766" s="5">
        <v>79.4666</v>
      </c>
      <c r="F2766" s="5">
        <v>79.362099999999998</v>
      </c>
      <c r="G2766" s="5">
        <v>79.327100000000002</v>
      </c>
      <c r="H2766" s="4">
        <v>0</v>
      </c>
      <c r="I2766" s="6">
        <v>2617317</v>
      </c>
      <c r="J2766" s="7">
        <v>302.27999999999997</v>
      </c>
      <c r="K2766" s="9">
        <f>(PricingDataTable[[#This Row],[Current Price ($)]]-PricingDataTable[[#This Row],[Prior Price ($)]])/PricingDataTable[[#This Row],[Prior Price ($)]]</f>
        <v>-1.3150178817264309E-3</v>
      </c>
      <c r="L2766" s="9">
        <f>(PricingDataTable[[#This Row],[Vendor Price ($)]]-PricingDataTable[[#This Row],[Current Price ($)]])/PricingDataTable[[#This Row],[Current Price ($)]]</f>
        <v>-4.4101655576146031E-4</v>
      </c>
      <c r="M2766" t="str">
        <f t="shared" si="86"/>
        <v>PASS</v>
      </c>
      <c r="N2766" s="10" t="str">
        <f t="shared" si="87"/>
        <v>NONE</v>
      </c>
    </row>
    <row r="2767" spans="1:14">
      <c r="A2767" s="4" t="s">
        <v>5550</v>
      </c>
      <c r="B2767" s="4" t="s">
        <v>5551</v>
      </c>
      <c r="C2767" s="4" t="s">
        <v>35</v>
      </c>
      <c r="D2767" s="4" t="s">
        <v>13</v>
      </c>
      <c r="E2767" s="5">
        <v>26.524699999999999</v>
      </c>
      <c r="F2767" s="5">
        <v>26.476400000000002</v>
      </c>
      <c r="G2767" s="5">
        <v>26.464099999999998</v>
      </c>
      <c r="H2767" s="4">
        <v>1</v>
      </c>
      <c r="I2767" s="6">
        <v>2582598</v>
      </c>
      <c r="J2767" s="7">
        <v>561.51</v>
      </c>
      <c r="K2767" s="9">
        <f>(PricingDataTable[[#This Row],[Current Price ($)]]-PricingDataTable[[#This Row],[Prior Price ($)]])/PricingDataTable[[#This Row],[Prior Price ($)]]</f>
        <v>-1.8209442519612877E-3</v>
      </c>
      <c r="L2767" s="9">
        <f>(PricingDataTable[[#This Row],[Vendor Price ($)]]-PricingDataTable[[#This Row],[Current Price ($)]])/PricingDataTable[[#This Row],[Current Price ($)]]</f>
        <v>-4.64564668912817E-4</v>
      </c>
      <c r="M2767" t="str">
        <f t="shared" si="86"/>
        <v>PASS</v>
      </c>
      <c r="N2767" s="10" t="str">
        <f t="shared" si="87"/>
        <v>NONE</v>
      </c>
    </row>
    <row r="2768" spans="1:14">
      <c r="A2768" s="4" t="s">
        <v>5552</v>
      </c>
      <c r="B2768" s="4" t="s">
        <v>5553</v>
      </c>
      <c r="C2768" s="4" t="s">
        <v>12</v>
      </c>
      <c r="D2768" s="4" t="s">
        <v>32</v>
      </c>
      <c r="E2768" s="5">
        <v>117.61499999999999</v>
      </c>
      <c r="F2768" s="5">
        <v>116.625</v>
      </c>
      <c r="G2768" s="5">
        <v>116.2895</v>
      </c>
      <c r="H2768" s="4">
        <v>1</v>
      </c>
      <c r="I2768" s="6">
        <v>3385383</v>
      </c>
      <c r="J2768" s="7">
        <v>263.73</v>
      </c>
      <c r="K2768" s="9">
        <f>(PricingDataTable[[#This Row],[Current Price ($)]]-PricingDataTable[[#This Row],[Prior Price ($)]])/PricingDataTable[[#This Row],[Prior Price ($)]]</f>
        <v>-8.4172937125366228E-3</v>
      </c>
      <c r="L2768" s="9">
        <f>(PricingDataTable[[#This Row],[Vendor Price ($)]]-PricingDataTable[[#This Row],[Current Price ($)]])/PricingDataTable[[#This Row],[Current Price ($)]]</f>
        <v>-2.8767416934619176E-3</v>
      </c>
      <c r="M2768" t="str">
        <f t="shared" si="86"/>
        <v>PASS</v>
      </c>
      <c r="N2768" s="10" t="str">
        <f t="shared" si="87"/>
        <v>NONE</v>
      </c>
    </row>
    <row r="2769" spans="1:14">
      <c r="A2769" s="4" t="s">
        <v>5554</v>
      </c>
      <c r="B2769" s="4" t="s">
        <v>5555</v>
      </c>
      <c r="C2769" s="4" t="s">
        <v>19</v>
      </c>
      <c r="D2769" s="4" t="s">
        <v>13</v>
      </c>
      <c r="E2769" s="5">
        <v>182.41560000000001</v>
      </c>
      <c r="F2769" s="5">
        <v>182.3175</v>
      </c>
      <c r="G2769" s="5">
        <v>181.6883</v>
      </c>
      <c r="H2769" s="4">
        <v>0</v>
      </c>
      <c r="I2769" s="6">
        <v>1544317</v>
      </c>
      <c r="J2769" s="7">
        <v>234.72</v>
      </c>
      <c r="K2769" s="9">
        <f>(PricingDataTable[[#This Row],[Current Price ($)]]-PricingDataTable[[#This Row],[Prior Price ($)]])/PricingDataTable[[#This Row],[Prior Price ($)]]</f>
        <v>-5.3778295277386642E-4</v>
      </c>
      <c r="L2769" s="9">
        <f>(PricingDataTable[[#This Row],[Vendor Price ($)]]-PricingDataTable[[#This Row],[Current Price ($)]])/PricingDataTable[[#This Row],[Current Price ($)]]</f>
        <v>-3.4511223552319299E-3</v>
      </c>
      <c r="M2769" t="str">
        <f t="shared" si="86"/>
        <v>PASS</v>
      </c>
      <c r="N2769" s="10" t="str">
        <f t="shared" si="87"/>
        <v>NONE</v>
      </c>
    </row>
    <row r="2770" spans="1:14">
      <c r="A2770" s="4" t="s">
        <v>5556</v>
      </c>
      <c r="B2770" s="4" t="s">
        <v>5557</v>
      </c>
      <c r="C2770" s="4" t="s">
        <v>12</v>
      </c>
      <c r="D2770" s="4" t="s">
        <v>13</v>
      </c>
      <c r="E2770" s="5">
        <v>95.068899999999999</v>
      </c>
      <c r="F2770" s="5">
        <v>95.090599999999995</v>
      </c>
      <c r="G2770" s="5">
        <v>95.480699999999999</v>
      </c>
      <c r="H2770" s="4">
        <v>0</v>
      </c>
      <c r="I2770" s="6">
        <v>4604441</v>
      </c>
      <c r="J2770" s="7">
        <v>16.559999999999999</v>
      </c>
      <c r="K2770" s="9">
        <f>(PricingDataTable[[#This Row],[Current Price ($)]]-PricingDataTable[[#This Row],[Prior Price ($)]])/PricingDataTable[[#This Row],[Prior Price ($)]]</f>
        <v>2.2825550732148592E-4</v>
      </c>
      <c r="L2770" s="9">
        <f>(PricingDataTable[[#This Row],[Vendor Price ($)]]-PricingDataTable[[#This Row],[Current Price ($)]])/PricingDataTable[[#This Row],[Current Price ($)]]</f>
        <v>4.1024033921334378E-3</v>
      </c>
      <c r="M2770" t="str">
        <f t="shared" si="86"/>
        <v>PASS</v>
      </c>
      <c r="N2770" s="10" t="str">
        <f t="shared" si="87"/>
        <v>NONE</v>
      </c>
    </row>
    <row r="2771" spans="1:14">
      <c r="A2771" s="4" t="s">
        <v>5558</v>
      </c>
      <c r="B2771" s="4" t="s">
        <v>5559</v>
      </c>
      <c r="C2771" s="4" t="s">
        <v>39</v>
      </c>
      <c r="D2771" s="4" t="s">
        <v>13</v>
      </c>
      <c r="E2771" s="5">
        <v>259.93189999999998</v>
      </c>
      <c r="F2771" s="5">
        <v>258.05489999999998</v>
      </c>
      <c r="G2771" s="5">
        <v>258.06709999999998</v>
      </c>
      <c r="H2771" s="4">
        <v>1</v>
      </c>
      <c r="I2771" s="6">
        <v>428229</v>
      </c>
      <c r="J2771" s="7">
        <v>508.25</v>
      </c>
      <c r="K2771" s="9">
        <f>(PricingDataTable[[#This Row],[Current Price ($)]]-PricingDataTable[[#This Row],[Prior Price ($)]])/PricingDataTable[[#This Row],[Prior Price ($)]]</f>
        <v>-7.221122147762586E-3</v>
      </c>
      <c r="L2771" s="9">
        <f>(PricingDataTable[[#This Row],[Vendor Price ($)]]-PricingDataTable[[#This Row],[Current Price ($)]])/PricingDataTable[[#This Row],[Current Price ($)]]</f>
        <v>4.7276761650358491E-5</v>
      </c>
      <c r="M2771" t="str">
        <f t="shared" si="86"/>
        <v>PASS</v>
      </c>
      <c r="N2771" s="10" t="str">
        <f t="shared" si="87"/>
        <v>NONE</v>
      </c>
    </row>
    <row r="2772" spans="1:14">
      <c r="A2772" s="4" t="s">
        <v>5560</v>
      </c>
      <c r="B2772" s="4" t="s">
        <v>5561</v>
      </c>
      <c r="C2772" s="4" t="s">
        <v>19</v>
      </c>
      <c r="D2772" s="4" t="s">
        <v>13</v>
      </c>
      <c r="E2772" s="5">
        <v>12.7578</v>
      </c>
      <c r="F2772" s="5">
        <v>12.4177</v>
      </c>
      <c r="G2772" s="5">
        <v>12.3652</v>
      </c>
      <c r="H2772" s="4">
        <v>4</v>
      </c>
      <c r="I2772" s="6">
        <v>150470</v>
      </c>
      <c r="J2772" s="7">
        <v>206.99</v>
      </c>
      <c r="K2772" s="9">
        <f>(PricingDataTable[[#This Row],[Current Price ($)]]-PricingDataTable[[#This Row],[Prior Price ($)]])/PricingDataTable[[#This Row],[Prior Price ($)]]</f>
        <v>-2.6658201257270035E-2</v>
      </c>
      <c r="L2772" s="9">
        <f>(PricingDataTable[[#This Row],[Vendor Price ($)]]-PricingDataTable[[#This Row],[Current Price ($)]])/PricingDataTable[[#This Row],[Current Price ($)]]</f>
        <v>-4.2278360727026915E-3</v>
      </c>
      <c r="M2772" t="str">
        <f t="shared" si="86"/>
        <v>STALE</v>
      </c>
      <c r="N2772" s="10" t="str">
        <f t="shared" si="87"/>
        <v>LOW</v>
      </c>
    </row>
    <row r="2773" spans="1:14">
      <c r="A2773" s="4" t="s">
        <v>5562</v>
      </c>
      <c r="B2773" s="4" t="s">
        <v>5563</v>
      </c>
      <c r="C2773" s="4" t="s">
        <v>19</v>
      </c>
      <c r="D2773" s="4" t="s">
        <v>13</v>
      </c>
      <c r="E2773" s="5">
        <v>240.3424</v>
      </c>
      <c r="F2773" s="5">
        <v>237.72649999999999</v>
      </c>
      <c r="G2773" s="5">
        <v>237.51849999999999</v>
      </c>
      <c r="H2773" s="4">
        <v>0</v>
      </c>
      <c r="I2773" s="6">
        <v>3102204</v>
      </c>
      <c r="J2773" s="7">
        <v>395.39</v>
      </c>
      <c r="K2773" s="9">
        <f>(PricingDataTable[[#This Row],[Current Price ($)]]-PricingDataTable[[#This Row],[Prior Price ($)]])/PricingDataTable[[#This Row],[Prior Price ($)]]</f>
        <v>-1.0884055414275678E-2</v>
      </c>
      <c r="L2773" s="9">
        <f>(PricingDataTable[[#This Row],[Vendor Price ($)]]-PricingDataTable[[#This Row],[Current Price ($)]])/PricingDataTable[[#This Row],[Current Price ($)]]</f>
        <v>-8.749550428748937E-4</v>
      </c>
      <c r="M2773" t="str">
        <f t="shared" si="86"/>
        <v>PASS</v>
      </c>
      <c r="N2773" s="10" t="str">
        <f t="shared" si="87"/>
        <v>NONE</v>
      </c>
    </row>
    <row r="2774" spans="1:14">
      <c r="A2774" s="4" t="s">
        <v>5564</v>
      </c>
      <c r="B2774" s="4" t="s">
        <v>5565</v>
      </c>
      <c r="C2774" s="4" t="s">
        <v>39</v>
      </c>
      <c r="D2774" s="4" t="s">
        <v>13</v>
      </c>
      <c r="E2774" s="5">
        <v>44.9377</v>
      </c>
      <c r="F2774" s="5">
        <v>44.262700000000002</v>
      </c>
      <c r="G2774" s="5">
        <v>44.326799999999999</v>
      </c>
      <c r="H2774" s="4">
        <v>2</v>
      </c>
      <c r="I2774" s="6">
        <v>4899975</v>
      </c>
      <c r="J2774" s="7">
        <v>319.32</v>
      </c>
      <c r="K2774" s="9">
        <f>(PricingDataTable[[#This Row],[Current Price ($)]]-PricingDataTable[[#This Row],[Prior Price ($)]])/PricingDataTable[[#This Row],[Prior Price ($)]]</f>
        <v>-1.502079545682127E-2</v>
      </c>
      <c r="L2774" s="9">
        <f>(PricingDataTable[[#This Row],[Vendor Price ($)]]-PricingDataTable[[#This Row],[Current Price ($)]])/PricingDataTable[[#This Row],[Current Price ($)]]</f>
        <v>1.4481719370936764E-3</v>
      </c>
      <c r="M2774" t="str">
        <f t="shared" si="86"/>
        <v>PASS</v>
      </c>
      <c r="N2774" s="10" t="str">
        <f t="shared" si="87"/>
        <v>NONE</v>
      </c>
    </row>
    <row r="2775" spans="1:14">
      <c r="A2775" s="4" t="s">
        <v>5566</v>
      </c>
      <c r="B2775" s="4" t="s">
        <v>5567</v>
      </c>
      <c r="C2775" s="4" t="s">
        <v>35</v>
      </c>
      <c r="D2775" s="4" t="s">
        <v>13</v>
      </c>
      <c r="E2775" s="5">
        <v>66.767099999999999</v>
      </c>
      <c r="F2775" s="5">
        <v>65.703699999999998</v>
      </c>
      <c r="G2775" s="5">
        <v>65.608800000000002</v>
      </c>
      <c r="H2775" s="4">
        <v>0</v>
      </c>
      <c r="I2775" s="6">
        <v>1850443</v>
      </c>
      <c r="J2775" s="7">
        <v>80.78</v>
      </c>
      <c r="K2775" s="9">
        <f>(PricingDataTable[[#This Row],[Current Price ($)]]-PricingDataTable[[#This Row],[Prior Price ($)]])/PricingDataTable[[#This Row],[Prior Price ($)]]</f>
        <v>-1.5927005965512976E-2</v>
      </c>
      <c r="L2775" s="9">
        <f>(PricingDataTable[[#This Row],[Vendor Price ($)]]-PricingDataTable[[#This Row],[Current Price ($)]])/PricingDataTable[[#This Row],[Current Price ($)]]</f>
        <v>-1.4443631028388895E-3</v>
      </c>
      <c r="M2775" t="str">
        <f t="shared" si="86"/>
        <v>PASS</v>
      </c>
      <c r="N2775" s="10" t="str">
        <f t="shared" si="87"/>
        <v>NONE</v>
      </c>
    </row>
    <row r="2776" spans="1:14">
      <c r="A2776" s="4" t="s">
        <v>5568</v>
      </c>
      <c r="B2776" s="4" t="s">
        <v>5569</v>
      </c>
      <c r="C2776" s="4" t="s">
        <v>19</v>
      </c>
      <c r="D2776" s="4" t="s">
        <v>13</v>
      </c>
      <c r="E2776" s="5">
        <v>313.68169999999998</v>
      </c>
      <c r="F2776" s="5">
        <v>317.8338</v>
      </c>
      <c r="G2776" s="5">
        <v>319.82</v>
      </c>
      <c r="H2776" s="4">
        <v>2</v>
      </c>
      <c r="I2776" s="6">
        <v>3502343</v>
      </c>
      <c r="J2776" s="7">
        <v>299.81</v>
      </c>
      <c r="K2776" s="9">
        <f>(PricingDataTable[[#This Row],[Current Price ($)]]-PricingDataTable[[#This Row],[Prior Price ($)]])/PricingDataTable[[#This Row],[Prior Price ($)]]</f>
        <v>1.3236666340433691E-2</v>
      </c>
      <c r="L2776" s="9">
        <f>(PricingDataTable[[#This Row],[Vendor Price ($)]]-PricingDataTable[[#This Row],[Current Price ($)]])/PricingDataTable[[#This Row],[Current Price ($)]]</f>
        <v>6.2491780295235956E-3</v>
      </c>
      <c r="M2776" t="str">
        <f t="shared" si="86"/>
        <v>PASS</v>
      </c>
      <c r="N2776" s="10" t="str">
        <f t="shared" si="87"/>
        <v>NONE</v>
      </c>
    </row>
    <row r="2777" spans="1:14">
      <c r="A2777" s="4" t="s">
        <v>5570</v>
      </c>
      <c r="B2777" s="4" t="s">
        <v>5571</v>
      </c>
      <c r="C2777" s="4" t="s">
        <v>39</v>
      </c>
      <c r="D2777" s="4" t="s">
        <v>13</v>
      </c>
      <c r="E2777" s="5">
        <v>155.108</v>
      </c>
      <c r="F2777" s="5">
        <v>154.7457</v>
      </c>
      <c r="G2777" s="5">
        <v>155.16309999999999</v>
      </c>
      <c r="H2777" s="4">
        <v>0</v>
      </c>
      <c r="I2777" s="6">
        <v>2398518</v>
      </c>
      <c r="J2777" s="7">
        <v>655.61</v>
      </c>
      <c r="K2777" s="9">
        <f>(PricingDataTable[[#This Row],[Current Price ($)]]-PricingDataTable[[#This Row],[Prior Price ($)]])/PricingDataTable[[#This Row],[Prior Price ($)]]</f>
        <v>-2.3357918353663558E-3</v>
      </c>
      <c r="L2777" s="9">
        <f>(PricingDataTable[[#This Row],[Vendor Price ($)]]-PricingDataTable[[#This Row],[Current Price ($)]])/PricingDataTable[[#This Row],[Current Price ($)]]</f>
        <v>2.6973285848975867E-3</v>
      </c>
      <c r="M2777" t="str">
        <f t="shared" si="86"/>
        <v>PASS</v>
      </c>
      <c r="N2777" s="10" t="str">
        <f t="shared" si="87"/>
        <v>NONE</v>
      </c>
    </row>
    <row r="2778" spans="1:14">
      <c r="A2778" s="4" t="s">
        <v>5572</v>
      </c>
      <c r="B2778" s="4" t="s">
        <v>5573</v>
      </c>
      <c r="C2778" s="4" t="s">
        <v>19</v>
      </c>
      <c r="D2778" s="4" t="s">
        <v>13</v>
      </c>
      <c r="E2778" s="5">
        <v>204.08799999999999</v>
      </c>
      <c r="F2778" s="5">
        <v>207.5471</v>
      </c>
      <c r="G2778" s="5">
        <v>206.75659999999999</v>
      </c>
      <c r="H2778" s="4">
        <v>0</v>
      </c>
      <c r="I2778" s="6">
        <v>3596118</v>
      </c>
      <c r="J2778" s="7">
        <v>121.71</v>
      </c>
      <c r="K2778" s="9">
        <f>(PricingDataTable[[#This Row],[Current Price ($)]]-PricingDataTable[[#This Row],[Prior Price ($)]])/PricingDataTable[[#This Row],[Prior Price ($)]]</f>
        <v>1.6949061189290928E-2</v>
      </c>
      <c r="L2778" s="9">
        <f>(PricingDataTable[[#This Row],[Vendor Price ($)]]-PricingDataTable[[#This Row],[Current Price ($)]])/PricingDataTable[[#This Row],[Current Price ($)]]</f>
        <v>-3.8087740084058446E-3</v>
      </c>
      <c r="M2778" t="str">
        <f t="shared" si="86"/>
        <v>PASS</v>
      </c>
      <c r="N2778" s="10" t="str">
        <f t="shared" si="87"/>
        <v>NONE</v>
      </c>
    </row>
    <row r="2779" spans="1:14">
      <c r="A2779" s="4" t="s">
        <v>5574</v>
      </c>
      <c r="B2779" s="4" t="s">
        <v>5575</v>
      </c>
      <c r="C2779" s="4" t="s">
        <v>39</v>
      </c>
      <c r="D2779" s="4" t="s">
        <v>32</v>
      </c>
      <c r="E2779" s="5">
        <v>159.9314</v>
      </c>
      <c r="F2779" s="5">
        <v>156.24969999999999</v>
      </c>
      <c r="G2779" s="5">
        <v>155.64500000000001</v>
      </c>
      <c r="H2779" s="4">
        <v>0</v>
      </c>
      <c r="I2779" s="6">
        <v>4076543</v>
      </c>
      <c r="J2779" s="7">
        <v>253.33</v>
      </c>
      <c r="K2779" s="9">
        <f>(PricingDataTable[[#This Row],[Current Price ($)]]-PricingDataTable[[#This Row],[Prior Price ($)]])/PricingDataTable[[#This Row],[Prior Price ($)]]</f>
        <v>-2.3020495037247259E-2</v>
      </c>
      <c r="L2779" s="9">
        <f>(PricingDataTable[[#This Row],[Vendor Price ($)]]-PricingDataTable[[#This Row],[Current Price ($)]])/PricingDataTable[[#This Row],[Current Price ($)]]</f>
        <v>-3.8700874305677376E-3</v>
      </c>
      <c r="M2779" t="str">
        <f t="shared" si="86"/>
        <v>PASS</v>
      </c>
      <c r="N2779" s="10" t="str">
        <f t="shared" si="87"/>
        <v>NONE</v>
      </c>
    </row>
    <row r="2780" spans="1:14">
      <c r="A2780" s="4" t="s">
        <v>5576</v>
      </c>
      <c r="B2780" s="4" t="s">
        <v>5577</v>
      </c>
      <c r="C2780" s="4" t="s">
        <v>19</v>
      </c>
      <c r="D2780" s="4" t="s">
        <v>13</v>
      </c>
      <c r="E2780" s="5">
        <v>268.91160000000002</v>
      </c>
      <c r="F2780" s="5">
        <v>268.18029999999999</v>
      </c>
      <c r="G2780" s="5">
        <v>269.60489999999999</v>
      </c>
      <c r="H2780" s="4">
        <v>0</v>
      </c>
      <c r="I2780" s="6">
        <v>2865597</v>
      </c>
      <c r="J2780" s="7">
        <v>346.97</v>
      </c>
      <c r="K2780" s="9">
        <f>(PricingDataTable[[#This Row],[Current Price ($)]]-PricingDataTable[[#This Row],[Prior Price ($)]])/PricingDataTable[[#This Row],[Prior Price ($)]]</f>
        <v>-2.7194810487908773E-3</v>
      </c>
      <c r="L2780" s="9">
        <f>(PricingDataTable[[#This Row],[Vendor Price ($)]]-PricingDataTable[[#This Row],[Current Price ($)]])/PricingDataTable[[#This Row],[Current Price ($)]]</f>
        <v>5.3120978684862317E-3</v>
      </c>
      <c r="M2780" t="str">
        <f t="shared" si="86"/>
        <v>PASS</v>
      </c>
      <c r="N2780" s="10" t="str">
        <f t="shared" si="87"/>
        <v>NONE</v>
      </c>
    </row>
    <row r="2781" spans="1:14">
      <c r="A2781" s="4" t="s">
        <v>5578</v>
      </c>
      <c r="B2781" s="4" t="s">
        <v>5579</v>
      </c>
      <c r="C2781" s="4" t="s">
        <v>19</v>
      </c>
      <c r="D2781" s="4" t="s">
        <v>36</v>
      </c>
      <c r="E2781" s="5">
        <v>254.19640000000001</v>
      </c>
      <c r="F2781" s="5">
        <v>255.2123</v>
      </c>
      <c r="G2781" s="5">
        <v>254.7561</v>
      </c>
      <c r="H2781" s="4">
        <v>1</v>
      </c>
      <c r="I2781" s="6">
        <v>4829814</v>
      </c>
      <c r="J2781" s="7">
        <v>600.38</v>
      </c>
      <c r="K2781" s="9">
        <f>(PricingDataTable[[#This Row],[Current Price ($)]]-PricingDataTable[[#This Row],[Prior Price ($)]])/PricingDataTable[[#This Row],[Prior Price ($)]]</f>
        <v>3.9965160796926616E-3</v>
      </c>
      <c r="L2781" s="9">
        <f>(PricingDataTable[[#This Row],[Vendor Price ($)]]-PricingDataTable[[#This Row],[Current Price ($)]])/PricingDataTable[[#This Row],[Current Price ($)]]</f>
        <v>-1.7875314003282581E-3</v>
      </c>
      <c r="M2781" t="str">
        <f t="shared" si="86"/>
        <v>PASS</v>
      </c>
      <c r="N2781" s="10" t="str">
        <f t="shared" si="87"/>
        <v>NONE</v>
      </c>
    </row>
    <row r="2782" spans="1:14">
      <c r="A2782" s="4" t="s">
        <v>5580</v>
      </c>
      <c r="B2782" s="4" t="s">
        <v>5581</v>
      </c>
      <c r="C2782" s="4" t="s">
        <v>39</v>
      </c>
      <c r="D2782" s="4" t="s">
        <v>13</v>
      </c>
      <c r="E2782" s="5">
        <v>272.27420000000001</v>
      </c>
      <c r="F2782" s="5">
        <v>274.25909999999999</v>
      </c>
      <c r="G2782" s="5">
        <v>273.70119999999997</v>
      </c>
      <c r="H2782" s="4">
        <v>0</v>
      </c>
      <c r="I2782" s="6">
        <v>4409982</v>
      </c>
      <c r="J2782" s="7">
        <v>830.41</v>
      </c>
      <c r="K2782" s="9">
        <f>(PricingDataTable[[#This Row],[Current Price ($)]]-PricingDataTable[[#This Row],[Prior Price ($)]])/PricingDataTable[[#This Row],[Prior Price ($)]]</f>
        <v>7.2900774292973111E-3</v>
      </c>
      <c r="L2782" s="9">
        <f>(PricingDataTable[[#This Row],[Vendor Price ($)]]-PricingDataTable[[#This Row],[Current Price ($)]])/PricingDataTable[[#This Row],[Current Price ($)]]</f>
        <v>-2.0342077983921693E-3</v>
      </c>
      <c r="M2782" t="str">
        <f t="shared" si="86"/>
        <v>PASS</v>
      </c>
      <c r="N2782" s="10" t="str">
        <f t="shared" si="87"/>
        <v>NONE</v>
      </c>
    </row>
    <row r="2783" spans="1:14">
      <c r="A2783" s="4" t="s">
        <v>5582</v>
      </c>
      <c r="B2783" s="4" t="s">
        <v>5583</v>
      </c>
      <c r="C2783" s="4" t="s">
        <v>16</v>
      </c>
      <c r="D2783" s="4" t="s">
        <v>13</v>
      </c>
      <c r="E2783" s="5">
        <v>82.564800000000005</v>
      </c>
      <c r="F2783" s="5">
        <v>82.886300000000006</v>
      </c>
      <c r="G2783" s="5">
        <v>83.083299999999994</v>
      </c>
      <c r="H2783" s="4">
        <v>0</v>
      </c>
      <c r="I2783" s="6">
        <v>2083309</v>
      </c>
      <c r="J2783" s="7">
        <v>136.47</v>
      </c>
      <c r="K2783" s="9">
        <f>(PricingDataTable[[#This Row],[Current Price ($)]]-PricingDataTable[[#This Row],[Prior Price ($)]])/PricingDataTable[[#This Row],[Prior Price ($)]]</f>
        <v>3.8939112067127917E-3</v>
      </c>
      <c r="L2783" s="9">
        <f>(PricingDataTable[[#This Row],[Vendor Price ($)]]-PricingDataTable[[#This Row],[Current Price ($)]])/PricingDataTable[[#This Row],[Current Price ($)]]</f>
        <v>2.3767498368245234E-3</v>
      </c>
      <c r="M2783" t="str">
        <f t="shared" si="86"/>
        <v>PASS</v>
      </c>
      <c r="N2783" s="10" t="str">
        <f t="shared" si="87"/>
        <v>NONE</v>
      </c>
    </row>
    <row r="2784" spans="1:14">
      <c r="A2784" s="4" t="s">
        <v>5584</v>
      </c>
      <c r="B2784" s="4" t="s">
        <v>5585</v>
      </c>
      <c r="C2784" s="4" t="s">
        <v>16</v>
      </c>
      <c r="D2784" s="4" t="s">
        <v>13</v>
      </c>
      <c r="E2784" s="5">
        <v>118.92010000000001</v>
      </c>
      <c r="F2784" s="5">
        <v>120.01609999999999</v>
      </c>
      <c r="G2784" s="5">
        <v>120.294</v>
      </c>
      <c r="H2784" s="4">
        <v>0</v>
      </c>
      <c r="I2784" s="6">
        <v>4268264</v>
      </c>
      <c r="J2784" s="7">
        <v>773.96</v>
      </c>
      <c r="K2784" s="9">
        <f>(PricingDataTable[[#This Row],[Current Price ($)]]-PricingDataTable[[#This Row],[Prior Price ($)]])/PricingDataTable[[#This Row],[Prior Price ($)]]</f>
        <v>9.2162721020247161E-3</v>
      </c>
      <c r="L2784" s="9">
        <f>(PricingDataTable[[#This Row],[Vendor Price ($)]]-PricingDataTable[[#This Row],[Current Price ($)]])/PricingDataTable[[#This Row],[Current Price ($)]]</f>
        <v>2.3155226673754812E-3</v>
      </c>
      <c r="M2784" t="str">
        <f t="shared" si="86"/>
        <v>PASS</v>
      </c>
      <c r="N2784" s="10" t="str">
        <f t="shared" si="87"/>
        <v>NONE</v>
      </c>
    </row>
    <row r="2785" spans="1:14">
      <c r="A2785" s="4" t="s">
        <v>5586</v>
      </c>
      <c r="B2785" s="4" t="s">
        <v>5587</v>
      </c>
      <c r="C2785" s="4" t="s">
        <v>39</v>
      </c>
      <c r="D2785" s="4" t="s">
        <v>13</v>
      </c>
      <c r="E2785" s="5">
        <v>160.6514</v>
      </c>
      <c r="F2785" s="5">
        <v>159.77940000000001</v>
      </c>
      <c r="G2785" s="5">
        <v>159.00819999999999</v>
      </c>
      <c r="H2785" s="4">
        <v>0</v>
      </c>
      <c r="I2785" s="6">
        <v>612728</v>
      </c>
      <c r="J2785" s="7">
        <v>181.29</v>
      </c>
      <c r="K2785" s="9">
        <f>(PricingDataTable[[#This Row],[Current Price ($)]]-PricingDataTable[[#This Row],[Prior Price ($)]])/PricingDataTable[[#This Row],[Prior Price ($)]]</f>
        <v>-5.4279016553854227E-3</v>
      </c>
      <c r="L2785" s="9">
        <f>(PricingDataTable[[#This Row],[Vendor Price ($)]]-PricingDataTable[[#This Row],[Current Price ($)]])/PricingDataTable[[#This Row],[Current Price ($)]]</f>
        <v>-4.8266547502370241E-3</v>
      </c>
      <c r="M2785" t="str">
        <f t="shared" si="86"/>
        <v>PASS</v>
      </c>
      <c r="N2785" s="10" t="str">
        <f t="shared" si="87"/>
        <v>NONE</v>
      </c>
    </row>
    <row r="2786" spans="1:14">
      <c r="A2786" s="4" t="s">
        <v>5588</v>
      </c>
      <c r="B2786" s="4" t="s">
        <v>5589</v>
      </c>
      <c r="C2786" s="4" t="s">
        <v>12</v>
      </c>
      <c r="D2786" s="4" t="s">
        <v>13</v>
      </c>
      <c r="E2786" s="5">
        <v>124.40949999999999</v>
      </c>
      <c r="F2786" s="5">
        <v>125.5973</v>
      </c>
      <c r="G2786" s="5">
        <v>125.0459</v>
      </c>
      <c r="H2786" s="4">
        <v>1</v>
      </c>
      <c r="I2786" s="6">
        <v>2772043</v>
      </c>
      <c r="J2786" s="7">
        <v>207.07</v>
      </c>
      <c r="K2786" s="9">
        <f>(PricingDataTable[[#This Row],[Current Price ($)]]-PricingDataTable[[#This Row],[Prior Price ($)]])/PricingDataTable[[#This Row],[Prior Price ($)]]</f>
        <v>9.5475024013440286E-3</v>
      </c>
      <c r="L2786" s="9">
        <f>(PricingDataTable[[#This Row],[Vendor Price ($)]]-PricingDataTable[[#This Row],[Current Price ($)]])/PricingDataTable[[#This Row],[Current Price ($)]]</f>
        <v>-4.390221764321375E-3</v>
      </c>
      <c r="M2786" t="str">
        <f t="shared" si="86"/>
        <v>PASS</v>
      </c>
      <c r="N2786" s="10" t="str">
        <f t="shared" si="87"/>
        <v>NONE</v>
      </c>
    </row>
    <row r="2787" spans="1:14">
      <c r="A2787" s="4" t="s">
        <v>5590</v>
      </c>
      <c r="B2787" s="4" t="s">
        <v>5591</v>
      </c>
      <c r="C2787" s="4" t="s">
        <v>35</v>
      </c>
      <c r="D2787" s="4" t="s">
        <v>13</v>
      </c>
      <c r="E2787" s="5">
        <v>39.244199999999999</v>
      </c>
      <c r="F2787" s="5">
        <v>39.363100000000003</v>
      </c>
      <c r="G2787" s="5">
        <v>39.434100000000001</v>
      </c>
      <c r="H2787" s="4">
        <v>1</v>
      </c>
      <c r="I2787" s="6">
        <v>3777421</v>
      </c>
      <c r="J2787" s="7">
        <v>537.27</v>
      </c>
      <c r="K2787" s="9">
        <f>(PricingDataTable[[#This Row],[Current Price ($)]]-PricingDataTable[[#This Row],[Prior Price ($)]])/PricingDataTable[[#This Row],[Prior Price ($)]]</f>
        <v>3.029747070904836E-3</v>
      </c>
      <c r="L2787" s="9">
        <f>(PricingDataTable[[#This Row],[Vendor Price ($)]]-PricingDataTable[[#This Row],[Current Price ($)]])/PricingDataTable[[#This Row],[Current Price ($)]]</f>
        <v>1.8037197273588195E-3</v>
      </c>
      <c r="M2787" t="str">
        <f t="shared" si="86"/>
        <v>PASS</v>
      </c>
      <c r="N2787" s="10" t="str">
        <f t="shared" si="87"/>
        <v>NONE</v>
      </c>
    </row>
    <row r="2788" spans="1:14">
      <c r="A2788" s="4" t="s">
        <v>5592</v>
      </c>
      <c r="B2788" s="4" t="s">
        <v>5593</v>
      </c>
      <c r="C2788" s="4" t="s">
        <v>19</v>
      </c>
      <c r="D2788" s="4" t="s">
        <v>36</v>
      </c>
      <c r="E2788" s="5">
        <v>197.66569999999999</v>
      </c>
      <c r="F2788" s="5">
        <v>196.1635</v>
      </c>
      <c r="G2788" s="5">
        <v>196.08260000000001</v>
      </c>
      <c r="H2788" s="4">
        <v>4</v>
      </c>
      <c r="I2788" s="6">
        <v>4296729</v>
      </c>
      <c r="J2788" s="7">
        <v>14.35</v>
      </c>
      <c r="K2788" s="9">
        <f>(PricingDataTable[[#This Row],[Current Price ($)]]-PricingDataTable[[#This Row],[Prior Price ($)]])/PricingDataTable[[#This Row],[Prior Price ($)]]</f>
        <v>-7.5996998973518817E-3</v>
      </c>
      <c r="L2788" s="9">
        <f>(PricingDataTable[[#This Row],[Vendor Price ($)]]-PricingDataTable[[#This Row],[Current Price ($)]])/PricingDataTable[[#This Row],[Current Price ($)]]</f>
        <v>-4.1241107545484019E-4</v>
      </c>
      <c r="M2788" t="str">
        <f t="shared" si="86"/>
        <v>STALE</v>
      </c>
      <c r="N2788" s="10" t="str">
        <f t="shared" si="87"/>
        <v>LOW</v>
      </c>
    </row>
    <row r="2789" spans="1:14">
      <c r="A2789" s="4" t="s">
        <v>5594</v>
      </c>
      <c r="B2789" s="4" t="s">
        <v>5595</v>
      </c>
      <c r="C2789" s="4" t="s">
        <v>19</v>
      </c>
      <c r="D2789" s="4" t="s">
        <v>32</v>
      </c>
      <c r="E2789" s="5">
        <v>61.871699999999997</v>
      </c>
      <c r="F2789" s="5">
        <v>61.054200000000002</v>
      </c>
      <c r="G2789" s="5">
        <v>61.159500000000001</v>
      </c>
      <c r="H2789" s="4">
        <v>0</v>
      </c>
      <c r="I2789" s="6">
        <v>3065899</v>
      </c>
      <c r="J2789" s="7">
        <v>859.54</v>
      </c>
      <c r="K2789" s="9">
        <f>(PricingDataTable[[#This Row],[Current Price ($)]]-PricingDataTable[[#This Row],[Prior Price ($)]])/PricingDataTable[[#This Row],[Prior Price ($)]]</f>
        <v>-1.3212825896168935E-2</v>
      </c>
      <c r="L2789" s="9">
        <f>(PricingDataTable[[#This Row],[Vendor Price ($)]]-PricingDataTable[[#This Row],[Current Price ($)]])/PricingDataTable[[#This Row],[Current Price ($)]]</f>
        <v>1.7246970724372726E-3</v>
      </c>
      <c r="M2789" t="str">
        <f t="shared" si="86"/>
        <v>PASS</v>
      </c>
      <c r="N2789" s="10" t="str">
        <f t="shared" si="87"/>
        <v>NONE</v>
      </c>
    </row>
    <row r="2790" spans="1:14">
      <c r="A2790" s="4" t="s">
        <v>5596</v>
      </c>
      <c r="B2790" s="4" t="s">
        <v>5597</v>
      </c>
      <c r="C2790" s="4" t="s">
        <v>16</v>
      </c>
      <c r="D2790" s="4" t="s">
        <v>32</v>
      </c>
      <c r="E2790" s="5">
        <v>108.4075</v>
      </c>
      <c r="F2790" s="5">
        <v>108.4924</v>
      </c>
      <c r="G2790" s="5">
        <v>108.86620000000001</v>
      </c>
      <c r="H2790" s="4">
        <v>0</v>
      </c>
      <c r="I2790" s="6">
        <v>4864731</v>
      </c>
      <c r="J2790" s="7">
        <v>723.16</v>
      </c>
      <c r="K2790" s="9">
        <f>(PricingDataTable[[#This Row],[Current Price ($)]]-PricingDataTable[[#This Row],[Prior Price ($)]])/PricingDataTable[[#This Row],[Prior Price ($)]]</f>
        <v>7.8315614694559547E-4</v>
      </c>
      <c r="L2790" s="9">
        <f>(PricingDataTable[[#This Row],[Vendor Price ($)]]-PricingDataTable[[#This Row],[Current Price ($)]])/PricingDataTable[[#This Row],[Current Price ($)]]</f>
        <v>3.4454026272808308E-3</v>
      </c>
      <c r="M2790" t="str">
        <f t="shared" si="86"/>
        <v>PASS</v>
      </c>
      <c r="N2790" s="10" t="str">
        <f t="shared" si="87"/>
        <v>NONE</v>
      </c>
    </row>
    <row r="2791" spans="1:14">
      <c r="A2791" s="4" t="s">
        <v>5598</v>
      </c>
      <c r="B2791" s="4" t="s">
        <v>5599</v>
      </c>
      <c r="C2791" s="4" t="s">
        <v>39</v>
      </c>
      <c r="D2791" s="4" t="s">
        <v>13</v>
      </c>
      <c r="E2791" s="5">
        <v>151.7218</v>
      </c>
      <c r="F2791" s="5">
        <v>152.89599999999999</v>
      </c>
      <c r="G2791" s="5">
        <v>153.5607</v>
      </c>
      <c r="H2791" s="4">
        <v>0</v>
      </c>
      <c r="I2791" s="6">
        <v>1465560</v>
      </c>
      <c r="J2791" s="7">
        <v>728.8</v>
      </c>
      <c r="K2791" s="9">
        <f>(PricingDataTable[[#This Row],[Current Price ($)]]-PricingDataTable[[#This Row],[Prior Price ($)]])/PricingDataTable[[#This Row],[Prior Price ($)]]</f>
        <v>7.7391647080379006E-3</v>
      </c>
      <c r="L2791" s="9">
        <f>(PricingDataTable[[#This Row],[Vendor Price ($)]]-PricingDataTable[[#This Row],[Current Price ($)]])/PricingDataTable[[#This Row],[Current Price ($)]]</f>
        <v>4.3473995395563684E-3</v>
      </c>
      <c r="M2791" t="str">
        <f t="shared" si="86"/>
        <v>PASS</v>
      </c>
      <c r="N2791" s="10" t="str">
        <f t="shared" si="87"/>
        <v>NONE</v>
      </c>
    </row>
    <row r="2792" spans="1:14">
      <c r="A2792" s="4" t="s">
        <v>5600</v>
      </c>
      <c r="B2792" s="4" t="s">
        <v>5601</v>
      </c>
      <c r="C2792" s="4" t="s">
        <v>16</v>
      </c>
      <c r="D2792" s="4" t="s">
        <v>13</v>
      </c>
      <c r="E2792" s="5">
        <v>82.230400000000003</v>
      </c>
      <c r="F2792" s="5">
        <v>83.023799999999994</v>
      </c>
      <c r="G2792" s="5">
        <v>82.919600000000003</v>
      </c>
      <c r="H2792" s="4">
        <v>1</v>
      </c>
      <c r="I2792" s="6">
        <v>833983</v>
      </c>
      <c r="J2792" s="7">
        <v>848.5</v>
      </c>
      <c r="K2792" s="9">
        <f>(PricingDataTable[[#This Row],[Current Price ($)]]-PricingDataTable[[#This Row],[Prior Price ($)]])/PricingDataTable[[#This Row],[Prior Price ($)]]</f>
        <v>9.6484998248821743E-3</v>
      </c>
      <c r="L2792" s="9">
        <f>(PricingDataTable[[#This Row],[Vendor Price ($)]]-PricingDataTable[[#This Row],[Current Price ($)]])/PricingDataTable[[#This Row],[Current Price ($)]]</f>
        <v>-1.2550618015555977E-3</v>
      </c>
      <c r="M2792" t="str">
        <f t="shared" si="86"/>
        <v>PASS</v>
      </c>
      <c r="N2792" s="10" t="str">
        <f t="shared" si="87"/>
        <v>NONE</v>
      </c>
    </row>
    <row r="2793" spans="1:14">
      <c r="A2793" s="4" t="s">
        <v>5602</v>
      </c>
      <c r="B2793" s="4" t="s">
        <v>5603</v>
      </c>
      <c r="C2793" s="4" t="s">
        <v>19</v>
      </c>
      <c r="D2793" s="4" t="s">
        <v>13</v>
      </c>
      <c r="E2793" s="5">
        <v>30.250499999999999</v>
      </c>
      <c r="F2793" s="5">
        <v>30.157800000000002</v>
      </c>
      <c r="G2793" s="5">
        <v>30.153500000000001</v>
      </c>
      <c r="H2793" s="4">
        <v>0</v>
      </c>
      <c r="I2793" s="6">
        <v>149155</v>
      </c>
      <c r="J2793" s="7">
        <v>355.34</v>
      </c>
      <c r="K2793" s="9">
        <f>(PricingDataTable[[#This Row],[Current Price ($)]]-PricingDataTable[[#This Row],[Prior Price ($)]])/PricingDataTable[[#This Row],[Prior Price ($)]]</f>
        <v>-3.064412158476624E-3</v>
      </c>
      <c r="L2793" s="9">
        <f>(PricingDataTable[[#This Row],[Vendor Price ($)]]-PricingDataTable[[#This Row],[Current Price ($)]])/PricingDataTable[[#This Row],[Current Price ($)]]</f>
        <v>-1.4258334493897552E-4</v>
      </c>
      <c r="M2793" t="str">
        <f t="shared" si="86"/>
        <v>PASS</v>
      </c>
      <c r="N2793" s="10" t="str">
        <f t="shared" si="87"/>
        <v>NONE</v>
      </c>
    </row>
    <row r="2794" spans="1:14">
      <c r="A2794" s="4" t="s">
        <v>5604</v>
      </c>
      <c r="B2794" s="4" t="s">
        <v>5605</v>
      </c>
      <c r="C2794" s="4" t="s">
        <v>35</v>
      </c>
      <c r="D2794" s="4" t="s">
        <v>13</v>
      </c>
      <c r="E2794" s="5">
        <v>102.45099999999999</v>
      </c>
      <c r="F2794" s="5">
        <v>101.1048</v>
      </c>
      <c r="G2794" s="5">
        <v>100.82380000000001</v>
      </c>
      <c r="H2794" s="4">
        <v>0</v>
      </c>
      <c r="I2794" s="6">
        <v>4475474</v>
      </c>
      <c r="J2794" s="7">
        <v>193.14</v>
      </c>
      <c r="K2794" s="9">
        <f>(PricingDataTable[[#This Row],[Current Price ($)]]-PricingDataTable[[#This Row],[Prior Price ($)]])/PricingDataTable[[#This Row],[Prior Price ($)]]</f>
        <v>-1.3139940068910954E-2</v>
      </c>
      <c r="L2794" s="9">
        <f>(PricingDataTable[[#This Row],[Vendor Price ($)]]-PricingDataTable[[#This Row],[Current Price ($)]])/PricingDataTable[[#This Row],[Current Price ($)]]</f>
        <v>-2.7792943559553228E-3</v>
      </c>
      <c r="M2794" t="str">
        <f t="shared" si="86"/>
        <v>PASS</v>
      </c>
      <c r="N2794" s="10" t="str">
        <f t="shared" si="87"/>
        <v>NONE</v>
      </c>
    </row>
    <row r="2795" spans="1:14">
      <c r="A2795" s="4" t="s">
        <v>5606</v>
      </c>
      <c r="B2795" s="4" t="s">
        <v>5607</v>
      </c>
      <c r="C2795" s="4" t="s">
        <v>39</v>
      </c>
      <c r="D2795" s="4" t="s">
        <v>13</v>
      </c>
      <c r="E2795" s="5">
        <v>284.85719999999998</v>
      </c>
      <c r="F2795" s="5">
        <v>286.3895</v>
      </c>
      <c r="G2795" s="5">
        <v>286.21660000000003</v>
      </c>
      <c r="H2795" s="4">
        <v>0</v>
      </c>
      <c r="I2795" s="6">
        <v>3804200</v>
      </c>
      <c r="J2795" s="7">
        <v>74.66</v>
      </c>
      <c r="K2795" s="9">
        <f>(PricingDataTable[[#This Row],[Current Price ($)]]-PricingDataTable[[#This Row],[Prior Price ($)]])/PricingDataTable[[#This Row],[Prior Price ($)]]</f>
        <v>5.3791864836136164E-3</v>
      </c>
      <c r="L2795" s="9">
        <f>(PricingDataTable[[#This Row],[Vendor Price ($)]]-PricingDataTable[[#This Row],[Current Price ($)]])/PricingDataTable[[#This Row],[Current Price ($)]]</f>
        <v>-6.0372325102690599E-4</v>
      </c>
      <c r="M2795" t="str">
        <f t="shared" si="86"/>
        <v>PASS</v>
      </c>
      <c r="N2795" s="10" t="str">
        <f t="shared" si="87"/>
        <v>NONE</v>
      </c>
    </row>
    <row r="2796" spans="1:14">
      <c r="A2796" s="4" t="s">
        <v>5608</v>
      </c>
      <c r="B2796" s="4" t="s">
        <v>5609</v>
      </c>
      <c r="C2796" s="4" t="s">
        <v>12</v>
      </c>
      <c r="D2796" s="4" t="s">
        <v>13</v>
      </c>
      <c r="E2796" s="5">
        <v>75.500600000000006</v>
      </c>
      <c r="F2796" s="5">
        <v>75.913399999999996</v>
      </c>
      <c r="G2796" s="5">
        <v>75.831500000000005</v>
      </c>
      <c r="H2796" s="4">
        <v>1</v>
      </c>
      <c r="I2796" s="6">
        <v>332877</v>
      </c>
      <c r="J2796" s="7">
        <v>434.24</v>
      </c>
      <c r="K2796" s="9">
        <f>(PricingDataTable[[#This Row],[Current Price ($)]]-PricingDataTable[[#This Row],[Prior Price ($)]])/PricingDataTable[[#This Row],[Prior Price ($)]]</f>
        <v>5.4675062184934954E-3</v>
      </c>
      <c r="L2796" s="9">
        <f>(PricingDataTable[[#This Row],[Vendor Price ($)]]-PricingDataTable[[#This Row],[Current Price ($)]])/PricingDataTable[[#This Row],[Current Price ($)]]</f>
        <v>-1.0788609125660334E-3</v>
      </c>
      <c r="M2796" t="str">
        <f t="shared" si="86"/>
        <v>PASS</v>
      </c>
      <c r="N2796" s="10" t="str">
        <f t="shared" si="87"/>
        <v>NONE</v>
      </c>
    </row>
    <row r="2797" spans="1:14">
      <c r="A2797" s="4" t="s">
        <v>5610</v>
      </c>
      <c r="B2797" s="4" t="s">
        <v>5611</v>
      </c>
      <c r="C2797" s="4" t="s">
        <v>35</v>
      </c>
      <c r="D2797" s="4" t="s">
        <v>36</v>
      </c>
      <c r="E2797" s="5">
        <v>89.653899999999993</v>
      </c>
      <c r="F2797" s="5">
        <v>88.701099999999997</v>
      </c>
      <c r="G2797" s="5">
        <v>88.680800000000005</v>
      </c>
      <c r="H2797" s="4">
        <v>1</v>
      </c>
      <c r="I2797" s="6">
        <v>530413</v>
      </c>
      <c r="J2797" s="7">
        <v>208.09</v>
      </c>
      <c r="K2797" s="9">
        <f>(PricingDataTable[[#This Row],[Current Price ($)]]-PricingDataTable[[#This Row],[Prior Price ($)]])/PricingDataTable[[#This Row],[Prior Price ($)]]</f>
        <v>-1.0627535444637617E-2</v>
      </c>
      <c r="L2797" s="9">
        <f>(PricingDataTable[[#This Row],[Vendor Price ($)]]-PricingDataTable[[#This Row],[Current Price ($)]])/PricingDataTable[[#This Row],[Current Price ($)]]</f>
        <v>-2.2885849217193214E-4</v>
      </c>
      <c r="M2797" t="str">
        <f t="shared" si="86"/>
        <v>PASS</v>
      </c>
      <c r="N2797" s="10" t="str">
        <f t="shared" si="87"/>
        <v>NONE</v>
      </c>
    </row>
    <row r="2798" spans="1:14">
      <c r="A2798" s="4" t="s">
        <v>5612</v>
      </c>
      <c r="B2798" s="4" t="s">
        <v>5613</v>
      </c>
      <c r="C2798" s="4" t="s">
        <v>16</v>
      </c>
      <c r="D2798" s="4" t="s">
        <v>64</v>
      </c>
      <c r="E2798" s="5">
        <v>121.96429999999999</v>
      </c>
      <c r="F2798" s="5">
        <v>123.4367</v>
      </c>
      <c r="G2798" s="5">
        <v>123.96810000000001</v>
      </c>
      <c r="H2798" s="4">
        <v>0</v>
      </c>
      <c r="I2798" s="6">
        <v>2752243</v>
      </c>
      <c r="J2798" s="7">
        <v>230.48</v>
      </c>
      <c r="K2798" s="9">
        <f>(PricingDataTable[[#This Row],[Current Price ($)]]-PricingDataTable[[#This Row],[Prior Price ($)]])/PricingDataTable[[#This Row],[Prior Price ($)]]</f>
        <v>1.2072385115972523E-2</v>
      </c>
      <c r="L2798" s="9">
        <f>(PricingDataTable[[#This Row],[Vendor Price ($)]]-PricingDataTable[[#This Row],[Current Price ($)]])/PricingDataTable[[#This Row],[Current Price ($)]]</f>
        <v>4.3050405592502472E-3</v>
      </c>
      <c r="M2798" t="str">
        <f t="shared" si="86"/>
        <v>PASS</v>
      </c>
      <c r="N2798" s="10" t="str">
        <f t="shared" si="87"/>
        <v>NONE</v>
      </c>
    </row>
    <row r="2799" spans="1:14">
      <c r="A2799" s="4" t="s">
        <v>5614</v>
      </c>
      <c r="B2799" s="4" t="s">
        <v>5615</v>
      </c>
      <c r="C2799" s="4" t="s">
        <v>12</v>
      </c>
      <c r="D2799" s="4" t="s">
        <v>64</v>
      </c>
      <c r="E2799" s="5">
        <v>87.441100000000006</v>
      </c>
      <c r="F2799" s="5">
        <v>86.622900000000001</v>
      </c>
      <c r="G2799" s="5">
        <v>86.1631</v>
      </c>
      <c r="H2799" s="4">
        <v>0</v>
      </c>
      <c r="I2799" s="6">
        <v>4505725</v>
      </c>
      <c r="J2799" s="7">
        <v>361.76</v>
      </c>
      <c r="K2799" s="9">
        <f>(PricingDataTable[[#This Row],[Current Price ($)]]-PricingDataTable[[#This Row],[Prior Price ($)]])/PricingDataTable[[#This Row],[Prior Price ($)]]</f>
        <v>-9.3571558454777493E-3</v>
      </c>
      <c r="L2799" s="9">
        <f>(PricingDataTable[[#This Row],[Vendor Price ($)]]-PricingDataTable[[#This Row],[Current Price ($)]])/PricingDataTable[[#This Row],[Current Price ($)]]</f>
        <v>-5.3080651883047241E-3</v>
      </c>
      <c r="M2799" t="str">
        <f t="shared" si="86"/>
        <v>PASS</v>
      </c>
      <c r="N2799" s="10" t="str">
        <f t="shared" si="87"/>
        <v>NONE</v>
      </c>
    </row>
    <row r="2800" spans="1:14">
      <c r="A2800" s="4" t="s">
        <v>5616</v>
      </c>
      <c r="B2800" s="4" t="s">
        <v>5617</v>
      </c>
      <c r="C2800" s="4" t="s">
        <v>12</v>
      </c>
      <c r="D2800" s="4" t="s">
        <v>13</v>
      </c>
      <c r="E2800" s="5">
        <v>77.605599999999995</v>
      </c>
      <c r="F2800" s="5">
        <v>76.309299999999993</v>
      </c>
      <c r="G2800" s="5">
        <v>76.358599999999996</v>
      </c>
      <c r="H2800" s="4">
        <v>5</v>
      </c>
      <c r="I2800" s="6">
        <v>3449480</v>
      </c>
      <c r="J2800" s="7">
        <v>888.29</v>
      </c>
      <c r="K2800" s="9">
        <f>(PricingDataTable[[#This Row],[Current Price ($)]]-PricingDataTable[[#This Row],[Prior Price ($)]])/PricingDataTable[[#This Row],[Prior Price ($)]]</f>
        <v>-1.6703691486181439E-2</v>
      </c>
      <c r="L2800" s="9">
        <f>(PricingDataTable[[#This Row],[Vendor Price ($)]]-PricingDataTable[[#This Row],[Current Price ($)]])/PricingDataTable[[#This Row],[Current Price ($)]]</f>
        <v>6.460549369474277E-4</v>
      </c>
      <c r="M2800" t="str">
        <f t="shared" si="86"/>
        <v>STALE</v>
      </c>
      <c r="N2800" s="10" t="str">
        <f t="shared" si="87"/>
        <v>MEDIUM</v>
      </c>
    </row>
    <row r="2801" spans="1:14">
      <c r="A2801" s="4" t="s">
        <v>5618</v>
      </c>
      <c r="B2801" s="4" t="s">
        <v>5619</v>
      </c>
      <c r="C2801" s="4" t="s">
        <v>16</v>
      </c>
      <c r="D2801" s="4" t="s">
        <v>13</v>
      </c>
      <c r="E2801" s="5">
        <v>123.90349999999999</v>
      </c>
      <c r="F2801" s="5">
        <v>122.6353</v>
      </c>
      <c r="G2801" s="5">
        <v>122.2058</v>
      </c>
      <c r="H2801" s="4">
        <v>0</v>
      </c>
      <c r="I2801" s="6">
        <v>115177</v>
      </c>
      <c r="J2801" s="7">
        <v>787.08</v>
      </c>
      <c r="K2801" s="9">
        <f>(PricingDataTable[[#This Row],[Current Price ($)]]-PricingDataTable[[#This Row],[Prior Price ($)]])/PricingDataTable[[#This Row],[Prior Price ($)]]</f>
        <v>-1.0235384795425417E-2</v>
      </c>
      <c r="L2801" s="9">
        <f>(PricingDataTable[[#This Row],[Vendor Price ($)]]-PricingDataTable[[#This Row],[Current Price ($)]])/PricingDataTable[[#This Row],[Current Price ($)]]</f>
        <v>-3.5022542449034202E-3</v>
      </c>
      <c r="M2801" t="str">
        <f t="shared" si="86"/>
        <v>PASS</v>
      </c>
      <c r="N2801" s="10" t="str">
        <f t="shared" si="87"/>
        <v>NONE</v>
      </c>
    </row>
    <row r="2802" spans="1:14">
      <c r="A2802" s="4" t="s">
        <v>5620</v>
      </c>
      <c r="B2802" s="4" t="s">
        <v>5621</v>
      </c>
      <c r="C2802" s="4" t="s">
        <v>35</v>
      </c>
      <c r="D2802" s="4" t="s">
        <v>13</v>
      </c>
      <c r="E2802" s="5">
        <v>11.649699999999999</v>
      </c>
      <c r="F2802" s="5">
        <v>11.706899999999999</v>
      </c>
      <c r="G2802" s="5">
        <v>11.742100000000001</v>
      </c>
      <c r="H2802" s="4">
        <v>0</v>
      </c>
      <c r="I2802" s="6">
        <v>4929812</v>
      </c>
      <c r="J2802" s="7">
        <v>636.01</v>
      </c>
      <c r="K2802" s="9">
        <f>(PricingDataTable[[#This Row],[Current Price ($)]]-PricingDataTable[[#This Row],[Prior Price ($)]])/PricingDataTable[[#This Row],[Prior Price ($)]]</f>
        <v>4.9099976823437442E-3</v>
      </c>
      <c r="L2802" s="9">
        <f>(PricingDataTable[[#This Row],[Vendor Price ($)]]-PricingDataTable[[#This Row],[Current Price ($)]])/PricingDataTable[[#This Row],[Current Price ($)]]</f>
        <v>3.0067737829828096E-3</v>
      </c>
      <c r="M2802" t="str">
        <f t="shared" si="86"/>
        <v>PASS</v>
      </c>
      <c r="N2802" s="10" t="str">
        <f t="shared" si="87"/>
        <v>NONE</v>
      </c>
    </row>
    <row r="2803" spans="1:14">
      <c r="A2803" s="4" t="s">
        <v>5622</v>
      </c>
      <c r="B2803" s="4" t="s">
        <v>5623</v>
      </c>
      <c r="C2803" s="4" t="s">
        <v>19</v>
      </c>
      <c r="D2803" s="4" t="s">
        <v>13</v>
      </c>
      <c r="E2803" s="5">
        <v>283.71519999999998</v>
      </c>
      <c r="F2803" s="5">
        <v>281.2038</v>
      </c>
      <c r="G2803" s="5">
        <v>272.57</v>
      </c>
      <c r="H2803" s="4">
        <v>0</v>
      </c>
      <c r="I2803" s="6">
        <v>1677851</v>
      </c>
      <c r="J2803" s="7">
        <v>890.09</v>
      </c>
      <c r="K2803" s="9">
        <f>(PricingDataTable[[#This Row],[Current Price ($)]]-PricingDataTable[[#This Row],[Prior Price ($)]])/PricingDataTable[[#This Row],[Prior Price ($)]]</f>
        <v>-8.8518345157396604E-3</v>
      </c>
      <c r="L2803" s="9">
        <f>(PricingDataTable[[#This Row],[Vendor Price ($)]]-PricingDataTable[[#This Row],[Current Price ($)]])/PricingDataTable[[#This Row],[Current Price ($)]]</f>
        <v>-3.0702999034863711E-2</v>
      </c>
      <c r="M2803" t="str">
        <f t="shared" si="86"/>
        <v>VENDOR DIFFERENCE</v>
      </c>
      <c r="N2803" s="10" t="str">
        <f t="shared" si="87"/>
        <v>MEDIUM</v>
      </c>
    </row>
    <row r="2804" spans="1:14">
      <c r="A2804" s="4" t="s">
        <v>5624</v>
      </c>
      <c r="B2804" s="4" t="s">
        <v>5625</v>
      </c>
      <c r="C2804" s="4" t="s">
        <v>19</v>
      </c>
      <c r="D2804" s="4" t="s">
        <v>64</v>
      </c>
      <c r="E2804" s="5">
        <v>156.6944</v>
      </c>
      <c r="F2804" s="5">
        <v>160.1054</v>
      </c>
      <c r="G2804" s="5">
        <v>160.02979999999999</v>
      </c>
      <c r="H2804" s="4">
        <v>0</v>
      </c>
      <c r="I2804" s="6">
        <v>1095318</v>
      </c>
      <c r="J2804" s="7">
        <v>684.53</v>
      </c>
      <c r="K2804" s="9">
        <f>(PricingDataTable[[#This Row],[Current Price ($)]]-PricingDataTable[[#This Row],[Prior Price ($)]])/PricingDataTable[[#This Row],[Prior Price ($)]]</f>
        <v>2.1768486940184215E-2</v>
      </c>
      <c r="L2804" s="9">
        <f>(PricingDataTable[[#This Row],[Vendor Price ($)]]-PricingDataTable[[#This Row],[Current Price ($)]])/PricingDataTable[[#This Row],[Current Price ($)]]</f>
        <v>-4.7218894553218408E-4</v>
      </c>
      <c r="M2804" t="str">
        <f t="shared" si="86"/>
        <v>PASS</v>
      </c>
      <c r="N2804" s="10" t="str">
        <f t="shared" si="87"/>
        <v>NONE</v>
      </c>
    </row>
    <row r="2805" spans="1:14">
      <c r="A2805" s="4" t="s">
        <v>5626</v>
      </c>
      <c r="B2805" s="4" t="s">
        <v>5627</v>
      </c>
      <c r="C2805" s="4" t="s">
        <v>19</v>
      </c>
      <c r="D2805" s="4" t="s">
        <v>13</v>
      </c>
      <c r="E2805" s="5">
        <v>108.14960000000001</v>
      </c>
      <c r="F2805" s="5">
        <v>110.79810000000001</v>
      </c>
      <c r="G2805" s="5">
        <v>114.0039</v>
      </c>
      <c r="H2805" s="4">
        <v>0</v>
      </c>
      <c r="I2805" s="6">
        <v>2655455</v>
      </c>
      <c r="J2805" s="7">
        <v>418.71</v>
      </c>
      <c r="K2805" s="9">
        <f>(PricingDataTable[[#This Row],[Current Price ($)]]-PricingDataTable[[#This Row],[Prior Price ($)]])/PricingDataTable[[#This Row],[Prior Price ($)]]</f>
        <v>2.4489226035047735E-2</v>
      </c>
      <c r="L2805" s="9">
        <f>(PricingDataTable[[#This Row],[Vendor Price ($)]]-PricingDataTable[[#This Row],[Current Price ($)]])/PricingDataTable[[#This Row],[Current Price ($)]]</f>
        <v>2.8933709152052213E-2</v>
      </c>
      <c r="M2805" t="str">
        <f t="shared" si="86"/>
        <v>VENDOR DIFFERENCE</v>
      </c>
      <c r="N2805" s="10" t="str">
        <f t="shared" si="87"/>
        <v>LOW</v>
      </c>
    </row>
    <row r="2806" spans="1:14">
      <c r="A2806" s="4" t="s">
        <v>5628</v>
      </c>
      <c r="B2806" s="4" t="s">
        <v>5629</v>
      </c>
      <c r="C2806" s="4" t="s">
        <v>19</v>
      </c>
      <c r="D2806" s="4" t="s">
        <v>32</v>
      </c>
      <c r="E2806" s="5">
        <v>214.4734</v>
      </c>
      <c r="F2806" s="5"/>
      <c r="G2806" s="5">
        <v>212.42230000000001</v>
      </c>
      <c r="H2806" s="4">
        <v>1</v>
      </c>
      <c r="I2806" s="6">
        <v>2792012</v>
      </c>
      <c r="J2806" s="7">
        <v>371.88</v>
      </c>
      <c r="K2806" s="9">
        <f>(PricingDataTable[[#This Row],[Current Price ($)]]-PricingDataTable[[#This Row],[Prior Price ($)]])/PricingDataTable[[#This Row],[Prior Price ($)]]</f>
        <v>-1</v>
      </c>
      <c r="L2806" s="9" t="e">
        <f>(PricingDataTable[[#This Row],[Vendor Price ($)]]-PricingDataTable[[#This Row],[Current Price ($)]])/PricingDataTable[[#This Row],[Current Price ($)]]</f>
        <v>#DIV/0!</v>
      </c>
      <c r="M2806" t="str">
        <f t="shared" si="86"/>
        <v>MISSING</v>
      </c>
      <c r="N2806" s="10" t="str">
        <f t="shared" si="87"/>
        <v>HIGH</v>
      </c>
    </row>
    <row r="2807" spans="1:14">
      <c r="A2807" s="4" t="s">
        <v>5630</v>
      </c>
      <c r="B2807" s="4" t="s">
        <v>5631</v>
      </c>
      <c r="C2807" s="4" t="s">
        <v>12</v>
      </c>
      <c r="D2807" s="4" t="s">
        <v>13</v>
      </c>
      <c r="E2807" s="5">
        <v>95.859800000000007</v>
      </c>
      <c r="F2807" s="5">
        <v>96.094700000000003</v>
      </c>
      <c r="G2807" s="5">
        <v>96.479500000000002</v>
      </c>
      <c r="H2807" s="4">
        <v>0</v>
      </c>
      <c r="I2807" s="6">
        <v>236977</v>
      </c>
      <c r="J2807" s="7">
        <v>135.24</v>
      </c>
      <c r="K2807" s="9">
        <f>(PricingDataTable[[#This Row],[Current Price ($)]]-PricingDataTable[[#This Row],[Prior Price ($)]])/PricingDataTable[[#This Row],[Prior Price ($)]]</f>
        <v>2.4504536834000917E-3</v>
      </c>
      <c r="L2807" s="9">
        <f>(PricingDataTable[[#This Row],[Vendor Price ($)]]-PricingDataTable[[#This Row],[Current Price ($)]])/PricingDataTable[[#This Row],[Current Price ($)]]</f>
        <v>4.0043831761793153E-3</v>
      </c>
      <c r="M2807" t="str">
        <f t="shared" si="86"/>
        <v>PASS</v>
      </c>
      <c r="N2807" s="10" t="str">
        <f t="shared" si="87"/>
        <v>NONE</v>
      </c>
    </row>
    <row r="2808" spans="1:14">
      <c r="A2808" s="4" t="s">
        <v>5632</v>
      </c>
      <c r="B2808" s="4" t="s">
        <v>5633</v>
      </c>
      <c r="C2808" s="4" t="s">
        <v>39</v>
      </c>
      <c r="D2808" s="4" t="s">
        <v>13</v>
      </c>
      <c r="E2808" s="5">
        <v>348.03269999999998</v>
      </c>
      <c r="F2808" s="5">
        <v>352.1028</v>
      </c>
      <c r="G2808" s="5">
        <v>380.70940000000002</v>
      </c>
      <c r="H2808" s="4">
        <v>4</v>
      </c>
      <c r="I2808" s="6">
        <v>3723819</v>
      </c>
      <c r="J2808" s="7">
        <v>258.94</v>
      </c>
      <c r="K2808" s="9">
        <f>(PricingDataTable[[#This Row],[Current Price ($)]]-PricingDataTable[[#This Row],[Prior Price ($)]])/PricingDataTable[[#This Row],[Prior Price ($)]]</f>
        <v>1.1694590766902147E-2</v>
      </c>
      <c r="L2808" s="9">
        <f>(PricingDataTable[[#This Row],[Vendor Price ($)]]-PricingDataTable[[#This Row],[Current Price ($)]])/PricingDataTable[[#This Row],[Current Price ($)]]</f>
        <v>8.1245022760398425E-2</v>
      </c>
      <c r="M2808" t="str">
        <f t="shared" si="86"/>
        <v>STALE</v>
      </c>
      <c r="N2808" s="10" t="str">
        <f t="shared" si="87"/>
        <v>HIGH</v>
      </c>
    </row>
    <row r="2809" spans="1:14">
      <c r="A2809" s="4" t="s">
        <v>5634</v>
      </c>
      <c r="B2809" s="4" t="s">
        <v>5635</v>
      </c>
      <c r="C2809" s="4" t="s">
        <v>12</v>
      </c>
      <c r="D2809" s="4" t="s">
        <v>13</v>
      </c>
      <c r="E2809" s="5">
        <v>79.272499999999994</v>
      </c>
      <c r="F2809" s="5">
        <v>78.989000000000004</v>
      </c>
      <c r="G2809" s="5">
        <v>79.104900000000001</v>
      </c>
      <c r="H2809" s="4">
        <v>0</v>
      </c>
      <c r="I2809" s="6">
        <v>2919193</v>
      </c>
      <c r="J2809" s="7">
        <v>147.06</v>
      </c>
      <c r="K2809" s="9">
        <f>(PricingDataTable[[#This Row],[Current Price ($)]]-PricingDataTable[[#This Row],[Prior Price ($)]])/PricingDataTable[[#This Row],[Prior Price ($)]]</f>
        <v>-3.5762717209623695E-3</v>
      </c>
      <c r="L2809" s="9">
        <f>(PricingDataTable[[#This Row],[Vendor Price ($)]]-PricingDataTable[[#This Row],[Current Price ($)]])/PricingDataTable[[#This Row],[Current Price ($)]]</f>
        <v>1.4672929142031971E-3</v>
      </c>
      <c r="M2809" t="str">
        <f t="shared" si="86"/>
        <v>PASS</v>
      </c>
      <c r="N2809" s="10" t="str">
        <f t="shared" si="87"/>
        <v>NONE</v>
      </c>
    </row>
    <row r="2810" spans="1:14">
      <c r="A2810" s="4" t="s">
        <v>5636</v>
      </c>
      <c r="B2810" s="4" t="s">
        <v>5637</v>
      </c>
      <c r="C2810" s="4" t="s">
        <v>16</v>
      </c>
      <c r="D2810" s="4" t="s">
        <v>36</v>
      </c>
      <c r="E2810" s="5">
        <v>101.13200000000001</v>
      </c>
      <c r="F2810" s="5">
        <v>100.45310000000001</v>
      </c>
      <c r="G2810" s="5">
        <v>99.897300000000001</v>
      </c>
      <c r="H2810" s="4">
        <v>0</v>
      </c>
      <c r="I2810" s="6">
        <v>2092065</v>
      </c>
      <c r="J2810" s="7">
        <v>88.95</v>
      </c>
      <c r="K2810" s="9">
        <f>(PricingDataTable[[#This Row],[Current Price ($)]]-PricingDataTable[[#This Row],[Prior Price ($)]])/PricingDataTable[[#This Row],[Prior Price ($)]]</f>
        <v>-6.7130087410512866E-3</v>
      </c>
      <c r="L2810" s="9">
        <f>(PricingDataTable[[#This Row],[Vendor Price ($)]]-PricingDataTable[[#This Row],[Current Price ($)]])/PricingDataTable[[#This Row],[Current Price ($)]]</f>
        <v>-5.5329302928431769E-3</v>
      </c>
      <c r="M2810" t="str">
        <f t="shared" si="86"/>
        <v>PASS</v>
      </c>
      <c r="N2810" s="10" t="str">
        <f t="shared" si="87"/>
        <v>NONE</v>
      </c>
    </row>
    <row r="2811" spans="1:14">
      <c r="A2811" s="4" t="s">
        <v>5638</v>
      </c>
      <c r="B2811" s="4" t="s">
        <v>5639</v>
      </c>
      <c r="C2811" s="4" t="s">
        <v>39</v>
      </c>
      <c r="D2811" s="4" t="s">
        <v>13</v>
      </c>
      <c r="E2811" s="5">
        <v>30.808399999999999</v>
      </c>
      <c r="F2811" s="5">
        <v>30.959399999999999</v>
      </c>
      <c r="G2811" s="5">
        <v>31.0213</v>
      </c>
      <c r="H2811" s="4">
        <v>0</v>
      </c>
      <c r="I2811" s="6">
        <v>3494593</v>
      </c>
      <c r="J2811" s="7">
        <v>395.75</v>
      </c>
      <c r="K2811" s="9">
        <f>(PricingDataTable[[#This Row],[Current Price ($)]]-PricingDataTable[[#This Row],[Prior Price ($)]])/PricingDataTable[[#This Row],[Prior Price ($)]]</f>
        <v>4.9012606951350868E-3</v>
      </c>
      <c r="L2811" s="9">
        <f>(PricingDataTable[[#This Row],[Vendor Price ($)]]-PricingDataTable[[#This Row],[Current Price ($)]])/PricingDataTable[[#This Row],[Current Price ($)]]</f>
        <v>1.9993927530895755E-3</v>
      </c>
      <c r="M2811" t="str">
        <f t="shared" si="86"/>
        <v>PASS</v>
      </c>
      <c r="N2811" s="10" t="str">
        <f t="shared" si="87"/>
        <v>NONE</v>
      </c>
    </row>
    <row r="2812" spans="1:14">
      <c r="A2812" s="4" t="s">
        <v>5640</v>
      </c>
      <c r="B2812" s="4" t="s">
        <v>5641</v>
      </c>
      <c r="C2812" s="4" t="s">
        <v>16</v>
      </c>
      <c r="D2812" s="4" t="s">
        <v>36</v>
      </c>
      <c r="E2812" s="5">
        <v>98.498099999999994</v>
      </c>
      <c r="F2812" s="5">
        <v>99.515600000000006</v>
      </c>
      <c r="G2812" s="5">
        <v>99.119200000000006</v>
      </c>
      <c r="H2812" s="4">
        <v>0</v>
      </c>
      <c r="I2812" s="6">
        <v>2603694</v>
      </c>
      <c r="J2812" s="7">
        <v>814.25</v>
      </c>
      <c r="K2812" s="9">
        <f>(PricingDataTable[[#This Row],[Current Price ($)]]-PricingDataTable[[#This Row],[Prior Price ($)]])/PricingDataTable[[#This Row],[Prior Price ($)]]</f>
        <v>1.0330148500326529E-2</v>
      </c>
      <c r="L2812" s="9">
        <f>(PricingDataTable[[#This Row],[Vendor Price ($)]]-PricingDataTable[[#This Row],[Current Price ($)]])/PricingDataTable[[#This Row],[Current Price ($)]]</f>
        <v>-3.9832950813741752E-3</v>
      </c>
      <c r="M2812" t="str">
        <f t="shared" si="86"/>
        <v>PASS</v>
      </c>
      <c r="N2812" s="10" t="str">
        <f t="shared" si="87"/>
        <v>NONE</v>
      </c>
    </row>
    <row r="2813" spans="1:14">
      <c r="A2813" s="4" t="s">
        <v>5642</v>
      </c>
      <c r="B2813" s="4" t="s">
        <v>5643</v>
      </c>
      <c r="C2813" s="4" t="s">
        <v>16</v>
      </c>
      <c r="D2813" s="4" t="s">
        <v>13</v>
      </c>
      <c r="E2813" s="5">
        <v>115.7195</v>
      </c>
      <c r="F2813" s="5">
        <v>115.78</v>
      </c>
      <c r="G2813" s="5">
        <v>115.81959999999999</v>
      </c>
      <c r="H2813" s="4">
        <v>0</v>
      </c>
      <c r="I2813" s="6">
        <v>750398</v>
      </c>
      <c r="J2813" s="7">
        <v>415.46</v>
      </c>
      <c r="K2813" s="9">
        <f>(PricingDataTable[[#This Row],[Current Price ($)]]-PricingDataTable[[#This Row],[Prior Price ($)]])/PricingDataTable[[#This Row],[Prior Price ($)]]</f>
        <v>5.228159471826673E-4</v>
      </c>
      <c r="L2813" s="9">
        <f>(PricingDataTable[[#This Row],[Vendor Price ($)]]-PricingDataTable[[#This Row],[Current Price ($)]])/PricingDataTable[[#This Row],[Current Price ($)]]</f>
        <v>3.4202798410772994E-4</v>
      </c>
      <c r="M2813" t="str">
        <f t="shared" si="86"/>
        <v>PASS</v>
      </c>
      <c r="N2813" s="10" t="str">
        <f t="shared" si="87"/>
        <v>NONE</v>
      </c>
    </row>
    <row r="2814" spans="1:14">
      <c r="A2814" s="4" t="s">
        <v>5644</v>
      </c>
      <c r="B2814" s="4" t="s">
        <v>5645</v>
      </c>
      <c r="C2814" s="4" t="s">
        <v>19</v>
      </c>
      <c r="D2814" s="4" t="s">
        <v>64</v>
      </c>
      <c r="E2814" s="5">
        <v>46.767499999999998</v>
      </c>
      <c r="F2814" s="5">
        <v>46.478099999999998</v>
      </c>
      <c r="G2814" s="5">
        <v>46.343200000000003</v>
      </c>
      <c r="H2814" s="4">
        <v>0</v>
      </c>
      <c r="I2814" s="6">
        <v>737921</v>
      </c>
      <c r="J2814" s="7">
        <v>409.68</v>
      </c>
      <c r="K2814" s="9">
        <f>(PricingDataTable[[#This Row],[Current Price ($)]]-PricingDataTable[[#This Row],[Prior Price ($)]])/PricingDataTable[[#This Row],[Prior Price ($)]]</f>
        <v>-6.1880579462233508E-3</v>
      </c>
      <c r="L2814" s="9">
        <f>(PricingDataTable[[#This Row],[Vendor Price ($)]]-PricingDataTable[[#This Row],[Current Price ($)]])/PricingDataTable[[#This Row],[Current Price ($)]]</f>
        <v>-2.9024422254781217E-3</v>
      </c>
      <c r="M2814" t="str">
        <f t="shared" si="86"/>
        <v>PASS</v>
      </c>
      <c r="N2814" s="10" t="str">
        <f t="shared" si="87"/>
        <v>NONE</v>
      </c>
    </row>
    <row r="2815" spans="1:14">
      <c r="A2815" s="4" t="s">
        <v>5646</v>
      </c>
      <c r="B2815" s="4" t="s">
        <v>5647</v>
      </c>
      <c r="C2815" s="4" t="s">
        <v>35</v>
      </c>
      <c r="D2815" s="4" t="s">
        <v>13</v>
      </c>
      <c r="E2815" s="5">
        <v>69.761200000000002</v>
      </c>
      <c r="F2815" s="5">
        <v>60.357999999999997</v>
      </c>
      <c r="G2815" s="5">
        <v>60.305100000000003</v>
      </c>
      <c r="H2815" s="4">
        <v>2</v>
      </c>
      <c r="I2815" s="6">
        <v>2440151</v>
      </c>
      <c r="J2815" s="7">
        <v>770.24</v>
      </c>
      <c r="K2815" s="9">
        <f>(PricingDataTable[[#This Row],[Current Price ($)]]-PricingDataTable[[#This Row],[Prior Price ($)]])/PricingDataTable[[#This Row],[Prior Price ($)]]</f>
        <v>-0.13479125932466765</v>
      </c>
      <c r="L2815" s="9">
        <f>(PricingDataTable[[#This Row],[Vendor Price ($)]]-PricingDataTable[[#This Row],[Current Price ($)]])/PricingDataTable[[#This Row],[Current Price ($)]]</f>
        <v>-8.7643725769564855E-4</v>
      </c>
      <c r="M2815" t="str">
        <f t="shared" si="86"/>
        <v>LARGE MOVE</v>
      </c>
      <c r="N2815" s="10" t="str">
        <f t="shared" si="87"/>
        <v>HIGH</v>
      </c>
    </row>
    <row r="2816" spans="1:14">
      <c r="A2816" s="4" t="s">
        <v>5648</v>
      </c>
      <c r="B2816" s="4" t="s">
        <v>5649</v>
      </c>
      <c r="C2816" s="4" t="s">
        <v>12</v>
      </c>
      <c r="D2816" s="4" t="s">
        <v>64</v>
      </c>
      <c r="E2816" s="5">
        <v>102.6478</v>
      </c>
      <c r="F2816" s="5">
        <v>104.97629999999999</v>
      </c>
      <c r="G2816" s="5">
        <v>104.8206</v>
      </c>
      <c r="H2816" s="4">
        <v>0</v>
      </c>
      <c r="I2816" s="6">
        <v>2542386</v>
      </c>
      <c r="J2816" s="7">
        <v>864.36</v>
      </c>
      <c r="K2816" s="9">
        <f>(PricingDataTable[[#This Row],[Current Price ($)]]-PricingDataTable[[#This Row],[Prior Price ($)]])/PricingDataTable[[#This Row],[Prior Price ($)]]</f>
        <v>2.2684363425226756E-2</v>
      </c>
      <c r="L2816" s="9">
        <f>(PricingDataTable[[#This Row],[Vendor Price ($)]]-PricingDataTable[[#This Row],[Current Price ($)]])/PricingDataTable[[#This Row],[Current Price ($)]]</f>
        <v>-1.4831919204620087E-3</v>
      </c>
      <c r="M2816" t="str">
        <f t="shared" si="86"/>
        <v>PASS</v>
      </c>
      <c r="N2816" s="10" t="str">
        <f t="shared" si="87"/>
        <v>NONE</v>
      </c>
    </row>
    <row r="2817" spans="1:14">
      <c r="A2817" s="4" t="s">
        <v>5650</v>
      </c>
      <c r="B2817" s="4" t="s">
        <v>5651</v>
      </c>
      <c r="C2817" s="4" t="s">
        <v>39</v>
      </c>
      <c r="D2817" s="4" t="s">
        <v>13</v>
      </c>
      <c r="E2817" s="5">
        <v>349.5095</v>
      </c>
      <c r="F2817" s="5">
        <v>348.08420000000001</v>
      </c>
      <c r="G2817" s="5">
        <v>348.87540000000001</v>
      </c>
      <c r="H2817" s="4">
        <v>0</v>
      </c>
      <c r="I2817" s="6">
        <v>1920519</v>
      </c>
      <c r="J2817" s="7">
        <v>857.11</v>
      </c>
      <c r="K2817" s="9">
        <f>(PricingDataTable[[#This Row],[Current Price ($)]]-PricingDataTable[[#This Row],[Prior Price ($)]])/PricingDataTable[[#This Row],[Prior Price ($)]]</f>
        <v>-4.0780007410384919E-3</v>
      </c>
      <c r="L2817" s="9">
        <f>(PricingDataTable[[#This Row],[Vendor Price ($)]]-PricingDataTable[[#This Row],[Current Price ($)]])/PricingDataTable[[#This Row],[Current Price ($)]]</f>
        <v>2.2730132536897779E-3</v>
      </c>
      <c r="M2817" t="str">
        <f t="shared" si="86"/>
        <v>PASS</v>
      </c>
      <c r="N2817" s="10" t="str">
        <f t="shared" si="87"/>
        <v>NONE</v>
      </c>
    </row>
    <row r="2818" spans="1:14">
      <c r="A2818" s="4" t="s">
        <v>5652</v>
      </c>
      <c r="B2818" s="4" t="s">
        <v>5653</v>
      </c>
      <c r="C2818" s="4" t="s">
        <v>35</v>
      </c>
      <c r="D2818" s="4" t="s">
        <v>64</v>
      </c>
      <c r="E2818" s="5">
        <v>24.480699999999999</v>
      </c>
      <c r="F2818" s="5">
        <v>24.587599999999998</v>
      </c>
      <c r="G2818" s="5">
        <v>24.600899999999999</v>
      </c>
      <c r="H2818" s="4">
        <v>0</v>
      </c>
      <c r="I2818" s="6">
        <v>2917773</v>
      </c>
      <c r="J2818" s="7">
        <v>88.2</v>
      </c>
      <c r="K2818" s="9">
        <f>(PricingDataTable[[#This Row],[Current Price ($)]]-PricingDataTable[[#This Row],[Prior Price ($)]])/PricingDataTable[[#This Row],[Prior Price ($)]]</f>
        <v>4.3667052004231722E-3</v>
      </c>
      <c r="L2818" s="9">
        <f>(PricingDataTable[[#This Row],[Vendor Price ($)]]-PricingDataTable[[#This Row],[Current Price ($)]])/PricingDataTable[[#This Row],[Current Price ($)]]</f>
        <v>5.4092306691181649E-4</v>
      </c>
      <c r="M2818" t="str">
        <f t="shared" ref="M2818:M2881" si="88">IF(OR(F2818="",F2818=0),"MISSING",IF(H2818&gt;=3,"STALE",IF(ABS(K2818)&gt;=5%,"LARGE MOVE",IF(ABS(L2818)&gt;=2%,"VENDOR DIFFERENCE","PASS"))))</f>
        <v>PASS</v>
      </c>
      <c r="N2818" s="10" t="str">
        <f t="shared" ref="N2818:N2881" si="89">IF(M2818="PASS","NONE",IF(M2818="MISSING","HIGH",IF(OR(ABS(K2818)&gt;=10%,ABS(L2818)&gt;=5%),"HIGH",IF(OR(ABS(K2818)&gt;=7%,ABS(L2818)&gt;=3%,H2818&gt;=5),"MEDIUM","LOW"))))</f>
        <v>NONE</v>
      </c>
    </row>
    <row r="2819" spans="1:14">
      <c r="A2819" s="4" t="s">
        <v>5654</v>
      </c>
      <c r="B2819" s="4" t="s">
        <v>5655</v>
      </c>
      <c r="C2819" s="4" t="s">
        <v>12</v>
      </c>
      <c r="D2819" s="4" t="s">
        <v>13</v>
      </c>
      <c r="E2819" s="5">
        <v>120.9675</v>
      </c>
      <c r="F2819" s="5">
        <v>119.84350000000001</v>
      </c>
      <c r="G2819" s="5">
        <v>119.99079999999999</v>
      </c>
      <c r="H2819" s="4">
        <v>0</v>
      </c>
      <c r="I2819" s="6">
        <v>1960751</v>
      </c>
      <c r="J2819" s="7">
        <v>88.87</v>
      </c>
      <c r="K2819" s="9">
        <f>(PricingDataTable[[#This Row],[Current Price ($)]]-PricingDataTable[[#This Row],[Prior Price ($)]])/PricingDataTable[[#This Row],[Prior Price ($)]]</f>
        <v>-9.2917519168371279E-3</v>
      </c>
      <c r="L2819" s="9">
        <f>(PricingDataTable[[#This Row],[Vendor Price ($)]]-PricingDataTable[[#This Row],[Current Price ($)]])/PricingDataTable[[#This Row],[Current Price ($)]]</f>
        <v>1.2291029551038403E-3</v>
      </c>
      <c r="M2819" t="str">
        <f t="shared" si="88"/>
        <v>PASS</v>
      </c>
      <c r="N2819" s="10" t="str">
        <f t="shared" si="89"/>
        <v>NONE</v>
      </c>
    </row>
    <row r="2820" spans="1:14">
      <c r="A2820" s="4" t="s">
        <v>5656</v>
      </c>
      <c r="B2820" s="4" t="s">
        <v>5657</v>
      </c>
      <c r="C2820" s="4" t="s">
        <v>12</v>
      </c>
      <c r="D2820" s="4" t="s">
        <v>13</v>
      </c>
      <c r="E2820" s="5">
        <v>96.507400000000004</v>
      </c>
      <c r="F2820" s="5">
        <v>96.811000000000007</v>
      </c>
      <c r="G2820" s="5">
        <v>96.399699999999996</v>
      </c>
      <c r="H2820" s="4">
        <v>2</v>
      </c>
      <c r="I2820" s="6">
        <v>875309</v>
      </c>
      <c r="J2820" s="7">
        <v>838.23</v>
      </c>
      <c r="K2820" s="9">
        <f>(PricingDataTable[[#This Row],[Current Price ($)]]-PricingDataTable[[#This Row],[Prior Price ($)]])/PricingDataTable[[#This Row],[Prior Price ($)]]</f>
        <v>3.1458727517268414E-3</v>
      </c>
      <c r="L2820" s="9">
        <f>(PricingDataTable[[#This Row],[Vendor Price ($)]]-PricingDataTable[[#This Row],[Current Price ($)]])/PricingDataTable[[#This Row],[Current Price ($)]]</f>
        <v>-4.2484841598579839E-3</v>
      </c>
      <c r="M2820" t="str">
        <f t="shared" si="88"/>
        <v>PASS</v>
      </c>
      <c r="N2820" s="10" t="str">
        <f t="shared" si="89"/>
        <v>NONE</v>
      </c>
    </row>
    <row r="2821" spans="1:14">
      <c r="A2821" s="4" t="s">
        <v>5658</v>
      </c>
      <c r="B2821" s="4" t="s">
        <v>5659</v>
      </c>
      <c r="C2821" s="4" t="s">
        <v>12</v>
      </c>
      <c r="D2821" s="4" t="s">
        <v>32</v>
      </c>
      <c r="E2821" s="5">
        <v>114.48779999999999</v>
      </c>
      <c r="F2821" s="5">
        <v>129.23419999999999</v>
      </c>
      <c r="G2821" s="5">
        <v>128.75129999999999</v>
      </c>
      <c r="H2821" s="4">
        <v>0</v>
      </c>
      <c r="I2821" s="6">
        <v>2695670</v>
      </c>
      <c r="J2821" s="7">
        <v>407.69</v>
      </c>
      <c r="K2821" s="9">
        <f>(PricingDataTable[[#This Row],[Current Price ($)]]-PricingDataTable[[#This Row],[Prior Price ($)]])/PricingDataTable[[#This Row],[Prior Price ($)]]</f>
        <v>0.12880324366439039</v>
      </c>
      <c r="L2821" s="9">
        <f>(PricingDataTable[[#This Row],[Vendor Price ($)]]-PricingDataTable[[#This Row],[Current Price ($)]])/PricingDataTable[[#This Row],[Current Price ($)]]</f>
        <v>-3.7366269919262922E-3</v>
      </c>
      <c r="M2821" t="str">
        <f t="shared" si="88"/>
        <v>LARGE MOVE</v>
      </c>
      <c r="N2821" s="10" t="str">
        <f t="shared" si="89"/>
        <v>HIGH</v>
      </c>
    </row>
    <row r="2822" spans="1:14">
      <c r="A2822" s="4" t="s">
        <v>5660</v>
      </c>
      <c r="B2822" s="4" t="s">
        <v>5661</v>
      </c>
      <c r="C2822" s="4" t="s">
        <v>19</v>
      </c>
      <c r="D2822" s="4" t="s">
        <v>32</v>
      </c>
      <c r="E2822" s="5">
        <v>188.19569999999999</v>
      </c>
      <c r="F2822" s="5">
        <v>189.9949</v>
      </c>
      <c r="G2822" s="5">
        <v>189.94880000000001</v>
      </c>
      <c r="H2822" s="4">
        <v>2</v>
      </c>
      <c r="I2822" s="6">
        <v>2571620</v>
      </c>
      <c r="J2822" s="7">
        <v>754.06</v>
      </c>
      <c r="K2822" s="9">
        <f>(PricingDataTable[[#This Row],[Current Price ($)]]-PricingDataTable[[#This Row],[Prior Price ($)]])/PricingDataTable[[#This Row],[Prior Price ($)]]</f>
        <v>9.5602609411374086E-3</v>
      </c>
      <c r="L2822" s="9">
        <f>(PricingDataTable[[#This Row],[Vendor Price ($)]]-PricingDataTable[[#This Row],[Current Price ($)]])/PricingDataTable[[#This Row],[Current Price ($)]]</f>
        <v>-2.4263809186454789E-4</v>
      </c>
      <c r="M2822" t="str">
        <f t="shared" si="88"/>
        <v>PASS</v>
      </c>
      <c r="N2822" s="10" t="str">
        <f t="shared" si="89"/>
        <v>NONE</v>
      </c>
    </row>
    <row r="2823" spans="1:14">
      <c r="A2823" s="4" t="s">
        <v>5662</v>
      </c>
      <c r="B2823" s="4" t="s">
        <v>5663</v>
      </c>
      <c r="C2823" s="4" t="s">
        <v>19</v>
      </c>
      <c r="D2823" s="4" t="s">
        <v>13</v>
      </c>
      <c r="E2823" s="5">
        <v>345.11950000000002</v>
      </c>
      <c r="F2823" s="5">
        <v>349.04140000000001</v>
      </c>
      <c r="G2823" s="5">
        <v>347.23180000000002</v>
      </c>
      <c r="H2823" s="4">
        <v>0</v>
      </c>
      <c r="I2823" s="6">
        <v>4211771</v>
      </c>
      <c r="J2823" s="7">
        <v>694.63</v>
      </c>
      <c r="K2823" s="9">
        <f>(PricingDataTable[[#This Row],[Current Price ($)]]-PricingDataTable[[#This Row],[Prior Price ($)]])/PricingDataTable[[#This Row],[Prior Price ($)]]</f>
        <v>1.1363889899005978E-2</v>
      </c>
      <c r="L2823" s="9">
        <f>(PricingDataTable[[#This Row],[Vendor Price ($)]]-PricingDataTable[[#This Row],[Current Price ($)]])/PricingDataTable[[#This Row],[Current Price ($)]]</f>
        <v>-5.1844852788236265E-3</v>
      </c>
      <c r="M2823" t="str">
        <f t="shared" si="88"/>
        <v>PASS</v>
      </c>
      <c r="N2823" s="10" t="str">
        <f t="shared" si="89"/>
        <v>NONE</v>
      </c>
    </row>
    <row r="2824" spans="1:14">
      <c r="A2824" s="4" t="s">
        <v>5664</v>
      </c>
      <c r="B2824" s="4" t="s">
        <v>5665</v>
      </c>
      <c r="C2824" s="4" t="s">
        <v>39</v>
      </c>
      <c r="D2824" s="4" t="s">
        <v>13</v>
      </c>
      <c r="E2824" s="5">
        <v>284.55849999999998</v>
      </c>
      <c r="F2824" s="5">
        <v>282.76130000000001</v>
      </c>
      <c r="G2824" s="5">
        <v>281.31360000000001</v>
      </c>
      <c r="H2824" s="4">
        <v>0</v>
      </c>
      <c r="I2824" s="6">
        <v>693952</v>
      </c>
      <c r="J2824" s="7">
        <v>820.76</v>
      </c>
      <c r="K2824" s="9">
        <f>(PricingDataTable[[#This Row],[Current Price ($)]]-PricingDataTable[[#This Row],[Prior Price ($)]])/PricingDataTable[[#This Row],[Prior Price ($)]]</f>
        <v>-6.3157487827633875E-3</v>
      </c>
      <c r="L2824" s="9">
        <f>(PricingDataTable[[#This Row],[Vendor Price ($)]]-PricingDataTable[[#This Row],[Current Price ($)]])/PricingDataTable[[#This Row],[Current Price ($)]]</f>
        <v>-5.1198661202929733E-3</v>
      </c>
      <c r="M2824" t="str">
        <f t="shared" si="88"/>
        <v>PASS</v>
      </c>
      <c r="N2824" s="10" t="str">
        <f t="shared" si="89"/>
        <v>NONE</v>
      </c>
    </row>
    <row r="2825" spans="1:14">
      <c r="A2825" s="4" t="s">
        <v>5666</v>
      </c>
      <c r="B2825" s="4" t="s">
        <v>5667</v>
      </c>
      <c r="C2825" s="4" t="s">
        <v>19</v>
      </c>
      <c r="D2825" s="4" t="s">
        <v>13</v>
      </c>
      <c r="E2825" s="5">
        <v>203.726</v>
      </c>
      <c r="F2825" s="5">
        <v>200.39930000000001</v>
      </c>
      <c r="G2825" s="5">
        <v>200.67830000000001</v>
      </c>
      <c r="H2825" s="4">
        <v>0</v>
      </c>
      <c r="I2825" s="6">
        <v>2973154</v>
      </c>
      <c r="J2825" s="7">
        <v>29.45</v>
      </c>
      <c r="K2825" s="9">
        <f>(PricingDataTable[[#This Row],[Current Price ($)]]-PricingDataTable[[#This Row],[Prior Price ($)]])/PricingDataTable[[#This Row],[Prior Price ($)]]</f>
        <v>-1.6329285412760217E-2</v>
      </c>
      <c r="L2825" s="9">
        <f>(PricingDataTable[[#This Row],[Vendor Price ($)]]-PricingDataTable[[#This Row],[Current Price ($)]])/PricingDataTable[[#This Row],[Current Price ($)]]</f>
        <v>1.392220431907678E-3</v>
      </c>
      <c r="M2825" t="str">
        <f t="shared" si="88"/>
        <v>PASS</v>
      </c>
      <c r="N2825" s="10" t="str">
        <f t="shared" si="89"/>
        <v>NONE</v>
      </c>
    </row>
    <row r="2826" spans="1:14">
      <c r="A2826" s="4" t="s">
        <v>5668</v>
      </c>
      <c r="B2826" s="4" t="s">
        <v>5669</v>
      </c>
      <c r="C2826" s="4" t="s">
        <v>35</v>
      </c>
      <c r="D2826" s="4" t="s">
        <v>13</v>
      </c>
      <c r="E2826" s="5">
        <v>14.0009</v>
      </c>
      <c r="F2826" s="5">
        <v>13.972099999999999</v>
      </c>
      <c r="G2826" s="5">
        <v>14.0395</v>
      </c>
      <c r="H2826" s="4">
        <v>0</v>
      </c>
      <c r="I2826" s="6">
        <v>1443095</v>
      </c>
      <c r="J2826" s="7">
        <v>259.36</v>
      </c>
      <c r="K2826" s="9">
        <f>(PricingDataTable[[#This Row],[Current Price ($)]]-PricingDataTable[[#This Row],[Prior Price ($)]])/PricingDataTable[[#This Row],[Prior Price ($)]]</f>
        <v>-2.0570106207458364E-3</v>
      </c>
      <c r="L2826" s="9">
        <f>(PricingDataTable[[#This Row],[Vendor Price ($)]]-PricingDataTable[[#This Row],[Current Price ($)]])/PricingDataTable[[#This Row],[Current Price ($)]]</f>
        <v>4.8238990559759101E-3</v>
      </c>
      <c r="M2826" t="str">
        <f t="shared" si="88"/>
        <v>PASS</v>
      </c>
      <c r="N2826" s="10" t="str">
        <f t="shared" si="89"/>
        <v>NONE</v>
      </c>
    </row>
    <row r="2827" spans="1:14">
      <c r="A2827" s="4" t="s">
        <v>5670</v>
      </c>
      <c r="B2827" s="4" t="s">
        <v>5671</v>
      </c>
      <c r="C2827" s="4" t="s">
        <v>19</v>
      </c>
      <c r="D2827" s="4" t="s">
        <v>13</v>
      </c>
      <c r="E2827" s="5">
        <v>100.1377</v>
      </c>
      <c r="F2827" s="5">
        <v>100.8725</v>
      </c>
      <c r="G2827" s="5">
        <v>100.42570000000001</v>
      </c>
      <c r="H2827" s="4">
        <v>3</v>
      </c>
      <c r="I2827" s="6">
        <v>4302674</v>
      </c>
      <c r="J2827" s="7">
        <v>581.54</v>
      </c>
      <c r="K2827" s="9">
        <f>(PricingDataTable[[#This Row],[Current Price ($)]]-PricingDataTable[[#This Row],[Prior Price ($)]])/PricingDataTable[[#This Row],[Prior Price ($)]]</f>
        <v>7.337895717596939E-3</v>
      </c>
      <c r="L2827" s="9">
        <f>(PricingDataTable[[#This Row],[Vendor Price ($)]]-PricingDataTable[[#This Row],[Current Price ($)]])/PricingDataTable[[#This Row],[Current Price ($)]]</f>
        <v>-4.4293538873329801E-3</v>
      </c>
      <c r="M2827" t="str">
        <f t="shared" si="88"/>
        <v>STALE</v>
      </c>
      <c r="N2827" s="10" t="str">
        <f t="shared" si="89"/>
        <v>LOW</v>
      </c>
    </row>
    <row r="2828" spans="1:14">
      <c r="A2828" s="4" t="s">
        <v>5672</v>
      </c>
      <c r="B2828" s="4" t="s">
        <v>5673</v>
      </c>
      <c r="C2828" s="4" t="s">
        <v>16</v>
      </c>
      <c r="D2828" s="4" t="s">
        <v>13</v>
      </c>
      <c r="E2828" s="5">
        <v>111.7854</v>
      </c>
      <c r="F2828" s="5">
        <v>111.0389</v>
      </c>
      <c r="G2828" s="5">
        <v>110.7619</v>
      </c>
      <c r="H2828" s="4">
        <v>0</v>
      </c>
      <c r="I2828" s="6">
        <v>3862695</v>
      </c>
      <c r="J2828" s="7">
        <v>842.91</v>
      </c>
      <c r="K2828" s="9">
        <f>(PricingDataTable[[#This Row],[Current Price ($)]]-PricingDataTable[[#This Row],[Prior Price ($)]])/PricingDataTable[[#This Row],[Prior Price ($)]]</f>
        <v>-6.677974046700173E-3</v>
      </c>
      <c r="L2828" s="9">
        <f>(PricingDataTable[[#This Row],[Vendor Price ($)]]-PricingDataTable[[#This Row],[Current Price ($)]])/PricingDataTable[[#This Row],[Current Price ($)]]</f>
        <v>-2.4946212543532132E-3</v>
      </c>
      <c r="M2828" t="str">
        <f t="shared" si="88"/>
        <v>PASS</v>
      </c>
      <c r="N2828" s="10" t="str">
        <f t="shared" si="89"/>
        <v>NONE</v>
      </c>
    </row>
    <row r="2829" spans="1:14">
      <c r="A2829" s="4" t="s">
        <v>5674</v>
      </c>
      <c r="B2829" s="4" t="s">
        <v>5675</v>
      </c>
      <c r="C2829" s="4" t="s">
        <v>19</v>
      </c>
      <c r="D2829" s="4" t="s">
        <v>13</v>
      </c>
      <c r="E2829" s="5">
        <v>274.24939999999998</v>
      </c>
      <c r="F2829" s="5">
        <v>275.9024</v>
      </c>
      <c r="G2829" s="5">
        <v>275.51569999999998</v>
      </c>
      <c r="H2829" s="4">
        <v>0</v>
      </c>
      <c r="I2829" s="6">
        <v>1797752</v>
      </c>
      <c r="J2829" s="7">
        <v>467.29</v>
      </c>
      <c r="K2829" s="9">
        <f>(PricingDataTable[[#This Row],[Current Price ($)]]-PricingDataTable[[#This Row],[Prior Price ($)]])/PricingDataTable[[#This Row],[Prior Price ($)]]</f>
        <v>6.0273604974159295E-3</v>
      </c>
      <c r="L2829" s="9">
        <f>(PricingDataTable[[#This Row],[Vendor Price ($)]]-PricingDataTable[[#This Row],[Current Price ($)]])/PricingDataTable[[#This Row],[Current Price ($)]]</f>
        <v>-1.4015825886256115E-3</v>
      </c>
      <c r="M2829" t="str">
        <f t="shared" si="88"/>
        <v>PASS</v>
      </c>
      <c r="N2829" s="10" t="str">
        <f t="shared" si="89"/>
        <v>NONE</v>
      </c>
    </row>
    <row r="2830" spans="1:14">
      <c r="A2830" s="4" t="s">
        <v>5676</v>
      </c>
      <c r="B2830" s="4" t="s">
        <v>5677</v>
      </c>
      <c r="C2830" s="4" t="s">
        <v>19</v>
      </c>
      <c r="D2830" s="4" t="s">
        <v>13</v>
      </c>
      <c r="E2830" s="5">
        <v>165.4888</v>
      </c>
      <c r="F2830" s="5">
        <v>169.32060000000001</v>
      </c>
      <c r="G2830" s="5">
        <v>170.19710000000001</v>
      </c>
      <c r="H2830" s="4">
        <v>0</v>
      </c>
      <c r="I2830" s="6">
        <v>1208741</v>
      </c>
      <c r="J2830" s="7">
        <v>181.55</v>
      </c>
      <c r="K2830" s="9">
        <f>(PricingDataTable[[#This Row],[Current Price ($)]]-PricingDataTable[[#This Row],[Prior Price ($)]])/PricingDataTable[[#This Row],[Prior Price ($)]]</f>
        <v>2.3154437037431027E-2</v>
      </c>
      <c r="L2830" s="9">
        <f>(PricingDataTable[[#This Row],[Vendor Price ($)]]-PricingDataTable[[#This Row],[Current Price ($)]])/PricingDataTable[[#This Row],[Current Price ($)]]</f>
        <v>5.1765703641493879E-3</v>
      </c>
      <c r="M2830" t="str">
        <f t="shared" si="88"/>
        <v>PASS</v>
      </c>
      <c r="N2830" s="10" t="str">
        <f t="shared" si="89"/>
        <v>NONE</v>
      </c>
    </row>
    <row r="2831" spans="1:14">
      <c r="A2831" s="4" t="s">
        <v>5678</v>
      </c>
      <c r="B2831" s="4" t="s">
        <v>5679</v>
      </c>
      <c r="C2831" s="4" t="s">
        <v>19</v>
      </c>
      <c r="D2831" s="4" t="s">
        <v>13</v>
      </c>
      <c r="E2831" s="5">
        <v>94.998099999999994</v>
      </c>
      <c r="F2831" s="5">
        <v>95.439499999999995</v>
      </c>
      <c r="G2831" s="5">
        <v>95.367400000000004</v>
      </c>
      <c r="H2831" s="4">
        <v>0</v>
      </c>
      <c r="I2831" s="6">
        <v>4983150</v>
      </c>
      <c r="J2831" s="7">
        <v>214.77</v>
      </c>
      <c r="K2831" s="9">
        <f>(PricingDataTable[[#This Row],[Current Price ($)]]-PricingDataTable[[#This Row],[Prior Price ($)]])/PricingDataTable[[#This Row],[Prior Price ($)]]</f>
        <v>4.6464087176480541E-3</v>
      </c>
      <c r="L2831" s="9">
        <f>(PricingDataTable[[#This Row],[Vendor Price ($)]]-PricingDataTable[[#This Row],[Current Price ($)]])/PricingDataTable[[#This Row],[Current Price ($)]]</f>
        <v>-7.5545240702216423E-4</v>
      </c>
      <c r="M2831" t="str">
        <f t="shared" si="88"/>
        <v>PASS</v>
      </c>
      <c r="N2831" s="10" t="str">
        <f t="shared" si="89"/>
        <v>NONE</v>
      </c>
    </row>
    <row r="2832" spans="1:14">
      <c r="A2832" s="4" t="s">
        <v>5680</v>
      </c>
      <c r="B2832" s="4" t="s">
        <v>5681</v>
      </c>
      <c r="C2832" s="4" t="s">
        <v>19</v>
      </c>
      <c r="D2832" s="4" t="s">
        <v>13</v>
      </c>
      <c r="E2832" s="5">
        <v>163.7277</v>
      </c>
      <c r="F2832" s="5">
        <v>161.71729999999999</v>
      </c>
      <c r="G2832" s="5">
        <v>161.26490000000001</v>
      </c>
      <c r="H2832" s="4">
        <v>2</v>
      </c>
      <c r="I2832" s="6">
        <v>2769302</v>
      </c>
      <c r="J2832" s="7">
        <v>203.76</v>
      </c>
      <c r="K2832" s="9">
        <f>(PricingDataTable[[#This Row],[Current Price ($)]]-PricingDataTable[[#This Row],[Prior Price ($)]])/PricingDataTable[[#This Row],[Prior Price ($)]]</f>
        <v>-1.2278924091647315E-2</v>
      </c>
      <c r="L2832" s="9">
        <f>(PricingDataTable[[#This Row],[Vendor Price ($)]]-PricingDataTable[[#This Row],[Current Price ($)]])/PricingDataTable[[#This Row],[Current Price ($)]]</f>
        <v>-2.797474358030854E-3</v>
      </c>
      <c r="M2832" t="str">
        <f t="shared" si="88"/>
        <v>PASS</v>
      </c>
      <c r="N2832" s="10" t="str">
        <f t="shared" si="89"/>
        <v>NONE</v>
      </c>
    </row>
    <row r="2833" spans="1:14">
      <c r="A2833" s="4" t="s">
        <v>5682</v>
      </c>
      <c r="B2833" s="4" t="s">
        <v>5683</v>
      </c>
      <c r="C2833" s="4" t="s">
        <v>39</v>
      </c>
      <c r="D2833" s="4" t="s">
        <v>13</v>
      </c>
      <c r="E2833" s="5">
        <v>130.74170000000001</v>
      </c>
      <c r="F2833" s="5">
        <v>132.1217</v>
      </c>
      <c r="G2833" s="5">
        <v>131.63140000000001</v>
      </c>
      <c r="H2833" s="4">
        <v>4</v>
      </c>
      <c r="I2833" s="6">
        <v>1528858</v>
      </c>
      <c r="J2833" s="7">
        <v>439.81</v>
      </c>
      <c r="K2833" s="9">
        <f>(PricingDataTable[[#This Row],[Current Price ($)]]-PricingDataTable[[#This Row],[Prior Price ($)]])/PricingDataTable[[#This Row],[Prior Price ($)]]</f>
        <v>1.0555163348801456E-2</v>
      </c>
      <c r="L2833" s="9">
        <f>(PricingDataTable[[#This Row],[Vendor Price ($)]]-PricingDataTable[[#This Row],[Current Price ($)]])/PricingDataTable[[#This Row],[Current Price ($)]]</f>
        <v>-3.7109725351701546E-3</v>
      </c>
      <c r="M2833" t="str">
        <f t="shared" si="88"/>
        <v>STALE</v>
      </c>
      <c r="N2833" s="10" t="str">
        <f t="shared" si="89"/>
        <v>LOW</v>
      </c>
    </row>
    <row r="2834" spans="1:14">
      <c r="A2834" s="4" t="s">
        <v>5684</v>
      </c>
      <c r="B2834" s="4" t="s">
        <v>5685</v>
      </c>
      <c r="C2834" s="4" t="s">
        <v>19</v>
      </c>
      <c r="D2834" s="4" t="s">
        <v>13</v>
      </c>
      <c r="E2834" s="5">
        <v>186.03550000000001</v>
      </c>
      <c r="F2834" s="5">
        <v>184.40110000000001</v>
      </c>
      <c r="G2834" s="5">
        <v>183.98660000000001</v>
      </c>
      <c r="H2834" s="4">
        <v>0</v>
      </c>
      <c r="I2834" s="6">
        <v>870636</v>
      </c>
      <c r="J2834" s="7">
        <v>91.96</v>
      </c>
      <c r="K2834" s="9">
        <f>(PricingDataTable[[#This Row],[Current Price ($)]]-PricingDataTable[[#This Row],[Prior Price ($)]])/PricingDataTable[[#This Row],[Prior Price ($)]]</f>
        <v>-8.7854199870454792E-3</v>
      </c>
      <c r="L2834" s="9">
        <f>(PricingDataTable[[#This Row],[Vendor Price ($)]]-PricingDataTable[[#This Row],[Current Price ($)]])/PricingDataTable[[#This Row],[Current Price ($)]]</f>
        <v>-2.2478173937140497E-3</v>
      </c>
      <c r="M2834" t="str">
        <f t="shared" si="88"/>
        <v>PASS</v>
      </c>
      <c r="N2834" s="10" t="str">
        <f t="shared" si="89"/>
        <v>NONE</v>
      </c>
    </row>
    <row r="2835" spans="1:14">
      <c r="A2835" s="4" t="s">
        <v>5686</v>
      </c>
      <c r="B2835" s="4" t="s">
        <v>5687</v>
      </c>
      <c r="C2835" s="4" t="s">
        <v>19</v>
      </c>
      <c r="D2835" s="4" t="s">
        <v>13</v>
      </c>
      <c r="E2835" s="5">
        <v>44.561399999999999</v>
      </c>
      <c r="F2835" s="5">
        <v>44.220700000000001</v>
      </c>
      <c r="G2835" s="5">
        <v>44.233899999999998</v>
      </c>
      <c r="H2835" s="4">
        <v>0</v>
      </c>
      <c r="I2835" s="6">
        <v>2340745</v>
      </c>
      <c r="J2835" s="7">
        <v>859.22</v>
      </c>
      <c r="K2835" s="9">
        <f>(PricingDataTable[[#This Row],[Current Price ($)]]-PricingDataTable[[#This Row],[Prior Price ($)]])/PricingDataTable[[#This Row],[Prior Price ($)]]</f>
        <v>-7.6456305232779544E-3</v>
      </c>
      <c r="L2835" s="9">
        <f>(PricingDataTable[[#This Row],[Vendor Price ($)]]-PricingDataTable[[#This Row],[Current Price ($)]])/PricingDataTable[[#This Row],[Current Price ($)]]</f>
        <v>2.9850273740573209E-4</v>
      </c>
      <c r="M2835" t="str">
        <f t="shared" si="88"/>
        <v>PASS</v>
      </c>
      <c r="N2835" s="10" t="str">
        <f t="shared" si="89"/>
        <v>NONE</v>
      </c>
    </row>
    <row r="2836" spans="1:14">
      <c r="A2836" s="4" t="s">
        <v>5688</v>
      </c>
      <c r="B2836" s="4" t="s">
        <v>5689</v>
      </c>
      <c r="C2836" s="4" t="s">
        <v>19</v>
      </c>
      <c r="D2836" s="4" t="s">
        <v>13</v>
      </c>
      <c r="E2836" s="5">
        <v>257.41539999999998</v>
      </c>
      <c r="F2836" s="5">
        <v>259.9581</v>
      </c>
      <c r="G2836" s="5">
        <v>261.35309999999998</v>
      </c>
      <c r="H2836" s="4">
        <v>1</v>
      </c>
      <c r="I2836" s="6">
        <v>3981493</v>
      </c>
      <c r="J2836" s="7">
        <v>53.5</v>
      </c>
      <c r="K2836" s="9">
        <f>(PricingDataTable[[#This Row],[Current Price ($)]]-PricingDataTable[[#This Row],[Prior Price ($)]])/PricingDataTable[[#This Row],[Prior Price ($)]]</f>
        <v>9.8778083984098278E-3</v>
      </c>
      <c r="L2836" s="9">
        <f>(PricingDataTable[[#This Row],[Vendor Price ($)]]-PricingDataTable[[#This Row],[Current Price ($)]])/PricingDataTable[[#This Row],[Current Price ($)]]</f>
        <v>5.3662494071159226E-3</v>
      </c>
      <c r="M2836" t="str">
        <f t="shared" si="88"/>
        <v>PASS</v>
      </c>
      <c r="N2836" s="10" t="str">
        <f t="shared" si="89"/>
        <v>NONE</v>
      </c>
    </row>
    <row r="2837" spans="1:14">
      <c r="A2837" s="4" t="s">
        <v>5690</v>
      </c>
      <c r="B2837" s="4" t="s">
        <v>5691</v>
      </c>
      <c r="C2837" s="4" t="s">
        <v>19</v>
      </c>
      <c r="D2837" s="4" t="s">
        <v>13</v>
      </c>
      <c r="E2837" s="5">
        <v>293.14729999999997</v>
      </c>
      <c r="F2837" s="5">
        <v>293.15230000000003</v>
      </c>
      <c r="G2837" s="5">
        <v>293.28859999999997</v>
      </c>
      <c r="H2837" s="4">
        <v>2</v>
      </c>
      <c r="I2837" s="6">
        <v>1422499</v>
      </c>
      <c r="J2837" s="7">
        <v>111.68</v>
      </c>
      <c r="K2837" s="9">
        <f>(PricingDataTable[[#This Row],[Current Price ($)]]-PricingDataTable[[#This Row],[Prior Price ($)]])/PricingDataTable[[#This Row],[Prior Price ($)]]</f>
        <v>1.7056271710680249E-5</v>
      </c>
      <c r="L2837" s="9">
        <f>(PricingDataTable[[#This Row],[Vendor Price ($)]]-PricingDataTable[[#This Row],[Current Price ($)]])/PricingDataTable[[#This Row],[Current Price ($)]]</f>
        <v>4.6494603658217516E-4</v>
      </c>
      <c r="M2837" t="str">
        <f t="shared" si="88"/>
        <v>PASS</v>
      </c>
      <c r="N2837" s="10" t="str">
        <f t="shared" si="89"/>
        <v>NONE</v>
      </c>
    </row>
    <row r="2838" spans="1:14">
      <c r="A2838" s="4" t="s">
        <v>5692</v>
      </c>
      <c r="B2838" s="4" t="s">
        <v>5693</v>
      </c>
      <c r="C2838" s="4" t="s">
        <v>39</v>
      </c>
      <c r="D2838" s="4" t="s">
        <v>32</v>
      </c>
      <c r="E2838" s="5">
        <v>71.544899999999998</v>
      </c>
      <c r="F2838" s="5">
        <v>62.335099999999997</v>
      </c>
      <c r="G2838" s="5">
        <v>62.378999999999998</v>
      </c>
      <c r="H2838" s="4">
        <v>0</v>
      </c>
      <c r="I2838" s="6">
        <v>4559842</v>
      </c>
      <c r="J2838" s="7">
        <v>271.58</v>
      </c>
      <c r="K2838" s="9">
        <f>(PricingDataTable[[#This Row],[Current Price ($)]]-PricingDataTable[[#This Row],[Prior Price ($)]])/PricingDataTable[[#This Row],[Prior Price ($)]]</f>
        <v>-0.12872755430505881</v>
      </c>
      <c r="L2838" s="9">
        <f>(PricingDataTable[[#This Row],[Vendor Price ($)]]-PricingDataTable[[#This Row],[Current Price ($)]])/PricingDataTable[[#This Row],[Current Price ($)]]</f>
        <v>7.0425811460959745E-4</v>
      </c>
      <c r="M2838" t="str">
        <f t="shared" si="88"/>
        <v>LARGE MOVE</v>
      </c>
      <c r="N2838" s="10" t="str">
        <f t="shared" si="89"/>
        <v>HIGH</v>
      </c>
    </row>
    <row r="2839" spans="1:14">
      <c r="A2839" s="4" t="s">
        <v>5694</v>
      </c>
      <c r="B2839" s="4" t="s">
        <v>5695</v>
      </c>
      <c r="C2839" s="4" t="s">
        <v>16</v>
      </c>
      <c r="D2839" s="4" t="s">
        <v>32</v>
      </c>
      <c r="E2839" s="5">
        <v>115.2041</v>
      </c>
      <c r="F2839" s="5">
        <v>114.3167</v>
      </c>
      <c r="G2839" s="5">
        <v>114.2597</v>
      </c>
      <c r="H2839" s="4">
        <v>0</v>
      </c>
      <c r="I2839" s="6">
        <v>1035325</v>
      </c>
      <c r="J2839" s="7">
        <v>86.33</v>
      </c>
      <c r="K2839" s="9">
        <f>(PricingDataTable[[#This Row],[Current Price ($)]]-PricingDataTable[[#This Row],[Prior Price ($)]])/PricingDataTable[[#This Row],[Prior Price ($)]]</f>
        <v>-7.7028508533984429E-3</v>
      </c>
      <c r="L2839" s="9">
        <f>(PricingDataTable[[#This Row],[Vendor Price ($)]]-PricingDataTable[[#This Row],[Current Price ($)]])/PricingDataTable[[#This Row],[Current Price ($)]]</f>
        <v>-4.9861481305882836E-4</v>
      </c>
      <c r="M2839" t="str">
        <f t="shared" si="88"/>
        <v>PASS</v>
      </c>
      <c r="N2839" s="10" t="str">
        <f t="shared" si="89"/>
        <v>NONE</v>
      </c>
    </row>
    <row r="2840" spans="1:14">
      <c r="A2840" s="4" t="s">
        <v>5696</v>
      </c>
      <c r="B2840" s="4" t="s">
        <v>5697</v>
      </c>
      <c r="C2840" s="4" t="s">
        <v>19</v>
      </c>
      <c r="D2840" s="4" t="s">
        <v>13</v>
      </c>
      <c r="E2840" s="5">
        <v>99.171300000000002</v>
      </c>
      <c r="F2840" s="5">
        <v>100.2851</v>
      </c>
      <c r="G2840" s="5">
        <v>100.7902</v>
      </c>
      <c r="H2840" s="4">
        <v>2</v>
      </c>
      <c r="I2840" s="6">
        <v>2692678</v>
      </c>
      <c r="J2840" s="7">
        <v>822.41</v>
      </c>
      <c r="K2840" s="9">
        <f>(PricingDataTable[[#This Row],[Current Price ($)]]-PricingDataTable[[#This Row],[Prior Price ($)]])/PricingDataTable[[#This Row],[Prior Price ($)]]</f>
        <v>1.1231071892775406E-2</v>
      </c>
      <c r="L2840" s="9">
        <f>(PricingDataTable[[#This Row],[Vendor Price ($)]]-PricingDataTable[[#This Row],[Current Price ($)]])/PricingDataTable[[#This Row],[Current Price ($)]]</f>
        <v>5.0366405378266437E-3</v>
      </c>
      <c r="M2840" t="str">
        <f t="shared" si="88"/>
        <v>PASS</v>
      </c>
      <c r="N2840" s="10" t="str">
        <f t="shared" si="89"/>
        <v>NONE</v>
      </c>
    </row>
    <row r="2841" spans="1:14">
      <c r="A2841" s="4" t="s">
        <v>5698</v>
      </c>
      <c r="B2841" s="4" t="s">
        <v>5699</v>
      </c>
      <c r="C2841" s="4" t="s">
        <v>12</v>
      </c>
      <c r="D2841" s="4" t="s">
        <v>13</v>
      </c>
      <c r="E2841" s="5">
        <v>81.508399999999995</v>
      </c>
      <c r="F2841" s="5">
        <v>81.724500000000006</v>
      </c>
      <c r="G2841" s="5">
        <v>81.908600000000007</v>
      </c>
      <c r="H2841" s="4">
        <v>1</v>
      </c>
      <c r="I2841" s="6">
        <v>1504230</v>
      </c>
      <c r="J2841" s="7">
        <v>508.27</v>
      </c>
      <c r="K2841" s="9">
        <f>(PricingDataTable[[#This Row],[Current Price ($)]]-PricingDataTable[[#This Row],[Prior Price ($)]])/PricingDataTable[[#This Row],[Prior Price ($)]]</f>
        <v>2.6512604835822015E-3</v>
      </c>
      <c r="L2841" s="9">
        <f>(PricingDataTable[[#This Row],[Vendor Price ($)]]-PricingDataTable[[#This Row],[Current Price ($)]])/PricingDataTable[[#This Row],[Current Price ($)]]</f>
        <v>2.2526904416668293E-3</v>
      </c>
      <c r="M2841" t="str">
        <f t="shared" si="88"/>
        <v>PASS</v>
      </c>
      <c r="N2841" s="10" t="str">
        <f t="shared" si="89"/>
        <v>NONE</v>
      </c>
    </row>
    <row r="2842" spans="1:14">
      <c r="A2842" s="4" t="s">
        <v>5700</v>
      </c>
      <c r="B2842" s="4" t="s">
        <v>5701</v>
      </c>
      <c r="C2842" s="4" t="s">
        <v>16</v>
      </c>
      <c r="D2842" s="4" t="s">
        <v>13</v>
      </c>
      <c r="E2842" s="5">
        <v>115.29859999999999</v>
      </c>
      <c r="F2842" s="5">
        <v>117.29130000000001</v>
      </c>
      <c r="G2842" s="5">
        <v>117.87560000000001</v>
      </c>
      <c r="H2842" s="4">
        <v>4</v>
      </c>
      <c r="I2842" s="6">
        <v>4324867</v>
      </c>
      <c r="J2842" s="7">
        <v>437.8</v>
      </c>
      <c r="K2842" s="9">
        <f>(PricingDataTable[[#This Row],[Current Price ($)]]-PricingDataTable[[#This Row],[Prior Price ($)]])/PricingDataTable[[#This Row],[Prior Price ($)]]</f>
        <v>1.728295053018869E-2</v>
      </c>
      <c r="L2842" s="9">
        <f>(PricingDataTable[[#This Row],[Vendor Price ($)]]-PricingDataTable[[#This Row],[Current Price ($)]])/PricingDataTable[[#This Row],[Current Price ($)]]</f>
        <v>4.9816141521152792E-3</v>
      </c>
      <c r="M2842" t="str">
        <f t="shared" si="88"/>
        <v>STALE</v>
      </c>
      <c r="N2842" s="10" t="str">
        <f t="shared" si="89"/>
        <v>LOW</v>
      </c>
    </row>
    <row r="2843" spans="1:14">
      <c r="A2843" s="4" t="s">
        <v>5702</v>
      </c>
      <c r="B2843" s="4" t="s">
        <v>5703</v>
      </c>
      <c r="C2843" s="4" t="s">
        <v>16</v>
      </c>
      <c r="D2843" s="4" t="s">
        <v>237</v>
      </c>
      <c r="E2843" s="5">
        <v>96.308400000000006</v>
      </c>
      <c r="F2843" s="5">
        <v>96.025999999999996</v>
      </c>
      <c r="G2843" s="5">
        <v>96.269499999999994</v>
      </c>
      <c r="H2843" s="4">
        <v>0</v>
      </c>
      <c r="I2843" s="6">
        <v>3199791</v>
      </c>
      <c r="J2843" s="7">
        <v>369.99</v>
      </c>
      <c r="K2843" s="9">
        <f>(PricingDataTable[[#This Row],[Current Price ($)]]-PricingDataTable[[#This Row],[Prior Price ($)]])/PricingDataTable[[#This Row],[Prior Price ($)]]</f>
        <v>-2.9322468237454858E-3</v>
      </c>
      <c r="L2843" s="9">
        <f>(PricingDataTable[[#This Row],[Vendor Price ($)]]-PricingDataTable[[#This Row],[Current Price ($)]])/PricingDataTable[[#This Row],[Current Price ($)]]</f>
        <v>2.5357715618686332E-3</v>
      </c>
      <c r="M2843" t="str">
        <f t="shared" si="88"/>
        <v>PASS</v>
      </c>
      <c r="N2843" s="10" t="str">
        <f t="shared" si="89"/>
        <v>NONE</v>
      </c>
    </row>
    <row r="2844" spans="1:14">
      <c r="A2844" s="4" t="s">
        <v>5704</v>
      </c>
      <c r="B2844" s="4" t="s">
        <v>5705</v>
      </c>
      <c r="C2844" s="4" t="s">
        <v>19</v>
      </c>
      <c r="D2844" s="4" t="s">
        <v>36</v>
      </c>
      <c r="E2844" s="5">
        <v>246.7518</v>
      </c>
      <c r="F2844" s="5">
        <v>248.2269</v>
      </c>
      <c r="G2844" s="5">
        <v>249.80109999999999</v>
      </c>
      <c r="H2844" s="4">
        <v>5</v>
      </c>
      <c r="I2844" s="6">
        <v>876371</v>
      </c>
      <c r="J2844" s="7">
        <v>890.29</v>
      </c>
      <c r="K2844" s="9">
        <f>(PricingDataTable[[#This Row],[Current Price ($)]]-PricingDataTable[[#This Row],[Prior Price ($)]])/PricingDataTable[[#This Row],[Prior Price ($)]]</f>
        <v>5.9780718924846649E-3</v>
      </c>
      <c r="L2844" s="9">
        <f>(PricingDataTable[[#This Row],[Vendor Price ($)]]-PricingDataTable[[#This Row],[Current Price ($)]])/PricingDataTable[[#This Row],[Current Price ($)]]</f>
        <v>6.3417784293321577E-3</v>
      </c>
      <c r="M2844" t="str">
        <f t="shared" si="88"/>
        <v>STALE</v>
      </c>
      <c r="N2844" s="10" t="str">
        <f t="shared" si="89"/>
        <v>MEDIUM</v>
      </c>
    </row>
    <row r="2845" spans="1:14">
      <c r="A2845" s="4" t="s">
        <v>5706</v>
      </c>
      <c r="B2845" s="4" t="s">
        <v>5707</v>
      </c>
      <c r="C2845" s="4" t="s">
        <v>19</v>
      </c>
      <c r="D2845" s="4" t="s">
        <v>13</v>
      </c>
      <c r="E2845" s="5">
        <v>211.47980000000001</v>
      </c>
      <c r="F2845" s="5">
        <v>207.40190000000001</v>
      </c>
      <c r="G2845" s="5">
        <v>207.46430000000001</v>
      </c>
      <c r="H2845" s="4">
        <v>0</v>
      </c>
      <c r="I2845" s="6">
        <v>3914389</v>
      </c>
      <c r="J2845" s="7">
        <v>7.78</v>
      </c>
      <c r="K2845" s="9">
        <f>(PricingDataTable[[#This Row],[Current Price ($)]]-PricingDataTable[[#This Row],[Prior Price ($)]])/PricingDataTable[[#This Row],[Prior Price ($)]]</f>
        <v>-1.9282692720534064E-2</v>
      </c>
      <c r="L2845" s="9">
        <f>(PricingDataTable[[#This Row],[Vendor Price ($)]]-PricingDataTable[[#This Row],[Current Price ($)]])/PricingDataTable[[#This Row],[Current Price ($)]]</f>
        <v>3.0086513190089715E-4</v>
      </c>
      <c r="M2845" t="str">
        <f t="shared" si="88"/>
        <v>PASS</v>
      </c>
      <c r="N2845" s="10" t="str">
        <f t="shared" si="89"/>
        <v>NONE</v>
      </c>
    </row>
    <row r="2846" spans="1:14">
      <c r="A2846" s="4" t="s">
        <v>5708</v>
      </c>
      <c r="B2846" s="4" t="s">
        <v>5709</v>
      </c>
      <c r="C2846" s="4" t="s">
        <v>12</v>
      </c>
      <c r="D2846" s="4" t="s">
        <v>13</v>
      </c>
      <c r="E2846" s="5">
        <v>76.374099999999999</v>
      </c>
      <c r="F2846" s="5">
        <v>77.306399999999996</v>
      </c>
      <c r="G2846" s="5">
        <v>77.472300000000004</v>
      </c>
      <c r="H2846" s="4">
        <v>0</v>
      </c>
      <c r="I2846" s="6">
        <v>1088082</v>
      </c>
      <c r="J2846" s="7">
        <v>40.770000000000003</v>
      </c>
      <c r="K2846" s="9">
        <f>(PricingDataTable[[#This Row],[Current Price ($)]]-PricingDataTable[[#This Row],[Prior Price ($)]])/PricingDataTable[[#This Row],[Prior Price ($)]]</f>
        <v>1.2207017824105265E-2</v>
      </c>
      <c r="L2846" s="9">
        <f>(PricingDataTable[[#This Row],[Vendor Price ($)]]-PricingDataTable[[#This Row],[Current Price ($)]])/PricingDataTable[[#This Row],[Current Price ($)]]</f>
        <v>2.1460060227873464E-3</v>
      </c>
      <c r="M2846" t="str">
        <f t="shared" si="88"/>
        <v>PASS</v>
      </c>
      <c r="N2846" s="10" t="str">
        <f t="shared" si="89"/>
        <v>NONE</v>
      </c>
    </row>
    <row r="2847" spans="1:14">
      <c r="A2847" s="4" t="s">
        <v>5710</v>
      </c>
      <c r="B2847" s="4" t="s">
        <v>5711</v>
      </c>
      <c r="C2847" s="4" t="s">
        <v>16</v>
      </c>
      <c r="D2847" s="4" t="s">
        <v>64</v>
      </c>
      <c r="E2847" s="5">
        <v>97.438299999999998</v>
      </c>
      <c r="F2847" s="5">
        <v>97.2239</v>
      </c>
      <c r="G2847" s="5">
        <v>97.081599999999995</v>
      </c>
      <c r="H2847" s="4">
        <v>0</v>
      </c>
      <c r="I2847" s="6">
        <v>2695992</v>
      </c>
      <c r="J2847" s="7">
        <v>54.75</v>
      </c>
      <c r="K2847" s="9">
        <f>(PricingDataTable[[#This Row],[Current Price ($)]]-PricingDataTable[[#This Row],[Prior Price ($)]])/PricingDataTable[[#This Row],[Prior Price ($)]]</f>
        <v>-2.2003667962187117E-3</v>
      </c>
      <c r="L2847" s="9">
        <f>(PricingDataTable[[#This Row],[Vendor Price ($)]]-PricingDataTable[[#This Row],[Current Price ($)]])/PricingDataTable[[#This Row],[Current Price ($)]]</f>
        <v>-1.4636318847526778E-3</v>
      </c>
      <c r="M2847" t="str">
        <f t="shared" si="88"/>
        <v>PASS</v>
      </c>
      <c r="N2847" s="10" t="str">
        <f t="shared" si="89"/>
        <v>NONE</v>
      </c>
    </row>
    <row r="2848" spans="1:14">
      <c r="A2848" s="4" t="s">
        <v>5712</v>
      </c>
      <c r="B2848" s="4" t="s">
        <v>5713</v>
      </c>
      <c r="C2848" s="4" t="s">
        <v>39</v>
      </c>
      <c r="D2848" s="4" t="s">
        <v>13</v>
      </c>
      <c r="E2848" s="5">
        <v>215.21940000000001</v>
      </c>
      <c r="F2848" s="5">
        <v>212.44229999999999</v>
      </c>
      <c r="G2848" s="5">
        <v>213.59630000000001</v>
      </c>
      <c r="H2848" s="4">
        <v>0</v>
      </c>
      <c r="I2848" s="6">
        <v>3778359</v>
      </c>
      <c r="J2848" s="7">
        <v>887.95</v>
      </c>
      <c r="K2848" s="9">
        <f>(PricingDataTable[[#This Row],[Current Price ($)]]-PricingDataTable[[#This Row],[Prior Price ($)]])/PricingDataTable[[#This Row],[Prior Price ($)]]</f>
        <v>-1.2903576536316051E-2</v>
      </c>
      <c r="L2848" s="9">
        <f>(PricingDataTable[[#This Row],[Vendor Price ($)]]-PricingDataTable[[#This Row],[Current Price ($)]])/PricingDataTable[[#This Row],[Current Price ($)]]</f>
        <v>5.4320632002196586E-3</v>
      </c>
      <c r="M2848" t="str">
        <f t="shared" si="88"/>
        <v>PASS</v>
      </c>
      <c r="N2848" s="10" t="str">
        <f t="shared" si="89"/>
        <v>NONE</v>
      </c>
    </row>
    <row r="2849" spans="1:14">
      <c r="A2849" s="4" t="s">
        <v>5714</v>
      </c>
      <c r="B2849" s="4" t="s">
        <v>5715</v>
      </c>
      <c r="C2849" s="4" t="s">
        <v>12</v>
      </c>
      <c r="D2849" s="4" t="s">
        <v>13</v>
      </c>
      <c r="E2849" s="5">
        <v>115.6352</v>
      </c>
      <c r="F2849" s="5">
        <v>0</v>
      </c>
      <c r="G2849" s="5">
        <v>115.913</v>
      </c>
      <c r="H2849" s="4">
        <v>1</v>
      </c>
      <c r="I2849" s="6">
        <v>829090</v>
      </c>
      <c r="J2849" s="7">
        <v>511.62</v>
      </c>
      <c r="K2849" s="9">
        <f>(PricingDataTable[[#This Row],[Current Price ($)]]-PricingDataTable[[#This Row],[Prior Price ($)]])/PricingDataTable[[#This Row],[Prior Price ($)]]</f>
        <v>-1</v>
      </c>
      <c r="L2849" s="9" t="e">
        <f>(PricingDataTable[[#This Row],[Vendor Price ($)]]-PricingDataTable[[#This Row],[Current Price ($)]])/PricingDataTable[[#This Row],[Current Price ($)]]</f>
        <v>#DIV/0!</v>
      </c>
      <c r="M2849" t="str">
        <f t="shared" si="88"/>
        <v>MISSING</v>
      </c>
      <c r="N2849" s="10" t="str">
        <f t="shared" si="89"/>
        <v>HIGH</v>
      </c>
    </row>
    <row r="2850" spans="1:14">
      <c r="A2850" s="4" t="s">
        <v>5716</v>
      </c>
      <c r="B2850" s="4" t="s">
        <v>5717</v>
      </c>
      <c r="C2850" s="4" t="s">
        <v>39</v>
      </c>
      <c r="D2850" s="4" t="s">
        <v>36</v>
      </c>
      <c r="E2850" s="5">
        <v>263.63099999999997</v>
      </c>
      <c r="F2850" s="5">
        <v>263.04559999999998</v>
      </c>
      <c r="G2850" s="5">
        <v>263.87670000000003</v>
      </c>
      <c r="H2850" s="4">
        <v>5</v>
      </c>
      <c r="I2850" s="6">
        <v>667412</v>
      </c>
      <c r="J2850" s="7">
        <v>741.97</v>
      </c>
      <c r="K2850" s="9">
        <f>(PricingDataTable[[#This Row],[Current Price ($)]]-PricingDataTable[[#This Row],[Prior Price ($)]])/PricingDataTable[[#This Row],[Prior Price ($)]]</f>
        <v>-2.2205279348786479E-3</v>
      </c>
      <c r="L2850" s="9">
        <f>(PricingDataTable[[#This Row],[Vendor Price ($)]]-PricingDataTable[[#This Row],[Current Price ($)]])/PricingDataTable[[#This Row],[Current Price ($)]]</f>
        <v>3.1595282338881515E-3</v>
      </c>
      <c r="M2850" t="str">
        <f t="shared" si="88"/>
        <v>STALE</v>
      </c>
      <c r="N2850" s="10" t="str">
        <f t="shared" si="89"/>
        <v>MEDIUM</v>
      </c>
    </row>
    <row r="2851" spans="1:14">
      <c r="A2851" s="4" t="s">
        <v>5718</v>
      </c>
      <c r="B2851" s="4" t="s">
        <v>5719</v>
      </c>
      <c r="C2851" s="4" t="s">
        <v>19</v>
      </c>
      <c r="D2851" s="4" t="s">
        <v>13</v>
      </c>
      <c r="E2851" s="5">
        <v>339.64870000000002</v>
      </c>
      <c r="F2851" s="5">
        <v>339.04629999999997</v>
      </c>
      <c r="G2851" s="5">
        <v>341.36579999999998</v>
      </c>
      <c r="H2851" s="4">
        <v>4</v>
      </c>
      <c r="I2851" s="6">
        <v>2734266</v>
      </c>
      <c r="J2851" s="7">
        <v>377.96</v>
      </c>
      <c r="K2851" s="9">
        <f>(PricingDataTable[[#This Row],[Current Price ($)]]-PricingDataTable[[#This Row],[Prior Price ($)]])/PricingDataTable[[#This Row],[Prior Price ($)]]</f>
        <v>-1.7735972491578667E-3</v>
      </c>
      <c r="L2851" s="9">
        <f>(PricingDataTable[[#This Row],[Vendor Price ($)]]-PricingDataTable[[#This Row],[Current Price ($)]])/PricingDataTable[[#This Row],[Current Price ($)]]</f>
        <v>6.8412485256438577E-3</v>
      </c>
      <c r="M2851" t="str">
        <f t="shared" si="88"/>
        <v>STALE</v>
      </c>
      <c r="N2851" s="10" t="str">
        <f t="shared" si="89"/>
        <v>LOW</v>
      </c>
    </row>
    <row r="2852" spans="1:14">
      <c r="A2852" s="4" t="s">
        <v>5720</v>
      </c>
      <c r="B2852" s="4" t="s">
        <v>5721</v>
      </c>
      <c r="C2852" s="4" t="s">
        <v>16</v>
      </c>
      <c r="D2852" s="4" t="s">
        <v>13</v>
      </c>
      <c r="E2852" s="5">
        <v>80.852199999999996</v>
      </c>
      <c r="F2852" s="5">
        <v>79.957999999999998</v>
      </c>
      <c r="G2852" s="5">
        <v>80.1327</v>
      </c>
      <c r="H2852" s="4">
        <v>1</v>
      </c>
      <c r="I2852" s="6">
        <v>601241</v>
      </c>
      <c r="J2852" s="7">
        <v>201.82</v>
      </c>
      <c r="K2852" s="9">
        <f>(PricingDataTable[[#This Row],[Current Price ($)]]-PricingDataTable[[#This Row],[Prior Price ($)]])/PricingDataTable[[#This Row],[Prior Price ($)]]</f>
        <v>-1.1059686687560733E-2</v>
      </c>
      <c r="L2852" s="9">
        <f>(PricingDataTable[[#This Row],[Vendor Price ($)]]-PricingDataTable[[#This Row],[Current Price ($)]])/PricingDataTable[[#This Row],[Current Price ($)]]</f>
        <v>2.1848970709622728E-3</v>
      </c>
      <c r="M2852" t="str">
        <f t="shared" si="88"/>
        <v>PASS</v>
      </c>
      <c r="N2852" s="10" t="str">
        <f t="shared" si="89"/>
        <v>NONE</v>
      </c>
    </row>
    <row r="2853" spans="1:14">
      <c r="A2853" s="4" t="s">
        <v>5722</v>
      </c>
      <c r="B2853" s="4" t="s">
        <v>5723</v>
      </c>
      <c r="C2853" s="4" t="s">
        <v>19</v>
      </c>
      <c r="D2853" s="4" t="s">
        <v>13</v>
      </c>
      <c r="E2853" s="5">
        <v>260.30259999999998</v>
      </c>
      <c r="F2853" s="5">
        <v>257.30090000000001</v>
      </c>
      <c r="G2853" s="5">
        <v>257.11610000000002</v>
      </c>
      <c r="H2853" s="4">
        <v>2</v>
      </c>
      <c r="I2853" s="6">
        <v>3636566</v>
      </c>
      <c r="J2853" s="7">
        <v>323.54000000000002</v>
      </c>
      <c r="K2853" s="9">
        <f>(PricingDataTable[[#This Row],[Current Price ($)]]-PricingDataTable[[#This Row],[Prior Price ($)]])/PricingDataTable[[#This Row],[Prior Price ($)]]</f>
        <v>-1.1531579016114213E-2</v>
      </c>
      <c r="L2853" s="9">
        <f>(PricingDataTable[[#This Row],[Vendor Price ($)]]-PricingDataTable[[#This Row],[Current Price ($)]])/PricingDataTable[[#This Row],[Current Price ($)]]</f>
        <v>-7.1822523745542909E-4</v>
      </c>
      <c r="M2853" t="str">
        <f t="shared" si="88"/>
        <v>PASS</v>
      </c>
      <c r="N2853" s="10" t="str">
        <f t="shared" si="89"/>
        <v>NONE</v>
      </c>
    </row>
    <row r="2854" spans="1:14">
      <c r="A2854" s="4" t="s">
        <v>5724</v>
      </c>
      <c r="B2854" s="4" t="s">
        <v>5725</v>
      </c>
      <c r="C2854" s="4" t="s">
        <v>19</v>
      </c>
      <c r="D2854" s="4" t="s">
        <v>13</v>
      </c>
      <c r="E2854" s="5">
        <v>21.7485</v>
      </c>
      <c r="F2854" s="5">
        <v>21.7334</v>
      </c>
      <c r="G2854" s="5">
        <v>21.7468</v>
      </c>
      <c r="H2854" s="4">
        <v>0</v>
      </c>
      <c r="I2854" s="6">
        <v>1771470</v>
      </c>
      <c r="J2854" s="7">
        <v>266.26</v>
      </c>
      <c r="K2854" s="9">
        <f>(PricingDataTable[[#This Row],[Current Price ($)]]-PricingDataTable[[#This Row],[Prior Price ($)]])/PricingDataTable[[#This Row],[Prior Price ($)]]</f>
        <v>-6.9430075637401823E-4</v>
      </c>
      <c r="L2854" s="9">
        <f>(PricingDataTable[[#This Row],[Vendor Price ($)]]-PricingDataTable[[#This Row],[Current Price ($)]])/PricingDataTable[[#This Row],[Current Price ($)]]</f>
        <v>6.1656252588185669E-4</v>
      </c>
      <c r="M2854" t="str">
        <f t="shared" si="88"/>
        <v>PASS</v>
      </c>
      <c r="N2854" s="10" t="str">
        <f t="shared" si="89"/>
        <v>NONE</v>
      </c>
    </row>
    <row r="2855" spans="1:14">
      <c r="A2855" s="4" t="s">
        <v>5726</v>
      </c>
      <c r="B2855" s="4" t="s">
        <v>5727</v>
      </c>
      <c r="C2855" s="4" t="s">
        <v>16</v>
      </c>
      <c r="D2855" s="4" t="s">
        <v>13</v>
      </c>
      <c r="E2855" s="5">
        <v>75.946299999999994</v>
      </c>
      <c r="F2855" s="5">
        <v>77.099599999999995</v>
      </c>
      <c r="G2855" s="5">
        <v>77.087699999999998</v>
      </c>
      <c r="H2855" s="4">
        <v>0</v>
      </c>
      <c r="I2855" s="6">
        <v>508668</v>
      </c>
      <c r="J2855" s="7">
        <v>75.02</v>
      </c>
      <c r="K2855" s="9">
        <f>(PricingDataTable[[#This Row],[Current Price ($)]]-PricingDataTable[[#This Row],[Prior Price ($)]])/PricingDataTable[[#This Row],[Prior Price ($)]]</f>
        <v>1.5185729917059838E-2</v>
      </c>
      <c r="L2855" s="9">
        <f>(PricingDataTable[[#This Row],[Vendor Price ($)]]-PricingDataTable[[#This Row],[Current Price ($)]])/PricingDataTable[[#This Row],[Current Price ($)]]</f>
        <v>-1.5434580724150496E-4</v>
      </c>
      <c r="M2855" t="str">
        <f t="shared" si="88"/>
        <v>PASS</v>
      </c>
      <c r="N2855" s="10" t="str">
        <f t="shared" si="89"/>
        <v>NONE</v>
      </c>
    </row>
    <row r="2856" spans="1:14">
      <c r="A2856" s="4" t="s">
        <v>5728</v>
      </c>
      <c r="B2856" s="4" t="s">
        <v>5729</v>
      </c>
      <c r="C2856" s="4" t="s">
        <v>19</v>
      </c>
      <c r="D2856" s="4" t="s">
        <v>13</v>
      </c>
      <c r="E2856" s="5">
        <v>121.3394</v>
      </c>
      <c r="F2856" s="5">
        <v>125.1366</v>
      </c>
      <c r="G2856" s="5">
        <v>125.6677</v>
      </c>
      <c r="H2856" s="4">
        <v>0</v>
      </c>
      <c r="I2856" s="6">
        <v>3128823</v>
      </c>
      <c r="J2856" s="7">
        <v>54.08</v>
      </c>
      <c r="K2856" s="9">
        <f>(PricingDataTable[[#This Row],[Current Price ($)]]-PricingDataTable[[#This Row],[Prior Price ($)]])/PricingDataTable[[#This Row],[Prior Price ($)]]</f>
        <v>3.1294039693619748E-2</v>
      </c>
      <c r="L2856" s="9">
        <f>(PricingDataTable[[#This Row],[Vendor Price ($)]]-PricingDataTable[[#This Row],[Current Price ($)]])/PricingDataTable[[#This Row],[Current Price ($)]]</f>
        <v>4.2441619797884472E-3</v>
      </c>
      <c r="M2856" t="str">
        <f t="shared" si="88"/>
        <v>PASS</v>
      </c>
      <c r="N2856" s="10" t="str">
        <f t="shared" si="89"/>
        <v>NONE</v>
      </c>
    </row>
    <row r="2857" spans="1:14">
      <c r="A2857" s="4" t="s">
        <v>5730</v>
      </c>
      <c r="B2857" s="4" t="s">
        <v>5731</v>
      </c>
      <c r="C2857" s="4" t="s">
        <v>16</v>
      </c>
      <c r="D2857" s="4" t="s">
        <v>13</v>
      </c>
      <c r="E2857" s="5">
        <v>76.124799999999993</v>
      </c>
      <c r="F2857" s="5">
        <v>62.328400000000002</v>
      </c>
      <c r="G2857" s="5">
        <v>62.497999999999998</v>
      </c>
      <c r="H2857" s="4">
        <v>0</v>
      </c>
      <c r="I2857" s="6">
        <v>4062704</v>
      </c>
      <c r="J2857" s="7">
        <v>771.11</v>
      </c>
      <c r="K2857" s="9">
        <f>(PricingDataTable[[#This Row],[Current Price ($)]]-PricingDataTable[[#This Row],[Prior Price ($)]])/PricingDataTable[[#This Row],[Prior Price ($)]]</f>
        <v>-0.18123397368531666</v>
      </c>
      <c r="L2857" s="9">
        <f>(PricingDataTable[[#This Row],[Vendor Price ($)]]-PricingDataTable[[#This Row],[Current Price ($)]])/PricingDataTable[[#This Row],[Current Price ($)]]</f>
        <v>2.7210709724619199E-3</v>
      </c>
      <c r="M2857" t="str">
        <f t="shared" si="88"/>
        <v>LARGE MOVE</v>
      </c>
      <c r="N2857" s="10" t="str">
        <f t="shared" si="89"/>
        <v>HIGH</v>
      </c>
    </row>
    <row r="2858" spans="1:14">
      <c r="A2858" s="4" t="s">
        <v>5732</v>
      </c>
      <c r="B2858" s="4" t="s">
        <v>5733</v>
      </c>
      <c r="C2858" s="4" t="s">
        <v>39</v>
      </c>
      <c r="D2858" s="4" t="s">
        <v>32</v>
      </c>
      <c r="E2858" s="5">
        <v>292.93790000000001</v>
      </c>
      <c r="F2858" s="5">
        <v>293.74349999999998</v>
      </c>
      <c r="G2858" s="5">
        <v>293.89319999999998</v>
      </c>
      <c r="H2858" s="4">
        <v>1</v>
      </c>
      <c r="I2858" s="6">
        <v>3847735</v>
      </c>
      <c r="J2858" s="7">
        <v>361.92</v>
      </c>
      <c r="K2858" s="9">
        <f>(PricingDataTable[[#This Row],[Current Price ($)]]-PricingDataTable[[#This Row],[Prior Price ($)]])/PricingDataTable[[#This Row],[Prior Price ($)]]</f>
        <v>2.7500709194678116E-3</v>
      </c>
      <c r="L2858" s="9">
        <f>(PricingDataTable[[#This Row],[Vendor Price ($)]]-PricingDataTable[[#This Row],[Current Price ($)]])/PricingDataTable[[#This Row],[Current Price ($)]]</f>
        <v>5.0962829815807238E-4</v>
      </c>
      <c r="M2858" t="str">
        <f t="shared" si="88"/>
        <v>PASS</v>
      </c>
      <c r="N2858" s="10" t="str">
        <f t="shared" si="89"/>
        <v>NONE</v>
      </c>
    </row>
    <row r="2859" spans="1:14">
      <c r="A2859" s="4" t="s">
        <v>5734</v>
      </c>
      <c r="B2859" s="4" t="s">
        <v>5735</v>
      </c>
      <c r="C2859" s="4" t="s">
        <v>16</v>
      </c>
      <c r="D2859" s="4" t="s">
        <v>237</v>
      </c>
      <c r="E2859" s="5">
        <v>79.981999999999999</v>
      </c>
      <c r="F2859" s="5">
        <v>77.825699999999998</v>
      </c>
      <c r="G2859" s="5">
        <v>77.793000000000006</v>
      </c>
      <c r="H2859" s="4">
        <v>0</v>
      </c>
      <c r="I2859" s="6">
        <v>1511061</v>
      </c>
      <c r="J2859" s="7">
        <v>226.32</v>
      </c>
      <c r="K2859" s="9">
        <f>(PricingDataTable[[#This Row],[Current Price ($)]]-PricingDataTable[[#This Row],[Prior Price ($)]])/PricingDataTable[[#This Row],[Prior Price ($)]]</f>
        <v>-2.6959815958590705E-2</v>
      </c>
      <c r="L2859" s="9">
        <f>(PricingDataTable[[#This Row],[Vendor Price ($)]]-PricingDataTable[[#This Row],[Current Price ($)]])/PricingDataTable[[#This Row],[Current Price ($)]]</f>
        <v>-4.201696868771022E-4</v>
      </c>
      <c r="M2859" t="str">
        <f t="shared" si="88"/>
        <v>PASS</v>
      </c>
      <c r="N2859" s="10" t="str">
        <f t="shared" si="89"/>
        <v>NONE</v>
      </c>
    </row>
    <row r="2860" spans="1:14">
      <c r="A2860" s="4" t="s">
        <v>5736</v>
      </c>
      <c r="B2860" s="4" t="s">
        <v>5737</v>
      </c>
      <c r="C2860" s="4" t="s">
        <v>35</v>
      </c>
      <c r="D2860" s="4" t="s">
        <v>13</v>
      </c>
      <c r="E2860" s="5">
        <v>34.969200000000001</v>
      </c>
      <c r="F2860" s="5">
        <v>35.092799999999997</v>
      </c>
      <c r="G2860" s="5">
        <v>35.0687</v>
      </c>
      <c r="H2860" s="4">
        <v>0</v>
      </c>
      <c r="I2860" s="6">
        <v>2341804</v>
      </c>
      <c r="J2860" s="7">
        <v>690.73</v>
      </c>
      <c r="K2860" s="9">
        <f>(PricingDataTable[[#This Row],[Current Price ($)]]-PricingDataTable[[#This Row],[Prior Price ($)]])/PricingDataTable[[#This Row],[Prior Price ($)]]</f>
        <v>3.5345389657182938E-3</v>
      </c>
      <c r="L2860" s="9">
        <f>(PricingDataTable[[#This Row],[Vendor Price ($)]]-PricingDataTable[[#This Row],[Current Price ($)]])/PricingDataTable[[#This Row],[Current Price ($)]]</f>
        <v>-6.8675055851904457E-4</v>
      </c>
      <c r="M2860" t="str">
        <f t="shared" si="88"/>
        <v>PASS</v>
      </c>
      <c r="N2860" s="10" t="str">
        <f t="shared" si="89"/>
        <v>NONE</v>
      </c>
    </row>
    <row r="2861" spans="1:14">
      <c r="A2861" s="4" t="s">
        <v>5738</v>
      </c>
      <c r="B2861" s="4" t="s">
        <v>5739</v>
      </c>
      <c r="C2861" s="4" t="s">
        <v>39</v>
      </c>
      <c r="D2861" s="4" t="s">
        <v>13</v>
      </c>
      <c r="E2861" s="5">
        <v>205.7705</v>
      </c>
      <c r="F2861" s="5">
        <v>205.74529999999999</v>
      </c>
      <c r="G2861" s="5">
        <v>205.1985</v>
      </c>
      <c r="H2861" s="4">
        <v>0</v>
      </c>
      <c r="I2861" s="6">
        <v>4826582</v>
      </c>
      <c r="J2861" s="7">
        <v>893.21</v>
      </c>
      <c r="K2861" s="9">
        <f>(PricingDataTable[[#This Row],[Current Price ($)]]-PricingDataTable[[#This Row],[Prior Price ($)]])/PricingDataTable[[#This Row],[Prior Price ($)]]</f>
        <v>-1.2246653431863326E-4</v>
      </c>
      <c r="L2861" s="9">
        <f>(PricingDataTable[[#This Row],[Vendor Price ($)]]-PricingDataTable[[#This Row],[Current Price ($)]])/PricingDataTable[[#This Row],[Current Price ($)]]</f>
        <v>-2.6576548771709025E-3</v>
      </c>
      <c r="M2861" t="str">
        <f t="shared" si="88"/>
        <v>PASS</v>
      </c>
      <c r="N2861" s="10" t="str">
        <f t="shared" si="89"/>
        <v>NONE</v>
      </c>
    </row>
    <row r="2862" spans="1:14">
      <c r="A2862" s="4" t="s">
        <v>5740</v>
      </c>
      <c r="B2862" s="4" t="s">
        <v>5741</v>
      </c>
      <c r="C2862" s="4" t="s">
        <v>12</v>
      </c>
      <c r="D2862" s="4" t="s">
        <v>13</v>
      </c>
      <c r="E2862" s="5">
        <v>91.987899999999996</v>
      </c>
      <c r="F2862" s="5">
        <v>92.081199999999995</v>
      </c>
      <c r="G2862" s="5">
        <v>91.735600000000005</v>
      </c>
      <c r="H2862" s="4">
        <v>4</v>
      </c>
      <c r="I2862" s="6">
        <v>2426953</v>
      </c>
      <c r="J2862" s="7">
        <v>504.4</v>
      </c>
      <c r="K2862" s="9">
        <f>(PricingDataTable[[#This Row],[Current Price ($)]]-PricingDataTable[[#This Row],[Prior Price ($)]])/PricingDataTable[[#This Row],[Prior Price ($)]]</f>
        <v>1.0142638325257916E-3</v>
      </c>
      <c r="L2862" s="9">
        <f>(PricingDataTable[[#This Row],[Vendor Price ($)]]-PricingDataTable[[#This Row],[Current Price ($)]])/PricingDataTable[[#This Row],[Current Price ($)]]</f>
        <v>-3.75320912412078E-3</v>
      </c>
      <c r="M2862" t="str">
        <f t="shared" si="88"/>
        <v>STALE</v>
      </c>
      <c r="N2862" s="10" t="str">
        <f t="shared" si="89"/>
        <v>LOW</v>
      </c>
    </row>
    <row r="2863" spans="1:14">
      <c r="A2863" s="4" t="s">
        <v>5742</v>
      </c>
      <c r="B2863" s="4" t="s">
        <v>5743</v>
      </c>
      <c r="C2863" s="4" t="s">
        <v>16</v>
      </c>
      <c r="D2863" s="4" t="s">
        <v>13</v>
      </c>
      <c r="E2863" s="5">
        <v>98.829499999999996</v>
      </c>
      <c r="F2863" s="5">
        <v>98.875200000000007</v>
      </c>
      <c r="G2863" s="5">
        <v>99.173500000000004</v>
      </c>
      <c r="H2863" s="4">
        <v>0</v>
      </c>
      <c r="I2863" s="6">
        <v>1727189</v>
      </c>
      <c r="J2863" s="7">
        <v>407.6</v>
      </c>
      <c r="K2863" s="9">
        <f>(PricingDataTable[[#This Row],[Current Price ($)]]-PricingDataTable[[#This Row],[Prior Price ($)]])/PricingDataTable[[#This Row],[Prior Price ($)]]</f>
        <v>4.6241253876636766E-4</v>
      </c>
      <c r="L2863" s="9">
        <f>(PricingDataTable[[#This Row],[Vendor Price ($)]]-PricingDataTable[[#This Row],[Current Price ($)]])/PricingDataTable[[#This Row],[Current Price ($)]]</f>
        <v>3.0169344790199923E-3</v>
      </c>
      <c r="M2863" t="str">
        <f t="shared" si="88"/>
        <v>PASS</v>
      </c>
      <c r="N2863" s="10" t="str">
        <f t="shared" si="89"/>
        <v>NONE</v>
      </c>
    </row>
    <row r="2864" spans="1:14">
      <c r="A2864" s="4" t="s">
        <v>5744</v>
      </c>
      <c r="B2864" s="4" t="s">
        <v>5745</v>
      </c>
      <c r="C2864" s="4" t="s">
        <v>19</v>
      </c>
      <c r="D2864" s="4" t="s">
        <v>64</v>
      </c>
      <c r="E2864" s="5">
        <v>127.90900000000001</v>
      </c>
      <c r="F2864" s="5">
        <v>125.1251</v>
      </c>
      <c r="G2864" s="5">
        <v>124.84099999999999</v>
      </c>
      <c r="H2864" s="4">
        <v>2</v>
      </c>
      <c r="I2864" s="6">
        <v>3651865</v>
      </c>
      <c r="J2864" s="7">
        <v>726.1</v>
      </c>
      <c r="K2864" s="9">
        <f>(PricingDataTable[[#This Row],[Current Price ($)]]-PricingDataTable[[#This Row],[Prior Price ($)]])/PricingDataTable[[#This Row],[Prior Price ($)]]</f>
        <v>-2.1764692085779754E-2</v>
      </c>
      <c r="L2864" s="9">
        <f>(PricingDataTable[[#This Row],[Vendor Price ($)]]-PricingDataTable[[#This Row],[Current Price ($)]])/PricingDataTable[[#This Row],[Current Price ($)]]</f>
        <v>-2.2705276559220281E-3</v>
      </c>
      <c r="M2864" t="str">
        <f t="shared" si="88"/>
        <v>PASS</v>
      </c>
      <c r="N2864" s="10" t="str">
        <f t="shared" si="89"/>
        <v>NONE</v>
      </c>
    </row>
    <row r="2865" spans="1:14">
      <c r="A2865" s="4" t="s">
        <v>5746</v>
      </c>
      <c r="B2865" s="4" t="s">
        <v>5747</v>
      </c>
      <c r="C2865" s="4" t="s">
        <v>12</v>
      </c>
      <c r="D2865" s="4" t="s">
        <v>13</v>
      </c>
      <c r="E2865" s="5">
        <v>77.868600000000001</v>
      </c>
      <c r="F2865" s="5">
        <v>76.912400000000005</v>
      </c>
      <c r="G2865" s="5">
        <v>76.715599999999995</v>
      </c>
      <c r="H2865" s="4">
        <v>0</v>
      </c>
      <c r="I2865" s="6">
        <v>4840101</v>
      </c>
      <c r="J2865" s="7">
        <v>592.11</v>
      </c>
      <c r="K2865" s="9">
        <f>(PricingDataTable[[#This Row],[Current Price ($)]]-PricingDataTable[[#This Row],[Prior Price ($)]])/PricingDataTable[[#This Row],[Prior Price ($)]]</f>
        <v>-1.227966086458464E-2</v>
      </c>
      <c r="L2865" s="9">
        <f>(PricingDataTable[[#This Row],[Vendor Price ($)]]-PricingDataTable[[#This Row],[Current Price ($)]])/PricingDataTable[[#This Row],[Current Price ($)]]</f>
        <v>-2.5587551552156778E-3</v>
      </c>
      <c r="M2865" t="str">
        <f t="shared" si="88"/>
        <v>PASS</v>
      </c>
      <c r="N2865" s="10" t="str">
        <f t="shared" si="89"/>
        <v>NONE</v>
      </c>
    </row>
    <row r="2866" spans="1:14">
      <c r="A2866" s="4" t="s">
        <v>5748</v>
      </c>
      <c r="B2866" s="4" t="s">
        <v>5749</v>
      </c>
      <c r="C2866" s="4" t="s">
        <v>19</v>
      </c>
      <c r="D2866" s="4" t="s">
        <v>13</v>
      </c>
      <c r="E2866" s="5">
        <v>206.1448</v>
      </c>
      <c r="F2866" s="5">
        <v>208.84970000000001</v>
      </c>
      <c r="G2866" s="5">
        <v>207.84790000000001</v>
      </c>
      <c r="H2866" s="4">
        <v>1</v>
      </c>
      <c r="I2866" s="6">
        <v>220428</v>
      </c>
      <c r="J2866" s="7">
        <v>565.59</v>
      </c>
      <c r="K2866" s="9">
        <f>(PricingDataTable[[#This Row],[Current Price ($)]]-PricingDataTable[[#This Row],[Prior Price ($)]])/PricingDataTable[[#This Row],[Prior Price ($)]]</f>
        <v>1.3121359355171749E-2</v>
      </c>
      <c r="L2866" s="9">
        <f>(PricingDataTable[[#This Row],[Vendor Price ($)]]-PricingDataTable[[#This Row],[Current Price ($)]])/PricingDataTable[[#This Row],[Current Price ($)]]</f>
        <v>-4.7967509649283809E-3</v>
      </c>
      <c r="M2866" t="str">
        <f t="shared" si="88"/>
        <v>PASS</v>
      </c>
      <c r="N2866" s="10" t="str">
        <f t="shared" si="89"/>
        <v>NONE</v>
      </c>
    </row>
    <row r="2867" spans="1:14">
      <c r="A2867" s="4" t="s">
        <v>5750</v>
      </c>
      <c r="B2867" s="4" t="s">
        <v>5751</v>
      </c>
      <c r="C2867" s="4" t="s">
        <v>39</v>
      </c>
      <c r="D2867" s="4" t="s">
        <v>13</v>
      </c>
      <c r="E2867" s="5">
        <v>312.73739999999998</v>
      </c>
      <c r="F2867" s="5">
        <v>308.03629999999998</v>
      </c>
      <c r="G2867" s="5">
        <v>307.28919999999999</v>
      </c>
      <c r="H2867" s="4">
        <v>0</v>
      </c>
      <c r="I2867" s="6">
        <v>4006294</v>
      </c>
      <c r="J2867" s="7">
        <v>869.38</v>
      </c>
      <c r="K2867" s="9">
        <f>(PricingDataTable[[#This Row],[Current Price ($)]]-PricingDataTable[[#This Row],[Prior Price ($)]])/PricingDataTable[[#This Row],[Prior Price ($)]]</f>
        <v>-1.5032100413957515E-2</v>
      </c>
      <c r="L2867" s="9">
        <f>(PricingDataTable[[#This Row],[Vendor Price ($)]]-PricingDataTable[[#This Row],[Current Price ($)]])/PricingDataTable[[#This Row],[Current Price ($)]]</f>
        <v>-2.4253635042363157E-3</v>
      </c>
      <c r="M2867" t="str">
        <f t="shared" si="88"/>
        <v>PASS</v>
      </c>
      <c r="N2867" s="10" t="str">
        <f t="shared" si="89"/>
        <v>NONE</v>
      </c>
    </row>
    <row r="2868" spans="1:14">
      <c r="A2868" s="4" t="s">
        <v>5752</v>
      </c>
      <c r="B2868" s="4" t="s">
        <v>5753</v>
      </c>
      <c r="C2868" s="4" t="s">
        <v>19</v>
      </c>
      <c r="D2868" s="4" t="s">
        <v>32</v>
      </c>
      <c r="E2868" s="5">
        <v>297.2876</v>
      </c>
      <c r="F2868" s="5">
        <v>289.32580000000002</v>
      </c>
      <c r="G2868" s="5">
        <v>289.71969999999999</v>
      </c>
      <c r="H2868" s="4">
        <v>4</v>
      </c>
      <c r="I2868" s="6">
        <v>3092435</v>
      </c>
      <c r="J2868" s="7">
        <v>866.45</v>
      </c>
      <c r="K2868" s="9">
        <f>(PricingDataTable[[#This Row],[Current Price ($)]]-PricingDataTable[[#This Row],[Prior Price ($)]])/PricingDataTable[[#This Row],[Prior Price ($)]]</f>
        <v>-2.6781473562973977E-2</v>
      </c>
      <c r="L2868" s="9">
        <f>(PricingDataTable[[#This Row],[Vendor Price ($)]]-PricingDataTable[[#This Row],[Current Price ($)]])/PricingDataTable[[#This Row],[Current Price ($)]]</f>
        <v>1.3614409776106164E-3</v>
      </c>
      <c r="M2868" t="str">
        <f t="shared" si="88"/>
        <v>STALE</v>
      </c>
      <c r="N2868" s="10" t="str">
        <f t="shared" si="89"/>
        <v>LOW</v>
      </c>
    </row>
    <row r="2869" spans="1:14">
      <c r="A2869" s="4" t="s">
        <v>5754</v>
      </c>
      <c r="B2869" s="4" t="s">
        <v>5755</v>
      </c>
      <c r="C2869" s="4" t="s">
        <v>19</v>
      </c>
      <c r="D2869" s="4" t="s">
        <v>13</v>
      </c>
      <c r="E2869" s="5">
        <v>276.2097</v>
      </c>
      <c r="F2869" s="5">
        <v>273.7851</v>
      </c>
      <c r="G2869" s="5">
        <v>272.21089999999998</v>
      </c>
      <c r="H2869" s="4">
        <v>0</v>
      </c>
      <c r="I2869" s="6">
        <v>4116547</v>
      </c>
      <c r="J2869" s="7">
        <v>232.65</v>
      </c>
      <c r="K2869" s="9">
        <f>(PricingDataTable[[#This Row],[Current Price ($)]]-PricingDataTable[[#This Row],[Prior Price ($)]])/PricingDataTable[[#This Row],[Prior Price ($)]]</f>
        <v>-8.7781131509863629E-3</v>
      </c>
      <c r="L2869" s="9">
        <f>(PricingDataTable[[#This Row],[Vendor Price ($)]]-PricingDataTable[[#This Row],[Current Price ($)]])/PricingDataTable[[#This Row],[Current Price ($)]]</f>
        <v>-5.7497650529558363E-3</v>
      </c>
      <c r="M2869" t="str">
        <f t="shared" si="88"/>
        <v>PASS</v>
      </c>
      <c r="N2869" s="10" t="str">
        <f t="shared" si="89"/>
        <v>NONE</v>
      </c>
    </row>
    <row r="2870" spans="1:14">
      <c r="A2870" s="4" t="s">
        <v>5756</v>
      </c>
      <c r="B2870" s="4" t="s">
        <v>5757</v>
      </c>
      <c r="C2870" s="4" t="s">
        <v>19</v>
      </c>
      <c r="D2870" s="4" t="s">
        <v>13</v>
      </c>
      <c r="E2870" s="5">
        <v>123.1955</v>
      </c>
      <c r="F2870" s="5">
        <v>122.3806</v>
      </c>
      <c r="G2870" s="5">
        <v>122.01739999999999</v>
      </c>
      <c r="H2870" s="4">
        <v>1</v>
      </c>
      <c r="I2870" s="6">
        <v>2278398</v>
      </c>
      <c r="J2870" s="7">
        <v>874.41</v>
      </c>
      <c r="K2870" s="9">
        <f>(PricingDataTable[[#This Row],[Current Price ($)]]-PricingDataTable[[#This Row],[Prior Price ($)]])/PricingDataTable[[#This Row],[Prior Price ($)]]</f>
        <v>-6.6146896599307151E-3</v>
      </c>
      <c r="L2870" s="9">
        <f>(PricingDataTable[[#This Row],[Vendor Price ($)]]-PricingDataTable[[#This Row],[Current Price ($)]])/PricingDataTable[[#This Row],[Current Price ($)]]</f>
        <v>-2.9677906465567761E-3</v>
      </c>
      <c r="M2870" t="str">
        <f t="shared" si="88"/>
        <v>PASS</v>
      </c>
      <c r="N2870" s="10" t="str">
        <f t="shared" si="89"/>
        <v>NONE</v>
      </c>
    </row>
    <row r="2871" spans="1:14">
      <c r="A2871" s="4" t="s">
        <v>5758</v>
      </c>
      <c r="B2871" s="4" t="s">
        <v>5759</v>
      </c>
      <c r="C2871" s="4" t="s">
        <v>19</v>
      </c>
      <c r="D2871" s="4" t="s">
        <v>13</v>
      </c>
      <c r="E2871" s="5">
        <v>124.77979999999999</v>
      </c>
      <c r="F2871" s="5">
        <v>124.82470000000001</v>
      </c>
      <c r="G2871" s="5">
        <v>124.8762</v>
      </c>
      <c r="H2871" s="4">
        <v>1</v>
      </c>
      <c r="I2871" s="6">
        <v>1199818</v>
      </c>
      <c r="J2871" s="7">
        <v>427.43</v>
      </c>
      <c r="K2871" s="9">
        <f>(PricingDataTable[[#This Row],[Current Price ($)]]-PricingDataTable[[#This Row],[Prior Price ($)]])/PricingDataTable[[#This Row],[Prior Price ($)]]</f>
        <v>3.5983388336904371E-4</v>
      </c>
      <c r="L2871" s="9">
        <f>(PricingDataTable[[#This Row],[Vendor Price ($)]]-PricingDataTable[[#This Row],[Current Price ($)]])/PricingDataTable[[#This Row],[Current Price ($)]]</f>
        <v>4.1257860022888182E-4</v>
      </c>
      <c r="M2871" t="str">
        <f t="shared" si="88"/>
        <v>PASS</v>
      </c>
      <c r="N2871" s="10" t="str">
        <f t="shared" si="89"/>
        <v>NONE</v>
      </c>
    </row>
    <row r="2872" spans="1:14">
      <c r="A2872" s="4" t="s">
        <v>5760</v>
      </c>
      <c r="B2872" s="4" t="s">
        <v>5761</v>
      </c>
      <c r="C2872" s="4" t="s">
        <v>12</v>
      </c>
      <c r="D2872" s="4" t="s">
        <v>64</v>
      </c>
      <c r="E2872" s="5">
        <v>99.899000000000001</v>
      </c>
      <c r="F2872" s="5">
        <v>101.34059999999999</v>
      </c>
      <c r="G2872" s="5">
        <v>101.2135</v>
      </c>
      <c r="H2872" s="4">
        <v>2</v>
      </c>
      <c r="I2872" s="6">
        <v>3577726</v>
      </c>
      <c r="J2872" s="7">
        <v>735.25</v>
      </c>
      <c r="K2872" s="9">
        <f>(PricingDataTable[[#This Row],[Current Price ($)]]-PricingDataTable[[#This Row],[Prior Price ($)]])/PricingDataTable[[#This Row],[Prior Price ($)]]</f>
        <v>1.4430574880629375E-2</v>
      </c>
      <c r="L2872" s="9">
        <f>(PricingDataTable[[#This Row],[Vendor Price ($)]]-PricingDataTable[[#This Row],[Current Price ($)]])/PricingDataTable[[#This Row],[Current Price ($)]]</f>
        <v>-1.2541863774242373E-3</v>
      </c>
      <c r="M2872" t="str">
        <f t="shared" si="88"/>
        <v>PASS</v>
      </c>
      <c r="N2872" s="10" t="str">
        <f t="shared" si="89"/>
        <v>NONE</v>
      </c>
    </row>
    <row r="2873" spans="1:14">
      <c r="A2873" s="4" t="s">
        <v>5762</v>
      </c>
      <c r="B2873" s="4" t="s">
        <v>5763</v>
      </c>
      <c r="C2873" s="4" t="s">
        <v>16</v>
      </c>
      <c r="D2873" s="4" t="s">
        <v>13</v>
      </c>
      <c r="E2873" s="5">
        <v>105.5064</v>
      </c>
      <c r="F2873" s="5">
        <v>107.2726</v>
      </c>
      <c r="G2873" s="5">
        <v>107.36150000000001</v>
      </c>
      <c r="H2873" s="4">
        <v>2</v>
      </c>
      <c r="I2873" s="6">
        <v>2395703</v>
      </c>
      <c r="J2873" s="7">
        <v>177.05</v>
      </c>
      <c r="K2873" s="9">
        <f>(PricingDataTable[[#This Row],[Current Price ($)]]-PricingDataTable[[#This Row],[Prior Price ($)]])/PricingDataTable[[#This Row],[Prior Price ($)]]</f>
        <v>1.6740216707232906E-2</v>
      </c>
      <c r="L2873" s="9">
        <f>(PricingDataTable[[#This Row],[Vendor Price ($)]]-PricingDataTable[[#This Row],[Current Price ($)]])/PricingDataTable[[#This Row],[Current Price ($)]]</f>
        <v>8.2872979679815279E-4</v>
      </c>
      <c r="M2873" t="str">
        <f t="shared" si="88"/>
        <v>PASS</v>
      </c>
      <c r="N2873" s="10" t="str">
        <f t="shared" si="89"/>
        <v>NONE</v>
      </c>
    </row>
    <row r="2874" spans="1:14">
      <c r="A2874" s="4" t="s">
        <v>5764</v>
      </c>
      <c r="B2874" s="4" t="s">
        <v>5765</v>
      </c>
      <c r="C2874" s="4" t="s">
        <v>19</v>
      </c>
      <c r="D2874" s="4" t="s">
        <v>13</v>
      </c>
      <c r="E2874" s="5">
        <v>292.21699999999998</v>
      </c>
      <c r="F2874" s="5">
        <v>293.41399999999999</v>
      </c>
      <c r="G2874" s="5">
        <v>292.52670000000001</v>
      </c>
      <c r="H2874" s="4">
        <v>1</v>
      </c>
      <c r="I2874" s="6">
        <v>2334656</v>
      </c>
      <c r="J2874" s="7">
        <v>441.98</v>
      </c>
      <c r="K2874" s="9">
        <f>(PricingDataTable[[#This Row],[Current Price ($)]]-PricingDataTable[[#This Row],[Prior Price ($)]])/PricingDataTable[[#This Row],[Prior Price ($)]]</f>
        <v>4.0962709219518464E-3</v>
      </c>
      <c r="L2874" s="9">
        <f>(PricingDataTable[[#This Row],[Vendor Price ($)]]-PricingDataTable[[#This Row],[Current Price ($)]])/PricingDataTable[[#This Row],[Current Price ($)]]</f>
        <v>-3.0240547485804428E-3</v>
      </c>
      <c r="M2874" t="str">
        <f t="shared" si="88"/>
        <v>PASS</v>
      </c>
      <c r="N2874" s="10" t="str">
        <f t="shared" si="89"/>
        <v>NONE</v>
      </c>
    </row>
    <row r="2875" spans="1:14">
      <c r="A2875" s="4" t="s">
        <v>5766</v>
      </c>
      <c r="B2875" s="4" t="s">
        <v>5767</v>
      </c>
      <c r="C2875" s="4" t="s">
        <v>16</v>
      </c>
      <c r="D2875" s="4" t="s">
        <v>13</v>
      </c>
      <c r="E2875" s="5">
        <v>80.584800000000001</v>
      </c>
      <c r="F2875" s="5">
        <v>81.096400000000003</v>
      </c>
      <c r="G2875" s="5">
        <v>89.653000000000006</v>
      </c>
      <c r="H2875" s="4">
        <v>0</v>
      </c>
      <c r="I2875" s="6">
        <v>3257433</v>
      </c>
      <c r="J2875" s="7">
        <v>545.87</v>
      </c>
      <c r="K2875" s="9">
        <f>(PricingDataTable[[#This Row],[Current Price ($)]]-PricingDataTable[[#This Row],[Prior Price ($)]])/PricingDataTable[[#This Row],[Prior Price ($)]]</f>
        <v>6.34859179398598E-3</v>
      </c>
      <c r="L2875" s="9">
        <f>(PricingDataTable[[#This Row],[Vendor Price ($)]]-PricingDataTable[[#This Row],[Current Price ($)]])/PricingDataTable[[#This Row],[Current Price ($)]]</f>
        <v>0.10551146536714334</v>
      </c>
      <c r="M2875" t="str">
        <f t="shared" si="88"/>
        <v>VENDOR DIFFERENCE</v>
      </c>
      <c r="N2875" s="10" t="str">
        <f t="shared" si="89"/>
        <v>HIGH</v>
      </c>
    </row>
    <row r="2876" spans="1:14">
      <c r="A2876" s="4" t="s">
        <v>5768</v>
      </c>
      <c r="B2876" s="4" t="s">
        <v>5769</v>
      </c>
      <c r="C2876" s="4" t="s">
        <v>12</v>
      </c>
      <c r="D2876" s="4" t="s">
        <v>13</v>
      </c>
      <c r="E2876" s="5">
        <v>99.017899999999997</v>
      </c>
      <c r="F2876" s="5">
        <v>98.207599999999999</v>
      </c>
      <c r="G2876" s="5">
        <v>98.195400000000006</v>
      </c>
      <c r="H2876" s="4">
        <v>0</v>
      </c>
      <c r="I2876" s="6">
        <v>2583633</v>
      </c>
      <c r="J2876" s="7">
        <v>742.38</v>
      </c>
      <c r="K2876" s="9">
        <f>(PricingDataTable[[#This Row],[Current Price ($)]]-PricingDataTable[[#This Row],[Prior Price ($)]])/PricingDataTable[[#This Row],[Prior Price ($)]]</f>
        <v>-8.1833688656293268E-3</v>
      </c>
      <c r="L2876" s="9">
        <f>(PricingDataTable[[#This Row],[Vendor Price ($)]]-PricingDataTable[[#This Row],[Current Price ($)]])/PricingDataTable[[#This Row],[Current Price ($)]]</f>
        <v>-1.2422663826417593E-4</v>
      </c>
      <c r="M2876" t="str">
        <f t="shared" si="88"/>
        <v>PASS</v>
      </c>
      <c r="N2876" s="10" t="str">
        <f t="shared" si="89"/>
        <v>NONE</v>
      </c>
    </row>
    <row r="2877" spans="1:14">
      <c r="A2877" s="4" t="s">
        <v>5770</v>
      </c>
      <c r="B2877" s="4" t="s">
        <v>5771</v>
      </c>
      <c r="C2877" s="4" t="s">
        <v>19</v>
      </c>
      <c r="D2877" s="4" t="s">
        <v>36</v>
      </c>
      <c r="E2877" s="5">
        <v>172.27119999999999</v>
      </c>
      <c r="F2877" s="5">
        <v>172.71860000000001</v>
      </c>
      <c r="G2877" s="5">
        <v>173.68960000000001</v>
      </c>
      <c r="H2877" s="4">
        <v>0</v>
      </c>
      <c r="I2877" s="6">
        <v>820307</v>
      </c>
      <c r="J2877" s="7">
        <v>497.07</v>
      </c>
      <c r="K2877" s="9">
        <f>(PricingDataTable[[#This Row],[Current Price ($)]]-PricingDataTable[[#This Row],[Prior Price ($)]])/PricingDataTable[[#This Row],[Prior Price ($)]]</f>
        <v>2.5970678790187564E-3</v>
      </c>
      <c r="L2877" s="9">
        <f>(PricingDataTable[[#This Row],[Vendor Price ($)]]-PricingDataTable[[#This Row],[Current Price ($)]])/PricingDataTable[[#This Row],[Current Price ($)]]</f>
        <v>5.6218612239793721E-3</v>
      </c>
      <c r="M2877" t="str">
        <f t="shared" si="88"/>
        <v>PASS</v>
      </c>
      <c r="N2877" s="10" t="str">
        <f t="shared" si="89"/>
        <v>NONE</v>
      </c>
    </row>
    <row r="2878" spans="1:14">
      <c r="A2878" s="4" t="s">
        <v>5772</v>
      </c>
      <c r="B2878" s="4" t="s">
        <v>5773</v>
      </c>
      <c r="C2878" s="4" t="s">
        <v>12</v>
      </c>
      <c r="D2878" s="4" t="s">
        <v>13</v>
      </c>
      <c r="E2878" s="5">
        <v>120.3813</v>
      </c>
      <c r="F2878" s="5">
        <v>119.8329</v>
      </c>
      <c r="G2878" s="5">
        <v>119.7153</v>
      </c>
      <c r="H2878" s="4">
        <v>0</v>
      </c>
      <c r="I2878" s="6">
        <v>572862</v>
      </c>
      <c r="J2878" s="7">
        <v>891.83</v>
      </c>
      <c r="K2878" s="9">
        <f>(PricingDataTable[[#This Row],[Current Price ($)]]-PricingDataTable[[#This Row],[Prior Price ($)]])/PricingDataTable[[#This Row],[Prior Price ($)]]</f>
        <v>-4.5555248198848233E-3</v>
      </c>
      <c r="L2878" s="9">
        <f>(PricingDataTable[[#This Row],[Vendor Price ($)]]-PricingDataTable[[#This Row],[Current Price ($)]])/PricingDataTable[[#This Row],[Current Price ($)]]</f>
        <v>-9.8136655292491398E-4</v>
      </c>
      <c r="M2878" t="str">
        <f t="shared" si="88"/>
        <v>PASS</v>
      </c>
      <c r="N2878" s="10" t="str">
        <f t="shared" si="89"/>
        <v>NONE</v>
      </c>
    </row>
    <row r="2879" spans="1:14">
      <c r="A2879" s="4" t="s">
        <v>5774</v>
      </c>
      <c r="B2879" s="4" t="s">
        <v>5775</v>
      </c>
      <c r="C2879" s="4" t="s">
        <v>16</v>
      </c>
      <c r="D2879" s="4" t="s">
        <v>237</v>
      </c>
      <c r="E2879" s="5">
        <v>120.28400000000001</v>
      </c>
      <c r="F2879" s="5">
        <v>120.0192</v>
      </c>
      <c r="G2879" s="5">
        <v>120.81570000000001</v>
      </c>
      <c r="H2879" s="4">
        <v>0</v>
      </c>
      <c r="I2879" s="6">
        <v>1934475</v>
      </c>
      <c r="J2879" s="7">
        <v>506.68</v>
      </c>
      <c r="K2879" s="9">
        <f>(PricingDataTable[[#This Row],[Current Price ($)]]-PricingDataTable[[#This Row],[Prior Price ($)]])/PricingDataTable[[#This Row],[Prior Price ($)]]</f>
        <v>-2.2014565528250484E-3</v>
      </c>
      <c r="L2879" s="9">
        <f>(PricingDataTable[[#This Row],[Vendor Price ($)]]-PricingDataTable[[#This Row],[Current Price ($)]])/PricingDataTable[[#This Row],[Current Price ($)]]</f>
        <v>6.6364381698928911E-3</v>
      </c>
      <c r="M2879" t="str">
        <f t="shared" si="88"/>
        <v>PASS</v>
      </c>
      <c r="N2879" s="10" t="str">
        <f t="shared" si="89"/>
        <v>NONE</v>
      </c>
    </row>
    <row r="2880" spans="1:14">
      <c r="A2880" s="4" t="s">
        <v>5776</v>
      </c>
      <c r="B2880" s="4" t="s">
        <v>5777</v>
      </c>
      <c r="C2880" s="4" t="s">
        <v>35</v>
      </c>
      <c r="D2880" s="4" t="s">
        <v>13</v>
      </c>
      <c r="E2880" s="5">
        <v>70.489400000000003</v>
      </c>
      <c r="F2880" s="5">
        <v>69.6691</v>
      </c>
      <c r="G2880" s="5">
        <v>69.761099999999999</v>
      </c>
      <c r="H2880" s="4">
        <v>0</v>
      </c>
      <c r="I2880" s="6">
        <v>4678692</v>
      </c>
      <c r="J2880" s="7">
        <v>608.16</v>
      </c>
      <c r="K2880" s="9">
        <f>(PricingDataTable[[#This Row],[Current Price ($)]]-PricingDataTable[[#This Row],[Prior Price ($)]])/PricingDataTable[[#This Row],[Prior Price ($)]]</f>
        <v>-1.1637210701183485E-2</v>
      </c>
      <c r="L2880" s="9">
        <f>(PricingDataTable[[#This Row],[Vendor Price ($)]]-PricingDataTable[[#This Row],[Current Price ($)]])/PricingDataTable[[#This Row],[Current Price ($)]]</f>
        <v>1.3205280389727834E-3</v>
      </c>
      <c r="M2880" t="str">
        <f t="shared" si="88"/>
        <v>PASS</v>
      </c>
      <c r="N2880" s="10" t="str">
        <f t="shared" si="89"/>
        <v>NONE</v>
      </c>
    </row>
    <row r="2881" spans="1:14">
      <c r="A2881" s="4" t="s">
        <v>5778</v>
      </c>
      <c r="B2881" s="4" t="s">
        <v>5779</v>
      </c>
      <c r="C2881" s="4" t="s">
        <v>16</v>
      </c>
      <c r="D2881" s="4" t="s">
        <v>64</v>
      </c>
      <c r="E2881" s="5">
        <v>112.29259999999999</v>
      </c>
      <c r="F2881" s="5">
        <v>115.104</v>
      </c>
      <c r="G2881" s="5">
        <v>115.0925</v>
      </c>
      <c r="H2881" s="4">
        <v>0</v>
      </c>
      <c r="I2881" s="6">
        <v>4613836</v>
      </c>
      <c r="J2881" s="7">
        <v>567</v>
      </c>
      <c r="K2881" s="9">
        <f>(PricingDataTable[[#This Row],[Current Price ($)]]-PricingDataTable[[#This Row],[Prior Price ($)]])/PricingDataTable[[#This Row],[Prior Price ($)]]</f>
        <v>2.5036378176300188E-2</v>
      </c>
      <c r="L2881" s="9">
        <f>(PricingDataTable[[#This Row],[Vendor Price ($)]]-PricingDataTable[[#This Row],[Current Price ($)]])/PricingDataTable[[#This Row],[Current Price ($)]]</f>
        <v>-9.9909646927978765E-5</v>
      </c>
      <c r="M2881" t="str">
        <f t="shared" si="88"/>
        <v>PASS</v>
      </c>
      <c r="N2881" s="10" t="str">
        <f t="shared" si="89"/>
        <v>NONE</v>
      </c>
    </row>
    <row r="2882" spans="1:14">
      <c r="A2882" s="4" t="s">
        <v>5780</v>
      </c>
      <c r="B2882" s="4" t="s">
        <v>5781</v>
      </c>
      <c r="C2882" s="4" t="s">
        <v>39</v>
      </c>
      <c r="D2882" s="4" t="s">
        <v>13</v>
      </c>
      <c r="E2882" s="5">
        <v>343.54680000000002</v>
      </c>
      <c r="F2882" s="5">
        <v>345.4796</v>
      </c>
      <c r="G2882" s="5">
        <v>346.50069999999999</v>
      </c>
      <c r="H2882" s="4">
        <v>0</v>
      </c>
      <c r="I2882" s="6">
        <v>626957</v>
      </c>
      <c r="J2882" s="7">
        <v>361.05</v>
      </c>
      <c r="K2882" s="9">
        <f>(PricingDataTable[[#This Row],[Current Price ($)]]-PricingDataTable[[#This Row],[Prior Price ($)]])/PricingDataTable[[#This Row],[Prior Price ($)]]</f>
        <v>5.6260166009405007E-3</v>
      </c>
      <c r="L2882" s="9">
        <f>(PricingDataTable[[#This Row],[Vendor Price ($)]]-PricingDataTable[[#This Row],[Current Price ($)]])/PricingDataTable[[#This Row],[Current Price ($)]]</f>
        <v>2.9556014305909522E-3</v>
      </c>
      <c r="M2882" t="str">
        <f t="shared" ref="M2882:M2945" si="90">IF(OR(F2882="",F2882=0),"MISSING",IF(H2882&gt;=3,"STALE",IF(ABS(K2882)&gt;=5%,"LARGE MOVE",IF(ABS(L2882)&gt;=2%,"VENDOR DIFFERENCE","PASS"))))</f>
        <v>PASS</v>
      </c>
      <c r="N2882" s="10" t="str">
        <f t="shared" ref="N2882:N2945" si="91">IF(M2882="PASS","NONE",IF(M2882="MISSING","HIGH",IF(OR(ABS(K2882)&gt;=10%,ABS(L2882)&gt;=5%),"HIGH",IF(OR(ABS(K2882)&gt;=7%,ABS(L2882)&gt;=3%,H2882&gt;=5),"MEDIUM","LOW"))))</f>
        <v>NONE</v>
      </c>
    </row>
    <row r="2883" spans="1:14">
      <c r="A2883" s="4" t="s">
        <v>5782</v>
      </c>
      <c r="B2883" s="4" t="s">
        <v>5783</v>
      </c>
      <c r="C2883" s="4" t="s">
        <v>35</v>
      </c>
      <c r="D2883" s="4" t="s">
        <v>13</v>
      </c>
      <c r="E2883" s="5">
        <v>37.220500000000001</v>
      </c>
      <c r="F2883" s="5">
        <v>36.669699999999999</v>
      </c>
      <c r="G2883" s="5">
        <v>36.7393</v>
      </c>
      <c r="H2883" s="4">
        <v>0</v>
      </c>
      <c r="I2883" s="6">
        <v>4287802</v>
      </c>
      <c r="J2883" s="7">
        <v>221.62</v>
      </c>
      <c r="K2883" s="9">
        <f>(PricingDataTable[[#This Row],[Current Price ($)]]-PricingDataTable[[#This Row],[Prior Price ($)]])/PricingDataTable[[#This Row],[Prior Price ($)]]</f>
        <v>-1.4798296637605684E-2</v>
      </c>
      <c r="L2883" s="9">
        <f>(PricingDataTable[[#This Row],[Vendor Price ($)]]-PricingDataTable[[#This Row],[Current Price ($)]])/PricingDataTable[[#This Row],[Current Price ($)]]</f>
        <v>1.8980247997665979E-3</v>
      </c>
      <c r="M2883" t="str">
        <f t="shared" si="90"/>
        <v>PASS</v>
      </c>
      <c r="N2883" s="10" t="str">
        <f t="shared" si="91"/>
        <v>NONE</v>
      </c>
    </row>
    <row r="2884" spans="1:14">
      <c r="A2884" s="4" t="s">
        <v>5784</v>
      </c>
      <c r="B2884" s="4" t="s">
        <v>5785</v>
      </c>
      <c r="C2884" s="4" t="s">
        <v>16</v>
      </c>
      <c r="D2884" s="4" t="s">
        <v>13</v>
      </c>
      <c r="E2884" s="5">
        <v>98.068399999999997</v>
      </c>
      <c r="F2884" s="5">
        <v>97.653199999999998</v>
      </c>
      <c r="G2884" s="5">
        <v>97.276300000000006</v>
      </c>
      <c r="H2884" s="4">
        <v>0</v>
      </c>
      <c r="I2884" s="6">
        <v>4988138</v>
      </c>
      <c r="J2884" s="7">
        <v>71.52</v>
      </c>
      <c r="K2884" s="9">
        <f>(PricingDataTable[[#This Row],[Current Price ($)]]-PricingDataTable[[#This Row],[Prior Price ($)]])/PricingDataTable[[#This Row],[Prior Price ($)]]</f>
        <v>-4.2337796884623254E-3</v>
      </c>
      <c r="L2884" s="9">
        <f>(PricingDataTable[[#This Row],[Vendor Price ($)]]-PricingDataTable[[#This Row],[Current Price ($)]])/PricingDataTable[[#This Row],[Current Price ($)]]</f>
        <v>-3.8595765422944871E-3</v>
      </c>
      <c r="M2884" t="str">
        <f t="shared" si="90"/>
        <v>PASS</v>
      </c>
      <c r="N2884" s="10" t="str">
        <f t="shared" si="91"/>
        <v>NONE</v>
      </c>
    </row>
    <row r="2885" spans="1:14">
      <c r="A2885" s="4" t="s">
        <v>5786</v>
      </c>
      <c r="B2885" s="4" t="s">
        <v>5787</v>
      </c>
      <c r="C2885" s="4" t="s">
        <v>35</v>
      </c>
      <c r="D2885" s="4" t="s">
        <v>13</v>
      </c>
      <c r="E2885" s="5">
        <v>92.143699999999995</v>
      </c>
      <c r="F2885" s="5">
        <v>90.855999999999995</v>
      </c>
      <c r="G2885" s="5">
        <v>90.895799999999994</v>
      </c>
      <c r="H2885" s="4">
        <v>0</v>
      </c>
      <c r="I2885" s="6">
        <v>1388443</v>
      </c>
      <c r="J2885" s="7">
        <v>537.21</v>
      </c>
      <c r="K2885" s="9">
        <f>(PricingDataTable[[#This Row],[Current Price ($)]]-PricingDataTable[[#This Row],[Prior Price ($)]])/PricingDataTable[[#This Row],[Prior Price ($)]]</f>
        <v>-1.3974910927171375E-2</v>
      </c>
      <c r="L2885" s="9">
        <f>(PricingDataTable[[#This Row],[Vendor Price ($)]]-PricingDataTable[[#This Row],[Current Price ($)]])/PricingDataTable[[#This Row],[Current Price ($)]]</f>
        <v>4.380558246015631E-4</v>
      </c>
      <c r="M2885" t="str">
        <f t="shared" si="90"/>
        <v>PASS</v>
      </c>
      <c r="N2885" s="10" t="str">
        <f t="shared" si="91"/>
        <v>NONE</v>
      </c>
    </row>
    <row r="2886" spans="1:14">
      <c r="A2886" s="4" t="s">
        <v>5788</v>
      </c>
      <c r="B2886" s="4" t="s">
        <v>5789</v>
      </c>
      <c r="C2886" s="4" t="s">
        <v>19</v>
      </c>
      <c r="D2886" s="4" t="s">
        <v>64</v>
      </c>
      <c r="E2886" s="5">
        <v>104.3409</v>
      </c>
      <c r="F2886" s="5">
        <v>104.2833</v>
      </c>
      <c r="G2886" s="5">
        <v>103.9226</v>
      </c>
      <c r="H2886" s="4">
        <v>0</v>
      </c>
      <c r="I2886" s="6">
        <v>67701</v>
      </c>
      <c r="J2886" s="7">
        <v>414.28</v>
      </c>
      <c r="K2886" s="9">
        <f>(PricingDataTable[[#This Row],[Current Price ($)]]-PricingDataTable[[#This Row],[Prior Price ($)]])/PricingDataTable[[#This Row],[Prior Price ($)]]</f>
        <v>-5.5203664143215045E-4</v>
      </c>
      <c r="L2886" s="9">
        <f>(PricingDataTable[[#This Row],[Vendor Price ($)]]-PricingDataTable[[#This Row],[Current Price ($)]])/PricingDataTable[[#This Row],[Current Price ($)]]</f>
        <v>-3.4588471979693225E-3</v>
      </c>
      <c r="M2886" t="str">
        <f t="shared" si="90"/>
        <v>PASS</v>
      </c>
      <c r="N2886" s="10" t="str">
        <f t="shared" si="91"/>
        <v>NONE</v>
      </c>
    </row>
    <row r="2887" spans="1:14">
      <c r="A2887" s="4" t="s">
        <v>5790</v>
      </c>
      <c r="B2887" s="4" t="s">
        <v>5791</v>
      </c>
      <c r="C2887" s="4" t="s">
        <v>19</v>
      </c>
      <c r="D2887" s="4" t="s">
        <v>13</v>
      </c>
      <c r="E2887" s="5">
        <v>283.13</v>
      </c>
      <c r="F2887" s="5">
        <v>283.15120000000002</v>
      </c>
      <c r="G2887" s="5">
        <v>284.44850000000002</v>
      </c>
      <c r="H2887" s="4">
        <v>0</v>
      </c>
      <c r="I2887" s="6">
        <v>837264</v>
      </c>
      <c r="J2887" s="7">
        <v>262.14</v>
      </c>
      <c r="K2887" s="9">
        <f>(PricingDataTable[[#This Row],[Current Price ($)]]-PricingDataTable[[#This Row],[Prior Price ($)]])/PricingDataTable[[#This Row],[Prior Price ($)]]</f>
        <v>7.4877264860741163E-5</v>
      </c>
      <c r="L2887" s="9">
        <f>(PricingDataTable[[#This Row],[Vendor Price ($)]]-PricingDataTable[[#This Row],[Current Price ($)]])/PricingDataTable[[#This Row],[Current Price ($)]]</f>
        <v>4.5816510754678307E-3</v>
      </c>
      <c r="M2887" t="str">
        <f t="shared" si="90"/>
        <v>PASS</v>
      </c>
      <c r="N2887" s="10" t="str">
        <f t="shared" si="91"/>
        <v>NONE</v>
      </c>
    </row>
    <row r="2888" spans="1:14">
      <c r="A2888" s="4" t="s">
        <v>5792</v>
      </c>
      <c r="B2888" s="4" t="s">
        <v>5793</v>
      </c>
      <c r="C2888" s="4" t="s">
        <v>39</v>
      </c>
      <c r="D2888" s="4" t="s">
        <v>13</v>
      </c>
      <c r="E2888" s="5">
        <v>35.000100000000003</v>
      </c>
      <c r="F2888" s="5">
        <v>35.072499999999998</v>
      </c>
      <c r="G2888" s="5">
        <v>35.142200000000003</v>
      </c>
      <c r="H2888" s="4">
        <v>2</v>
      </c>
      <c r="I2888" s="6">
        <v>3099571</v>
      </c>
      <c r="J2888" s="7">
        <v>356.22</v>
      </c>
      <c r="K2888" s="9">
        <f>(PricingDataTable[[#This Row],[Current Price ($)]]-PricingDataTable[[#This Row],[Prior Price ($)]])/PricingDataTable[[#This Row],[Prior Price ($)]]</f>
        <v>2.0685655183840814E-3</v>
      </c>
      <c r="L2888" s="9">
        <f>(PricingDataTable[[#This Row],[Vendor Price ($)]]-PricingDataTable[[#This Row],[Current Price ($)]])/PricingDataTable[[#This Row],[Current Price ($)]]</f>
        <v>1.9873119965786454E-3</v>
      </c>
      <c r="M2888" t="str">
        <f t="shared" si="90"/>
        <v>PASS</v>
      </c>
      <c r="N2888" s="10" t="str">
        <f t="shared" si="91"/>
        <v>NONE</v>
      </c>
    </row>
    <row r="2889" spans="1:14">
      <c r="A2889" s="4" t="s">
        <v>5794</v>
      </c>
      <c r="B2889" s="4" t="s">
        <v>5795</v>
      </c>
      <c r="C2889" s="4" t="s">
        <v>39</v>
      </c>
      <c r="D2889" s="4" t="s">
        <v>13</v>
      </c>
      <c r="E2889" s="5">
        <v>245.48679999999999</v>
      </c>
      <c r="F2889" s="5">
        <v>244.72389999999999</v>
      </c>
      <c r="G2889" s="5">
        <v>243.57490000000001</v>
      </c>
      <c r="H2889" s="4">
        <v>0</v>
      </c>
      <c r="I2889" s="6">
        <v>3784358</v>
      </c>
      <c r="J2889" s="7">
        <v>323.64</v>
      </c>
      <c r="K2889" s="9">
        <f>(PricingDataTable[[#This Row],[Current Price ($)]]-PricingDataTable[[#This Row],[Prior Price ($)]])/PricingDataTable[[#This Row],[Prior Price ($)]]</f>
        <v>-3.1077027359515948E-3</v>
      </c>
      <c r="L2889" s="9">
        <f>(PricingDataTable[[#This Row],[Vendor Price ($)]]-PricingDataTable[[#This Row],[Current Price ($)]])/PricingDataTable[[#This Row],[Current Price ($)]]</f>
        <v>-4.6950869939551164E-3</v>
      </c>
      <c r="M2889" t="str">
        <f t="shared" si="90"/>
        <v>PASS</v>
      </c>
      <c r="N2889" s="10" t="str">
        <f t="shared" si="91"/>
        <v>NONE</v>
      </c>
    </row>
    <row r="2890" spans="1:14">
      <c r="A2890" s="4" t="s">
        <v>5796</v>
      </c>
      <c r="B2890" s="4" t="s">
        <v>5797</v>
      </c>
      <c r="C2890" s="4" t="s">
        <v>35</v>
      </c>
      <c r="D2890" s="4" t="s">
        <v>13</v>
      </c>
      <c r="E2890" s="5">
        <v>169.98220000000001</v>
      </c>
      <c r="F2890" s="5">
        <v>169.11109999999999</v>
      </c>
      <c r="G2890" s="5">
        <v>168.35400000000001</v>
      </c>
      <c r="H2890" s="4">
        <v>0</v>
      </c>
      <c r="I2890" s="6">
        <v>4036542</v>
      </c>
      <c r="J2890" s="7">
        <v>730.19</v>
      </c>
      <c r="K2890" s="9">
        <f>(PricingDataTable[[#This Row],[Current Price ($)]]-PricingDataTable[[#This Row],[Prior Price ($)]])/PricingDataTable[[#This Row],[Prior Price ($)]]</f>
        <v>-5.1246542285016466E-3</v>
      </c>
      <c r="L2890" s="9">
        <f>(PricingDataTable[[#This Row],[Vendor Price ($)]]-PricingDataTable[[#This Row],[Current Price ($)]])/PricingDataTable[[#This Row],[Current Price ($)]]</f>
        <v>-4.4769385333072748E-3</v>
      </c>
      <c r="M2890" t="str">
        <f t="shared" si="90"/>
        <v>PASS</v>
      </c>
      <c r="N2890" s="10" t="str">
        <f t="shared" si="91"/>
        <v>NONE</v>
      </c>
    </row>
    <row r="2891" spans="1:14">
      <c r="A2891" s="4" t="s">
        <v>5798</v>
      </c>
      <c r="B2891" s="4" t="s">
        <v>5799</v>
      </c>
      <c r="C2891" s="4" t="s">
        <v>19</v>
      </c>
      <c r="D2891" s="4" t="s">
        <v>64</v>
      </c>
      <c r="E2891" s="5">
        <v>9.9467999999999996</v>
      </c>
      <c r="F2891" s="5">
        <v>9.7940000000000005</v>
      </c>
      <c r="G2891" s="5">
        <v>9.7342999999999993</v>
      </c>
      <c r="H2891" s="4">
        <v>0</v>
      </c>
      <c r="I2891" s="6">
        <v>1326930</v>
      </c>
      <c r="J2891" s="7">
        <v>827.42</v>
      </c>
      <c r="K2891" s="9">
        <f>(PricingDataTable[[#This Row],[Current Price ($)]]-PricingDataTable[[#This Row],[Prior Price ($)]])/PricingDataTable[[#This Row],[Prior Price ($)]]</f>
        <v>-1.536172437366783E-2</v>
      </c>
      <c r="L2891" s="9">
        <f>(PricingDataTable[[#This Row],[Vendor Price ($)]]-PricingDataTable[[#This Row],[Current Price ($)]])/PricingDataTable[[#This Row],[Current Price ($)]]</f>
        <v>-6.0955687155402486E-3</v>
      </c>
      <c r="M2891" t="str">
        <f t="shared" si="90"/>
        <v>PASS</v>
      </c>
      <c r="N2891" s="10" t="str">
        <f t="shared" si="91"/>
        <v>NONE</v>
      </c>
    </row>
    <row r="2892" spans="1:14">
      <c r="A2892" s="4" t="s">
        <v>5800</v>
      </c>
      <c r="B2892" s="4" t="s">
        <v>5801</v>
      </c>
      <c r="C2892" s="4" t="s">
        <v>19</v>
      </c>
      <c r="D2892" s="4" t="s">
        <v>13</v>
      </c>
      <c r="E2892" s="5">
        <v>34.452199999999998</v>
      </c>
      <c r="F2892" s="5">
        <v>34.083300000000001</v>
      </c>
      <c r="G2892" s="5">
        <v>34.069299999999998</v>
      </c>
      <c r="H2892" s="4">
        <v>3</v>
      </c>
      <c r="I2892" s="6">
        <v>2627408</v>
      </c>
      <c r="J2892" s="7">
        <v>769.68</v>
      </c>
      <c r="K2892" s="9">
        <f>(PricingDataTable[[#This Row],[Current Price ($)]]-PricingDataTable[[#This Row],[Prior Price ($)]])/PricingDataTable[[#This Row],[Prior Price ($)]]</f>
        <v>-1.0707589065429681E-2</v>
      </c>
      <c r="L2892" s="9">
        <f>(PricingDataTable[[#This Row],[Vendor Price ($)]]-PricingDataTable[[#This Row],[Current Price ($)]])/PricingDataTable[[#This Row],[Current Price ($)]]</f>
        <v>-4.1075834793000967E-4</v>
      </c>
      <c r="M2892" t="str">
        <f t="shared" si="90"/>
        <v>STALE</v>
      </c>
      <c r="N2892" s="10" t="str">
        <f t="shared" si="91"/>
        <v>LOW</v>
      </c>
    </row>
    <row r="2893" spans="1:14">
      <c r="A2893" s="4" t="s">
        <v>5802</v>
      </c>
      <c r="B2893" s="4" t="s">
        <v>5803</v>
      </c>
      <c r="C2893" s="4" t="s">
        <v>19</v>
      </c>
      <c r="D2893" s="4" t="s">
        <v>32</v>
      </c>
      <c r="E2893" s="5">
        <v>293.41250000000002</v>
      </c>
      <c r="F2893" s="5">
        <v>294.10989999999998</v>
      </c>
      <c r="G2893" s="5">
        <v>293.78559999999999</v>
      </c>
      <c r="H2893" s="4">
        <v>0</v>
      </c>
      <c r="I2893" s="6">
        <v>2844417</v>
      </c>
      <c r="J2893" s="7">
        <v>47.52</v>
      </c>
      <c r="K2893" s="9">
        <f>(PricingDataTable[[#This Row],[Current Price ($)]]-PricingDataTable[[#This Row],[Prior Price ($)]])/PricingDataTable[[#This Row],[Prior Price ($)]]</f>
        <v>2.3768585182974791E-3</v>
      </c>
      <c r="L2893" s="9">
        <f>(PricingDataTable[[#This Row],[Vendor Price ($)]]-PricingDataTable[[#This Row],[Current Price ($)]])/PricingDataTable[[#This Row],[Current Price ($)]]</f>
        <v>-1.1026490437757921E-3</v>
      </c>
      <c r="M2893" t="str">
        <f t="shared" si="90"/>
        <v>PASS</v>
      </c>
      <c r="N2893" s="10" t="str">
        <f t="shared" si="91"/>
        <v>NONE</v>
      </c>
    </row>
    <row r="2894" spans="1:14">
      <c r="A2894" s="4" t="s">
        <v>5804</v>
      </c>
      <c r="B2894" s="4" t="s">
        <v>5805</v>
      </c>
      <c r="C2894" s="4" t="s">
        <v>35</v>
      </c>
      <c r="D2894" s="4" t="s">
        <v>13</v>
      </c>
      <c r="E2894" s="5">
        <v>103.8471</v>
      </c>
      <c r="F2894" s="5">
        <v>102.31529999999999</v>
      </c>
      <c r="G2894" s="5">
        <v>103.0227</v>
      </c>
      <c r="H2894" s="4">
        <v>0</v>
      </c>
      <c r="I2894" s="6">
        <v>4043629</v>
      </c>
      <c r="J2894" s="7">
        <v>365.73</v>
      </c>
      <c r="K2894" s="9">
        <f>(PricingDataTable[[#This Row],[Current Price ($)]]-PricingDataTable[[#This Row],[Prior Price ($)]])/PricingDataTable[[#This Row],[Prior Price ($)]]</f>
        <v>-1.4750532272928218E-2</v>
      </c>
      <c r="L2894" s="9">
        <f>(PricingDataTable[[#This Row],[Vendor Price ($)]]-PricingDataTable[[#This Row],[Current Price ($)]])/PricingDataTable[[#This Row],[Current Price ($)]]</f>
        <v>6.9139219647502076E-3</v>
      </c>
      <c r="M2894" t="str">
        <f t="shared" si="90"/>
        <v>PASS</v>
      </c>
      <c r="N2894" s="10" t="str">
        <f t="shared" si="91"/>
        <v>NONE</v>
      </c>
    </row>
    <row r="2895" spans="1:14">
      <c r="A2895" s="4" t="s">
        <v>5806</v>
      </c>
      <c r="B2895" s="4" t="s">
        <v>5807</v>
      </c>
      <c r="C2895" s="4" t="s">
        <v>39</v>
      </c>
      <c r="D2895" s="4" t="s">
        <v>237</v>
      </c>
      <c r="E2895" s="5">
        <v>177.083</v>
      </c>
      <c r="F2895" s="5">
        <v>174.81559999999999</v>
      </c>
      <c r="G2895" s="5">
        <v>174.86940000000001</v>
      </c>
      <c r="H2895" s="4">
        <v>3</v>
      </c>
      <c r="I2895" s="6">
        <v>1256515</v>
      </c>
      <c r="J2895" s="7">
        <v>285.27999999999997</v>
      </c>
      <c r="K2895" s="9">
        <f>(PricingDataTable[[#This Row],[Current Price ($)]]-PricingDataTable[[#This Row],[Prior Price ($)]])/PricingDataTable[[#This Row],[Prior Price ($)]]</f>
        <v>-1.2804165278428811E-2</v>
      </c>
      <c r="L2895" s="9">
        <f>(PricingDataTable[[#This Row],[Vendor Price ($)]]-PricingDataTable[[#This Row],[Current Price ($)]])/PricingDataTable[[#This Row],[Current Price ($)]]</f>
        <v>3.0775285500849944E-4</v>
      </c>
      <c r="M2895" t="str">
        <f t="shared" si="90"/>
        <v>STALE</v>
      </c>
      <c r="N2895" s="10" t="str">
        <f t="shared" si="91"/>
        <v>LOW</v>
      </c>
    </row>
    <row r="2896" spans="1:14">
      <c r="A2896" s="4" t="s">
        <v>5808</v>
      </c>
      <c r="B2896" s="4" t="s">
        <v>5809</v>
      </c>
      <c r="C2896" s="4" t="s">
        <v>39</v>
      </c>
      <c r="D2896" s="4" t="s">
        <v>13</v>
      </c>
      <c r="E2896" s="5">
        <v>113.8884</v>
      </c>
      <c r="F2896" s="5">
        <v>115.408</v>
      </c>
      <c r="G2896" s="5">
        <v>114.9709</v>
      </c>
      <c r="H2896" s="4">
        <v>0</v>
      </c>
      <c r="I2896" s="6">
        <v>920636</v>
      </c>
      <c r="J2896" s="7">
        <v>702.37</v>
      </c>
      <c r="K2896" s="9">
        <f>(PricingDataTable[[#This Row],[Current Price ($)]]-PricingDataTable[[#This Row],[Prior Price ($)]])/PricingDataTable[[#This Row],[Prior Price ($)]]</f>
        <v>1.3342886545073922E-2</v>
      </c>
      <c r="L2896" s="9">
        <f>(PricingDataTable[[#This Row],[Vendor Price ($)]]-PricingDataTable[[#This Row],[Current Price ($)]])/PricingDataTable[[#This Row],[Current Price ($)]]</f>
        <v>-3.7874324136974989E-3</v>
      </c>
      <c r="M2896" t="str">
        <f t="shared" si="90"/>
        <v>PASS</v>
      </c>
      <c r="N2896" s="10" t="str">
        <f t="shared" si="91"/>
        <v>NONE</v>
      </c>
    </row>
    <row r="2897" spans="1:14">
      <c r="A2897" s="4" t="s">
        <v>5810</v>
      </c>
      <c r="B2897" s="4" t="s">
        <v>5811</v>
      </c>
      <c r="C2897" s="4" t="s">
        <v>39</v>
      </c>
      <c r="D2897" s="4" t="s">
        <v>64</v>
      </c>
      <c r="E2897" s="5">
        <v>260.64569999999998</v>
      </c>
      <c r="F2897" s="5">
        <v>263.56819999999999</v>
      </c>
      <c r="G2897" s="5">
        <v>264.72210000000001</v>
      </c>
      <c r="H2897" s="4">
        <v>0</v>
      </c>
      <c r="I2897" s="6">
        <v>466707</v>
      </c>
      <c r="J2897" s="7">
        <v>332.31</v>
      </c>
      <c r="K2897" s="9">
        <f>(PricingDataTable[[#This Row],[Current Price ($)]]-PricingDataTable[[#This Row],[Prior Price ($)]])/PricingDataTable[[#This Row],[Prior Price ($)]]</f>
        <v>1.1212538706757924E-2</v>
      </c>
      <c r="L2897" s="9">
        <f>(PricingDataTable[[#This Row],[Vendor Price ($)]]-PricingDataTable[[#This Row],[Current Price ($)]])/PricingDataTable[[#This Row],[Current Price ($)]]</f>
        <v>4.3779940068643395E-3</v>
      </c>
      <c r="M2897" t="str">
        <f t="shared" si="90"/>
        <v>PASS</v>
      </c>
      <c r="N2897" s="10" t="str">
        <f t="shared" si="91"/>
        <v>NONE</v>
      </c>
    </row>
    <row r="2898" spans="1:14">
      <c r="A2898" s="4" t="s">
        <v>5812</v>
      </c>
      <c r="B2898" s="4" t="s">
        <v>5813</v>
      </c>
      <c r="C2898" s="4" t="s">
        <v>35</v>
      </c>
      <c r="D2898" s="4" t="s">
        <v>13</v>
      </c>
      <c r="E2898" s="5">
        <v>121.46720000000001</v>
      </c>
      <c r="F2898" s="5">
        <v>122.3544</v>
      </c>
      <c r="G2898" s="5">
        <v>122.0938</v>
      </c>
      <c r="H2898" s="4">
        <v>0</v>
      </c>
      <c r="I2898" s="6">
        <v>2736517</v>
      </c>
      <c r="J2898" s="7">
        <v>798.85</v>
      </c>
      <c r="K2898" s="9">
        <f>(PricingDataTable[[#This Row],[Current Price ($)]]-PricingDataTable[[#This Row],[Prior Price ($)]])/PricingDataTable[[#This Row],[Prior Price ($)]]</f>
        <v>7.3040294005294664E-3</v>
      </c>
      <c r="L2898" s="9">
        <f>(PricingDataTable[[#This Row],[Vendor Price ($)]]-PricingDataTable[[#This Row],[Current Price ($)]])/PricingDataTable[[#This Row],[Current Price ($)]]</f>
        <v>-2.1298784514492053E-3</v>
      </c>
      <c r="M2898" t="str">
        <f t="shared" si="90"/>
        <v>PASS</v>
      </c>
      <c r="N2898" s="10" t="str">
        <f t="shared" si="91"/>
        <v>NONE</v>
      </c>
    </row>
    <row r="2899" spans="1:14">
      <c r="A2899" s="4" t="s">
        <v>5814</v>
      </c>
      <c r="B2899" s="4" t="s">
        <v>5815</v>
      </c>
      <c r="C2899" s="4" t="s">
        <v>39</v>
      </c>
      <c r="D2899" s="4" t="s">
        <v>13</v>
      </c>
      <c r="E2899" s="5">
        <v>110.25749999999999</v>
      </c>
      <c r="F2899" s="5">
        <v>112.43810000000001</v>
      </c>
      <c r="G2899" s="5">
        <v>112.38039999999999</v>
      </c>
      <c r="H2899" s="4">
        <v>1</v>
      </c>
      <c r="I2899" s="6">
        <v>158557</v>
      </c>
      <c r="J2899" s="7">
        <v>477.13</v>
      </c>
      <c r="K2899" s="9">
        <f>(PricingDataTable[[#This Row],[Current Price ($)]]-PricingDataTable[[#This Row],[Prior Price ($)]])/PricingDataTable[[#This Row],[Prior Price ($)]]</f>
        <v>1.9777339410017573E-2</v>
      </c>
      <c r="L2899" s="9">
        <f>(PricingDataTable[[#This Row],[Vendor Price ($)]]-PricingDataTable[[#This Row],[Current Price ($)]])/PricingDataTable[[#This Row],[Current Price ($)]]</f>
        <v>-5.131712471129553E-4</v>
      </c>
      <c r="M2899" t="str">
        <f t="shared" si="90"/>
        <v>PASS</v>
      </c>
      <c r="N2899" s="10" t="str">
        <f t="shared" si="91"/>
        <v>NONE</v>
      </c>
    </row>
    <row r="2900" spans="1:14">
      <c r="A2900" s="4" t="s">
        <v>5816</v>
      </c>
      <c r="B2900" s="4" t="s">
        <v>5817</v>
      </c>
      <c r="C2900" s="4" t="s">
        <v>39</v>
      </c>
      <c r="D2900" s="4" t="s">
        <v>13</v>
      </c>
      <c r="E2900" s="5">
        <v>288.14569999999998</v>
      </c>
      <c r="F2900" s="5">
        <v>288.87569999999999</v>
      </c>
      <c r="G2900" s="5">
        <v>290.1515</v>
      </c>
      <c r="H2900" s="4">
        <v>2</v>
      </c>
      <c r="I2900" s="6">
        <v>3727598</v>
      </c>
      <c r="J2900" s="7">
        <v>38.89</v>
      </c>
      <c r="K2900" s="9">
        <f>(PricingDataTable[[#This Row],[Current Price ($)]]-PricingDataTable[[#This Row],[Prior Price ($)]])/PricingDataTable[[#This Row],[Prior Price ($)]]</f>
        <v>2.5334405476119138E-3</v>
      </c>
      <c r="L2900" s="9">
        <f>(PricingDataTable[[#This Row],[Vendor Price ($)]]-PricingDataTable[[#This Row],[Current Price ($)]])/PricingDataTable[[#This Row],[Current Price ($)]]</f>
        <v>4.4164323963559547E-3</v>
      </c>
      <c r="M2900" t="str">
        <f t="shared" si="90"/>
        <v>PASS</v>
      </c>
      <c r="N2900" s="10" t="str">
        <f t="shared" si="91"/>
        <v>NONE</v>
      </c>
    </row>
    <row r="2901" spans="1:14">
      <c r="A2901" s="4" t="s">
        <v>5818</v>
      </c>
      <c r="B2901" s="4" t="s">
        <v>5819</v>
      </c>
      <c r="C2901" s="4" t="s">
        <v>19</v>
      </c>
      <c r="D2901" s="4" t="s">
        <v>32</v>
      </c>
      <c r="E2901" s="5">
        <v>235.52709999999999</v>
      </c>
      <c r="F2901" s="5">
        <v>236.72579999999999</v>
      </c>
      <c r="G2901" s="5">
        <v>257.74489999999997</v>
      </c>
      <c r="H2901" s="4">
        <v>0</v>
      </c>
      <c r="I2901" s="6">
        <v>4487854</v>
      </c>
      <c r="J2901" s="7">
        <v>70.209999999999994</v>
      </c>
      <c r="K2901" s="9">
        <f>(PricingDataTable[[#This Row],[Current Price ($)]]-PricingDataTable[[#This Row],[Prior Price ($)]])/PricingDataTable[[#This Row],[Prior Price ($)]]</f>
        <v>5.0894355681363303E-3</v>
      </c>
      <c r="L2901" s="9">
        <f>(PricingDataTable[[#This Row],[Vendor Price ($)]]-PricingDataTable[[#This Row],[Current Price ($)]])/PricingDataTable[[#This Row],[Current Price ($)]]</f>
        <v>8.8790913368969424E-2</v>
      </c>
      <c r="M2901" t="str">
        <f t="shared" si="90"/>
        <v>VENDOR DIFFERENCE</v>
      </c>
      <c r="N2901" s="10" t="str">
        <f t="shared" si="91"/>
        <v>HIGH</v>
      </c>
    </row>
    <row r="2902" spans="1:14">
      <c r="A2902" s="4" t="s">
        <v>5820</v>
      </c>
      <c r="B2902" s="4" t="s">
        <v>5821</v>
      </c>
      <c r="C2902" s="4" t="s">
        <v>16</v>
      </c>
      <c r="D2902" s="4" t="s">
        <v>13</v>
      </c>
      <c r="E2902" s="5">
        <v>82.708100000000002</v>
      </c>
      <c r="F2902" s="5">
        <v>83.9238</v>
      </c>
      <c r="G2902" s="5">
        <v>83.783100000000005</v>
      </c>
      <c r="H2902" s="4">
        <v>0</v>
      </c>
      <c r="I2902" s="6">
        <v>2111367</v>
      </c>
      <c r="J2902" s="7">
        <v>109.52</v>
      </c>
      <c r="K2902" s="9">
        <f>(PricingDataTable[[#This Row],[Current Price ($)]]-PricingDataTable[[#This Row],[Prior Price ($)]])/PricingDataTable[[#This Row],[Prior Price ($)]]</f>
        <v>1.469868126580103E-2</v>
      </c>
      <c r="L2902" s="9">
        <f>(PricingDataTable[[#This Row],[Vendor Price ($)]]-PricingDataTable[[#This Row],[Current Price ($)]])/PricingDataTable[[#This Row],[Current Price ($)]]</f>
        <v>-1.6765208439083476E-3</v>
      </c>
      <c r="M2902" t="str">
        <f t="shared" si="90"/>
        <v>PASS</v>
      </c>
      <c r="N2902" s="10" t="str">
        <f t="shared" si="91"/>
        <v>NONE</v>
      </c>
    </row>
    <row r="2903" spans="1:14">
      <c r="A2903" s="4" t="s">
        <v>5822</v>
      </c>
      <c r="B2903" s="4" t="s">
        <v>5823</v>
      </c>
      <c r="C2903" s="4" t="s">
        <v>19</v>
      </c>
      <c r="D2903" s="4" t="s">
        <v>13</v>
      </c>
      <c r="E2903" s="5">
        <v>177.05539999999999</v>
      </c>
      <c r="F2903" s="5">
        <v>180.285</v>
      </c>
      <c r="G2903" s="5">
        <v>180.357</v>
      </c>
      <c r="H2903" s="4">
        <v>4</v>
      </c>
      <c r="I2903" s="6">
        <v>51051</v>
      </c>
      <c r="J2903" s="7">
        <v>5.0999999999999996</v>
      </c>
      <c r="K2903" s="9">
        <f>(PricingDataTable[[#This Row],[Current Price ($)]]-PricingDataTable[[#This Row],[Prior Price ($)]])/PricingDataTable[[#This Row],[Prior Price ($)]]</f>
        <v>1.8240618473088114E-2</v>
      </c>
      <c r="L2903" s="9">
        <f>(PricingDataTable[[#This Row],[Vendor Price ($)]]-PricingDataTable[[#This Row],[Current Price ($)]])/PricingDataTable[[#This Row],[Current Price ($)]]</f>
        <v>3.9936766785923805E-4</v>
      </c>
      <c r="M2903" t="str">
        <f t="shared" si="90"/>
        <v>STALE</v>
      </c>
      <c r="N2903" s="10" t="str">
        <f t="shared" si="91"/>
        <v>LOW</v>
      </c>
    </row>
    <row r="2904" spans="1:14">
      <c r="A2904" s="4" t="s">
        <v>5824</v>
      </c>
      <c r="B2904" s="4" t="s">
        <v>5825</v>
      </c>
      <c r="C2904" s="4" t="s">
        <v>16</v>
      </c>
      <c r="D2904" s="4" t="s">
        <v>13</v>
      </c>
      <c r="E2904" s="5">
        <v>89.197400000000002</v>
      </c>
      <c r="F2904" s="5">
        <v>88.400599999999997</v>
      </c>
      <c r="G2904" s="5">
        <v>88.617000000000004</v>
      </c>
      <c r="H2904" s="4">
        <v>3</v>
      </c>
      <c r="I2904" s="6">
        <v>3590230</v>
      </c>
      <c r="J2904" s="7">
        <v>439.4</v>
      </c>
      <c r="K2904" s="9">
        <f>(PricingDataTable[[#This Row],[Current Price ($)]]-PricingDataTable[[#This Row],[Prior Price ($)]])/PricingDataTable[[#This Row],[Prior Price ($)]]</f>
        <v>-8.9329958048105056E-3</v>
      </c>
      <c r="L2904" s="9">
        <f>(PricingDataTable[[#This Row],[Vendor Price ($)]]-PricingDataTable[[#This Row],[Current Price ($)]])/PricingDataTable[[#This Row],[Current Price ($)]]</f>
        <v>2.447947185878911E-3</v>
      </c>
      <c r="M2904" t="str">
        <f t="shared" si="90"/>
        <v>STALE</v>
      </c>
      <c r="N2904" s="10" t="str">
        <f t="shared" si="91"/>
        <v>LOW</v>
      </c>
    </row>
    <row r="2905" spans="1:14">
      <c r="A2905" s="4" t="s">
        <v>5826</v>
      </c>
      <c r="B2905" s="4" t="s">
        <v>5827</v>
      </c>
      <c r="C2905" s="4" t="s">
        <v>12</v>
      </c>
      <c r="D2905" s="4" t="s">
        <v>13</v>
      </c>
      <c r="E2905" s="5">
        <v>116.3793</v>
      </c>
      <c r="F2905" s="5">
        <v>115.4195</v>
      </c>
      <c r="G2905" s="5">
        <v>115.3368</v>
      </c>
      <c r="H2905" s="4">
        <v>0</v>
      </c>
      <c r="I2905" s="6">
        <v>1268056</v>
      </c>
      <c r="J2905" s="7">
        <v>99.85</v>
      </c>
      <c r="K2905" s="9">
        <f>(PricingDataTable[[#This Row],[Current Price ($)]]-PricingDataTable[[#This Row],[Prior Price ($)]])/PricingDataTable[[#This Row],[Prior Price ($)]]</f>
        <v>-8.2471711034522582E-3</v>
      </c>
      <c r="L2905" s="9">
        <f>(PricingDataTable[[#This Row],[Vendor Price ($)]]-PricingDataTable[[#This Row],[Current Price ($)]])/PricingDataTable[[#This Row],[Current Price ($)]]</f>
        <v>-7.1651670644910662E-4</v>
      </c>
      <c r="M2905" t="str">
        <f t="shared" si="90"/>
        <v>PASS</v>
      </c>
      <c r="N2905" s="10" t="str">
        <f t="shared" si="91"/>
        <v>NONE</v>
      </c>
    </row>
    <row r="2906" spans="1:14">
      <c r="A2906" s="4" t="s">
        <v>5828</v>
      </c>
      <c r="B2906" s="4" t="s">
        <v>5829</v>
      </c>
      <c r="C2906" s="4" t="s">
        <v>35</v>
      </c>
      <c r="D2906" s="4" t="s">
        <v>32</v>
      </c>
      <c r="E2906" s="5">
        <v>112.7444</v>
      </c>
      <c r="F2906" s="5">
        <v>111.87130000000001</v>
      </c>
      <c r="G2906" s="5">
        <v>111.8232</v>
      </c>
      <c r="H2906" s="4">
        <v>4</v>
      </c>
      <c r="I2906" s="6">
        <v>4395602</v>
      </c>
      <c r="J2906" s="7">
        <v>610.15</v>
      </c>
      <c r="K2906" s="9">
        <f>(PricingDataTable[[#This Row],[Current Price ($)]]-PricingDataTable[[#This Row],[Prior Price ($)]])/PricingDataTable[[#This Row],[Prior Price ($)]]</f>
        <v>-7.7440653371696842E-3</v>
      </c>
      <c r="L2906" s="9">
        <f>(PricingDataTable[[#This Row],[Vendor Price ($)]]-PricingDataTable[[#This Row],[Current Price ($)]])/PricingDataTable[[#This Row],[Current Price ($)]]</f>
        <v>-4.299583539299636E-4</v>
      </c>
      <c r="M2906" t="str">
        <f t="shared" si="90"/>
        <v>STALE</v>
      </c>
      <c r="N2906" s="10" t="str">
        <f t="shared" si="91"/>
        <v>LOW</v>
      </c>
    </row>
    <row r="2907" spans="1:14">
      <c r="A2907" s="4" t="s">
        <v>5830</v>
      </c>
      <c r="B2907" s="4" t="s">
        <v>5831</v>
      </c>
      <c r="C2907" s="4" t="s">
        <v>12</v>
      </c>
      <c r="D2907" s="4" t="s">
        <v>13</v>
      </c>
      <c r="E2907" s="5">
        <v>104.6504</v>
      </c>
      <c r="F2907" s="5">
        <v>105.4692</v>
      </c>
      <c r="G2907" s="5">
        <v>104.9325</v>
      </c>
      <c r="H2907" s="4">
        <v>1</v>
      </c>
      <c r="I2907" s="6">
        <v>4526649</v>
      </c>
      <c r="J2907" s="7">
        <v>26.53</v>
      </c>
      <c r="K2907" s="9">
        <f>(PricingDataTable[[#This Row],[Current Price ($)]]-PricingDataTable[[#This Row],[Prior Price ($)]])/PricingDataTable[[#This Row],[Prior Price ($)]]</f>
        <v>7.8241459182190991E-3</v>
      </c>
      <c r="L2907" s="9">
        <f>(PricingDataTable[[#This Row],[Vendor Price ($)]]-PricingDataTable[[#This Row],[Current Price ($)]])/PricingDataTable[[#This Row],[Current Price ($)]]</f>
        <v>-5.0886893993696376E-3</v>
      </c>
      <c r="M2907" t="str">
        <f t="shared" si="90"/>
        <v>PASS</v>
      </c>
      <c r="N2907" s="10" t="str">
        <f t="shared" si="91"/>
        <v>NONE</v>
      </c>
    </row>
    <row r="2908" spans="1:14">
      <c r="A2908" s="4" t="s">
        <v>5832</v>
      </c>
      <c r="B2908" s="4" t="s">
        <v>5833</v>
      </c>
      <c r="C2908" s="4" t="s">
        <v>19</v>
      </c>
      <c r="D2908" s="4" t="s">
        <v>13</v>
      </c>
      <c r="E2908" s="5">
        <v>52.136000000000003</v>
      </c>
      <c r="F2908" s="5">
        <v>51.501300000000001</v>
      </c>
      <c r="G2908" s="5">
        <v>51.469200000000001</v>
      </c>
      <c r="H2908" s="4">
        <v>0</v>
      </c>
      <c r="I2908" s="6">
        <v>323834</v>
      </c>
      <c r="J2908" s="7">
        <v>712.96</v>
      </c>
      <c r="K2908" s="9">
        <f>(PricingDataTable[[#This Row],[Current Price ($)]]-PricingDataTable[[#This Row],[Prior Price ($)]])/PricingDataTable[[#This Row],[Prior Price ($)]]</f>
        <v>-1.2173929722264889E-2</v>
      </c>
      <c r="L2908" s="9">
        <f>(PricingDataTable[[#This Row],[Vendor Price ($)]]-PricingDataTable[[#This Row],[Current Price ($)]])/PricingDataTable[[#This Row],[Current Price ($)]]</f>
        <v>-6.2328523746002127E-4</v>
      </c>
      <c r="M2908" t="str">
        <f t="shared" si="90"/>
        <v>PASS</v>
      </c>
      <c r="N2908" s="10" t="str">
        <f t="shared" si="91"/>
        <v>NONE</v>
      </c>
    </row>
    <row r="2909" spans="1:14">
      <c r="A2909" s="4" t="s">
        <v>5834</v>
      </c>
      <c r="B2909" s="4" t="s">
        <v>5835</v>
      </c>
      <c r="C2909" s="4" t="s">
        <v>12</v>
      </c>
      <c r="D2909" s="4" t="s">
        <v>32</v>
      </c>
      <c r="E2909" s="5">
        <v>94.910899999999998</v>
      </c>
      <c r="F2909" s="5">
        <v>94.933999999999997</v>
      </c>
      <c r="G2909" s="5">
        <v>95.036000000000001</v>
      </c>
      <c r="H2909" s="4">
        <v>0</v>
      </c>
      <c r="I2909" s="6">
        <v>2668910</v>
      </c>
      <c r="J2909" s="7">
        <v>111.1</v>
      </c>
      <c r="K2909" s="9">
        <f>(PricingDataTable[[#This Row],[Current Price ($)]]-PricingDataTable[[#This Row],[Prior Price ($)]])/PricingDataTable[[#This Row],[Prior Price ($)]]</f>
        <v>2.4338616534032924E-4</v>
      </c>
      <c r="L2909" s="9">
        <f>(PricingDataTable[[#This Row],[Vendor Price ($)]]-PricingDataTable[[#This Row],[Current Price ($)]])/PricingDataTable[[#This Row],[Current Price ($)]]</f>
        <v>1.074430657088123E-3</v>
      </c>
      <c r="M2909" t="str">
        <f t="shared" si="90"/>
        <v>PASS</v>
      </c>
      <c r="N2909" s="10" t="str">
        <f t="shared" si="91"/>
        <v>NONE</v>
      </c>
    </row>
    <row r="2910" spans="1:14">
      <c r="A2910" s="4" t="s">
        <v>5836</v>
      </c>
      <c r="B2910" s="4" t="s">
        <v>5837</v>
      </c>
      <c r="C2910" s="4" t="s">
        <v>39</v>
      </c>
      <c r="D2910" s="4" t="s">
        <v>13</v>
      </c>
      <c r="E2910" s="5">
        <v>149.36580000000001</v>
      </c>
      <c r="F2910" s="5">
        <v>151.18379999999999</v>
      </c>
      <c r="G2910" s="5">
        <v>151.13319999999999</v>
      </c>
      <c r="H2910" s="4">
        <v>2</v>
      </c>
      <c r="I2910" s="6">
        <v>3236992</v>
      </c>
      <c r="J2910" s="7">
        <v>770.32</v>
      </c>
      <c r="K2910" s="9">
        <f>(PricingDataTable[[#This Row],[Current Price ($)]]-PricingDataTable[[#This Row],[Prior Price ($)]])/PricingDataTable[[#This Row],[Prior Price ($)]]</f>
        <v>1.2171460936840853E-2</v>
      </c>
      <c r="L2910" s="9">
        <f>(PricingDataTable[[#This Row],[Vendor Price ($)]]-PricingDataTable[[#This Row],[Current Price ($)]])/PricingDataTable[[#This Row],[Current Price ($)]]</f>
        <v>-3.3469194450730085E-4</v>
      </c>
      <c r="M2910" t="str">
        <f t="shared" si="90"/>
        <v>PASS</v>
      </c>
      <c r="N2910" s="10" t="str">
        <f t="shared" si="91"/>
        <v>NONE</v>
      </c>
    </row>
    <row r="2911" spans="1:14">
      <c r="A2911" s="4" t="s">
        <v>5838</v>
      </c>
      <c r="B2911" s="4" t="s">
        <v>5839</v>
      </c>
      <c r="C2911" s="4" t="s">
        <v>39</v>
      </c>
      <c r="D2911" s="4" t="s">
        <v>13</v>
      </c>
      <c r="E2911" s="5">
        <v>302.71010000000001</v>
      </c>
      <c r="F2911" s="5">
        <v>300.3741</v>
      </c>
      <c r="G2911" s="5">
        <v>300.32499999999999</v>
      </c>
      <c r="H2911" s="4">
        <v>0</v>
      </c>
      <c r="I2911" s="6">
        <v>386880</v>
      </c>
      <c r="J2911" s="7">
        <v>724.6</v>
      </c>
      <c r="K2911" s="9">
        <f>(PricingDataTable[[#This Row],[Current Price ($)]]-PricingDataTable[[#This Row],[Prior Price ($)]])/PricingDataTable[[#This Row],[Prior Price ($)]]</f>
        <v>-7.7169542740728259E-3</v>
      </c>
      <c r="L2911" s="9">
        <f>(PricingDataTable[[#This Row],[Vendor Price ($)]]-PricingDataTable[[#This Row],[Current Price ($)]])/PricingDataTable[[#This Row],[Current Price ($)]]</f>
        <v>-1.6346282851953584E-4</v>
      </c>
      <c r="M2911" t="str">
        <f t="shared" si="90"/>
        <v>PASS</v>
      </c>
      <c r="N2911" s="10" t="str">
        <f t="shared" si="91"/>
        <v>NONE</v>
      </c>
    </row>
    <row r="2912" spans="1:14">
      <c r="A2912" s="4" t="s">
        <v>5840</v>
      </c>
      <c r="B2912" s="4" t="s">
        <v>5841</v>
      </c>
      <c r="C2912" s="4" t="s">
        <v>12</v>
      </c>
      <c r="D2912" s="4" t="s">
        <v>13</v>
      </c>
      <c r="E2912" s="5">
        <v>96.959699999999998</v>
      </c>
      <c r="F2912" s="5">
        <v>97.366500000000002</v>
      </c>
      <c r="G2912" s="5">
        <v>97.057199999999995</v>
      </c>
      <c r="H2912" s="4">
        <v>0</v>
      </c>
      <c r="I2912" s="6">
        <v>4495757</v>
      </c>
      <c r="J2912" s="7">
        <v>823.31</v>
      </c>
      <c r="K2912" s="9">
        <f>(PricingDataTable[[#This Row],[Current Price ($)]]-PricingDataTable[[#This Row],[Prior Price ($)]])/PricingDataTable[[#This Row],[Prior Price ($)]]</f>
        <v>4.1955575357597438E-3</v>
      </c>
      <c r="L2912" s="9">
        <f>(PricingDataTable[[#This Row],[Vendor Price ($)]]-PricingDataTable[[#This Row],[Current Price ($)]])/PricingDataTable[[#This Row],[Current Price ($)]]</f>
        <v>-3.176657269184036E-3</v>
      </c>
      <c r="M2912" t="str">
        <f t="shared" si="90"/>
        <v>PASS</v>
      </c>
      <c r="N2912" s="10" t="str">
        <f t="shared" si="91"/>
        <v>NONE</v>
      </c>
    </row>
    <row r="2913" spans="1:14">
      <c r="A2913" s="4" t="s">
        <v>5842</v>
      </c>
      <c r="B2913" s="4" t="s">
        <v>5843</v>
      </c>
      <c r="C2913" s="4" t="s">
        <v>35</v>
      </c>
      <c r="D2913" s="4" t="s">
        <v>32</v>
      </c>
      <c r="E2913" s="5">
        <v>176.839</v>
      </c>
      <c r="F2913" s="5">
        <v>175.38589999999999</v>
      </c>
      <c r="G2913" s="5">
        <v>174.952</v>
      </c>
      <c r="H2913" s="4">
        <v>0</v>
      </c>
      <c r="I2913" s="6">
        <v>4728528</v>
      </c>
      <c r="J2913" s="7">
        <v>208.45</v>
      </c>
      <c r="K2913" s="9">
        <f>(PricingDataTable[[#This Row],[Current Price ($)]]-PricingDataTable[[#This Row],[Prior Price ($)]])/PricingDataTable[[#This Row],[Prior Price ($)]]</f>
        <v>-8.2170788118005999E-3</v>
      </c>
      <c r="L2913" s="9">
        <f>(PricingDataTable[[#This Row],[Vendor Price ($)]]-PricingDataTable[[#This Row],[Current Price ($)]])/PricingDataTable[[#This Row],[Current Price ($)]]</f>
        <v>-2.4739731073022075E-3</v>
      </c>
      <c r="M2913" t="str">
        <f t="shared" si="90"/>
        <v>PASS</v>
      </c>
      <c r="N2913" s="10" t="str">
        <f t="shared" si="91"/>
        <v>NONE</v>
      </c>
    </row>
    <row r="2914" spans="1:14">
      <c r="A2914" s="4" t="s">
        <v>5844</v>
      </c>
      <c r="B2914" s="4" t="s">
        <v>5845</v>
      </c>
      <c r="C2914" s="4" t="s">
        <v>19</v>
      </c>
      <c r="D2914" s="4" t="s">
        <v>13</v>
      </c>
      <c r="E2914" s="5">
        <v>247.93450000000001</v>
      </c>
      <c r="F2914" s="5">
        <v>246.26740000000001</v>
      </c>
      <c r="G2914" s="5">
        <v>247.25489999999999</v>
      </c>
      <c r="H2914" s="4">
        <v>0</v>
      </c>
      <c r="I2914" s="6">
        <v>321036</v>
      </c>
      <c r="J2914" s="7">
        <v>345.55</v>
      </c>
      <c r="K2914" s="9">
        <f>(PricingDataTable[[#This Row],[Current Price ($)]]-PricingDataTable[[#This Row],[Prior Price ($)]])/PricingDataTable[[#This Row],[Prior Price ($)]]</f>
        <v>-6.7239533021826526E-3</v>
      </c>
      <c r="L2914" s="9">
        <f>(PricingDataTable[[#This Row],[Vendor Price ($)]]-PricingDataTable[[#This Row],[Current Price ($)]])/PricingDataTable[[#This Row],[Current Price ($)]]</f>
        <v>4.0098689473311647E-3</v>
      </c>
      <c r="M2914" t="str">
        <f t="shared" si="90"/>
        <v>PASS</v>
      </c>
      <c r="N2914" s="10" t="str">
        <f t="shared" si="91"/>
        <v>NONE</v>
      </c>
    </row>
    <row r="2915" spans="1:14">
      <c r="A2915" s="4" t="s">
        <v>5846</v>
      </c>
      <c r="B2915" s="4" t="s">
        <v>5847</v>
      </c>
      <c r="C2915" s="4" t="s">
        <v>16</v>
      </c>
      <c r="D2915" s="4" t="s">
        <v>13</v>
      </c>
      <c r="E2915" s="5">
        <v>75.265699999999995</v>
      </c>
      <c r="F2915" s="5">
        <v>74.884100000000004</v>
      </c>
      <c r="G2915" s="5">
        <v>75.340299999999999</v>
      </c>
      <c r="H2915" s="4">
        <v>3</v>
      </c>
      <c r="I2915" s="6">
        <v>484897</v>
      </c>
      <c r="J2915" s="7">
        <v>236.67</v>
      </c>
      <c r="K2915" s="9">
        <f>(PricingDataTable[[#This Row],[Current Price ($)]]-PricingDataTable[[#This Row],[Prior Price ($)]])/PricingDataTable[[#This Row],[Prior Price ($)]]</f>
        <v>-5.070038543453283E-3</v>
      </c>
      <c r="L2915" s="9">
        <f>(PricingDataTable[[#This Row],[Vendor Price ($)]]-PricingDataTable[[#This Row],[Current Price ($)]])/PricingDataTable[[#This Row],[Current Price ($)]]</f>
        <v>6.0920809624472414E-3</v>
      </c>
      <c r="M2915" t="str">
        <f t="shared" si="90"/>
        <v>STALE</v>
      </c>
      <c r="N2915" s="10" t="str">
        <f t="shared" si="91"/>
        <v>LOW</v>
      </c>
    </row>
    <row r="2916" spans="1:14">
      <c r="A2916" s="4" t="s">
        <v>5848</v>
      </c>
      <c r="B2916" s="4" t="s">
        <v>5849</v>
      </c>
      <c r="C2916" s="4" t="s">
        <v>16</v>
      </c>
      <c r="D2916" s="4" t="s">
        <v>13</v>
      </c>
      <c r="E2916" s="5">
        <v>76.180000000000007</v>
      </c>
      <c r="F2916" s="5">
        <v>76.739699999999999</v>
      </c>
      <c r="G2916" s="5">
        <v>76.542500000000004</v>
      </c>
      <c r="H2916" s="4">
        <v>0</v>
      </c>
      <c r="I2916" s="6">
        <v>419870</v>
      </c>
      <c r="J2916" s="7">
        <v>807.42</v>
      </c>
      <c r="K2916" s="9">
        <f>(PricingDataTable[[#This Row],[Current Price ($)]]-PricingDataTable[[#This Row],[Prior Price ($)]])/PricingDataTable[[#This Row],[Prior Price ($)]]</f>
        <v>7.3470727224992424E-3</v>
      </c>
      <c r="L2916" s="9">
        <f>(PricingDataTable[[#This Row],[Vendor Price ($)]]-PricingDataTable[[#This Row],[Current Price ($)]])/PricingDataTable[[#This Row],[Current Price ($)]]</f>
        <v>-2.5697259697391984E-3</v>
      </c>
      <c r="M2916" t="str">
        <f t="shared" si="90"/>
        <v>PASS</v>
      </c>
      <c r="N2916" s="10" t="str">
        <f t="shared" si="91"/>
        <v>NONE</v>
      </c>
    </row>
    <row r="2917" spans="1:14">
      <c r="A2917" s="4" t="s">
        <v>5850</v>
      </c>
      <c r="B2917" s="4" t="s">
        <v>5851</v>
      </c>
      <c r="C2917" s="4" t="s">
        <v>16</v>
      </c>
      <c r="D2917" s="4" t="s">
        <v>237</v>
      </c>
      <c r="E2917" s="5">
        <v>120.7778</v>
      </c>
      <c r="F2917" s="5">
        <v>119.9914</v>
      </c>
      <c r="G2917" s="5">
        <v>120.3553</v>
      </c>
      <c r="H2917" s="4">
        <v>0</v>
      </c>
      <c r="I2917" s="6">
        <v>205360</v>
      </c>
      <c r="J2917" s="7">
        <v>344.65</v>
      </c>
      <c r="K2917" s="9">
        <f>(PricingDataTable[[#This Row],[Current Price ($)]]-PricingDataTable[[#This Row],[Prior Price ($)]])/PricingDataTable[[#This Row],[Prior Price ($)]]</f>
        <v>-6.5111303567377482E-3</v>
      </c>
      <c r="L2917" s="9">
        <f>(PricingDataTable[[#This Row],[Vendor Price ($)]]-PricingDataTable[[#This Row],[Current Price ($)]])/PricingDataTable[[#This Row],[Current Price ($)]]</f>
        <v>3.0327173447430482E-3</v>
      </c>
      <c r="M2917" t="str">
        <f t="shared" si="90"/>
        <v>PASS</v>
      </c>
      <c r="N2917" s="10" t="str">
        <f t="shared" si="91"/>
        <v>NONE</v>
      </c>
    </row>
    <row r="2918" spans="1:14">
      <c r="A2918" s="4" t="s">
        <v>5852</v>
      </c>
      <c r="B2918" s="4" t="s">
        <v>5853</v>
      </c>
      <c r="C2918" s="4" t="s">
        <v>16</v>
      </c>
      <c r="D2918" s="4" t="s">
        <v>32</v>
      </c>
      <c r="E2918" s="5">
        <v>97.220600000000005</v>
      </c>
      <c r="F2918" s="5">
        <v>75.994799999999998</v>
      </c>
      <c r="G2918" s="5">
        <v>76.129300000000001</v>
      </c>
      <c r="H2918" s="4">
        <v>0</v>
      </c>
      <c r="I2918" s="6">
        <v>1582507</v>
      </c>
      <c r="J2918" s="7">
        <v>296.66000000000003</v>
      </c>
      <c r="K2918" s="9">
        <f>(PricingDataTable[[#This Row],[Current Price ($)]]-PricingDataTable[[#This Row],[Prior Price ($)]])/PricingDataTable[[#This Row],[Prior Price ($)]]</f>
        <v>-0.21832615721359472</v>
      </c>
      <c r="L2918" s="9">
        <f>(PricingDataTable[[#This Row],[Vendor Price ($)]]-PricingDataTable[[#This Row],[Current Price ($)]])/PricingDataTable[[#This Row],[Current Price ($)]]</f>
        <v>1.7698579376484013E-3</v>
      </c>
      <c r="M2918" t="str">
        <f t="shared" si="90"/>
        <v>LARGE MOVE</v>
      </c>
      <c r="N2918" s="10" t="str">
        <f t="shared" si="91"/>
        <v>HIGH</v>
      </c>
    </row>
    <row r="2919" spans="1:14">
      <c r="A2919" s="4" t="s">
        <v>5854</v>
      </c>
      <c r="B2919" s="4" t="s">
        <v>5855</v>
      </c>
      <c r="C2919" s="4" t="s">
        <v>19</v>
      </c>
      <c r="D2919" s="4" t="s">
        <v>32</v>
      </c>
      <c r="E2919" s="5">
        <v>197.07730000000001</v>
      </c>
      <c r="F2919" s="5">
        <v>193.13079999999999</v>
      </c>
      <c r="G2919" s="5">
        <v>200.35839999999999</v>
      </c>
      <c r="H2919" s="4">
        <v>5</v>
      </c>
      <c r="I2919" s="6">
        <v>4451981</v>
      </c>
      <c r="J2919" s="7">
        <v>571.66999999999996</v>
      </c>
      <c r="K2919" s="9">
        <f>(PricingDataTable[[#This Row],[Current Price ($)]]-PricingDataTable[[#This Row],[Prior Price ($)]])/PricingDataTable[[#This Row],[Prior Price ($)]]</f>
        <v>-2.0025137344585168E-2</v>
      </c>
      <c r="L2919" s="9">
        <f>(PricingDataTable[[#This Row],[Vendor Price ($)]]-PricingDataTable[[#This Row],[Current Price ($)]])/PricingDataTable[[#This Row],[Current Price ($)]]</f>
        <v>3.7423342108042816E-2</v>
      </c>
      <c r="M2919" t="str">
        <f t="shared" si="90"/>
        <v>STALE</v>
      </c>
      <c r="N2919" s="10" t="str">
        <f t="shared" si="91"/>
        <v>MEDIUM</v>
      </c>
    </row>
    <row r="2920" spans="1:14">
      <c r="A2920" s="4" t="s">
        <v>5856</v>
      </c>
      <c r="B2920" s="4" t="s">
        <v>5857</v>
      </c>
      <c r="C2920" s="4" t="s">
        <v>19</v>
      </c>
      <c r="D2920" s="4" t="s">
        <v>32</v>
      </c>
      <c r="E2920" s="5">
        <v>289.02760000000001</v>
      </c>
      <c r="F2920" s="5">
        <v>289.61540000000002</v>
      </c>
      <c r="G2920" s="5">
        <v>289.72500000000002</v>
      </c>
      <c r="H2920" s="4">
        <v>0</v>
      </c>
      <c r="I2920" s="6">
        <v>2306595</v>
      </c>
      <c r="J2920" s="7">
        <v>661.53</v>
      </c>
      <c r="K2920" s="9">
        <f>(PricingDataTable[[#This Row],[Current Price ($)]]-PricingDataTable[[#This Row],[Prior Price ($)]])/PricingDataTable[[#This Row],[Prior Price ($)]]</f>
        <v>2.0337158112236188E-3</v>
      </c>
      <c r="L2920" s="9">
        <f>(PricingDataTable[[#This Row],[Vendor Price ($)]]-PricingDataTable[[#This Row],[Current Price ($)]])/PricingDataTable[[#This Row],[Current Price ($)]]</f>
        <v>3.7843291482428197E-4</v>
      </c>
      <c r="M2920" t="str">
        <f t="shared" si="90"/>
        <v>PASS</v>
      </c>
      <c r="N2920" s="10" t="str">
        <f t="shared" si="91"/>
        <v>NONE</v>
      </c>
    </row>
    <row r="2921" spans="1:14">
      <c r="A2921" s="4" t="s">
        <v>5858</v>
      </c>
      <c r="B2921" s="4" t="s">
        <v>5859</v>
      </c>
      <c r="C2921" s="4" t="s">
        <v>19</v>
      </c>
      <c r="D2921" s="4" t="s">
        <v>13</v>
      </c>
      <c r="E2921" s="5">
        <v>320.65620000000001</v>
      </c>
      <c r="F2921" s="5">
        <v>322.25900000000001</v>
      </c>
      <c r="G2921" s="5">
        <v>323.95229999999998</v>
      </c>
      <c r="H2921" s="4">
        <v>0</v>
      </c>
      <c r="I2921" s="6">
        <v>4797144</v>
      </c>
      <c r="J2921" s="7">
        <v>803.98</v>
      </c>
      <c r="K2921" s="9">
        <f>(PricingDataTable[[#This Row],[Current Price ($)]]-PricingDataTable[[#This Row],[Prior Price ($)]])/PricingDataTable[[#This Row],[Prior Price ($)]]</f>
        <v>4.998499951037909E-3</v>
      </c>
      <c r="L2921" s="9">
        <f>(PricingDataTable[[#This Row],[Vendor Price ($)]]-PricingDataTable[[#This Row],[Current Price ($)]])/PricingDataTable[[#This Row],[Current Price ($)]]</f>
        <v>5.2544692312703912E-3</v>
      </c>
      <c r="M2921" t="str">
        <f t="shared" si="90"/>
        <v>PASS</v>
      </c>
      <c r="N2921" s="10" t="str">
        <f t="shared" si="91"/>
        <v>NONE</v>
      </c>
    </row>
    <row r="2922" spans="1:14">
      <c r="A2922" s="4" t="s">
        <v>5860</v>
      </c>
      <c r="B2922" s="4" t="s">
        <v>5861</v>
      </c>
      <c r="C2922" s="4" t="s">
        <v>16</v>
      </c>
      <c r="D2922" s="4" t="s">
        <v>13</v>
      </c>
      <c r="E2922" s="5">
        <v>116.8682</v>
      </c>
      <c r="F2922" s="5">
        <v>117.3959</v>
      </c>
      <c r="G2922" s="5">
        <v>117.8321</v>
      </c>
      <c r="H2922" s="4">
        <v>2</v>
      </c>
      <c r="I2922" s="6">
        <v>430782</v>
      </c>
      <c r="J2922" s="7">
        <v>330.4</v>
      </c>
      <c r="K2922" s="9">
        <f>(PricingDataTable[[#This Row],[Current Price ($)]]-PricingDataTable[[#This Row],[Prior Price ($)]])/PricingDataTable[[#This Row],[Prior Price ($)]]</f>
        <v>4.515342924764785E-3</v>
      </c>
      <c r="L2922" s="9">
        <f>(PricingDataTable[[#This Row],[Vendor Price ($)]]-PricingDataTable[[#This Row],[Current Price ($)]])/PricingDataTable[[#This Row],[Current Price ($)]]</f>
        <v>3.7156323176533381E-3</v>
      </c>
      <c r="M2922" t="str">
        <f t="shared" si="90"/>
        <v>PASS</v>
      </c>
      <c r="N2922" s="10" t="str">
        <f t="shared" si="91"/>
        <v>NONE</v>
      </c>
    </row>
    <row r="2923" spans="1:14">
      <c r="A2923" s="4" t="s">
        <v>5862</v>
      </c>
      <c r="B2923" s="4" t="s">
        <v>5863</v>
      </c>
      <c r="C2923" s="4" t="s">
        <v>39</v>
      </c>
      <c r="D2923" s="4" t="s">
        <v>13</v>
      </c>
      <c r="E2923" s="5">
        <v>58.859499999999997</v>
      </c>
      <c r="F2923" s="5">
        <v>59.515300000000003</v>
      </c>
      <c r="G2923" s="5">
        <v>59.211199999999998</v>
      </c>
      <c r="H2923" s="4">
        <v>2</v>
      </c>
      <c r="I2923" s="6">
        <v>2626112</v>
      </c>
      <c r="J2923" s="7">
        <v>481.77</v>
      </c>
      <c r="K2923" s="9">
        <f>(PricingDataTable[[#This Row],[Current Price ($)]]-PricingDataTable[[#This Row],[Prior Price ($)]])/PricingDataTable[[#This Row],[Prior Price ($)]]</f>
        <v>1.1141786797373515E-2</v>
      </c>
      <c r="L2923" s="9">
        <f>(PricingDataTable[[#This Row],[Vendor Price ($)]]-PricingDataTable[[#This Row],[Current Price ($)]])/PricingDataTable[[#This Row],[Current Price ($)]]</f>
        <v>-5.1096104699128687E-3</v>
      </c>
      <c r="M2923" t="str">
        <f t="shared" si="90"/>
        <v>PASS</v>
      </c>
      <c r="N2923" s="10" t="str">
        <f t="shared" si="91"/>
        <v>NONE</v>
      </c>
    </row>
    <row r="2924" spans="1:14">
      <c r="A2924" s="4" t="s">
        <v>5864</v>
      </c>
      <c r="B2924" s="4" t="s">
        <v>5865</v>
      </c>
      <c r="C2924" s="4" t="s">
        <v>19</v>
      </c>
      <c r="D2924" s="4" t="s">
        <v>13</v>
      </c>
      <c r="E2924" s="5">
        <v>205.88210000000001</v>
      </c>
      <c r="F2924" s="5">
        <v>207.6728</v>
      </c>
      <c r="G2924" s="5">
        <v>207.18969999999999</v>
      </c>
      <c r="H2924" s="4">
        <v>1</v>
      </c>
      <c r="I2924" s="6">
        <v>2644395</v>
      </c>
      <c r="J2924" s="7">
        <v>623.75</v>
      </c>
      <c r="K2924" s="9">
        <f>(PricingDataTable[[#This Row],[Current Price ($)]]-PricingDataTable[[#This Row],[Prior Price ($)]])/PricingDataTable[[#This Row],[Prior Price ($)]]</f>
        <v>8.6976964000269417E-3</v>
      </c>
      <c r="L2924" s="9">
        <f>(PricingDataTable[[#This Row],[Vendor Price ($)]]-PricingDataTable[[#This Row],[Current Price ($)]])/PricingDataTable[[#This Row],[Current Price ($)]]</f>
        <v>-2.3262555327419258E-3</v>
      </c>
      <c r="M2924" t="str">
        <f t="shared" si="90"/>
        <v>PASS</v>
      </c>
      <c r="N2924" s="10" t="str">
        <f t="shared" si="91"/>
        <v>NONE</v>
      </c>
    </row>
    <row r="2925" spans="1:14">
      <c r="A2925" s="4" t="s">
        <v>5866</v>
      </c>
      <c r="B2925" s="4" t="s">
        <v>5867</v>
      </c>
      <c r="C2925" s="4" t="s">
        <v>16</v>
      </c>
      <c r="D2925" s="4" t="s">
        <v>13</v>
      </c>
      <c r="E2925" s="5">
        <v>113.03149999999999</v>
      </c>
      <c r="F2925" s="5">
        <v>111.4954</v>
      </c>
      <c r="G2925" s="5">
        <v>111.90819999999999</v>
      </c>
      <c r="H2925" s="4">
        <v>3</v>
      </c>
      <c r="I2925" s="6">
        <v>905199</v>
      </c>
      <c r="J2925" s="7">
        <v>480.79</v>
      </c>
      <c r="K2925" s="9">
        <f>(PricingDataTable[[#This Row],[Current Price ($)]]-PricingDataTable[[#This Row],[Prior Price ($)]])/PricingDataTable[[#This Row],[Prior Price ($)]]</f>
        <v>-1.3590016942179751E-2</v>
      </c>
      <c r="L2925" s="9">
        <f>(PricingDataTable[[#This Row],[Vendor Price ($)]]-PricingDataTable[[#This Row],[Current Price ($)]])/PricingDataTable[[#This Row],[Current Price ($)]]</f>
        <v>3.7023948970091149E-3</v>
      </c>
      <c r="M2925" t="str">
        <f t="shared" si="90"/>
        <v>STALE</v>
      </c>
      <c r="N2925" s="10" t="str">
        <f t="shared" si="91"/>
        <v>LOW</v>
      </c>
    </row>
    <row r="2926" spans="1:14">
      <c r="A2926" s="4" t="s">
        <v>5868</v>
      </c>
      <c r="B2926" s="4" t="s">
        <v>5869</v>
      </c>
      <c r="C2926" s="4" t="s">
        <v>12</v>
      </c>
      <c r="D2926" s="4" t="s">
        <v>64</v>
      </c>
      <c r="E2926" s="5">
        <v>114.0528</v>
      </c>
      <c r="F2926" s="5">
        <v>114.1833</v>
      </c>
      <c r="G2926" s="5">
        <v>114.69499999999999</v>
      </c>
      <c r="H2926" s="4">
        <v>0</v>
      </c>
      <c r="I2926" s="6">
        <v>1863426</v>
      </c>
      <c r="J2926" s="7">
        <v>622.41</v>
      </c>
      <c r="K2926" s="9">
        <f>(PricingDataTable[[#This Row],[Current Price ($)]]-PricingDataTable[[#This Row],[Prior Price ($)]])/PricingDataTable[[#This Row],[Prior Price ($)]]</f>
        <v>1.1442068936492382E-3</v>
      </c>
      <c r="L2926" s="9">
        <f>(PricingDataTable[[#This Row],[Vendor Price ($)]]-PricingDataTable[[#This Row],[Current Price ($)]])/PricingDataTable[[#This Row],[Current Price ($)]]</f>
        <v>4.4813908864079991E-3</v>
      </c>
      <c r="M2926" t="str">
        <f t="shared" si="90"/>
        <v>PASS</v>
      </c>
      <c r="N2926" s="10" t="str">
        <f t="shared" si="91"/>
        <v>NONE</v>
      </c>
    </row>
    <row r="2927" spans="1:14">
      <c r="A2927" s="4" t="s">
        <v>5870</v>
      </c>
      <c r="B2927" s="4" t="s">
        <v>5871</v>
      </c>
      <c r="C2927" s="4" t="s">
        <v>19</v>
      </c>
      <c r="D2927" s="4" t="s">
        <v>13</v>
      </c>
      <c r="E2927" s="5">
        <v>9.391</v>
      </c>
      <c r="F2927" s="5">
        <v>9.4071999999999996</v>
      </c>
      <c r="G2927" s="5">
        <v>9.4123999999999999</v>
      </c>
      <c r="H2927" s="4">
        <v>0</v>
      </c>
      <c r="I2927" s="6">
        <v>2604275</v>
      </c>
      <c r="J2927" s="7">
        <v>220.79</v>
      </c>
      <c r="K2927" s="9">
        <f>(PricingDataTable[[#This Row],[Current Price ($)]]-PricingDataTable[[#This Row],[Prior Price ($)]])/PricingDataTable[[#This Row],[Prior Price ($)]]</f>
        <v>1.7250559045894525E-3</v>
      </c>
      <c r="L2927" s="9">
        <f>(PricingDataTable[[#This Row],[Vendor Price ($)]]-PricingDataTable[[#This Row],[Current Price ($)]])/PricingDataTable[[#This Row],[Current Price ($)]]</f>
        <v>5.5276809252490812E-4</v>
      </c>
      <c r="M2927" t="str">
        <f t="shared" si="90"/>
        <v>PASS</v>
      </c>
      <c r="N2927" s="10" t="str">
        <f t="shared" si="91"/>
        <v>NONE</v>
      </c>
    </row>
    <row r="2928" spans="1:14">
      <c r="A2928" s="4" t="s">
        <v>5872</v>
      </c>
      <c r="B2928" s="4" t="s">
        <v>5873</v>
      </c>
      <c r="C2928" s="4" t="s">
        <v>35</v>
      </c>
      <c r="D2928" s="4" t="s">
        <v>13</v>
      </c>
      <c r="E2928" s="5">
        <v>55.971800000000002</v>
      </c>
      <c r="F2928" s="5">
        <v>56.737299999999998</v>
      </c>
      <c r="G2928" s="5">
        <v>56.787199999999999</v>
      </c>
      <c r="H2928" s="4">
        <v>0</v>
      </c>
      <c r="I2928" s="6">
        <v>3511338</v>
      </c>
      <c r="J2928" s="7">
        <v>857.14</v>
      </c>
      <c r="K2928" s="9">
        <f>(PricingDataTable[[#This Row],[Current Price ($)]]-PricingDataTable[[#This Row],[Prior Price ($)]])/PricingDataTable[[#This Row],[Prior Price ($)]]</f>
        <v>1.3676529966876102E-2</v>
      </c>
      <c r="L2928" s="9">
        <f>(PricingDataTable[[#This Row],[Vendor Price ($)]]-PricingDataTable[[#This Row],[Current Price ($)]])/PricingDataTable[[#This Row],[Current Price ($)]]</f>
        <v>8.7949197441543651E-4</v>
      </c>
      <c r="M2928" t="str">
        <f t="shared" si="90"/>
        <v>PASS</v>
      </c>
      <c r="N2928" s="10" t="str">
        <f t="shared" si="91"/>
        <v>NONE</v>
      </c>
    </row>
    <row r="2929" spans="1:14">
      <c r="A2929" s="4" t="s">
        <v>5874</v>
      </c>
      <c r="B2929" s="4" t="s">
        <v>5875</v>
      </c>
      <c r="C2929" s="4" t="s">
        <v>16</v>
      </c>
      <c r="D2929" s="4" t="s">
        <v>13</v>
      </c>
      <c r="E2929" s="5">
        <v>123.54859999999999</v>
      </c>
      <c r="F2929" s="5">
        <v>121.7345</v>
      </c>
      <c r="G2929" s="5">
        <v>121.7753</v>
      </c>
      <c r="H2929" s="4">
        <v>4</v>
      </c>
      <c r="I2929" s="6">
        <v>363067</v>
      </c>
      <c r="J2929" s="7">
        <v>507.9</v>
      </c>
      <c r="K2929" s="9">
        <f>(PricingDataTable[[#This Row],[Current Price ($)]]-PricingDataTable[[#This Row],[Prior Price ($)]])/PricingDataTable[[#This Row],[Prior Price ($)]]</f>
        <v>-1.4683290624094457E-2</v>
      </c>
      <c r="L2929" s="9">
        <f>(PricingDataTable[[#This Row],[Vendor Price ($)]]-PricingDataTable[[#This Row],[Current Price ($)]])/PricingDataTable[[#This Row],[Current Price ($)]]</f>
        <v>3.3515560502572723E-4</v>
      </c>
      <c r="M2929" t="str">
        <f t="shared" si="90"/>
        <v>STALE</v>
      </c>
      <c r="N2929" s="10" t="str">
        <f t="shared" si="91"/>
        <v>LOW</v>
      </c>
    </row>
    <row r="2930" spans="1:14">
      <c r="A2930" s="4" t="s">
        <v>5876</v>
      </c>
      <c r="B2930" s="4" t="s">
        <v>5877</v>
      </c>
      <c r="C2930" s="4" t="s">
        <v>12</v>
      </c>
      <c r="D2930" s="4" t="s">
        <v>237</v>
      </c>
      <c r="E2930" s="5">
        <v>102.10039999999999</v>
      </c>
      <c r="F2930" s="5">
        <v>101.70140000000001</v>
      </c>
      <c r="G2930" s="5">
        <v>102.0466</v>
      </c>
      <c r="H2930" s="4">
        <v>0</v>
      </c>
      <c r="I2930" s="6">
        <v>876037</v>
      </c>
      <c r="J2930" s="7">
        <v>3.06</v>
      </c>
      <c r="K2930" s="9">
        <f>(PricingDataTable[[#This Row],[Current Price ($)]]-PricingDataTable[[#This Row],[Prior Price ($)]])/PricingDataTable[[#This Row],[Prior Price ($)]]</f>
        <v>-3.9079180884696507E-3</v>
      </c>
      <c r="L2930" s="9">
        <f>(PricingDataTable[[#This Row],[Vendor Price ($)]]-PricingDataTable[[#This Row],[Current Price ($)]])/PricingDataTable[[#This Row],[Current Price ($)]]</f>
        <v>3.394250226643795E-3</v>
      </c>
      <c r="M2930" t="str">
        <f t="shared" si="90"/>
        <v>PASS</v>
      </c>
      <c r="N2930" s="10" t="str">
        <f t="shared" si="91"/>
        <v>NONE</v>
      </c>
    </row>
    <row r="2931" spans="1:14">
      <c r="A2931" s="4" t="s">
        <v>5878</v>
      </c>
      <c r="B2931" s="4" t="s">
        <v>5879</v>
      </c>
      <c r="C2931" s="4" t="s">
        <v>39</v>
      </c>
      <c r="D2931" s="4" t="s">
        <v>13</v>
      </c>
      <c r="E2931" s="5">
        <v>188.37139999999999</v>
      </c>
      <c r="F2931" s="5">
        <v>189.76240000000001</v>
      </c>
      <c r="G2931" s="5">
        <v>189.72980000000001</v>
      </c>
      <c r="H2931" s="4">
        <v>0</v>
      </c>
      <c r="I2931" s="6">
        <v>116524</v>
      </c>
      <c r="J2931" s="7">
        <v>340.69</v>
      </c>
      <c r="K2931" s="9">
        <f>(PricingDataTable[[#This Row],[Current Price ($)]]-PricingDataTable[[#This Row],[Prior Price ($)]])/PricingDataTable[[#This Row],[Prior Price ($)]]</f>
        <v>7.3843481547624509E-3</v>
      </c>
      <c r="L2931" s="9">
        <f>(PricingDataTable[[#This Row],[Vendor Price ($)]]-PricingDataTable[[#This Row],[Current Price ($)]])/PricingDataTable[[#This Row],[Current Price ($)]]</f>
        <v>-1.717937800112255E-4</v>
      </c>
      <c r="M2931" t="str">
        <f t="shared" si="90"/>
        <v>PASS</v>
      </c>
      <c r="N2931" s="10" t="str">
        <f t="shared" si="91"/>
        <v>NONE</v>
      </c>
    </row>
    <row r="2932" spans="1:14">
      <c r="A2932" s="4" t="s">
        <v>5880</v>
      </c>
      <c r="B2932" s="4" t="s">
        <v>5881</v>
      </c>
      <c r="C2932" s="4" t="s">
        <v>12</v>
      </c>
      <c r="D2932" s="4" t="s">
        <v>13</v>
      </c>
      <c r="E2932" s="5">
        <v>118.76220000000001</v>
      </c>
      <c r="F2932" s="5">
        <v>119.78279999999999</v>
      </c>
      <c r="G2932" s="5">
        <v>120.1863</v>
      </c>
      <c r="H2932" s="4">
        <v>0</v>
      </c>
      <c r="I2932" s="6">
        <v>2706538</v>
      </c>
      <c r="J2932" s="7">
        <v>453.32</v>
      </c>
      <c r="K2932" s="9">
        <f>(PricingDataTable[[#This Row],[Current Price ($)]]-PricingDataTable[[#This Row],[Prior Price ($)]])/PricingDataTable[[#This Row],[Prior Price ($)]]</f>
        <v>8.5936434320009851E-3</v>
      </c>
      <c r="L2932" s="9">
        <f>(PricingDataTable[[#This Row],[Vendor Price ($)]]-PricingDataTable[[#This Row],[Current Price ($)]])/PricingDataTable[[#This Row],[Current Price ($)]]</f>
        <v>3.3685971608612272E-3</v>
      </c>
      <c r="M2932" t="str">
        <f t="shared" si="90"/>
        <v>PASS</v>
      </c>
      <c r="N2932" s="10" t="str">
        <f t="shared" si="91"/>
        <v>NONE</v>
      </c>
    </row>
    <row r="2933" spans="1:14">
      <c r="A2933" s="4" t="s">
        <v>5882</v>
      </c>
      <c r="B2933" s="4" t="s">
        <v>5883</v>
      </c>
      <c r="C2933" s="4" t="s">
        <v>16</v>
      </c>
      <c r="D2933" s="4" t="s">
        <v>13</v>
      </c>
      <c r="E2933" s="5">
        <v>97.479299999999995</v>
      </c>
      <c r="F2933" s="5">
        <v>98.578599999999994</v>
      </c>
      <c r="G2933" s="5">
        <v>98.890500000000003</v>
      </c>
      <c r="H2933" s="4">
        <v>1</v>
      </c>
      <c r="I2933" s="6">
        <v>1820856</v>
      </c>
      <c r="J2933" s="7">
        <v>111.16</v>
      </c>
      <c r="K2933" s="9">
        <f>(PricingDataTable[[#This Row],[Current Price ($)]]-PricingDataTable[[#This Row],[Prior Price ($)]])/PricingDataTable[[#This Row],[Prior Price ($)]]</f>
        <v>1.1277266045201387E-2</v>
      </c>
      <c r="L2933" s="9">
        <f>(PricingDataTable[[#This Row],[Vendor Price ($)]]-PricingDataTable[[#This Row],[Current Price ($)]])/PricingDataTable[[#This Row],[Current Price ($)]]</f>
        <v>3.1639727080726297E-3</v>
      </c>
      <c r="M2933" t="str">
        <f t="shared" si="90"/>
        <v>PASS</v>
      </c>
      <c r="N2933" s="10" t="str">
        <f t="shared" si="91"/>
        <v>NONE</v>
      </c>
    </row>
    <row r="2934" spans="1:14">
      <c r="A2934" s="4" t="s">
        <v>5884</v>
      </c>
      <c r="B2934" s="4" t="s">
        <v>5885</v>
      </c>
      <c r="C2934" s="4" t="s">
        <v>16</v>
      </c>
      <c r="D2934" s="4" t="s">
        <v>13</v>
      </c>
      <c r="E2934" s="5">
        <v>111.244</v>
      </c>
      <c r="F2934" s="5">
        <v>109.06010000000001</v>
      </c>
      <c r="G2934" s="5">
        <v>108.5712</v>
      </c>
      <c r="H2934" s="4">
        <v>0</v>
      </c>
      <c r="I2934" s="6">
        <v>4811993</v>
      </c>
      <c r="J2934" s="7">
        <v>40.26</v>
      </c>
      <c r="K2934" s="9">
        <f>(PricingDataTable[[#This Row],[Current Price ($)]]-PricingDataTable[[#This Row],[Prior Price ($)]])/PricingDataTable[[#This Row],[Prior Price ($)]]</f>
        <v>-1.9631620581784134E-2</v>
      </c>
      <c r="L2934" s="9">
        <f>(PricingDataTable[[#This Row],[Vendor Price ($)]]-PricingDataTable[[#This Row],[Current Price ($)]])/PricingDataTable[[#This Row],[Current Price ($)]]</f>
        <v>-4.4828493647080915E-3</v>
      </c>
      <c r="M2934" t="str">
        <f t="shared" si="90"/>
        <v>PASS</v>
      </c>
      <c r="N2934" s="10" t="str">
        <f t="shared" si="91"/>
        <v>NONE</v>
      </c>
    </row>
    <row r="2935" spans="1:14">
      <c r="A2935" s="4" t="s">
        <v>5886</v>
      </c>
      <c r="B2935" s="4" t="s">
        <v>5887</v>
      </c>
      <c r="C2935" s="4" t="s">
        <v>19</v>
      </c>
      <c r="D2935" s="4" t="s">
        <v>13</v>
      </c>
      <c r="E2935" s="5">
        <v>315.82429999999999</v>
      </c>
      <c r="F2935" s="5">
        <v>314.2894</v>
      </c>
      <c r="G2935" s="5">
        <v>315.12360000000001</v>
      </c>
      <c r="H2935" s="4">
        <v>0</v>
      </c>
      <c r="I2935" s="6">
        <v>1817564</v>
      </c>
      <c r="J2935" s="7">
        <v>63.41</v>
      </c>
      <c r="K2935" s="9">
        <f>(PricingDataTable[[#This Row],[Current Price ($)]]-PricingDataTable[[#This Row],[Prior Price ($)]])/PricingDataTable[[#This Row],[Prior Price ($)]]</f>
        <v>-4.8599806917960188E-3</v>
      </c>
      <c r="L2935" s="9">
        <f>(PricingDataTable[[#This Row],[Vendor Price ($)]]-PricingDataTable[[#This Row],[Current Price ($)]])/PricingDataTable[[#This Row],[Current Price ($)]]</f>
        <v>2.6542416002576282E-3</v>
      </c>
      <c r="M2935" t="str">
        <f t="shared" si="90"/>
        <v>PASS</v>
      </c>
      <c r="N2935" s="10" t="str">
        <f t="shared" si="91"/>
        <v>NONE</v>
      </c>
    </row>
    <row r="2936" spans="1:14">
      <c r="A2936" s="4" t="s">
        <v>5888</v>
      </c>
      <c r="B2936" s="4" t="s">
        <v>5889</v>
      </c>
      <c r="C2936" s="4" t="s">
        <v>16</v>
      </c>
      <c r="D2936" s="4" t="s">
        <v>13</v>
      </c>
      <c r="E2936" s="5">
        <v>111.3565</v>
      </c>
      <c r="F2936" s="5">
        <v>111.0103</v>
      </c>
      <c r="G2936" s="5">
        <v>111.2899</v>
      </c>
      <c r="H2936" s="4">
        <v>0</v>
      </c>
      <c r="I2936" s="6">
        <v>204814</v>
      </c>
      <c r="J2936" s="7">
        <v>478.18</v>
      </c>
      <c r="K2936" s="9">
        <f>(PricingDataTable[[#This Row],[Current Price ($)]]-PricingDataTable[[#This Row],[Prior Price ($)]])/PricingDataTable[[#This Row],[Prior Price ($)]]</f>
        <v>-3.1089339194388839E-3</v>
      </c>
      <c r="L2936" s="9">
        <f>(PricingDataTable[[#This Row],[Vendor Price ($)]]-PricingDataTable[[#This Row],[Current Price ($)]])/PricingDataTable[[#This Row],[Current Price ($)]]</f>
        <v>2.5186852030847774E-3</v>
      </c>
      <c r="M2936" t="str">
        <f t="shared" si="90"/>
        <v>PASS</v>
      </c>
      <c r="N2936" s="10" t="str">
        <f t="shared" si="91"/>
        <v>NONE</v>
      </c>
    </row>
    <row r="2937" spans="1:14">
      <c r="A2937" s="4" t="s">
        <v>5890</v>
      </c>
      <c r="B2937" s="4" t="s">
        <v>5891</v>
      </c>
      <c r="C2937" s="4" t="s">
        <v>19</v>
      </c>
      <c r="D2937" s="4" t="s">
        <v>13</v>
      </c>
      <c r="E2937" s="5">
        <v>160.23500000000001</v>
      </c>
      <c r="F2937" s="5">
        <v>162.67339999999999</v>
      </c>
      <c r="G2937" s="5">
        <v>163.85079999999999</v>
      </c>
      <c r="H2937" s="4">
        <v>2</v>
      </c>
      <c r="I2937" s="6">
        <v>4412439</v>
      </c>
      <c r="J2937" s="7">
        <v>474.85</v>
      </c>
      <c r="K2937" s="9">
        <f>(PricingDataTable[[#This Row],[Current Price ($)]]-PricingDataTable[[#This Row],[Prior Price ($)]])/PricingDataTable[[#This Row],[Prior Price ($)]]</f>
        <v>1.521764907791664E-2</v>
      </c>
      <c r="L2937" s="9">
        <f>(PricingDataTable[[#This Row],[Vendor Price ($)]]-PricingDataTable[[#This Row],[Current Price ($)]])/PricingDataTable[[#This Row],[Current Price ($)]]</f>
        <v>7.2378151560120209E-3</v>
      </c>
      <c r="M2937" t="str">
        <f t="shared" si="90"/>
        <v>PASS</v>
      </c>
      <c r="N2937" s="10" t="str">
        <f t="shared" si="91"/>
        <v>NONE</v>
      </c>
    </row>
    <row r="2938" spans="1:14">
      <c r="A2938" s="4" t="s">
        <v>5892</v>
      </c>
      <c r="B2938" s="4" t="s">
        <v>5893</v>
      </c>
      <c r="C2938" s="4" t="s">
        <v>35</v>
      </c>
      <c r="D2938" s="4" t="s">
        <v>13</v>
      </c>
      <c r="E2938" s="5">
        <v>142.00049999999999</v>
      </c>
      <c r="F2938" s="5">
        <v>141.09520000000001</v>
      </c>
      <c r="G2938" s="5">
        <v>141.5728</v>
      </c>
      <c r="H2938" s="4">
        <v>1</v>
      </c>
      <c r="I2938" s="6">
        <v>1402639</v>
      </c>
      <c r="J2938" s="7">
        <v>875.77</v>
      </c>
      <c r="K2938" s="9">
        <f>(PricingDataTable[[#This Row],[Current Price ($)]]-PricingDataTable[[#This Row],[Prior Price ($)]])/PricingDataTable[[#This Row],[Prior Price ($)]]</f>
        <v>-6.3753296643320467E-3</v>
      </c>
      <c r="L2938" s="9">
        <f>(PricingDataTable[[#This Row],[Vendor Price ($)]]-PricingDataTable[[#This Row],[Current Price ($)]])/PricingDataTable[[#This Row],[Current Price ($)]]</f>
        <v>3.3849486020785637E-3</v>
      </c>
      <c r="M2938" t="str">
        <f t="shared" si="90"/>
        <v>PASS</v>
      </c>
      <c r="N2938" s="10" t="str">
        <f t="shared" si="91"/>
        <v>NONE</v>
      </c>
    </row>
    <row r="2939" spans="1:14">
      <c r="A2939" s="4" t="s">
        <v>5894</v>
      </c>
      <c r="B2939" s="4" t="s">
        <v>5895</v>
      </c>
      <c r="C2939" s="4" t="s">
        <v>12</v>
      </c>
      <c r="D2939" s="4" t="s">
        <v>13</v>
      </c>
      <c r="E2939" s="5">
        <v>81.876300000000001</v>
      </c>
      <c r="F2939" s="5">
        <v>80.552099999999996</v>
      </c>
      <c r="G2939" s="5">
        <v>80.592200000000005</v>
      </c>
      <c r="H2939" s="4">
        <v>0</v>
      </c>
      <c r="I2939" s="6">
        <v>1335207</v>
      </c>
      <c r="J2939" s="7">
        <v>404.73</v>
      </c>
      <c r="K2939" s="9">
        <f>(PricingDataTable[[#This Row],[Current Price ($)]]-PricingDataTable[[#This Row],[Prior Price ($)]])/PricingDataTable[[#This Row],[Prior Price ($)]]</f>
        <v>-1.6173178319000794E-2</v>
      </c>
      <c r="L2939" s="9">
        <f>(PricingDataTable[[#This Row],[Vendor Price ($)]]-PricingDataTable[[#This Row],[Current Price ($)]])/PricingDataTable[[#This Row],[Current Price ($)]]</f>
        <v>4.9781445797204013E-4</v>
      </c>
      <c r="M2939" t="str">
        <f t="shared" si="90"/>
        <v>PASS</v>
      </c>
      <c r="N2939" s="10" t="str">
        <f t="shared" si="91"/>
        <v>NONE</v>
      </c>
    </row>
    <row r="2940" spans="1:14">
      <c r="A2940" s="4" t="s">
        <v>5896</v>
      </c>
      <c r="B2940" s="4" t="s">
        <v>5897</v>
      </c>
      <c r="C2940" s="4" t="s">
        <v>16</v>
      </c>
      <c r="D2940" s="4" t="s">
        <v>64</v>
      </c>
      <c r="E2940" s="5">
        <v>98.879599999999996</v>
      </c>
      <c r="F2940" s="5">
        <v>98.602000000000004</v>
      </c>
      <c r="G2940" s="5">
        <v>105.9761</v>
      </c>
      <c r="H2940" s="4">
        <v>1</v>
      </c>
      <c r="I2940" s="6">
        <v>965102</v>
      </c>
      <c r="J2940" s="7">
        <v>298.98</v>
      </c>
      <c r="K2940" s="9">
        <f>(PricingDataTable[[#This Row],[Current Price ($)]]-PricingDataTable[[#This Row],[Prior Price ($)]])/PricingDataTable[[#This Row],[Prior Price ($)]]</f>
        <v>-2.807454722713204E-3</v>
      </c>
      <c r="L2940" s="9">
        <f>(PricingDataTable[[#This Row],[Vendor Price ($)]]-PricingDataTable[[#This Row],[Current Price ($)]])/PricingDataTable[[#This Row],[Current Price ($)]]</f>
        <v>7.4786515486501268E-2</v>
      </c>
      <c r="M2940" t="str">
        <f t="shared" si="90"/>
        <v>VENDOR DIFFERENCE</v>
      </c>
      <c r="N2940" s="10" t="str">
        <f t="shared" si="91"/>
        <v>HIGH</v>
      </c>
    </row>
    <row r="2941" spans="1:14">
      <c r="A2941" s="4" t="s">
        <v>5898</v>
      </c>
      <c r="B2941" s="4" t="s">
        <v>5899</v>
      </c>
      <c r="C2941" s="4" t="s">
        <v>16</v>
      </c>
      <c r="D2941" s="4" t="s">
        <v>13</v>
      </c>
      <c r="E2941" s="5">
        <v>80.842200000000005</v>
      </c>
      <c r="F2941" s="5">
        <v>80.000399999999999</v>
      </c>
      <c r="G2941" s="5">
        <v>79.818100000000001</v>
      </c>
      <c r="H2941" s="4">
        <v>0</v>
      </c>
      <c r="I2941" s="6">
        <v>2523442</v>
      </c>
      <c r="J2941" s="7">
        <v>134.88999999999999</v>
      </c>
      <c r="K2941" s="9">
        <f>(PricingDataTable[[#This Row],[Current Price ($)]]-PricingDataTable[[#This Row],[Prior Price ($)]])/PricingDataTable[[#This Row],[Prior Price ($)]]</f>
        <v>-1.0412878422408177E-2</v>
      </c>
      <c r="L2941" s="9">
        <f>(PricingDataTable[[#This Row],[Vendor Price ($)]]-PricingDataTable[[#This Row],[Current Price ($)]])/PricingDataTable[[#This Row],[Current Price ($)]]</f>
        <v>-2.2787386063069424E-3</v>
      </c>
      <c r="M2941" t="str">
        <f t="shared" si="90"/>
        <v>PASS</v>
      </c>
      <c r="N2941" s="10" t="str">
        <f t="shared" si="91"/>
        <v>NONE</v>
      </c>
    </row>
    <row r="2942" spans="1:14">
      <c r="A2942" s="4" t="s">
        <v>5900</v>
      </c>
      <c r="B2942" s="4" t="s">
        <v>5901</v>
      </c>
      <c r="C2942" s="4" t="s">
        <v>39</v>
      </c>
      <c r="D2942" s="4" t="s">
        <v>13</v>
      </c>
      <c r="E2942" s="5">
        <v>67.687100000000001</v>
      </c>
      <c r="F2942" s="5">
        <v>68.168300000000002</v>
      </c>
      <c r="G2942" s="5">
        <v>68.420199999999994</v>
      </c>
      <c r="H2942" s="4">
        <v>5</v>
      </c>
      <c r="I2942" s="6">
        <v>367342</v>
      </c>
      <c r="J2942" s="7">
        <v>390.22</v>
      </c>
      <c r="K2942" s="9">
        <f>(PricingDataTable[[#This Row],[Current Price ($)]]-PricingDataTable[[#This Row],[Prior Price ($)]])/PricingDataTable[[#This Row],[Prior Price ($)]]</f>
        <v>7.1091832860323634E-3</v>
      </c>
      <c r="L2942" s="9">
        <f>(PricingDataTable[[#This Row],[Vendor Price ($)]]-PricingDataTable[[#This Row],[Current Price ($)]])/PricingDataTable[[#This Row],[Current Price ($)]]</f>
        <v>3.6952659814017954E-3</v>
      </c>
      <c r="M2942" t="str">
        <f t="shared" si="90"/>
        <v>STALE</v>
      </c>
      <c r="N2942" s="10" t="str">
        <f t="shared" si="91"/>
        <v>MEDIUM</v>
      </c>
    </row>
    <row r="2943" spans="1:14">
      <c r="A2943" s="4" t="s">
        <v>5902</v>
      </c>
      <c r="B2943" s="4" t="s">
        <v>5903</v>
      </c>
      <c r="C2943" s="4" t="s">
        <v>19</v>
      </c>
      <c r="D2943" s="4" t="s">
        <v>32</v>
      </c>
      <c r="E2943" s="5">
        <v>43.640999999999998</v>
      </c>
      <c r="F2943" s="5">
        <v>43.081699999999998</v>
      </c>
      <c r="G2943" s="5">
        <v>43.067100000000003</v>
      </c>
      <c r="H2943" s="4">
        <v>0</v>
      </c>
      <c r="I2943" s="6">
        <v>1985712</v>
      </c>
      <c r="J2943" s="7">
        <v>554.61</v>
      </c>
      <c r="K2943" s="9">
        <f>(PricingDataTable[[#This Row],[Current Price ($)]]-PricingDataTable[[#This Row],[Prior Price ($)]])/PricingDataTable[[#This Row],[Prior Price ($)]]</f>
        <v>-1.2815929974106926E-2</v>
      </c>
      <c r="L2943" s="9">
        <f>(PricingDataTable[[#This Row],[Vendor Price ($)]]-PricingDataTable[[#This Row],[Current Price ($)]])/PricingDataTable[[#This Row],[Current Price ($)]]</f>
        <v>-3.3889099083820733E-4</v>
      </c>
      <c r="M2943" t="str">
        <f t="shared" si="90"/>
        <v>PASS</v>
      </c>
      <c r="N2943" s="10" t="str">
        <f t="shared" si="91"/>
        <v>NONE</v>
      </c>
    </row>
    <row r="2944" spans="1:14">
      <c r="A2944" s="4" t="s">
        <v>5904</v>
      </c>
      <c r="B2944" s="4" t="s">
        <v>5905</v>
      </c>
      <c r="C2944" s="4" t="s">
        <v>12</v>
      </c>
      <c r="D2944" s="4" t="s">
        <v>13</v>
      </c>
      <c r="E2944" s="5">
        <v>94.513800000000003</v>
      </c>
      <c r="F2944" s="5">
        <v>95.432599999999994</v>
      </c>
      <c r="G2944" s="5">
        <v>95.7744</v>
      </c>
      <c r="H2944" s="4">
        <v>1</v>
      </c>
      <c r="I2944" s="6">
        <v>3614222</v>
      </c>
      <c r="J2944" s="7">
        <v>884.66</v>
      </c>
      <c r="K2944" s="9">
        <f>(PricingDataTable[[#This Row],[Current Price ($)]]-PricingDataTable[[#This Row],[Prior Price ($)]])/PricingDataTable[[#This Row],[Prior Price ($)]]</f>
        <v>9.7213316997093579E-3</v>
      </c>
      <c r="L2944" s="9">
        <f>(PricingDataTable[[#This Row],[Vendor Price ($)]]-PricingDataTable[[#This Row],[Current Price ($)]])/PricingDataTable[[#This Row],[Current Price ($)]]</f>
        <v>3.5815853282841121E-3</v>
      </c>
      <c r="M2944" t="str">
        <f t="shared" si="90"/>
        <v>PASS</v>
      </c>
      <c r="N2944" s="10" t="str">
        <f t="shared" si="91"/>
        <v>NONE</v>
      </c>
    </row>
    <row r="2945" spans="1:14">
      <c r="A2945" s="4" t="s">
        <v>5906</v>
      </c>
      <c r="B2945" s="4" t="s">
        <v>5907</v>
      </c>
      <c r="C2945" s="4" t="s">
        <v>16</v>
      </c>
      <c r="D2945" s="4" t="s">
        <v>13</v>
      </c>
      <c r="E2945" s="5">
        <v>88.434299999999993</v>
      </c>
      <c r="F2945" s="5">
        <v>87.154600000000002</v>
      </c>
      <c r="G2945" s="5">
        <v>87.041899999999998</v>
      </c>
      <c r="H2945" s="4">
        <v>3</v>
      </c>
      <c r="I2945" s="6">
        <v>4863225</v>
      </c>
      <c r="J2945" s="7">
        <v>145.01</v>
      </c>
      <c r="K2945" s="9">
        <f>(PricingDataTable[[#This Row],[Current Price ($)]]-PricingDataTable[[#This Row],[Prior Price ($)]])/PricingDataTable[[#This Row],[Prior Price ($)]]</f>
        <v>-1.4470629608647225E-2</v>
      </c>
      <c r="L2945" s="9">
        <f>(PricingDataTable[[#This Row],[Vendor Price ($)]]-PricingDataTable[[#This Row],[Current Price ($)]])/PricingDataTable[[#This Row],[Current Price ($)]]</f>
        <v>-1.2931044374020855E-3</v>
      </c>
      <c r="M2945" t="str">
        <f t="shared" si="90"/>
        <v>STALE</v>
      </c>
      <c r="N2945" s="10" t="str">
        <f t="shared" si="91"/>
        <v>LOW</v>
      </c>
    </row>
    <row r="2946" spans="1:14">
      <c r="A2946" s="4" t="s">
        <v>5908</v>
      </c>
      <c r="B2946" s="4" t="s">
        <v>5909</v>
      </c>
      <c r="C2946" s="4" t="s">
        <v>19</v>
      </c>
      <c r="D2946" s="4" t="s">
        <v>13</v>
      </c>
      <c r="E2946" s="5">
        <v>229.45429999999999</v>
      </c>
      <c r="F2946" s="5">
        <v>233.82169999999999</v>
      </c>
      <c r="G2946" s="5">
        <v>234.0445</v>
      </c>
      <c r="H2946" s="4">
        <v>2</v>
      </c>
      <c r="I2946" s="6">
        <v>306140</v>
      </c>
      <c r="J2946" s="7">
        <v>527.01</v>
      </c>
      <c r="K2946" s="9">
        <f>(PricingDataTable[[#This Row],[Current Price ($)]]-PricingDataTable[[#This Row],[Prior Price ($)]])/PricingDataTable[[#This Row],[Prior Price ($)]]</f>
        <v>1.9033855543347862E-2</v>
      </c>
      <c r="L2946" s="9">
        <f>(PricingDataTable[[#This Row],[Vendor Price ($)]]-PricingDataTable[[#This Row],[Current Price ($)]])/PricingDataTable[[#This Row],[Current Price ($)]]</f>
        <v>9.5286280101464726E-4</v>
      </c>
      <c r="M2946" t="str">
        <f t="shared" ref="M2946:M3009" si="92">IF(OR(F2946="",F2946=0),"MISSING",IF(H2946&gt;=3,"STALE",IF(ABS(K2946)&gt;=5%,"LARGE MOVE",IF(ABS(L2946)&gt;=2%,"VENDOR DIFFERENCE","PASS"))))</f>
        <v>PASS</v>
      </c>
      <c r="N2946" s="10" t="str">
        <f t="shared" ref="N2946:N3009" si="93">IF(M2946="PASS","NONE",IF(M2946="MISSING","HIGH",IF(OR(ABS(K2946)&gt;=10%,ABS(L2946)&gt;=5%),"HIGH",IF(OR(ABS(K2946)&gt;=7%,ABS(L2946)&gt;=3%,H2946&gt;=5),"MEDIUM","LOW"))))</f>
        <v>NONE</v>
      </c>
    </row>
    <row r="2947" spans="1:14">
      <c r="A2947" s="4" t="s">
        <v>5910</v>
      </c>
      <c r="B2947" s="4" t="s">
        <v>5911</v>
      </c>
      <c r="C2947" s="4" t="s">
        <v>19</v>
      </c>
      <c r="D2947" s="4" t="s">
        <v>32</v>
      </c>
      <c r="E2947" s="5">
        <v>201.76570000000001</v>
      </c>
      <c r="F2947" s="5">
        <v>201.93620000000001</v>
      </c>
      <c r="G2947" s="5">
        <v>201.8827</v>
      </c>
      <c r="H2947" s="4">
        <v>0</v>
      </c>
      <c r="I2947" s="6">
        <v>2592288</v>
      </c>
      <c r="J2947" s="7">
        <v>305.97000000000003</v>
      </c>
      <c r="K2947" s="9">
        <f>(PricingDataTable[[#This Row],[Current Price ($)]]-PricingDataTable[[#This Row],[Prior Price ($)]])/PricingDataTable[[#This Row],[Prior Price ($)]]</f>
        <v>8.4503956817241028E-4</v>
      </c>
      <c r="L2947" s="9">
        <f>(PricingDataTable[[#This Row],[Vendor Price ($)]]-PricingDataTable[[#This Row],[Current Price ($)]])/PricingDataTable[[#This Row],[Current Price ($)]]</f>
        <v>-2.6493516269006682E-4</v>
      </c>
      <c r="M2947" t="str">
        <f t="shared" si="92"/>
        <v>PASS</v>
      </c>
      <c r="N2947" s="10" t="str">
        <f t="shared" si="93"/>
        <v>NONE</v>
      </c>
    </row>
    <row r="2948" spans="1:14">
      <c r="A2948" s="4" t="s">
        <v>5912</v>
      </c>
      <c r="B2948" s="4" t="s">
        <v>5913</v>
      </c>
      <c r="C2948" s="4" t="s">
        <v>19</v>
      </c>
      <c r="D2948" s="4" t="s">
        <v>13</v>
      </c>
      <c r="E2948" s="5">
        <v>310.69920000000002</v>
      </c>
      <c r="F2948" s="5">
        <v>315.68400000000003</v>
      </c>
      <c r="G2948" s="5">
        <v>314.32350000000002</v>
      </c>
      <c r="H2948" s="4">
        <v>0</v>
      </c>
      <c r="I2948" s="6">
        <v>1311895</v>
      </c>
      <c r="J2948" s="7">
        <v>723.99</v>
      </c>
      <c r="K2948" s="9">
        <f>(PricingDataTable[[#This Row],[Current Price ($)]]-PricingDataTable[[#This Row],[Prior Price ($)]])/PricingDataTable[[#This Row],[Prior Price ($)]]</f>
        <v>1.6043813437562782E-2</v>
      </c>
      <c r="L2948" s="9">
        <f>(PricingDataTable[[#This Row],[Vendor Price ($)]]-PricingDataTable[[#This Row],[Current Price ($)]])/PricingDataTable[[#This Row],[Current Price ($)]]</f>
        <v>-4.3096894362717204E-3</v>
      </c>
      <c r="M2948" t="str">
        <f t="shared" si="92"/>
        <v>PASS</v>
      </c>
      <c r="N2948" s="10" t="str">
        <f t="shared" si="93"/>
        <v>NONE</v>
      </c>
    </row>
    <row r="2949" spans="1:14">
      <c r="A2949" s="4" t="s">
        <v>5914</v>
      </c>
      <c r="B2949" s="4" t="s">
        <v>5915</v>
      </c>
      <c r="C2949" s="4" t="s">
        <v>19</v>
      </c>
      <c r="D2949" s="4" t="s">
        <v>13</v>
      </c>
      <c r="E2949" s="5">
        <v>124.2372</v>
      </c>
      <c r="F2949" s="5">
        <v>123.35469999999999</v>
      </c>
      <c r="G2949" s="5">
        <v>122.9263</v>
      </c>
      <c r="H2949" s="4">
        <v>3</v>
      </c>
      <c r="I2949" s="6">
        <v>1664419</v>
      </c>
      <c r="J2949" s="7">
        <v>142.22999999999999</v>
      </c>
      <c r="K2949" s="9">
        <f>(PricingDataTable[[#This Row],[Current Price ($)]]-PricingDataTable[[#This Row],[Prior Price ($)]])/PricingDataTable[[#This Row],[Prior Price ($)]]</f>
        <v>-7.1033474675862573E-3</v>
      </c>
      <c r="L2949" s="9">
        <f>(PricingDataTable[[#This Row],[Vendor Price ($)]]-PricingDataTable[[#This Row],[Current Price ($)]])/PricingDataTable[[#This Row],[Current Price ($)]]</f>
        <v>-3.472911855000226E-3</v>
      </c>
      <c r="M2949" t="str">
        <f t="shared" si="92"/>
        <v>STALE</v>
      </c>
      <c r="N2949" s="10" t="str">
        <f t="shared" si="93"/>
        <v>LOW</v>
      </c>
    </row>
    <row r="2950" spans="1:14">
      <c r="A2950" s="4" t="s">
        <v>5916</v>
      </c>
      <c r="B2950" s="4" t="s">
        <v>5917</v>
      </c>
      <c r="C2950" s="4" t="s">
        <v>16</v>
      </c>
      <c r="D2950" s="4" t="s">
        <v>32</v>
      </c>
      <c r="E2950" s="5">
        <v>94.993200000000002</v>
      </c>
      <c r="F2950" s="5">
        <v>95.257499999999993</v>
      </c>
      <c r="G2950" s="5">
        <v>95.200299999999999</v>
      </c>
      <c r="H2950" s="4">
        <v>1</v>
      </c>
      <c r="I2950" s="6">
        <v>990393</v>
      </c>
      <c r="J2950" s="7">
        <v>732.43</v>
      </c>
      <c r="K2950" s="9">
        <f>(PricingDataTable[[#This Row],[Current Price ($)]]-PricingDataTable[[#This Row],[Prior Price ($)]])/PricingDataTable[[#This Row],[Prior Price ($)]]</f>
        <v>2.7823044175792743E-3</v>
      </c>
      <c r="L2950" s="9">
        <f>(PricingDataTable[[#This Row],[Vendor Price ($)]]-PricingDataTable[[#This Row],[Current Price ($)]])/PricingDataTable[[#This Row],[Current Price ($)]]</f>
        <v>-6.0047765267821007E-4</v>
      </c>
      <c r="M2950" t="str">
        <f t="shared" si="92"/>
        <v>PASS</v>
      </c>
      <c r="N2950" s="10" t="str">
        <f t="shared" si="93"/>
        <v>NONE</v>
      </c>
    </row>
    <row r="2951" spans="1:14">
      <c r="A2951" s="4" t="s">
        <v>5918</v>
      </c>
      <c r="B2951" s="4" t="s">
        <v>5919</v>
      </c>
      <c r="C2951" s="4" t="s">
        <v>12</v>
      </c>
      <c r="D2951" s="4" t="s">
        <v>13</v>
      </c>
      <c r="E2951" s="5">
        <v>106.9665</v>
      </c>
      <c r="F2951" s="5">
        <v>104.9974</v>
      </c>
      <c r="G2951" s="5">
        <v>105.5998</v>
      </c>
      <c r="H2951" s="4">
        <v>4</v>
      </c>
      <c r="I2951" s="6">
        <v>2158844</v>
      </c>
      <c r="J2951" s="7">
        <v>220.83</v>
      </c>
      <c r="K2951" s="9">
        <f>(PricingDataTable[[#This Row],[Current Price ($)]]-PricingDataTable[[#This Row],[Prior Price ($)]])/PricingDataTable[[#This Row],[Prior Price ($)]]</f>
        <v>-1.8408567168225542E-2</v>
      </c>
      <c r="L2951" s="9">
        <f>(PricingDataTable[[#This Row],[Vendor Price ($)]]-PricingDataTable[[#This Row],[Current Price ($)]])/PricingDataTable[[#This Row],[Current Price ($)]]</f>
        <v>5.7372849232457468E-3</v>
      </c>
      <c r="M2951" t="str">
        <f t="shared" si="92"/>
        <v>STALE</v>
      </c>
      <c r="N2951" s="10" t="str">
        <f t="shared" si="93"/>
        <v>LOW</v>
      </c>
    </row>
    <row r="2952" spans="1:14">
      <c r="A2952" s="4" t="s">
        <v>5920</v>
      </c>
      <c r="B2952" s="4" t="s">
        <v>5921</v>
      </c>
      <c r="C2952" s="4" t="s">
        <v>39</v>
      </c>
      <c r="D2952" s="4" t="s">
        <v>13</v>
      </c>
      <c r="E2952" s="5">
        <v>55.930799999999998</v>
      </c>
      <c r="F2952" s="5">
        <v>55.003799999999998</v>
      </c>
      <c r="G2952" s="5">
        <v>55.109200000000001</v>
      </c>
      <c r="H2952" s="4">
        <v>4</v>
      </c>
      <c r="I2952" s="6">
        <v>2210421</v>
      </c>
      <c r="J2952" s="7">
        <v>71.760000000000005</v>
      </c>
      <c r="K2952" s="9">
        <f>(PricingDataTable[[#This Row],[Current Price ($)]]-PricingDataTable[[#This Row],[Prior Price ($)]])/PricingDataTable[[#This Row],[Prior Price ($)]]</f>
        <v>-1.6574052221673918E-2</v>
      </c>
      <c r="L2952" s="9">
        <f>(PricingDataTable[[#This Row],[Vendor Price ($)]]-PricingDataTable[[#This Row],[Current Price ($)]])/PricingDataTable[[#This Row],[Current Price ($)]]</f>
        <v>1.9162312422051394E-3</v>
      </c>
      <c r="M2952" t="str">
        <f t="shared" si="92"/>
        <v>STALE</v>
      </c>
      <c r="N2952" s="10" t="str">
        <f t="shared" si="93"/>
        <v>LOW</v>
      </c>
    </row>
    <row r="2953" spans="1:14">
      <c r="A2953" s="4" t="s">
        <v>5922</v>
      </c>
      <c r="B2953" s="4" t="s">
        <v>5923</v>
      </c>
      <c r="C2953" s="4" t="s">
        <v>19</v>
      </c>
      <c r="D2953" s="4" t="s">
        <v>13</v>
      </c>
      <c r="E2953" s="5">
        <v>203.97059999999999</v>
      </c>
      <c r="F2953" s="5">
        <v>201.63810000000001</v>
      </c>
      <c r="G2953" s="5">
        <v>202.40729999999999</v>
      </c>
      <c r="H2953" s="4">
        <v>0</v>
      </c>
      <c r="I2953" s="6">
        <v>4706505</v>
      </c>
      <c r="J2953" s="7">
        <v>444.29</v>
      </c>
      <c r="K2953" s="9">
        <f>(PricingDataTable[[#This Row],[Current Price ($)]]-PricingDataTable[[#This Row],[Prior Price ($)]])/PricingDataTable[[#This Row],[Prior Price ($)]]</f>
        <v>-1.1435471582669178E-2</v>
      </c>
      <c r="L2953" s="9">
        <f>(PricingDataTable[[#This Row],[Vendor Price ($)]]-PricingDataTable[[#This Row],[Current Price ($)]])/PricingDataTable[[#This Row],[Current Price ($)]]</f>
        <v>3.8147552471481513E-3</v>
      </c>
      <c r="M2953" t="str">
        <f t="shared" si="92"/>
        <v>PASS</v>
      </c>
      <c r="N2953" s="10" t="str">
        <f t="shared" si="93"/>
        <v>NONE</v>
      </c>
    </row>
    <row r="2954" spans="1:14">
      <c r="A2954" s="4" t="s">
        <v>5924</v>
      </c>
      <c r="B2954" s="4" t="s">
        <v>5925</v>
      </c>
      <c r="C2954" s="4" t="s">
        <v>35</v>
      </c>
      <c r="D2954" s="4" t="s">
        <v>13</v>
      </c>
      <c r="E2954" s="5">
        <v>48.3386</v>
      </c>
      <c r="F2954" s="5">
        <v>48.821199999999997</v>
      </c>
      <c r="G2954" s="5">
        <v>48.878300000000003</v>
      </c>
      <c r="H2954" s="4">
        <v>4</v>
      </c>
      <c r="I2954" s="6">
        <v>1382513</v>
      </c>
      <c r="J2954" s="7">
        <v>686.48</v>
      </c>
      <c r="K2954" s="9">
        <f>(PricingDataTable[[#This Row],[Current Price ($)]]-PricingDataTable[[#This Row],[Prior Price ($)]])/PricingDataTable[[#This Row],[Prior Price ($)]]</f>
        <v>9.9837397028461304E-3</v>
      </c>
      <c r="L2954" s="9">
        <f>(PricingDataTable[[#This Row],[Vendor Price ($)]]-PricingDataTable[[#This Row],[Current Price ($)]])/PricingDataTable[[#This Row],[Current Price ($)]]</f>
        <v>1.1695738736451681E-3</v>
      </c>
      <c r="M2954" t="str">
        <f t="shared" si="92"/>
        <v>STALE</v>
      </c>
      <c r="N2954" s="10" t="str">
        <f t="shared" si="93"/>
        <v>LOW</v>
      </c>
    </row>
    <row r="2955" spans="1:14">
      <c r="A2955" s="4" t="s">
        <v>5926</v>
      </c>
      <c r="B2955" s="4" t="s">
        <v>5927</v>
      </c>
      <c r="C2955" s="4" t="s">
        <v>16</v>
      </c>
      <c r="D2955" s="4" t="s">
        <v>36</v>
      </c>
      <c r="E2955" s="5">
        <v>111.4267</v>
      </c>
      <c r="F2955" s="5">
        <v>113.3716</v>
      </c>
      <c r="G2955" s="5">
        <v>113.4355</v>
      </c>
      <c r="H2955" s="4">
        <v>0</v>
      </c>
      <c r="I2955" s="6">
        <v>2474903</v>
      </c>
      <c r="J2955" s="7">
        <v>579.1</v>
      </c>
      <c r="K2955" s="9">
        <f>(PricingDataTable[[#This Row],[Current Price ($)]]-PricingDataTable[[#This Row],[Prior Price ($)]])/PricingDataTable[[#This Row],[Prior Price ($)]]</f>
        <v>1.7454523915722213E-2</v>
      </c>
      <c r="L2955" s="9">
        <f>(PricingDataTable[[#This Row],[Vendor Price ($)]]-PricingDataTable[[#This Row],[Current Price ($)]])/PricingDataTable[[#This Row],[Current Price ($)]]</f>
        <v>5.6363322031270484E-4</v>
      </c>
      <c r="M2955" t="str">
        <f t="shared" si="92"/>
        <v>PASS</v>
      </c>
      <c r="N2955" s="10" t="str">
        <f t="shared" si="93"/>
        <v>NONE</v>
      </c>
    </row>
    <row r="2956" spans="1:14">
      <c r="A2956" s="4" t="s">
        <v>5928</v>
      </c>
      <c r="B2956" s="4" t="s">
        <v>5929</v>
      </c>
      <c r="C2956" s="4" t="s">
        <v>19</v>
      </c>
      <c r="D2956" s="4" t="s">
        <v>13</v>
      </c>
      <c r="E2956" s="5">
        <v>57.754100000000001</v>
      </c>
      <c r="F2956" s="5">
        <v>57.5655</v>
      </c>
      <c r="G2956" s="5">
        <v>57.413800000000002</v>
      </c>
      <c r="H2956" s="4">
        <v>3</v>
      </c>
      <c r="I2956" s="6">
        <v>2369685</v>
      </c>
      <c r="J2956" s="7">
        <v>790.36</v>
      </c>
      <c r="K2956" s="9">
        <f>(PricingDataTable[[#This Row],[Current Price ($)]]-PricingDataTable[[#This Row],[Prior Price ($)]])/PricingDataTable[[#This Row],[Prior Price ($)]]</f>
        <v>-3.265569024536803E-3</v>
      </c>
      <c r="L2956" s="9">
        <f>(PricingDataTable[[#This Row],[Vendor Price ($)]]-PricingDataTable[[#This Row],[Current Price ($)]])/PricingDataTable[[#This Row],[Current Price ($)]]</f>
        <v>-2.6352589658736251E-3</v>
      </c>
      <c r="M2956" t="str">
        <f t="shared" si="92"/>
        <v>STALE</v>
      </c>
      <c r="N2956" s="10" t="str">
        <f t="shared" si="93"/>
        <v>LOW</v>
      </c>
    </row>
    <row r="2957" spans="1:14">
      <c r="A2957" s="4" t="s">
        <v>5930</v>
      </c>
      <c r="B2957" s="4" t="s">
        <v>5931</v>
      </c>
      <c r="C2957" s="4" t="s">
        <v>35</v>
      </c>
      <c r="D2957" s="4" t="s">
        <v>36</v>
      </c>
      <c r="E2957" s="5">
        <v>169.87029999999999</v>
      </c>
      <c r="F2957" s="5">
        <v>171.86189999999999</v>
      </c>
      <c r="G2957" s="5">
        <v>172.3948</v>
      </c>
      <c r="H2957" s="4">
        <v>3</v>
      </c>
      <c r="I2957" s="6">
        <v>4278640</v>
      </c>
      <c r="J2957" s="7">
        <v>190.14</v>
      </c>
      <c r="K2957" s="9">
        <f>(PricingDataTable[[#This Row],[Current Price ($)]]-PricingDataTable[[#This Row],[Prior Price ($)]])/PricingDataTable[[#This Row],[Prior Price ($)]]</f>
        <v>1.1724239022360033E-2</v>
      </c>
      <c r="L2957" s="9">
        <f>(PricingDataTable[[#This Row],[Vendor Price ($)]]-PricingDataTable[[#This Row],[Current Price ($)]])/PricingDataTable[[#This Row],[Current Price ($)]]</f>
        <v>3.1007454240876667E-3</v>
      </c>
      <c r="M2957" t="str">
        <f t="shared" si="92"/>
        <v>STALE</v>
      </c>
      <c r="N2957" s="10" t="str">
        <f t="shared" si="93"/>
        <v>LOW</v>
      </c>
    </row>
    <row r="2958" spans="1:14">
      <c r="A2958" s="4" t="s">
        <v>5932</v>
      </c>
      <c r="B2958" s="4" t="s">
        <v>5933</v>
      </c>
      <c r="C2958" s="4" t="s">
        <v>16</v>
      </c>
      <c r="D2958" s="4" t="s">
        <v>13</v>
      </c>
      <c r="E2958" s="5">
        <v>97.534099999999995</v>
      </c>
      <c r="F2958" s="5">
        <v>98.909800000000004</v>
      </c>
      <c r="G2958" s="5">
        <v>98.649199999999993</v>
      </c>
      <c r="H2958" s="4">
        <v>0</v>
      </c>
      <c r="I2958" s="6">
        <v>1458448</v>
      </c>
      <c r="J2958" s="7">
        <v>552.33000000000004</v>
      </c>
      <c r="K2958" s="9">
        <f>(PricingDataTable[[#This Row],[Current Price ($)]]-PricingDataTable[[#This Row],[Prior Price ($)]])/PricingDataTable[[#This Row],[Prior Price ($)]]</f>
        <v>1.4104810522678828E-2</v>
      </c>
      <c r="L2958" s="9">
        <f>(PricingDataTable[[#This Row],[Vendor Price ($)]]-PricingDataTable[[#This Row],[Current Price ($)]])/PricingDataTable[[#This Row],[Current Price ($)]]</f>
        <v>-2.6347237584143412E-3</v>
      </c>
      <c r="M2958" t="str">
        <f t="shared" si="92"/>
        <v>PASS</v>
      </c>
      <c r="N2958" s="10" t="str">
        <f t="shared" si="93"/>
        <v>NONE</v>
      </c>
    </row>
    <row r="2959" spans="1:14">
      <c r="A2959" s="4" t="s">
        <v>5934</v>
      </c>
      <c r="B2959" s="4" t="s">
        <v>5935</v>
      </c>
      <c r="C2959" s="4" t="s">
        <v>16</v>
      </c>
      <c r="D2959" s="4" t="s">
        <v>13</v>
      </c>
      <c r="E2959" s="5">
        <v>106.8027</v>
      </c>
      <c r="F2959" s="5">
        <v>107.2597</v>
      </c>
      <c r="G2959" s="5">
        <v>107.3837</v>
      </c>
      <c r="H2959" s="4">
        <v>0</v>
      </c>
      <c r="I2959" s="6">
        <v>423053</v>
      </c>
      <c r="J2959" s="7">
        <v>870.77</v>
      </c>
      <c r="K2959" s="9">
        <f>(PricingDataTable[[#This Row],[Current Price ($)]]-PricingDataTable[[#This Row],[Prior Price ($)]])/PricingDataTable[[#This Row],[Prior Price ($)]]</f>
        <v>4.278918042334076E-3</v>
      </c>
      <c r="L2959" s="9">
        <f>(PricingDataTable[[#This Row],[Vendor Price ($)]]-PricingDataTable[[#This Row],[Current Price ($)]])/PricingDataTable[[#This Row],[Current Price ($)]]</f>
        <v>1.1560725976299526E-3</v>
      </c>
      <c r="M2959" t="str">
        <f t="shared" si="92"/>
        <v>PASS</v>
      </c>
      <c r="N2959" s="10" t="str">
        <f t="shared" si="93"/>
        <v>NONE</v>
      </c>
    </row>
    <row r="2960" spans="1:14">
      <c r="A2960" s="4" t="s">
        <v>5936</v>
      </c>
      <c r="B2960" s="4" t="s">
        <v>5937</v>
      </c>
      <c r="C2960" s="4" t="s">
        <v>16</v>
      </c>
      <c r="D2960" s="4" t="s">
        <v>13</v>
      </c>
      <c r="E2960" s="5">
        <v>92.119399999999999</v>
      </c>
      <c r="F2960" s="5">
        <v>91.186300000000003</v>
      </c>
      <c r="G2960" s="5">
        <v>91.452500000000001</v>
      </c>
      <c r="H2960" s="4">
        <v>2</v>
      </c>
      <c r="I2960" s="6">
        <v>2219779</v>
      </c>
      <c r="J2960" s="7">
        <v>610.76</v>
      </c>
      <c r="K2960" s="9">
        <f>(PricingDataTable[[#This Row],[Current Price ($)]]-PricingDataTable[[#This Row],[Prior Price ($)]])/PricingDataTable[[#This Row],[Prior Price ($)]]</f>
        <v>-1.012924530554906E-2</v>
      </c>
      <c r="L2960" s="9">
        <f>(PricingDataTable[[#This Row],[Vendor Price ($)]]-PricingDataTable[[#This Row],[Current Price ($)]])/PricingDataTable[[#This Row],[Current Price ($)]]</f>
        <v>2.9192981840473597E-3</v>
      </c>
      <c r="M2960" t="str">
        <f t="shared" si="92"/>
        <v>PASS</v>
      </c>
      <c r="N2960" s="10" t="str">
        <f t="shared" si="93"/>
        <v>NONE</v>
      </c>
    </row>
    <row r="2961" spans="1:14">
      <c r="A2961" s="4" t="s">
        <v>5938</v>
      </c>
      <c r="B2961" s="4" t="s">
        <v>5939</v>
      </c>
      <c r="C2961" s="4" t="s">
        <v>16</v>
      </c>
      <c r="D2961" s="4" t="s">
        <v>13</v>
      </c>
      <c r="E2961" s="5">
        <v>82.369299999999996</v>
      </c>
      <c r="F2961" s="5">
        <v>82.474199999999996</v>
      </c>
      <c r="G2961" s="5">
        <v>82.272400000000005</v>
      </c>
      <c r="H2961" s="4">
        <v>1</v>
      </c>
      <c r="I2961" s="6">
        <v>169672</v>
      </c>
      <c r="J2961" s="7">
        <v>373.08</v>
      </c>
      <c r="K2961" s="9">
        <f>(PricingDataTable[[#This Row],[Current Price ($)]]-PricingDataTable[[#This Row],[Prior Price ($)]])/PricingDataTable[[#This Row],[Prior Price ($)]]</f>
        <v>1.2735327361043576E-3</v>
      </c>
      <c r="L2961" s="9">
        <f>(PricingDataTable[[#This Row],[Vendor Price ($)]]-PricingDataTable[[#This Row],[Current Price ($)]])/PricingDataTable[[#This Row],[Current Price ($)]]</f>
        <v>-2.4468257952182811E-3</v>
      </c>
      <c r="M2961" t="str">
        <f t="shared" si="92"/>
        <v>PASS</v>
      </c>
      <c r="N2961" s="10" t="str">
        <f t="shared" si="93"/>
        <v>NONE</v>
      </c>
    </row>
    <row r="2962" spans="1:14">
      <c r="A2962" s="4" t="s">
        <v>5940</v>
      </c>
      <c r="B2962" s="4" t="s">
        <v>5941</v>
      </c>
      <c r="C2962" s="4" t="s">
        <v>19</v>
      </c>
      <c r="D2962" s="4" t="s">
        <v>32</v>
      </c>
      <c r="E2962" s="5">
        <v>210.095</v>
      </c>
      <c r="F2962" s="5">
        <v>208.4821</v>
      </c>
      <c r="G2962" s="5">
        <v>208.14959999999999</v>
      </c>
      <c r="H2962" s="4">
        <v>1</v>
      </c>
      <c r="I2962" s="6">
        <v>2736915</v>
      </c>
      <c r="J2962" s="7">
        <v>557.52</v>
      </c>
      <c r="K2962" s="9">
        <f>(PricingDataTable[[#This Row],[Current Price ($)]]-PricingDataTable[[#This Row],[Prior Price ($)]])/PricingDataTable[[#This Row],[Prior Price ($)]]</f>
        <v>-7.6770032604297879E-3</v>
      </c>
      <c r="L2962" s="9">
        <f>(PricingDataTable[[#This Row],[Vendor Price ($)]]-PricingDataTable[[#This Row],[Current Price ($)]])/PricingDataTable[[#This Row],[Current Price ($)]]</f>
        <v>-1.5948611415560867E-3</v>
      </c>
      <c r="M2962" t="str">
        <f t="shared" si="92"/>
        <v>PASS</v>
      </c>
      <c r="N2962" s="10" t="str">
        <f t="shared" si="93"/>
        <v>NONE</v>
      </c>
    </row>
    <row r="2963" spans="1:14">
      <c r="A2963" s="4" t="s">
        <v>5942</v>
      </c>
      <c r="B2963" s="4" t="s">
        <v>5943</v>
      </c>
      <c r="C2963" s="4" t="s">
        <v>19</v>
      </c>
      <c r="D2963" s="4" t="s">
        <v>13</v>
      </c>
      <c r="E2963" s="5">
        <v>292.79950000000002</v>
      </c>
      <c r="F2963" s="5">
        <v>293.9683</v>
      </c>
      <c r="G2963" s="5">
        <v>294.40620000000001</v>
      </c>
      <c r="H2963" s="4">
        <v>0</v>
      </c>
      <c r="I2963" s="6">
        <v>4286451</v>
      </c>
      <c r="J2963" s="7">
        <v>71.040000000000006</v>
      </c>
      <c r="K2963" s="9">
        <f>(PricingDataTable[[#This Row],[Current Price ($)]]-PricingDataTable[[#This Row],[Prior Price ($)]])/PricingDataTable[[#This Row],[Prior Price ($)]]</f>
        <v>3.9918100953040426E-3</v>
      </c>
      <c r="L2963" s="9">
        <f>(PricingDataTable[[#This Row],[Vendor Price ($)]]-PricingDataTable[[#This Row],[Current Price ($)]])/PricingDataTable[[#This Row],[Current Price ($)]]</f>
        <v>1.4896163974143241E-3</v>
      </c>
      <c r="M2963" t="str">
        <f t="shared" si="92"/>
        <v>PASS</v>
      </c>
      <c r="N2963" s="10" t="str">
        <f t="shared" si="93"/>
        <v>NONE</v>
      </c>
    </row>
    <row r="2964" spans="1:14">
      <c r="A2964" s="4" t="s">
        <v>5944</v>
      </c>
      <c r="B2964" s="4" t="s">
        <v>5945</v>
      </c>
      <c r="C2964" s="4" t="s">
        <v>39</v>
      </c>
      <c r="D2964" s="4" t="s">
        <v>237</v>
      </c>
      <c r="E2964" s="5">
        <v>180.78530000000001</v>
      </c>
      <c r="F2964" s="5">
        <v>181.2783</v>
      </c>
      <c r="G2964" s="5">
        <v>181.8733</v>
      </c>
      <c r="H2964" s="4">
        <v>0</v>
      </c>
      <c r="I2964" s="6">
        <v>3113398</v>
      </c>
      <c r="J2964" s="7">
        <v>852.31</v>
      </c>
      <c r="K2964" s="9">
        <f>(PricingDataTable[[#This Row],[Current Price ($)]]-PricingDataTable[[#This Row],[Prior Price ($)]])/PricingDataTable[[#This Row],[Prior Price ($)]]</f>
        <v>2.7269916304035503E-3</v>
      </c>
      <c r="L2964" s="9">
        <f>(PricingDataTable[[#This Row],[Vendor Price ($)]]-PricingDataTable[[#This Row],[Current Price ($)]])/PricingDataTable[[#This Row],[Current Price ($)]]</f>
        <v>3.2822461375685828E-3</v>
      </c>
      <c r="M2964" t="str">
        <f t="shared" si="92"/>
        <v>PASS</v>
      </c>
      <c r="N2964" s="10" t="str">
        <f t="shared" si="93"/>
        <v>NONE</v>
      </c>
    </row>
    <row r="2965" spans="1:14">
      <c r="A2965" s="4" t="s">
        <v>5946</v>
      </c>
      <c r="B2965" s="4" t="s">
        <v>5947</v>
      </c>
      <c r="C2965" s="4" t="s">
        <v>12</v>
      </c>
      <c r="D2965" s="4" t="s">
        <v>36</v>
      </c>
      <c r="E2965" s="5">
        <v>94.241500000000002</v>
      </c>
      <c r="F2965" s="5">
        <v>94.491299999999995</v>
      </c>
      <c r="G2965" s="5">
        <v>94.791899999999998</v>
      </c>
      <c r="H2965" s="4">
        <v>0</v>
      </c>
      <c r="I2965" s="6">
        <v>1091535</v>
      </c>
      <c r="J2965" s="7">
        <v>384.79</v>
      </c>
      <c r="K2965" s="9">
        <f>(PricingDataTable[[#This Row],[Current Price ($)]]-PricingDataTable[[#This Row],[Prior Price ($)]])/PricingDataTable[[#This Row],[Prior Price ($)]]</f>
        <v>2.6506369274681891E-3</v>
      </c>
      <c r="L2965" s="9">
        <f>(PricingDataTable[[#This Row],[Vendor Price ($)]]-PricingDataTable[[#This Row],[Current Price ($)]])/PricingDataTable[[#This Row],[Current Price ($)]]</f>
        <v>3.1812452574999273E-3</v>
      </c>
      <c r="M2965" t="str">
        <f t="shared" si="92"/>
        <v>PASS</v>
      </c>
      <c r="N2965" s="10" t="str">
        <f t="shared" si="93"/>
        <v>NONE</v>
      </c>
    </row>
    <row r="2966" spans="1:14">
      <c r="A2966" s="4" t="s">
        <v>5948</v>
      </c>
      <c r="B2966" s="4" t="s">
        <v>5949</v>
      </c>
      <c r="C2966" s="4" t="s">
        <v>19</v>
      </c>
      <c r="D2966" s="4" t="s">
        <v>32</v>
      </c>
      <c r="E2966" s="5">
        <v>215.37799999999999</v>
      </c>
      <c r="F2966" s="5">
        <v>219.38339999999999</v>
      </c>
      <c r="G2966" s="5">
        <v>219.73320000000001</v>
      </c>
      <c r="H2966" s="4">
        <v>5</v>
      </c>
      <c r="I2966" s="6">
        <v>3699781</v>
      </c>
      <c r="J2966" s="7">
        <v>543.91999999999996</v>
      </c>
      <c r="K2966" s="9">
        <f>(PricingDataTable[[#This Row],[Current Price ($)]]-PricingDataTable[[#This Row],[Prior Price ($)]])/PricingDataTable[[#This Row],[Prior Price ($)]]</f>
        <v>1.8597071195758198E-2</v>
      </c>
      <c r="L2966" s="9">
        <f>(PricingDataTable[[#This Row],[Vendor Price ($)]]-PricingDataTable[[#This Row],[Current Price ($)]])/PricingDataTable[[#This Row],[Current Price ($)]]</f>
        <v>1.5944688613633306E-3</v>
      </c>
      <c r="M2966" t="str">
        <f t="shared" si="92"/>
        <v>STALE</v>
      </c>
      <c r="N2966" s="10" t="str">
        <f t="shared" si="93"/>
        <v>MEDIUM</v>
      </c>
    </row>
    <row r="2967" spans="1:14">
      <c r="A2967" s="4" t="s">
        <v>5950</v>
      </c>
      <c r="B2967" s="4" t="s">
        <v>5951</v>
      </c>
      <c r="C2967" s="4" t="s">
        <v>16</v>
      </c>
      <c r="D2967" s="4" t="s">
        <v>13</v>
      </c>
      <c r="E2967" s="5">
        <v>110.0184</v>
      </c>
      <c r="F2967" s="5">
        <v>108.955</v>
      </c>
      <c r="G2967" s="5">
        <v>108.58410000000001</v>
      </c>
      <c r="H2967" s="4">
        <v>0</v>
      </c>
      <c r="I2967" s="6">
        <v>4356187</v>
      </c>
      <c r="J2967" s="7">
        <v>270.63</v>
      </c>
      <c r="K2967" s="9">
        <f>(PricingDataTable[[#This Row],[Current Price ($)]]-PricingDataTable[[#This Row],[Prior Price ($)]])/PricingDataTable[[#This Row],[Prior Price ($)]]</f>
        <v>-9.6656559266450112E-3</v>
      </c>
      <c r="L2967" s="9">
        <f>(PricingDataTable[[#This Row],[Vendor Price ($)]]-PricingDataTable[[#This Row],[Current Price ($)]])/PricingDataTable[[#This Row],[Current Price ($)]]</f>
        <v>-3.4041576797759791E-3</v>
      </c>
      <c r="M2967" t="str">
        <f t="shared" si="92"/>
        <v>PASS</v>
      </c>
      <c r="N2967" s="10" t="str">
        <f t="shared" si="93"/>
        <v>NONE</v>
      </c>
    </row>
    <row r="2968" spans="1:14">
      <c r="A2968" s="4" t="s">
        <v>5952</v>
      </c>
      <c r="B2968" s="4" t="s">
        <v>5953</v>
      </c>
      <c r="C2968" s="4" t="s">
        <v>19</v>
      </c>
      <c r="D2968" s="4" t="s">
        <v>13</v>
      </c>
      <c r="E2968" s="5">
        <v>208.49019999999999</v>
      </c>
      <c r="F2968" s="5">
        <v>205.22069999999999</v>
      </c>
      <c r="G2968" s="5">
        <v>203.6748</v>
      </c>
      <c r="H2968" s="4">
        <v>1</v>
      </c>
      <c r="I2968" s="6">
        <v>3354517</v>
      </c>
      <c r="J2968" s="7">
        <v>727.75</v>
      </c>
      <c r="K2968" s="9">
        <f>(PricingDataTable[[#This Row],[Current Price ($)]]-PricingDataTable[[#This Row],[Prior Price ($)]])/PricingDataTable[[#This Row],[Prior Price ($)]]</f>
        <v>-1.5681792237716659E-2</v>
      </c>
      <c r="L2968" s="9">
        <f>(PricingDataTable[[#This Row],[Vendor Price ($)]]-PricingDataTable[[#This Row],[Current Price ($)]])/PricingDataTable[[#This Row],[Current Price ($)]]</f>
        <v>-7.5328658366333855E-3</v>
      </c>
      <c r="M2968" t="str">
        <f t="shared" si="92"/>
        <v>PASS</v>
      </c>
      <c r="N2968" s="10" t="str">
        <f t="shared" si="93"/>
        <v>NONE</v>
      </c>
    </row>
    <row r="2969" spans="1:14">
      <c r="A2969" s="4" t="s">
        <v>5954</v>
      </c>
      <c r="B2969" s="4" t="s">
        <v>5955</v>
      </c>
      <c r="C2969" s="4" t="s">
        <v>19</v>
      </c>
      <c r="D2969" s="4" t="s">
        <v>13</v>
      </c>
      <c r="E2969" s="5">
        <v>321.93520000000001</v>
      </c>
      <c r="F2969" s="5">
        <v>326.09289999999999</v>
      </c>
      <c r="G2969" s="5">
        <v>326.90600000000001</v>
      </c>
      <c r="H2969" s="4">
        <v>3</v>
      </c>
      <c r="I2969" s="6">
        <v>4146071</v>
      </c>
      <c r="J2969" s="7">
        <v>861.98</v>
      </c>
      <c r="K2969" s="9">
        <f>(PricingDataTable[[#This Row],[Current Price ($)]]-PricingDataTable[[#This Row],[Prior Price ($)]])/PricingDataTable[[#This Row],[Prior Price ($)]]</f>
        <v>1.2914710786518457E-2</v>
      </c>
      <c r="L2969" s="9">
        <f>(PricingDataTable[[#This Row],[Vendor Price ($)]]-PricingDataTable[[#This Row],[Current Price ($)]])/PricingDataTable[[#This Row],[Current Price ($)]]</f>
        <v>2.4934612191802397E-3</v>
      </c>
      <c r="M2969" t="str">
        <f t="shared" si="92"/>
        <v>STALE</v>
      </c>
      <c r="N2969" s="10" t="str">
        <f t="shared" si="93"/>
        <v>LOW</v>
      </c>
    </row>
    <row r="2970" spans="1:14">
      <c r="A2970" s="4" t="s">
        <v>5956</v>
      </c>
      <c r="B2970" s="4" t="s">
        <v>5957</v>
      </c>
      <c r="C2970" s="4" t="s">
        <v>39</v>
      </c>
      <c r="D2970" s="4" t="s">
        <v>13</v>
      </c>
      <c r="E2970" s="5">
        <v>78.034300000000002</v>
      </c>
      <c r="F2970" s="5">
        <v>79.040499999999994</v>
      </c>
      <c r="G2970" s="5">
        <v>79.001800000000003</v>
      </c>
      <c r="H2970" s="4">
        <v>1</v>
      </c>
      <c r="I2970" s="6">
        <v>4154231</v>
      </c>
      <c r="J2970" s="7">
        <v>296.66000000000003</v>
      </c>
      <c r="K2970" s="9">
        <f>(PricingDataTable[[#This Row],[Current Price ($)]]-PricingDataTable[[#This Row],[Prior Price ($)]])/PricingDataTable[[#This Row],[Prior Price ($)]]</f>
        <v>1.2894329801125821E-2</v>
      </c>
      <c r="L2970" s="9">
        <f>(PricingDataTable[[#This Row],[Vendor Price ($)]]-PricingDataTable[[#This Row],[Current Price ($)]])/PricingDataTable[[#This Row],[Current Price ($)]]</f>
        <v>-4.8962240876501944E-4</v>
      </c>
      <c r="M2970" t="str">
        <f t="shared" si="92"/>
        <v>PASS</v>
      </c>
      <c r="N2970" s="10" t="str">
        <f t="shared" si="93"/>
        <v>NONE</v>
      </c>
    </row>
    <row r="2971" spans="1:14">
      <c r="A2971" s="4" t="s">
        <v>5958</v>
      </c>
      <c r="B2971" s="4" t="s">
        <v>5959</v>
      </c>
      <c r="C2971" s="4" t="s">
        <v>12</v>
      </c>
      <c r="D2971" s="4" t="s">
        <v>13</v>
      </c>
      <c r="E2971" s="5">
        <v>79.738399999999999</v>
      </c>
      <c r="F2971" s="5">
        <v>78.855199999999996</v>
      </c>
      <c r="G2971" s="5">
        <v>78.904300000000006</v>
      </c>
      <c r="H2971" s="4">
        <v>0</v>
      </c>
      <c r="I2971" s="6">
        <v>4184500</v>
      </c>
      <c r="J2971" s="7">
        <v>475.6</v>
      </c>
      <c r="K2971" s="9">
        <f>(PricingDataTable[[#This Row],[Current Price ($)]]-PricingDataTable[[#This Row],[Prior Price ($)]])/PricingDataTable[[#This Row],[Prior Price ($)]]</f>
        <v>-1.1076219236904706E-2</v>
      </c>
      <c r="L2971" s="9">
        <f>(PricingDataTable[[#This Row],[Vendor Price ($)]]-PricingDataTable[[#This Row],[Current Price ($)]])/PricingDataTable[[#This Row],[Current Price ($)]]</f>
        <v>6.2266026844152208E-4</v>
      </c>
      <c r="M2971" t="str">
        <f t="shared" si="92"/>
        <v>PASS</v>
      </c>
      <c r="N2971" s="10" t="str">
        <f t="shared" si="93"/>
        <v>NONE</v>
      </c>
    </row>
    <row r="2972" spans="1:14">
      <c r="A2972" s="4" t="s">
        <v>5960</v>
      </c>
      <c r="B2972" s="4" t="s">
        <v>5961</v>
      </c>
      <c r="C2972" s="4" t="s">
        <v>39</v>
      </c>
      <c r="D2972" s="4" t="s">
        <v>13</v>
      </c>
      <c r="E2972" s="5">
        <v>287.21199999999999</v>
      </c>
      <c r="F2972" s="5">
        <v>279.62650000000002</v>
      </c>
      <c r="G2972" s="5">
        <v>279.37200000000001</v>
      </c>
      <c r="H2972" s="4">
        <v>1</v>
      </c>
      <c r="I2972" s="6">
        <v>2732224</v>
      </c>
      <c r="J2972" s="7">
        <v>204.73</v>
      </c>
      <c r="K2972" s="9">
        <f>(PricingDataTable[[#This Row],[Current Price ($)]]-PricingDataTable[[#This Row],[Prior Price ($)]])/PricingDataTable[[#This Row],[Prior Price ($)]]</f>
        <v>-2.6410804562483351E-2</v>
      </c>
      <c r="L2972" s="9">
        <f>(PricingDataTable[[#This Row],[Vendor Price ($)]]-PricingDataTable[[#This Row],[Current Price ($)]])/PricingDataTable[[#This Row],[Current Price ($)]]</f>
        <v>-9.1014263669576118E-4</v>
      </c>
      <c r="M2972" t="str">
        <f t="shared" si="92"/>
        <v>PASS</v>
      </c>
      <c r="N2972" s="10" t="str">
        <f t="shared" si="93"/>
        <v>NONE</v>
      </c>
    </row>
    <row r="2973" spans="1:14">
      <c r="A2973" s="4" t="s">
        <v>5962</v>
      </c>
      <c r="B2973" s="4" t="s">
        <v>5963</v>
      </c>
      <c r="C2973" s="4" t="s">
        <v>39</v>
      </c>
      <c r="D2973" s="4" t="s">
        <v>32</v>
      </c>
      <c r="E2973" s="5">
        <v>74.102099999999993</v>
      </c>
      <c r="F2973" s="5">
        <v>74.051900000000003</v>
      </c>
      <c r="G2973" s="5">
        <v>74.040999999999997</v>
      </c>
      <c r="H2973" s="4">
        <v>1</v>
      </c>
      <c r="I2973" s="6">
        <v>1432134</v>
      </c>
      <c r="J2973" s="7">
        <v>657.22</v>
      </c>
      <c r="K2973" s="9">
        <f>(PricingDataTable[[#This Row],[Current Price ($)]]-PricingDataTable[[#This Row],[Prior Price ($)]])/PricingDataTable[[#This Row],[Prior Price ($)]]</f>
        <v>-6.7744368918005819E-4</v>
      </c>
      <c r="L2973" s="9">
        <f>(PricingDataTable[[#This Row],[Vendor Price ($)]]-PricingDataTable[[#This Row],[Current Price ($)]])/PricingDataTable[[#This Row],[Current Price ($)]]</f>
        <v>-1.4719406254271085E-4</v>
      </c>
      <c r="M2973" t="str">
        <f t="shared" si="92"/>
        <v>PASS</v>
      </c>
      <c r="N2973" s="10" t="str">
        <f t="shared" si="93"/>
        <v>NONE</v>
      </c>
    </row>
    <row r="2974" spans="1:14">
      <c r="A2974" s="4" t="s">
        <v>5964</v>
      </c>
      <c r="B2974" s="4" t="s">
        <v>5965</v>
      </c>
      <c r="C2974" s="4" t="s">
        <v>35</v>
      </c>
      <c r="D2974" s="4" t="s">
        <v>13</v>
      </c>
      <c r="E2974" s="5">
        <v>128.18729999999999</v>
      </c>
      <c r="F2974" s="5">
        <v>129.7989</v>
      </c>
      <c r="G2974" s="5">
        <v>129.59280000000001</v>
      </c>
      <c r="H2974" s="4">
        <v>1</v>
      </c>
      <c r="I2974" s="6">
        <v>3991705</v>
      </c>
      <c r="J2974" s="7">
        <v>285.67</v>
      </c>
      <c r="K2974" s="9">
        <f>(PricingDataTable[[#This Row],[Current Price ($)]]-PricingDataTable[[#This Row],[Prior Price ($)]])/PricingDataTable[[#This Row],[Prior Price ($)]]</f>
        <v>1.2572228294066651E-2</v>
      </c>
      <c r="L2974" s="9">
        <f>(PricingDataTable[[#This Row],[Vendor Price ($)]]-PricingDataTable[[#This Row],[Current Price ($)]])/PricingDataTable[[#This Row],[Current Price ($)]]</f>
        <v>-1.5878408830890876E-3</v>
      </c>
      <c r="M2974" t="str">
        <f t="shared" si="92"/>
        <v>PASS</v>
      </c>
      <c r="N2974" s="10" t="str">
        <f t="shared" si="93"/>
        <v>NONE</v>
      </c>
    </row>
    <row r="2975" spans="1:14">
      <c r="A2975" s="4" t="s">
        <v>5966</v>
      </c>
      <c r="B2975" s="4" t="s">
        <v>5967</v>
      </c>
      <c r="C2975" s="4" t="s">
        <v>39</v>
      </c>
      <c r="D2975" s="4" t="s">
        <v>13</v>
      </c>
      <c r="E2975" s="5">
        <v>236.5701</v>
      </c>
      <c r="F2975" s="5">
        <v>236.68709999999999</v>
      </c>
      <c r="G2975" s="5">
        <v>236.20519999999999</v>
      </c>
      <c r="H2975" s="4">
        <v>0</v>
      </c>
      <c r="I2975" s="6">
        <v>814910</v>
      </c>
      <c r="J2975" s="7">
        <v>279.57</v>
      </c>
      <c r="K2975" s="9">
        <f>(PricingDataTable[[#This Row],[Current Price ($)]]-PricingDataTable[[#This Row],[Prior Price ($)]])/PricingDataTable[[#This Row],[Prior Price ($)]]</f>
        <v>4.9456799485645157E-4</v>
      </c>
      <c r="L2975" s="9">
        <f>(PricingDataTable[[#This Row],[Vendor Price ($)]]-PricingDataTable[[#This Row],[Current Price ($)]])/PricingDataTable[[#This Row],[Current Price ($)]]</f>
        <v>-2.0360213970258456E-3</v>
      </c>
      <c r="M2975" t="str">
        <f t="shared" si="92"/>
        <v>PASS</v>
      </c>
      <c r="N2975" s="10" t="str">
        <f t="shared" si="93"/>
        <v>NONE</v>
      </c>
    </row>
    <row r="2976" spans="1:14">
      <c r="A2976" s="4" t="s">
        <v>5968</v>
      </c>
      <c r="B2976" s="4" t="s">
        <v>5969</v>
      </c>
      <c r="C2976" s="4" t="s">
        <v>19</v>
      </c>
      <c r="D2976" s="4" t="s">
        <v>13</v>
      </c>
      <c r="E2976" s="5">
        <v>284.75060000000002</v>
      </c>
      <c r="F2976" s="5">
        <v>286.14830000000001</v>
      </c>
      <c r="G2976" s="5">
        <v>285.05099999999999</v>
      </c>
      <c r="H2976" s="4">
        <v>0</v>
      </c>
      <c r="I2976" s="6">
        <v>3225279</v>
      </c>
      <c r="J2976" s="7">
        <v>158.38999999999999</v>
      </c>
      <c r="K2976" s="9">
        <f>(PricingDataTable[[#This Row],[Current Price ($)]]-PricingDataTable[[#This Row],[Prior Price ($)]])/PricingDataTable[[#This Row],[Prior Price ($)]]</f>
        <v>4.9085058995485386E-3</v>
      </c>
      <c r="L2976" s="9">
        <f>(PricingDataTable[[#This Row],[Vendor Price ($)]]-PricingDataTable[[#This Row],[Current Price ($)]])/PricingDataTable[[#This Row],[Current Price ($)]]</f>
        <v>-3.8347248611996588E-3</v>
      </c>
      <c r="M2976" t="str">
        <f t="shared" si="92"/>
        <v>PASS</v>
      </c>
      <c r="N2976" s="10" t="str">
        <f t="shared" si="93"/>
        <v>NONE</v>
      </c>
    </row>
    <row r="2977" spans="1:14">
      <c r="A2977" s="4" t="s">
        <v>5970</v>
      </c>
      <c r="B2977" s="4" t="s">
        <v>5971</v>
      </c>
      <c r="C2977" s="4" t="s">
        <v>16</v>
      </c>
      <c r="D2977" s="4" t="s">
        <v>13</v>
      </c>
      <c r="E2977" s="5">
        <v>103.735</v>
      </c>
      <c r="F2977" s="5">
        <v>105.8642</v>
      </c>
      <c r="G2977" s="5">
        <v>105.6177</v>
      </c>
      <c r="H2977" s="4">
        <v>0</v>
      </c>
      <c r="I2977" s="6">
        <v>1917951</v>
      </c>
      <c r="J2977" s="7">
        <v>599.25</v>
      </c>
      <c r="K2977" s="9">
        <f>(PricingDataTable[[#This Row],[Current Price ($)]]-PricingDataTable[[#This Row],[Prior Price ($)]])/PricingDataTable[[#This Row],[Prior Price ($)]]</f>
        <v>2.0525377162963293E-2</v>
      </c>
      <c r="L2977" s="9">
        <f>(PricingDataTable[[#This Row],[Vendor Price ($)]]-PricingDataTable[[#This Row],[Current Price ($)]])/PricingDataTable[[#This Row],[Current Price ($)]]</f>
        <v>-2.3284547561876205E-3</v>
      </c>
      <c r="M2977" t="str">
        <f t="shared" si="92"/>
        <v>PASS</v>
      </c>
      <c r="N2977" s="10" t="str">
        <f t="shared" si="93"/>
        <v>NONE</v>
      </c>
    </row>
    <row r="2978" spans="1:14">
      <c r="A2978" s="4" t="s">
        <v>5972</v>
      </c>
      <c r="B2978" s="4" t="s">
        <v>5973</v>
      </c>
      <c r="C2978" s="4" t="s">
        <v>19</v>
      </c>
      <c r="D2978" s="4" t="s">
        <v>13</v>
      </c>
      <c r="E2978" s="5">
        <v>28.1069</v>
      </c>
      <c r="F2978" s="5">
        <v>27.776900000000001</v>
      </c>
      <c r="G2978" s="5">
        <v>27.619599999999998</v>
      </c>
      <c r="H2978" s="4">
        <v>2</v>
      </c>
      <c r="I2978" s="6">
        <v>753014</v>
      </c>
      <c r="J2978" s="7">
        <v>587.79999999999995</v>
      </c>
      <c r="K2978" s="9">
        <f>(PricingDataTable[[#This Row],[Current Price ($)]]-PricingDataTable[[#This Row],[Prior Price ($)]])/PricingDataTable[[#This Row],[Prior Price ($)]]</f>
        <v>-1.1740889247835879E-2</v>
      </c>
      <c r="L2978" s="9">
        <f>(PricingDataTable[[#This Row],[Vendor Price ($)]]-PricingDataTable[[#This Row],[Current Price ($)]])/PricingDataTable[[#This Row],[Current Price ($)]]</f>
        <v>-5.6629789501349281E-3</v>
      </c>
      <c r="M2978" t="str">
        <f t="shared" si="92"/>
        <v>PASS</v>
      </c>
      <c r="N2978" s="10" t="str">
        <f t="shared" si="93"/>
        <v>NONE</v>
      </c>
    </row>
    <row r="2979" spans="1:14">
      <c r="A2979" s="4" t="s">
        <v>5974</v>
      </c>
      <c r="B2979" s="4" t="s">
        <v>5975</v>
      </c>
      <c r="C2979" s="4" t="s">
        <v>19</v>
      </c>
      <c r="D2979" s="4" t="s">
        <v>13</v>
      </c>
      <c r="E2979" s="5">
        <v>129.4539</v>
      </c>
      <c r="F2979" s="5">
        <v>130.44220000000001</v>
      </c>
      <c r="G2979" s="5">
        <v>130.63640000000001</v>
      </c>
      <c r="H2979" s="4">
        <v>4</v>
      </c>
      <c r="I2979" s="6">
        <v>3376774</v>
      </c>
      <c r="J2979" s="7">
        <v>655.43</v>
      </c>
      <c r="K2979" s="9">
        <f>(PricingDataTable[[#This Row],[Current Price ($)]]-PricingDataTable[[#This Row],[Prior Price ($)]])/PricingDataTable[[#This Row],[Prior Price ($)]]</f>
        <v>7.6343779523058743E-3</v>
      </c>
      <c r="L2979" s="9">
        <f>(PricingDataTable[[#This Row],[Vendor Price ($)]]-PricingDataTable[[#This Row],[Current Price ($)]])/PricingDataTable[[#This Row],[Current Price ($)]]</f>
        <v>1.4887820045966337E-3</v>
      </c>
      <c r="M2979" t="str">
        <f t="shared" si="92"/>
        <v>STALE</v>
      </c>
      <c r="N2979" s="10" t="str">
        <f t="shared" si="93"/>
        <v>LOW</v>
      </c>
    </row>
    <row r="2980" spans="1:14">
      <c r="A2980" s="4" t="s">
        <v>5976</v>
      </c>
      <c r="B2980" s="4" t="s">
        <v>5977</v>
      </c>
      <c r="C2980" s="4" t="s">
        <v>39</v>
      </c>
      <c r="D2980" s="4" t="s">
        <v>237</v>
      </c>
      <c r="E2980" s="5">
        <v>254.21279999999999</v>
      </c>
      <c r="F2980" s="5">
        <v>256.49360000000001</v>
      </c>
      <c r="G2980" s="5">
        <v>250.2621</v>
      </c>
      <c r="H2980" s="4">
        <v>0</v>
      </c>
      <c r="I2980" s="6">
        <v>3176005</v>
      </c>
      <c r="J2980" s="7">
        <v>625.01</v>
      </c>
      <c r="K2980" s="9">
        <f>(PricingDataTable[[#This Row],[Current Price ($)]]-PricingDataTable[[#This Row],[Prior Price ($)]])/PricingDataTable[[#This Row],[Prior Price ($)]]</f>
        <v>8.972010850751921E-3</v>
      </c>
      <c r="L2980" s="9">
        <f>(PricingDataTable[[#This Row],[Vendor Price ($)]]-PricingDataTable[[#This Row],[Current Price ($)]])/PricingDataTable[[#This Row],[Current Price ($)]]</f>
        <v>-2.4294953168422177E-2</v>
      </c>
      <c r="M2980" t="str">
        <f t="shared" si="92"/>
        <v>VENDOR DIFFERENCE</v>
      </c>
      <c r="N2980" s="10" t="str">
        <f t="shared" si="93"/>
        <v>LOW</v>
      </c>
    </row>
    <row r="2981" spans="1:14">
      <c r="A2981" s="4" t="s">
        <v>5978</v>
      </c>
      <c r="B2981" s="4" t="s">
        <v>5979</v>
      </c>
      <c r="C2981" s="4" t="s">
        <v>16</v>
      </c>
      <c r="D2981" s="4" t="s">
        <v>13</v>
      </c>
      <c r="E2981" s="5">
        <v>113.48779999999999</v>
      </c>
      <c r="F2981" s="5">
        <v>114.65089999999999</v>
      </c>
      <c r="G2981" s="5">
        <v>114.50839999999999</v>
      </c>
      <c r="H2981" s="4">
        <v>0</v>
      </c>
      <c r="I2981" s="6">
        <v>2524801</v>
      </c>
      <c r="J2981" s="7">
        <v>75.41</v>
      </c>
      <c r="K2981" s="9">
        <f>(PricingDataTable[[#This Row],[Current Price ($)]]-PricingDataTable[[#This Row],[Prior Price ($)]])/PricingDataTable[[#This Row],[Prior Price ($)]]</f>
        <v>1.0248678712601707E-2</v>
      </c>
      <c r="L2981" s="9">
        <f>(PricingDataTable[[#This Row],[Vendor Price ($)]]-PricingDataTable[[#This Row],[Current Price ($)]])/PricingDataTable[[#This Row],[Current Price ($)]]</f>
        <v>-1.2429034573649077E-3</v>
      </c>
      <c r="M2981" t="str">
        <f t="shared" si="92"/>
        <v>PASS</v>
      </c>
      <c r="N2981" s="10" t="str">
        <f t="shared" si="93"/>
        <v>NONE</v>
      </c>
    </row>
    <row r="2982" spans="1:14">
      <c r="A2982" s="4" t="s">
        <v>5980</v>
      </c>
      <c r="B2982" s="4" t="s">
        <v>5981</v>
      </c>
      <c r="C2982" s="4" t="s">
        <v>19</v>
      </c>
      <c r="D2982" s="4" t="s">
        <v>13</v>
      </c>
      <c r="E2982" s="5">
        <v>218.0933</v>
      </c>
      <c r="F2982" s="5">
        <v>219.32919999999999</v>
      </c>
      <c r="G2982" s="5">
        <v>218.18690000000001</v>
      </c>
      <c r="H2982" s="4">
        <v>0</v>
      </c>
      <c r="I2982" s="6">
        <v>1559762</v>
      </c>
      <c r="J2982" s="7">
        <v>105.73</v>
      </c>
      <c r="K2982" s="9">
        <f>(PricingDataTable[[#This Row],[Current Price ($)]]-PricingDataTable[[#This Row],[Prior Price ($)]])/PricingDataTable[[#This Row],[Prior Price ($)]]</f>
        <v>5.6668407511830336E-3</v>
      </c>
      <c r="L2982" s="9">
        <f>(PricingDataTable[[#This Row],[Vendor Price ($)]]-PricingDataTable[[#This Row],[Current Price ($)]])/PricingDataTable[[#This Row],[Current Price ($)]]</f>
        <v>-5.2081528588075708E-3</v>
      </c>
      <c r="M2982" t="str">
        <f t="shared" si="92"/>
        <v>PASS</v>
      </c>
      <c r="N2982" s="10" t="str">
        <f t="shared" si="93"/>
        <v>NONE</v>
      </c>
    </row>
    <row r="2983" spans="1:14">
      <c r="A2983" s="4" t="s">
        <v>5982</v>
      </c>
      <c r="B2983" s="4" t="s">
        <v>5983</v>
      </c>
      <c r="C2983" s="4" t="s">
        <v>12</v>
      </c>
      <c r="D2983" s="4" t="s">
        <v>64</v>
      </c>
      <c r="E2983" s="5">
        <v>116.8929</v>
      </c>
      <c r="F2983" s="5">
        <v>118.6951</v>
      </c>
      <c r="G2983" s="5">
        <v>117.95059999999999</v>
      </c>
      <c r="H2983" s="4">
        <v>2</v>
      </c>
      <c r="I2983" s="6">
        <v>107473</v>
      </c>
      <c r="J2983" s="7">
        <v>289.92</v>
      </c>
      <c r="K2983" s="9">
        <f>(PricingDataTable[[#This Row],[Current Price ($)]]-PricingDataTable[[#This Row],[Prior Price ($)]])/PricingDataTable[[#This Row],[Prior Price ($)]]</f>
        <v>1.5417531774812664E-2</v>
      </c>
      <c r="L2983" s="9">
        <f>(PricingDataTable[[#This Row],[Vendor Price ($)]]-PricingDataTable[[#This Row],[Current Price ($)]])/PricingDataTable[[#This Row],[Current Price ($)]]</f>
        <v>-6.272373501517773E-3</v>
      </c>
      <c r="M2983" t="str">
        <f t="shared" si="92"/>
        <v>PASS</v>
      </c>
      <c r="N2983" s="10" t="str">
        <f t="shared" si="93"/>
        <v>NONE</v>
      </c>
    </row>
    <row r="2984" spans="1:14">
      <c r="A2984" s="4" t="s">
        <v>5984</v>
      </c>
      <c r="B2984" s="4" t="s">
        <v>5985</v>
      </c>
      <c r="C2984" s="4" t="s">
        <v>16</v>
      </c>
      <c r="D2984" s="4" t="s">
        <v>13</v>
      </c>
      <c r="E2984" s="5">
        <v>99.537000000000006</v>
      </c>
      <c r="F2984" s="5">
        <v>97.867900000000006</v>
      </c>
      <c r="G2984" s="5">
        <v>97.794399999999996</v>
      </c>
      <c r="H2984" s="4">
        <v>0</v>
      </c>
      <c r="I2984" s="6">
        <v>3170480</v>
      </c>
      <c r="J2984" s="7">
        <v>100.47</v>
      </c>
      <c r="K2984" s="9">
        <f>(PricingDataTable[[#This Row],[Current Price ($)]]-PricingDataTable[[#This Row],[Prior Price ($)]])/PricingDataTable[[#This Row],[Prior Price ($)]]</f>
        <v>-1.6768638797633042E-2</v>
      </c>
      <c r="L2984" s="9">
        <f>(PricingDataTable[[#This Row],[Vendor Price ($)]]-PricingDataTable[[#This Row],[Current Price ($)]])/PricingDataTable[[#This Row],[Current Price ($)]]</f>
        <v>-7.5101233397273143E-4</v>
      </c>
      <c r="M2984" t="str">
        <f t="shared" si="92"/>
        <v>PASS</v>
      </c>
      <c r="N2984" s="10" t="str">
        <f t="shared" si="93"/>
        <v>NONE</v>
      </c>
    </row>
    <row r="2985" spans="1:14">
      <c r="A2985" s="4" t="s">
        <v>5986</v>
      </c>
      <c r="B2985" s="4" t="s">
        <v>5987</v>
      </c>
      <c r="C2985" s="4" t="s">
        <v>19</v>
      </c>
      <c r="D2985" s="4" t="s">
        <v>64</v>
      </c>
      <c r="E2985" s="5">
        <v>155.68610000000001</v>
      </c>
      <c r="F2985" s="5">
        <v>157.52019999999999</v>
      </c>
      <c r="G2985" s="5">
        <v>157.96559999999999</v>
      </c>
      <c r="H2985" s="4">
        <v>0</v>
      </c>
      <c r="I2985" s="6">
        <v>994324</v>
      </c>
      <c r="J2985" s="7">
        <v>107.84</v>
      </c>
      <c r="K2985" s="9">
        <f>(PricingDataTable[[#This Row],[Current Price ($)]]-PricingDataTable[[#This Row],[Prior Price ($)]])/PricingDataTable[[#This Row],[Prior Price ($)]]</f>
        <v>1.178075627817755E-2</v>
      </c>
      <c r="L2985" s="9">
        <f>(PricingDataTable[[#This Row],[Vendor Price ($)]]-PricingDataTable[[#This Row],[Current Price ($)]])/PricingDataTable[[#This Row],[Current Price ($)]]</f>
        <v>2.8275738603684257E-3</v>
      </c>
      <c r="M2985" t="str">
        <f t="shared" si="92"/>
        <v>PASS</v>
      </c>
      <c r="N2985" s="10" t="str">
        <f t="shared" si="93"/>
        <v>NONE</v>
      </c>
    </row>
    <row r="2986" spans="1:14">
      <c r="A2986" s="4" t="s">
        <v>5988</v>
      </c>
      <c r="B2986" s="4" t="s">
        <v>5989</v>
      </c>
      <c r="C2986" s="4" t="s">
        <v>12</v>
      </c>
      <c r="D2986" s="4" t="s">
        <v>13</v>
      </c>
      <c r="E2986" s="5">
        <v>97.153300000000002</v>
      </c>
      <c r="F2986" s="5">
        <v>96.441599999999994</v>
      </c>
      <c r="G2986" s="5">
        <v>96.523700000000005</v>
      </c>
      <c r="H2986" s="4">
        <v>0</v>
      </c>
      <c r="I2986" s="6">
        <v>3249424</v>
      </c>
      <c r="J2986" s="7">
        <v>605.86</v>
      </c>
      <c r="K2986" s="9">
        <f>(PricingDataTable[[#This Row],[Current Price ($)]]-PricingDataTable[[#This Row],[Prior Price ($)]])/PricingDataTable[[#This Row],[Prior Price ($)]]</f>
        <v>-7.3255360342881562E-3</v>
      </c>
      <c r="L2986" s="9">
        <f>(PricingDataTable[[#This Row],[Vendor Price ($)]]-PricingDataTable[[#This Row],[Current Price ($)]])/PricingDataTable[[#This Row],[Current Price ($)]]</f>
        <v>8.5129238834705321E-4</v>
      </c>
      <c r="M2986" t="str">
        <f t="shared" si="92"/>
        <v>PASS</v>
      </c>
      <c r="N2986" s="10" t="str">
        <f t="shared" si="93"/>
        <v>NONE</v>
      </c>
    </row>
    <row r="2987" spans="1:14">
      <c r="A2987" s="4" t="s">
        <v>5990</v>
      </c>
      <c r="B2987" s="4" t="s">
        <v>5991</v>
      </c>
      <c r="C2987" s="4" t="s">
        <v>19</v>
      </c>
      <c r="D2987" s="4" t="s">
        <v>13</v>
      </c>
      <c r="E2987" s="5">
        <v>31.6755</v>
      </c>
      <c r="F2987" s="5">
        <v>31.9834</v>
      </c>
      <c r="G2987" s="5">
        <v>32.0886</v>
      </c>
      <c r="H2987" s="4">
        <v>0</v>
      </c>
      <c r="I2987" s="6">
        <v>2609608</v>
      </c>
      <c r="J2987" s="7">
        <v>640.99</v>
      </c>
      <c r="K2987" s="9">
        <f>(PricingDataTable[[#This Row],[Current Price ($)]]-PricingDataTable[[#This Row],[Prior Price ($)]])/PricingDataTable[[#This Row],[Prior Price ($)]]</f>
        <v>9.7204464017931862E-3</v>
      </c>
      <c r="L2987" s="9">
        <f>(PricingDataTable[[#This Row],[Vendor Price ($)]]-PricingDataTable[[#This Row],[Current Price ($)]])/PricingDataTable[[#This Row],[Current Price ($)]]</f>
        <v>3.2892062757555471E-3</v>
      </c>
      <c r="M2987" t="str">
        <f t="shared" si="92"/>
        <v>PASS</v>
      </c>
      <c r="N2987" s="10" t="str">
        <f t="shared" si="93"/>
        <v>NONE</v>
      </c>
    </row>
    <row r="2988" spans="1:14">
      <c r="A2988" s="4" t="s">
        <v>5992</v>
      </c>
      <c r="B2988" s="4" t="s">
        <v>5993</v>
      </c>
      <c r="C2988" s="4" t="s">
        <v>16</v>
      </c>
      <c r="D2988" s="4" t="s">
        <v>36</v>
      </c>
      <c r="E2988" s="5">
        <v>82.656499999999994</v>
      </c>
      <c r="F2988" s="5">
        <v>82.845699999999994</v>
      </c>
      <c r="G2988" s="5">
        <v>82.575900000000004</v>
      </c>
      <c r="H2988" s="4">
        <v>1</v>
      </c>
      <c r="I2988" s="6">
        <v>1485505</v>
      </c>
      <c r="J2988" s="7">
        <v>402.4</v>
      </c>
      <c r="K2988" s="9">
        <f>(PricingDataTable[[#This Row],[Current Price ($)]]-PricingDataTable[[#This Row],[Prior Price ($)]])/PricingDataTable[[#This Row],[Prior Price ($)]]</f>
        <v>2.2889911864160664E-3</v>
      </c>
      <c r="L2988" s="9">
        <f>(PricingDataTable[[#This Row],[Vendor Price ($)]]-PricingDataTable[[#This Row],[Current Price ($)]])/PricingDataTable[[#This Row],[Current Price ($)]]</f>
        <v>-3.2566566520650969E-3</v>
      </c>
      <c r="M2988" t="str">
        <f t="shared" si="92"/>
        <v>PASS</v>
      </c>
      <c r="N2988" s="10" t="str">
        <f t="shared" si="93"/>
        <v>NONE</v>
      </c>
    </row>
    <row r="2989" spans="1:14">
      <c r="A2989" s="4" t="s">
        <v>5994</v>
      </c>
      <c r="B2989" s="4" t="s">
        <v>5995</v>
      </c>
      <c r="C2989" s="4" t="s">
        <v>19</v>
      </c>
      <c r="D2989" s="4" t="s">
        <v>13</v>
      </c>
      <c r="E2989" s="5">
        <v>12.1759</v>
      </c>
      <c r="F2989" s="5">
        <v>12.1831</v>
      </c>
      <c r="G2989" s="5">
        <v>12.173400000000001</v>
      </c>
      <c r="H2989" s="4">
        <v>0</v>
      </c>
      <c r="I2989" s="6">
        <v>2978391</v>
      </c>
      <c r="J2989" s="7">
        <v>14.56</v>
      </c>
      <c r="K2989" s="9">
        <f>(PricingDataTable[[#This Row],[Current Price ($)]]-PricingDataTable[[#This Row],[Prior Price ($)]])/PricingDataTable[[#This Row],[Prior Price ($)]]</f>
        <v>5.9133205758910695E-4</v>
      </c>
      <c r="L2989" s="9">
        <f>(PricingDataTable[[#This Row],[Vendor Price ($)]]-PricingDataTable[[#This Row],[Current Price ($)]])/PricingDataTable[[#This Row],[Current Price ($)]]</f>
        <v>-7.9618487905366527E-4</v>
      </c>
      <c r="M2989" t="str">
        <f t="shared" si="92"/>
        <v>PASS</v>
      </c>
      <c r="N2989" s="10" t="str">
        <f t="shared" si="93"/>
        <v>NONE</v>
      </c>
    </row>
    <row r="2990" spans="1:14">
      <c r="A2990" s="4" t="s">
        <v>5996</v>
      </c>
      <c r="B2990" s="4" t="s">
        <v>5997</v>
      </c>
      <c r="C2990" s="4" t="s">
        <v>16</v>
      </c>
      <c r="D2990" s="4" t="s">
        <v>64</v>
      </c>
      <c r="E2990" s="5">
        <v>111.3412</v>
      </c>
      <c r="F2990" s="5">
        <v>113.50190000000001</v>
      </c>
      <c r="G2990" s="5">
        <v>113.84099999999999</v>
      </c>
      <c r="H2990" s="4">
        <v>0</v>
      </c>
      <c r="I2990" s="6">
        <v>1337981</v>
      </c>
      <c r="J2990" s="7">
        <v>815.68</v>
      </c>
      <c r="K2990" s="9">
        <f>(PricingDataTable[[#This Row],[Current Price ($)]]-PricingDataTable[[#This Row],[Prior Price ($)]])/PricingDataTable[[#This Row],[Prior Price ($)]]</f>
        <v>1.9406113819502625E-2</v>
      </c>
      <c r="L2990" s="9">
        <f>(PricingDataTable[[#This Row],[Vendor Price ($)]]-PricingDataTable[[#This Row],[Current Price ($)]])/PricingDataTable[[#This Row],[Current Price ($)]]</f>
        <v>2.9876151852963493E-3</v>
      </c>
      <c r="M2990" t="str">
        <f t="shared" si="92"/>
        <v>PASS</v>
      </c>
      <c r="N2990" s="10" t="str">
        <f t="shared" si="93"/>
        <v>NONE</v>
      </c>
    </row>
    <row r="2991" spans="1:14">
      <c r="A2991" s="4" t="s">
        <v>5998</v>
      </c>
      <c r="B2991" s="4" t="s">
        <v>5999</v>
      </c>
      <c r="C2991" s="4" t="s">
        <v>39</v>
      </c>
      <c r="D2991" s="4" t="s">
        <v>13</v>
      </c>
      <c r="E2991" s="5">
        <v>328.8648</v>
      </c>
      <c r="F2991" s="5">
        <v>324.20249999999999</v>
      </c>
      <c r="G2991" s="5">
        <v>322.76710000000003</v>
      </c>
      <c r="H2991" s="4">
        <v>0</v>
      </c>
      <c r="I2991" s="6">
        <v>470230</v>
      </c>
      <c r="J2991" s="7">
        <v>511.2</v>
      </c>
      <c r="K2991" s="9">
        <f>(PricingDataTable[[#This Row],[Current Price ($)]]-PricingDataTable[[#This Row],[Prior Price ($)]])/PricingDataTable[[#This Row],[Prior Price ($)]]</f>
        <v>-1.4176950527998181E-2</v>
      </c>
      <c r="L2991" s="9">
        <f>(PricingDataTable[[#This Row],[Vendor Price ($)]]-PricingDataTable[[#This Row],[Current Price ($)]])/PricingDataTable[[#This Row],[Current Price ($)]]</f>
        <v>-4.4274797387434048E-3</v>
      </c>
      <c r="M2991" t="str">
        <f t="shared" si="92"/>
        <v>PASS</v>
      </c>
      <c r="N2991" s="10" t="str">
        <f t="shared" si="93"/>
        <v>NONE</v>
      </c>
    </row>
    <row r="2992" spans="1:14">
      <c r="A2992" s="4" t="s">
        <v>6000</v>
      </c>
      <c r="B2992" s="4" t="s">
        <v>6001</v>
      </c>
      <c r="C2992" s="4" t="s">
        <v>12</v>
      </c>
      <c r="D2992" s="4" t="s">
        <v>32</v>
      </c>
      <c r="E2992" s="5">
        <v>108.0331</v>
      </c>
      <c r="F2992" s="5">
        <v>106.8518</v>
      </c>
      <c r="G2992" s="5">
        <v>107.14870000000001</v>
      </c>
      <c r="H2992" s="4">
        <v>0</v>
      </c>
      <c r="I2992" s="6">
        <v>527256</v>
      </c>
      <c r="J2992" s="7">
        <v>328.25</v>
      </c>
      <c r="K2992" s="9">
        <f>(PricingDataTable[[#This Row],[Current Price ($)]]-PricingDataTable[[#This Row],[Prior Price ($)]])/PricingDataTable[[#This Row],[Prior Price ($)]]</f>
        <v>-1.0934611706967655E-2</v>
      </c>
      <c r="L2992" s="9">
        <f>(PricingDataTable[[#This Row],[Vendor Price ($)]]-PricingDataTable[[#This Row],[Current Price ($)]])/PricingDataTable[[#This Row],[Current Price ($)]]</f>
        <v>2.7786148665722801E-3</v>
      </c>
      <c r="M2992" t="str">
        <f t="shared" si="92"/>
        <v>PASS</v>
      </c>
      <c r="N2992" s="10" t="str">
        <f t="shared" si="93"/>
        <v>NONE</v>
      </c>
    </row>
    <row r="2993" spans="1:14">
      <c r="A2993" s="4" t="s">
        <v>6002</v>
      </c>
      <c r="B2993" s="4" t="s">
        <v>6003</v>
      </c>
      <c r="C2993" s="4" t="s">
        <v>12</v>
      </c>
      <c r="D2993" s="4" t="s">
        <v>13</v>
      </c>
      <c r="E2993" s="5">
        <v>104.0107</v>
      </c>
      <c r="F2993" s="5">
        <v>105.0025</v>
      </c>
      <c r="G2993" s="5">
        <v>105.03959999999999</v>
      </c>
      <c r="H2993" s="4">
        <v>0</v>
      </c>
      <c r="I2993" s="6">
        <v>504175</v>
      </c>
      <c r="J2993" s="7">
        <v>693.03</v>
      </c>
      <c r="K2993" s="9">
        <f>(PricingDataTable[[#This Row],[Current Price ($)]]-PricingDataTable[[#This Row],[Prior Price ($)]])/PricingDataTable[[#This Row],[Prior Price ($)]]</f>
        <v>9.5355573993829261E-3</v>
      </c>
      <c r="L2993" s="9">
        <f>(PricingDataTable[[#This Row],[Vendor Price ($)]]-PricingDataTable[[#This Row],[Current Price ($)]])/PricingDataTable[[#This Row],[Current Price ($)]]</f>
        <v>3.5332492083517294E-4</v>
      </c>
      <c r="M2993" t="str">
        <f t="shared" si="92"/>
        <v>PASS</v>
      </c>
      <c r="N2993" s="10" t="str">
        <f t="shared" si="93"/>
        <v>NONE</v>
      </c>
    </row>
    <row r="2994" spans="1:14">
      <c r="A2994" s="4" t="s">
        <v>6004</v>
      </c>
      <c r="B2994" s="4" t="s">
        <v>6005</v>
      </c>
      <c r="C2994" s="4" t="s">
        <v>19</v>
      </c>
      <c r="D2994" s="4" t="s">
        <v>13</v>
      </c>
      <c r="E2994" s="5">
        <v>268.12</v>
      </c>
      <c r="F2994" s="5">
        <v>262.88650000000001</v>
      </c>
      <c r="G2994" s="5">
        <v>261.73779999999999</v>
      </c>
      <c r="H2994" s="4">
        <v>0</v>
      </c>
      <c r="I2994" s="6">
        <v>610386</v>
      </c>
      <c r="J2994" s="7">
        <v>560.1</v>
      </c>
      <c r="K2994" s="9">
        <f>(PricingDataTable[[#This Row],[Current Price ($)]]-PricingDataTable[[#This Row],[Prior Price ($)]])/PricingDataTable[[#This Row],[Prior Price ($)]]</f>
        <v>-1.9519245114127972E-2</v>
      </c>
      <c r="L2994" s="9">
        <f>(PricingDataTable[[#This Row],[Vendor Price ($)]]-PricingDataTable[[#This Row],[Current Price ($)]])/PricingDataTable[[#This Row],[Current Price ($)]]</f>
        <v>-4.3695663337600804E-3</v>
      </c>
      <c r="M2994" t="str">
        <f t="shared" si="92"/>
        <v>PASS</v>
      </c>
      <c r="N2994" s="10" t="str">
        <f t="shared" si="93"/>
        <v>NONE</v>
      </c>
    </row>
    <row r="2995" spans="1:14">
      <c r="A2995" s="4" t="s">
        <v>6006</v>
      </c>
      <c r="B2995" s="4" t="s">
        <v>6007</v>
      </c>
      <c r="C2995" s="4" t="s">
        <v>16</v>
      </c>
      <c r="D2995" s="4" t="s">
        <v>64</v>
      </c>
      <c r="E2995" s="5">
        <v>104.8263</v>
      </c>
      <c r="F2995" s="5">
        <v>106.2955</v>
      </c>
      <c r="G2995" s="5">
        <v>106.34520000000001</v>
      </c>
      <c r="H2995" s="4">
        <v>0</v>
      </c>
      <c r="I2995" s="6">
        <v>610137</v>
      </c>
      <c r="J2995" s="7">
        <v>803.31</v>
      </c>
      <c r="K2995" s="9">
        <f>(PricingDataTable[[#This Row],[Current Price ($)]]-PricingDataTable[[#This Row],[Prior Price ($)]])/PricingDataTable[[#This Row],[Prior Price ($)]]</f>
        <v>1.4015566704157264E-2</v>
      </c>
      <c r="L2995" s="9">
        <f>(PricingDataTable[[#This Row],[Vendor Price ($)]]-PricingDataTable[[#This Row],[Current Price ($)]])/PricingDataTable[[#This Row],[Current Price ($)]]</f>
        <v>4.6756447827049505E-4</v>
      </c>
      <c r="M2995" t="str">
        <f t="shared" si="92"/>
        <v>PASS</v>
      </c>
      <c r="N2995" s="10" t="str">
        <f t="shared" si="93"/>
        <v>NONE</v>
      </c>
    </row>
    <row r="2996" spans="1:14">
      <c r="A2996" s="4" t="s">
        <v>6008</v>
      </c>
      <c r="B2996" s="4" t="s">
        <v>6009</v>
      </c>
      <c r="C2996" s="4" t="s">
        <v>39</v>
      </c>
      <c r="D2996" s="4" t="s">
        <v>13</v>
      </c>
      <c r="E2996" s="5">
        <v>226.4307</v>
      </c>
      <c r="F2996" s="5">
        <v>228.28960000000001</v>
      </c>
      <c r="G2996" s="5">
        <v>227.79740000000001</v>
      </c>
      <c r="H2996" s="4">
        <v>1</v>
      </c>
      <c r="I2996" s="6">
        <v>17430</v>
      </c>
      <c r="J2996" s="7">
        <v>368.42</v>
      </c>
      <c r="K2996" s="9">
        <f>(PricingDataTable[[#This Row],[Current Price ($)]]-PricingDataTable[[#This Row],[Prior Price ($)]])/PricingDataTable[[#This Row],[Prior Price ($)]]</f>
        <v>8.2095758216531832E-3</v>
      </c>
      <c r="L2996" s="9">
        <f>(PricingDataTable[[#This Row],[Vendor Price ($)]]-PricingDataTable[[#This Row],[Current Price ($)]])/PricingDataTable[[#This Row],[Current Price ($)]]</f>
        <v>-2.1560333891688312E-3</v>
      </c>
      <c r="M2996" t="str">
        <f t="shared" si="92"/>
        <v>PASS</v>
      </c>
      <c r="N2996" s="10" t="str">
        <f t="shared" si="93"/>
        <v>NONE</v>
      </c>
    </row>
    <row r="2997" spans="1:14">
      <c r="A2997" s="4" t="s">
        <v>6010</v>
      </c>
      <c r="B2997" s="4" t="s">
        <v>6011</v>
      </c>
      <c r="C2997" s="4" t="s">
        <v>16</v>
      </c>
      <c r="D2997" s="4" t="s">
        <v>13</v>
      </c>
      <c r="E2997" s="5">
        <v>112.01900000000001</v>
      </c>
      <c r="F2997" s="5">
        <v>111.9727</v>
      </c>
      <c r="G2997" s="5">
        <v>111.6641</v>
      </c>
      <c r="H2997" s="4">
        <v>0</v>
      </c>
      <c r="I2997" s="6">
        <v>4945318</v>
      </c>
      <c r="J2997" s="7">
        <v>877.48</v>
      </c>
      <c r="K2997" s="9">
        <f>(PricingDataTable[[#This Row],[Current Price ($)]]-PricingDataTable[[#This Row],[Prior Price ($)]])/PricingDataTable[[#This Row],[Prior Price ($)]]</f>
        <v>-4.1332273989235955E-4</v>
      </c>
      <c r="L2997" s="9">
        <f>(PricingDataTable[[#This Row],[Vendor Price ($)]]-PricingDataTable[[#This Row],[Current Price ($)]])/PricingDataTable[[#This Row],[Current Price ($)]]</f>
        <v>-2.7560289249075748E-3</v>
      </c>
      <c r="M2997" t="str">
        <f t="shared" si="92"/>
        <v>PASS</v>
      </c>
      <c r="N2997" s="10" t="str">
        <f t="shared" si="93"/>
        <v>NONE</v>
      </c>
    </row>
    <row r="2998" spans="1:14">
      <c r="A2998" s="4" t="s">
        <v>6012</v>
      </c>
      <c r="B2998" s="4" t="s">
        <v>6013</v>
      </c>
      <c r="C2998" s="4" t="s">
        <v>19</v>
      </c>
      <c r="D2998" s="4" t="s">
        <v>237</v>
      </c>
      <c r="E2998" s="5">
        <v>19.450800000000001</v>
      </c>
      <c r="F2998" s="5">
        <v>19.541699999999999</v>
      </c>
      <c r="G2998" s="5">
        <v>19.5505</v>
      </c>
      <c r="H2998" s="4">
        <v>2</v>
      </c>
      <c r="I2998" s="6">
        <v>4685081</v>
      </c>
      <c r="J2998" s="7">
        <v>548.04999999999995</v>
      </c>
      <c r="K2998" s="9">
        <f>(PricingDataTable[[#This Row],[Current Price ($)]]-PricingDataTable[[#This Row],[Prior Price ($)]])/PricingDataTable[[#This Row],[Prior Price ($)]]</f>
        <v>4.6733296316859851E-3</v>
      </c>
      <c r="L2998" s="9">
        <f>(PricingDataTable[[#This Row],[Vendor Price ($)]]-PricingDataTable[[#This Row],[Current Price ($)]])/PricingDataTable[[#This Row],[Current Price ($)]]</f>
        <v>4.5031906128948902E-4</v>
      </c>
      <c r="M2998" t="str">
        <f t="shared" si="92"/>
        <v>PASS</v>
      </c>
      <c r="N2998" s="10" t="str">
        <f t="shared" si="93"/>
        <v>NONE</v>
      </c>
    </row>
    <row r="2999" spans="1:14">
      <c r="A2999" s="4" t="s">
        <v>6014</v>
      </c>
      <c r="B2999" s="4" t="s">
        <v>6015</v>
      </c>
      <c r="C2999" s="4" t="s">
        <v>12</v>
      </c>
      <c r="D2999" s="4" t="s">
        <v>13</v>
      </c>
      <c r="E2999" s="5">
        <v>106.68340000000001</v>
      </c>
      <c r="F2999" s="5">
        <v>105.70099999999999</v>
      </c>
      <c r="G2999" s="5">
        <v>105.75020000000001</v>
      </c>
      <c r="H2999" s="4">
        <v>0</v>
      </c>
      <c r="I2999" s="6">
        <v>1778281</v>
      </c>
      <c r="J2999" s="7">
        <v>163.19999999999999</v>
      </c>
      <c r="K2999" s="9">
        <f>(PricingDataTable[[#This Row],[Current Price ($)]]-PricingDataTable[[#This Row],[Prior Price ($)]])/PricingDataTable[[#This Row],[Prior Price ($)]]</f>
        <v>-9.2085554078705084E-3</v>
      </c>
      <c r="L2999" s="9">
        <f>(PricingDataTable[[#This Row],[Vendor Price ($)]]-PricingDataTable[[#This Row],[Current Price ($)]])/PricingDataTable[[#This Row],[Current Price ($)]]</f>
        <v>4.654639028960297E-4</v>
      </c>
      <c r="M2999" t="str">
        <f t="shared" si="92"/>
        <v>PASS</v>
      </c>
      <c r="N2999" s="10" t="str">
        <f t="shared" si="93"/>
        <v>NONE</v>
      </c>
    </row>
    <row r="3000" spans="1:14">
      <c r="A3000" s="4" t="s">
        <v>6016</v>
      </c>
      <c r="B3000" s="4" t="s">
        <v>6017</v>
      </c>
      <c r="C3000" s="4" t="s">
        <v>12</v>
      </c>
      <c r="D3000" s="4" t="s">
        <v>13</v>
      </c>
      <c r="E3000" s="5">
        <v>75.501099999999994</v>
      </c>
      <c r="F3000" s="5">
        <v>76.560299999999998</v>
      </c>
      <c r="G3000" s="5">
        <v>76.239400000000003</v>
      </c>
      <c r="H3000" s="4">
        <v>0</v>
      </c>
      <c r="I3000" s="6">
        <v>4080606</v>
      </c>
      <c r="J3000" s="7">
        <v>627.67999999999995</v>
      </c>
      <c r="K3000" s="9">
        <f>(PricingDataTable[[#This Row],[Current Price ($)]]-PricingDataTable[[#This Row],[Prior Price ($)]])/PricingDataTable[[#This Row],[Prior Price ($)]]</f>
        <v>1.4028934677772963E-2</v>
      </c>
      <c r="L3000" s="9">
        <f>(PricingDataTable[[#This Row],[Vendor Price ($)]]-PricingDataTable[[#This Row],[Current Price ($)]])/PricingDataTable[[#This Row],[Current Price ($)]]</f>
        <v>-4.1914673793074821E-3</v>
      </c>
      <c r="M3000" t="str">
        <f t="shared" si="92"/>
        <v>PASS</v>
      </c>
      <c r="N3000" s="10" t="str">
        <f t="shared" si="93"/>
        <v>NONE</v>
      </c>
    </row>
    <row r="3001" spans="1:14">
      <c r="A3001" s="4" t="s">
        <v>6018</v>
      </c>
      <c r="B3001" s="4" t="s">
        <v>6019</v>
      </c>
      <c r="C3001" s="4" t="s">
        <v>16</v>
      </c>
      <c r="D3001" s="4" t="s">
        <v>13</v>
      </c>
      <c r="E3001" s="5">
        <v>117.5167</v>
      </c>
      <c r="F3001" s="5">
        <v>118.3656</v>
      </c>
      <c r="G3001" s="5">
        <v>118.72920000000001</v>
      </c>
      <c r="H3001" s="4">
        <v>0</v>
      </c>
      <c r="I3001" s="6">
        <v>2335194</v>
      </c>
      <c r="J3001" s="7">
        <v>230.61</v>
      </c>
      <c r="K3001" s="9">
        <f>(PricingDataTable[[#This Row],[Current Price ($)]]-PricingDataTable[[#This Row],[Prior Price ($)]])/PricingDataTable[[#This Row],[Prior Price ($)]]</f>
        <v>7.2236541700030753E-3</v>
      </c>
      <c r="L3001" s="9">
        <f>(PricingDataTable[[#This Row],[Vendor Price ($)]]-PricingDataTable[[#This Row],[Current Price ($)]])/PricingDataTable[[#This Row],[Current Price ($)]]</f>
        <v>3.0718384395466694E-3</v>
      </c>
      <c r="M3001" t="str">
        <f t="shared" si="92"/>
        <v>PASS</v>
      </c>
      <c r="N3001" s="10" t="str">
        <f t="shared" si="93"/>
        <v>NONE</v>
      </c>
    </row>
    <row r="3002" spans="1:14">
      <c r="A3002" s="4" t="s">
        <v>6020</v>
      </c>
      <c r="B3002" s="4" t="s">
        <v>6021</v>
      </c>
      <c r="C3002" s="4" t="s">
        <v>19</v>
      </c>
      <c r="D3002" s="4" t="s">
        <v>13</v>
      </c>
      <c r="E3002" s="5">
        <v>48.078699999999998</v>
      </c>
      <c r="F3002" s="5">
        <v>47.637099999999997</v>
      </c>
      <c r="G3002" s="5">
        <v>47.897199999999998</v>
      </c>
      <c r="H3002" s="4">
        <v>1</v>
      </c>
      <c r="I3002" s="6">
        <v>862161</v>
      </c>
      <c r="J3002" s="7">
        <v>189.81</v>
      </c>
      <c r="K3002" s="9">
        <f>(PricingDataTable[[#This Row],[Current Price ($)]]-PricingDataTable[[#This Row],[Prior Price ($)]])/PricingDataTable[[#This Row],[Prior Price ($)]]</f>
        <v>-9.1849405245982337E-3</v>
      </c>
      <c r="L3002" s="9">
        <f>(PricingDataTable[[#This Row],[Vendor Price ($)]]-PricingDataTable[[#This Row],[Current Price ($)]])/PricingDataTable[[#This Row],[Current Price ($)]]</f>
        <v>5.460030102588137E-3</v>
      </c>
      <c r="M3002" t="str">
        <f t="shared" si="92"/>
        <v>PASS</v>
      </c>
      <c r="N3002" s="10" t="str">
        <f t="shared" si="93"/>
        <v>NONE</v>
      </c>
    </row>
    <row r="3003" spans="1:14">
      <c r="A3003" s="4" t="s">
        <v>6022</v>
      </c>
      <c r="B3003" s="4" t="s">
        <v>6023</v>
      </c>
      <c r="C3003" s="4" t="s">
        <v>35</v>
      </c>
      <c r="D3003" s="4" t="s">
        <v>32</v>
      </c>
      <c r="E3003" s="5">
        <v>46.218499999999999</v>
      </c>
      <c r="F3003" s="5">
        <v>46.529899999999998</v>
      </c>
      <c r="G3003" s="5">
        <v>46.4771</v>
      </c>
      <c r="H3003" s="4">
        <v>0</v>
      </c>
      <c r="I3003" s="6">
        <v>2682137</v>
      </c>
      <c r="J3003" s="7">
        <v>807.53</v>
      </c>
      <c r="K3003" s="9">
        <f>(PricingDataTable[[#This Row],[Current Price ($)]]-PricingDataTable[[#This Row],[Prior Price ($)]])/PricingDataTable[[#This Row],[Prior Price ($)]]</f>
        <v>6.7375617988467609E-3</v>
      </c>
      <c r="L3003" s="9">
        <f>(PricingDataTable[[#This Row],[Vendor Price ($)]]-PricingDataTable[[#This Row],[Current Price ($)]])/PricingDataTable[[#This Row],[Current Price ($)]]</f>
        <v>-1.1347542118078427E-3</v>
      </c>
      <c r="M3003" t="str">
        <f t="shared" si="92"/>
        <v>PASS</v>
      </c>
      <c r="N3003" s="10" t="str">
        <f t="shared" si="93"/>
        <v>NONE</v>
      </c>
    </row>
    <row r="3004" spans="1:14">
      <c r="A3004" s="4" t="s">
        <v>6024</v>
      </c>
      <c r="B3004" s="4" t="s">
        <v>6025</v>
      </c>
      <c r="C3004" s="4" t="s">
        <v>12</v>
      </c>
      <c r="D3004" s="4" t="s">
        <v>13</v>
      </c>
      <c r="E3004" s="5">
        <v>82.360399999999998</v>
      </c>
      <c r="F3004" s="5">
        <v>82.507000000000005</v>
      </c>
      <c r="G3004" s="5">
        <v>82.8887</v>
      </c>
      <c r="H3004" s="4">
        <v>0</v>
      </c>
      <c r="I3004" s="6">
        <v>3628661</v>
      </c>
      <c r="J3004" s="7">
        <v>293.44</v>
      </c>
      <c r="K3004" s="9">
        <f>(PricingDataTable[[#This Row],[Current Price ($)]]-PricingDataTable[[#This Row],[Prior Price ($)]])/PricingDataTable[[#This Row],[Prior Price ($)]]</f>
        <v>1.7799816416628198E-3</v>
      </c>
      <c r="L3004" s="9">
        <f>(PricingDataTable[[#This Row],[Vendor Price ($)]]-PricingDataTable[[#This Row],[Current Price ($)]])/PricingDataTable[[#This Row],[Current Price ($)]]</f>
        <v>4.6262741343158159E-3</v>
      </c>
      <c r="M3004" t="str">
        <f t="shared" si="92"/>
        <v>PASS</v>
      </c>
      <c r="N3004" s="10" t="str">
        <f t="shared" si="93"/>
        <v>NONE</v>
      </c>
    </row>
    <row r="3005" spans="1:14">
      <c r="A3005" s="4" t="s">
        <v>6026</v>
      </c>
      <c r="B3005" s="4" t="s">
        <v>6027</v>
      </c>
      <c r="C3005" s="4" t="s">
        <v>16</v>
      </c>
      <c r="D3005" s="4" t="s">
        <v>13</v>
      </c>
      <c r="E3005" s="5">
        <v>119.324</v>
      </c>
      <c r="F3005" s="5">
        <v>119.1658</v>
      </c>
      <c r="G3005" s="5">
        <v>119.2059</v>
      </c>
      <c r="H3005" s="4">
        <v>0</v>
      </c>
      <c r="I3005" s="6">
        <v>2558013</v>
      </c>
      <c r="J3005" s="7">
        <v>703.78</v>
      </c>
      <c r="K3005" s="9">
        <f>(PricingDataTable[[#This Row],[Current Price ($)]]-PricingDataTable[[#This Row],[Prior Price ($)]])/PricingDataTable[[#This Row],[Prior Price ($)]]</f>
        <v>-1.3258020180348773E-3</v>
      </c>
      <c r="L3005" s="9">
        <f>(PricingDataTable[[#This Row],[Vendor Price ($)]]-PricingDataTable[[#This Row],[Current Price ($)]])/PricingDataTable[[#This Row],[Current Price ($)]]</f>
        <v>3.3650594381941262E-4</v>
      </c>
      <c r="M3005" t="str">
        <f t="shared" si="92"/>
        <v>PASS</v>
      </c>
      <c r="N3005" s="10" t="str">
        <f t="shared" si="93"/>
        <v>NONE</v>
      </c>
    </row>
    <row r="3006" spans="1:14">
      <c r="A3006" s="4" t="s">
        <v>6028</v>
      </c>
      <c r="B3006" s="4" t="s">
        <v>6029</v>
      </c>
      <c r="C3006" s="4" t="s">
        <v>35</v>
      </c>
      <c r="D3006" s="4" t="s">
        <v>13</v>
      </c>
      <c r="E3006" s="5">
        <v>154.70959999999999</v>
      </c>
      <c r="F3006" s="5">
        <v>152.53659999999999</v>
      </c>
      <c r="G3006" s="5">
        <v>152.39529999999999</v>
      </c>
      <c r="H3006" s="4">
        <v>0</v>
      </c>
      <c r="I3006" s="6">
        <v>3791034</v>
      </c>
      <c r="J3006" s="7">
        <v>21.16</v>
      </c>
      <c r="K3006" s="9">
        <f>(PricingDataTable[[#This Row],[Current Price ($)]]-PricingDataTable[[#This Row],[Prior Price ($)]])/PricingDataTable[[#This Row],[Prior Price ($)]]</f>
        <v>-1.4045670081236084E-2</v>
      </c>
      <c r="L3006" s="9">
        <f>(PricingDataTable[[#This Row],[Vendor Price ($)]]-PricingDataTable[[#This Row],[Current Price ($)]])/PricingDataTable[[#This Row],[Current Price ($)]]</f>
        <v>-9.26335056635595E-4</v>
      </c>
      <c r="M3006" t="str">
        <f t="shared" si="92"/>
        <v>PASS</v>
      </c>
      <c r="N3006" s="10" t="str">
        <f t="shared" si="93"/>
        <v>NONE</v>
      </c>
    </row>
    <row r="3007" spans="1:14">
      <c r="A3007" s="4" t="s">
        <v>6030</v>
      </c>
      <c r="B3007" s="4" t="s">
        <v>6031</v>
      </c>
      <c r="C3007" s="4" t="s">
        <v>12</v>
      </c>
      <c r="D3007" s="4" t="s">
        <v>13</v>
      </c>
      <c r="E3007" s="5">
        <v>100.33199999999999</v>
      </c>
      <c r="F3007" s="5">
        <v>88.231700000000004</v>
      </c>
      <c r="G3007" s="5">
        <v>88.274299999999997</v>
      </c>
      <c r="H3007" s="4">
        <v>1</v>
      </c>
      <c r="I3007" s="6">
        <v>1702719</v>
      </c>
      <c r="J3007" s="7">
        <v>843.38</v>
      </c>
      <c r="K3007" s="9">
        <f>(PricingDataTable[[#This Row],[Current Price ($)]]-PricingDataTable[[#This Row],[Prior Price ($)]])/PricingDataTable[[#This Row],[Prior Price ($)]]</f>
        <v>-0.12060259937009121</v>
      </c>
      <c r="L3007" s="9">
        <f>(PricingDataTable[[#This Row],[Vendor Price ($)]]-PricingDataTable[[#This Row],[Current Price ($)]])/PricingDataTable[[#This Row],[Current Price ($)]]</f>
        <v>4.8281966685435152E-4</v>
      </c>
      <c r="M3007" t="str">
        <f t="shared" si="92"/>
        <v>LARGE MOVE</v>
      </c>
      <c r="N3007" s="10" t="str">
        <f t="shared" si="93"/>
        <v>HIGH</v>
      </c>
    </row>
    <row r="3008" spans="1:14">
      <c r="A3008" s="4" t="s">
        <v>6032</v>
      </c>
      <c r="B3008" s="4" t="s">
        <v>6033</v>
      </c>
      <c r="C3008" s="4" t="s">
        <v>35</v>
      </c>
      <c r="D3008" s="4" t="s">
        <v>237</v>
      </c>
      <c r="E3008" s="5">
        <v>68.443100000000001</v>
      </c>
      <c r="F3008" s="5">
        <v>68.7851</v>
      </c>
      <c r="G3008" s="5">
        <v>68.796000000000006</v>
      </c>
      <c r="H3008" s="4">
        <v>3</v>
      </c>
      <c r="I3008" s="6">
        <v>1804780</v>
      </c>
      <c r="J3008" s="7">
        <v>752.02</v>
      </c>
      <c r="K3008" s="9">
        <f>(PricingDataTable[[#This Row],[Current Price ($)]]-PricingDataTable[[#This Row],[Prior Price ($)]])/PricingDataTable[[#This Row],[Prior Price ($)]]</f>
        <v>4.9968513991914265E-3</v>
      </c>
      <c r="L3008" s="9">
        <f>(PricingDataTable[[#This Row],[Vendor Price ($)]]-PricingDataTable[[#This Row],[Current Price ($)]])/PricingDataTable[[#This Row],[Current Price ($)]]</f>
        <v>1.5846455118923388E-4</v>
      </c>
      <c r="M3008" t="str">
        <f t="shared" si="92"/>
        <v>STALE</v>
      </c>
      <c r="N3008" s="10" t="str">
        <f t="shared" si="93"/>
        <v>LOW</v>
      </c>
    </row>
    <row r="3009" spans="1:14">
      <c r="A3009" s="4" t="s">
        <v>6034</v>
      </c>
      <c r="B3009" s="4" t="s">
        <v>6035</v>
      </c>
      <c r="C3009" s="4" t="s">
        <v>35</v>
      </c>
      <c r="D3009" s="4" t="s">
        <v>13</v>
      </c>
      <c r="E3009" s="5">
        <v>166.62739999999999</v>
      </c>
      <c r="F3009" s="5">
        <v>166.80199999999999</v>
      </c>
      <c r="G3009" s="5">
        <v>165.8262</v>
      </c>
      <c r="H3009" s="4">
        <v>0</v>
      </c>
      <c r="I3009" s="6">
        <v>3688471</v>
      </c>
      <c r="J3009" s="7">
        <v>888.84</v>
      </c>
      <c r="K3009" s="9">
        <f>(PricingDataTable[[#This Row],[Current Price ($)]]-PricingDataTable[[#This Row],[Prior Price ($)]])/PricingDataTable[[#This Row],[Prior Price ($)]]</f>
        <v>1.0478468727232021E-3</v>
      </c>
      <c r="L3009" s="9">
        <f>(PricingDataTable[[#This Row],[Vendor Price ($)]]-PricingDataTable[[#This Row],[Current Price ($)]])/PricingDataTable[[#This Row],[Current Price ($)]]</f>
        <v>-5.8500497595951641E-3</v>
      </c>
      <c r="M3009" t="str">
        <f t="shared" si="92"/>
        <v>PASS</v>
      </c>
      <c r="N3009" s="10" t="str">
        <f t="shared" si="93"/>
        <v>NONE</v>
      </c>
    </row>
    <row r="3010" spans="1:14">
      <c r="A3010" s="4" t="s">
        <v>6036</v>
      </c>
      <c r="B3010" s="4" t="s">
        <v>6037</v>
      </c>
      <c r="C3010" s="4" t="s">
        <v>16</v>
      </c>
      <c r="D3010" s="4" t="s">
        <v>13</v>
      </c>
      <c r="E3010" s="5">
        <v>118.08629999999999</v>
      </c>
      <c r="F3010" s="5">
        <v>117.0763</v>
      </c>
      <c r="G3010" s="5">
        <v>116.4406</v>
      </c>
      <c r="H3010" s="4">
        <v>3</v>
      </c>
      <c r="I3010" s="6">
        <v>1476023</v>
      </c>
      <c r="J3010" s="7">
        <v>634.07000000000005</v>
      </c>
      <c r="K3010" s="9">
        <f>(PricingDataTable[[#This Row],[Current Price ($)]]-PricingDataTable[[#This Row],[Prior Price ($)]])/PricingDataTable[[#This Row],[Prior Price ($)]]</f>
        <v>-8.5530666978302396E-3</v>
      </c>
      <c r="L3010" s="9">
        <f>(PricingDataTable[[#This Row],[Vendor Price ($)]]-PricingDataTable[[#This Row],[Current Price ($)]])/PricingDataTable[[#This Row],[Current Price ($)]]</f>
        <v>-5.4297923661748787E-3</v>
      </c>
      <c r="M3010" t="str">
        <f t="shared" ref="M3010:M3073" si="94">IF(OR(F3010="",F3010=0),"MISSING",IF(H3010&gt;=3,"STALE",IF(ABS(K3010)&gt;=5%,"LARGE MOVE",IF(ABS(L3010)&gt;=2%,"VENDOR DIFFERENCE","PASS"))))</f>
        <v>STALE</v>
      </c>
      <c r="N3010" s="10" t="str">
        <f t="shared" ref="N3010:N3073" si="95">IF(M3010="PASS","NONE",IF(M3010="MISSING","HIGH",IF(OR(ABS(K3010)&gt;=10%,ABS(L3010)&gt;=5%),"HIGH",IF(OR(ABS(K3010)&gt;=7%,ABS(L3010)&gt;=3%,H3010&gt;=5),"MEDIUM","LOW"))))</f>
        <v>LOW</v>
      </c>
    </row>
    <row r="3011" spans="1:14">
      <c r="A3011" s="4" t="s">
        <v>6038</v>
      </c>
      <c r="B3011" s="4" t="s">
        <v>6039</v>
      </c>
      <c r="C3011" s="4" t="s">
        <v>35</v>
      </c>
      <c r="D3011" s="4" t="s">
        <v>64</v>
      </c>
      <c r="E3011" s="5">
        <v>71.4816</v>
      </c>
      <c r="F3011" s="5">
        <v>71.923199999999994</v>
      </c>
      <c r="G3011" s="5">
        <v>71.713899999999995</v>
      </c>
      <c r="H3011" s="4">
        <v>1</v>
      </c>
      <c r="I3011" s="6">
        <v>2264491</v>
      </c>
      <c r="J3011" s="7">
        <v>725.83</v>
      </c>
      <c r="K3011" s="9">
        <f>(PricingDataTable[[#This Row],[Current Price ($)]]-PricingDataTable[[#This Row],[Prior Price ($)]])/PricingDataTable[[#This Row],[Prior Price ($)]]</f>
        <v>6.1778135911898166E-3</v>
      </c>
      <c r="L3011" s="9">
        <f>(PricingDataTable[[#This Row],[Vendor Price ($)]]-PricingDataTable[[#This Row],[Current Price ($)]])/PricingDataTable[[#This Row],[Current Price ($)]]</f>
        <v>-2.9100484961736817E-3</v>
      </c>
      <c r="M3011" t="str">
        <f t="shared" si="94"/>
        <v>PASS</v>
      </c>
      <c r="N3011" s="10" t="str">
        <f t="shared" si="95"/>
        <v>NONE</v>
      </c>
    </row>
    <row r="3012" spans="1:14">
      <c r="A3012" s="4" t="s">
        <v>6040</v>
      </c>
      <c r="B3012" s="4" t="s">
        <v>6041</v>
      </c>
      <c r="C3012" s="4" t="s">
        <v>19</v>
      </c>
      <c r="D3012" s="4" t="s">
        <v>13</v>
      </c>
      <c r="E3012" s="5">
        <v>139.1396</v>
      </c>
      <c r="F3012" s="5">
        <v>140.0334</v>
      </c>
      <c r="G3012" s="5">
        <v>139.94329999999999</v>
      </c>
      <c r="H3012" s="4">
        <v>0</v>
      </c>
      <c r="I3012" s="6">
        <v>2151758</v>
      </c>
      <c r="J3012" s="7">
        <v>609.01</v>
      </c>
      <c r="K3012" s="9">
        <f>(PricingDataTable[[#This Row],[Current Price ($)]]-PricingDataTable[[#This Row],[Prior Price ($)]])/PricingDataTable[[#This Row],[Prior Price ($)]]</f>
        <v>6.4237643345244544E-3</v>
      </c>
      <c r="L3012" s="9">
        <f>(PricingDataTable[[#This Row],[Vendor Price ($)]]-PricingDataTable[[#This Row],[Current Price ($)]])/PricingDataTable[[#This Row],[Current Price ($)]]</f>
        <v>-6.4341792743735941E-4</v>
      </c>
      <c r="M3012" t="str">
        <f t="shared" si="94"/>
        <v>PASS</v>
      </c>
      <c r="N3012" s="10" t="str">
        <f t="shared" si="95"/>
        <v>NONE</v>
      </c>
    </row>
    <row r="3013" spans="1:14">
      <c r="A3013" s="4" t="s">
        <v>6042</v>
      </c>
      <c r="B3013" s="4" t="s">
        <v>6043</v>
      </c>
      <c r="C3013" s="4" t="s">
        <v>16</v>
      </c>
      <c r="D3013" s="4" t="s">
        <v>32</v>
      </c>
      <c r="E3013" s="5">
        <v>81.101200000000006</v>
      </c>
      <c r="F3013" s="5">
        <v>80.047600000000003</v>
      </c>
      <c r="G3013" s="5">
        <v>80.0184</v>
      </c>
      <c r="H3013" s="4">
        <v>0</v>
      </c>
      <c r="I3013" s="6">
        <v>4972268</v>
      </c>
      <c r="J3013" s="7">
        <v>717.74</v>
      </c>
      <c r="K3013" s="9">
        <f>(PricingDataTable[[#This Row],[Current Price ($)]]-PricingDataTable[[#This Row],[Prior Price ($)]])/PricingDataTable[[#This Row],[Prior Price ($)]]</f>
        <v>-1.2991176456082066E-2</v>
      </c>
      <c r="L3013" s="9">
        <f>(PricingDataTable[[#This Row],[Vendor Price ($)]]-PricingDataTable[[#This Row],[Current Price ($)]])/PricingDataTable[[#This Row],[Current Price ($)]]</f>
        <v>-3.6478295414232284E-4</v>
      </c>
      <c r="M3013" t="str">
        <f t="shared" si="94"/>
        <v>PASS</v>
      </c>
      <c r="N3013" s="10" t="str">
        <f t="shared" si="95"/>
        <v>NONE</v>
      </c>
    </row>
    <row r="3014" spans="1:14">
      <c r="A3014" s="4" t="s">
        <v>6044</v>
      </c>
      <c r="B3014" s="4" t="s">
        <v>6045</v>
      </c>
      <c r="C3014" s="4" t="s">
        <v>12</v>
      </c>
      <c r="D3014" s="4" t="s">
        <v>13</v>
      </c>
      <c r="E3014" s="5">
        <v>76.846900000000005</v>
      </c>
      <c r="F3014" s="5">
        <v>75.507099999999994</v>
      </c>
      <c r="G3014" s="5">
        <v>75.799700000000001</v>
      </c>
      <c r="H3014" s="4">
        <v>0</v>
      </c>
      <c r="I3014" s="6">
        <v>4884970</v>
      </c>
      <c r="J3014" s="7">
        <v>464.76</v>
      </c>
      <c r="K3014" s="9">
        <f>(PricingDataTable[[#This Row],[Current Price ($)]]-PricingDataTable[[#This Row],[Prior Price ($)]])/PricingDataTable[[#This Row],[Prior Price ($)]]</f>
        <v>-1.7434665549293606E-2</v>
      </c>
      <c r="L3014" s="9">
        <f>(PricingDataTable[[#This Row],[Vendor Price ($)]]-PricingDataTable[[#This Row],[Current Price ($)]])/PricingDataTable[[#This Row],[Current Price ($)]]</f>
        <v>3.875132272329454E-3</v>
      </c>
      <c r="M3014" t="str">
        <f t="shared" si="94"/>
        <v>PASS</v>
      </c>
      <c r="N3014" s="10" t="str">
        <f t="shared" si="95"/>
        <v>NONE</v>
      </c>
    </row>
    <row r="3015" spans="1:14">
      <c r="A3015" s="4" t="s">
        <v>6046</v>
      </c>
      <c r="B3015" s="4" t="s">
        <v>6047</v>
      </c>
      <c r="C3015" s="4" t="s">
        <v>19</v>
      </c>
      <c r="D3015" s="4" t="s">
        <v>13</v>
      </c>
      <c r="E3015" s="5">
        <v>173.78229999999999</v>
      </c>
      <c r="F3015" s="5">
        <v>172.07669999999999</v>
      </c>
      <c r="G3015" s="5">
        <v>172.50829999999999</v>
      </c>
      <c r="H3015" s="4">
        <v>0</v>
      </c>
      <c r="I3015" s="6">
        <v>3023366</v>
      </c>
      <c r="J3015" s="7">
        <v>339.07</v>
      </c>
      <c r="K3015" s="9">
        <f>(PricingDataTable[[#This Row],[Current Price ($)]]-PricingDataTable[[#This Row],[Prior Price ($)]])/PricingDataTable[[#This Row],[Prior Price ($)]]</f>
        <v>-9.8145783546425853E-3</v>
      </c>
      <c r="L3015" s="9">
        <f>(PricingDataTable[[#This Row],[Vendor Price ($)]]-PricingDataTable[[#This Row],[Current Price ($)]])/PricingDataTable[[#This Row],[Current Price ($)]]</f>
        <v>2.5081838505736287E-3</v>
      </c>
      <c r="M3015" t="str">
        <f t="shared" si="94"/>
        <v>PASS</v>
      </c>
      <c r="N3015" s="10" t="str">
        <f t="shared" si="95"/>
        <v>NONE</v>
      </c>
    </row>
    <row r="3016" spans="1:14">
      <c r="A3016" s="4" t="s">
        <v>6048</v>
      </c>
      <c r="B3016" s="4" t="s">
        <v>6049</v>
      </c>
      <c r="C3016" s="4" t="s">
        <v>35</v>
      </c>
      <c r="D3016" s="4" t="s">
        <v>13</v>
      </c>
      <c r="E3016" s="5">
        <v>8.1519999999999992</v>
      </c>
      <c r="F3016" s="5">
        <v>8.0343999999999998</v>
      </c>
      <c r="G3016" s="5">
        <v>8.0181000000000004</v>
      </c>
      <c r="H3016" s="4">
        <v>0</v>
      </c>
      <c r="I3016" s="6">
        <v>15019</v>
      </c>
      <c r="J3016" s="7">
        <v>609.69000000000005</v>
      </c>
      <c r="K3016" s="9">
        <f>(PricingDataTable[[#This Row],[Current Price ($)]]-PricingDataTable[[#This Row],[Prior Price ($)]])/PricingDataTable[[#This Row],[Prior Price ($)]]</f>
        <v>-1.4425907752698662E-2</v>
      </c>
      <c r="L3016" s="9">
        <f>(PricingDataTable[[#This Row],[Vendor Price ($)]]-PricingDataTable[[#This Row],[Current Price ($)]])/PricingDataTable[[#This Row],[Current Price ($)]]</f>
        <v>-2.0287762620730004E-3</v>
      </c>
      <c r="M3016" t="str">
        <f t="shared" si="94"/>
        <v>PASS</v>
      </c>
      <c r="N3016" s="10" t="str">
        <f t="shared" si="95"/>
        <v>NONE</v>
      </c>
    </row>
    <row r="3017" spans="1:14">
      <c r="A3017" s="4" t="s">
        <v>6050</v>
      </c>
      <c r="B3017" s="4" t="s">
        <v>6051</v>
      </c>
      <c r="C3017" s="4" t="s">
        <v>39</v>
      </c>
      <c r="D3017" s="4" t="s">
        <v>13</v>
      </c>
      <c r="E3017" s="5">
        <v>139.191</v>
      </c>
      <c r="F3017" s="5">
        <v>139.80869999999999</v>
      </c>
      <c r="G3017" s="5">
        <v>132.5941</v>
      </c>
      <c r="H3017" s="4">
        <v>1</v>
      </c>
      <c r="I3017" s="6">
        <v>3358573</v>
      </c>
      <c r="J3017" s="7">
        <v>23.3</v>
      </c>
      <c r="K3017" s="9">
        <f>(PricingDataTable[[#This Row],[Current Price ($)]]-PricingDataTable[[#This Row],[Prior Price ($)]])/PricingDataTable[[#This Row],[Prior Price ($)]]</f>
        <v>4.4377869258787209E-3</v>
      </c>
      <c r="L3017" s="9">
        <f>(PricingDataTable[[#This Row],[Vendor Price ($)]]-PricingDataTable[[#This Row],[Current Price ($)]])/PricingDataTable[[#This Row],[Current Price ($)]]</f>
        <v>-5.1603369461270941E-2</v>
      </c>
      <c r="M3017" t="str">
        <f t="shared" si="94"/>
        <v>VENDOR DIFFERENCE</v>
      </c>
      <c r="N3017" s="10" t="str">
        <f t="shared" si="95"/>
        <v>HIGH</v>
      </c>
    </row>
    <row r="3018" spans="1:14">
      <c r="A3018" s="4" t="s">
        <v>6052</v>
      </c>
      <c r="B3018" s="4" t="s">
        <v>6053</v>
      </c>
      <c r="C3018" s="4" t="s">
        <v>19</v>
      </c>
      <c r="D3018" s="4" t="s">
        <v>13</v>
      </c>
      <c r="E3018" s="5">
        <v>343.69330000000002</v>
      </c>
      <c r="F3018" s="5">
        <v>341.92090000000002</v>
      </c>
      <c r="G3018" s="5">
        <v>341.20319999999998</v>
      </c>
      <c r="H3018" s="4">
        <v>1</v>
      </c>
      <c r="I3018" s="6">
        <v>1665333</v>
      </c>
      <c r="J3018" s="7">
        <v>156.57</v>
      </c>
      <c r="K3018" s="9">
        <f>(PricingDataTable[[#This Row],[Current Price ($)]]-PricingDataTable[[#This Row],[Prior Price ($)]])/PricingDataTable[[#This Row],[Prior Price ($)]]</f>
        <v>-5.1569233383368385E-3</v>
      </c>
      <c r="L3018" s="9">
        <f>(PricingDataTable[[#This Row],[Vendor Price ($)]]-PricingDataTable[[#This Row],[Current Price ($)]])/PricingDataTable[[#This Row],[Current Price ($)]]</f>
        <v>-2.0990234875962136E-3</v>
      </c>
      <c r="M3018" t="str">
        <f t="shared" si="94"/>
        <v>PASS</v>
      </c>
      <c r="N3018" s="10" t="str">
        <f t="shared" si="95"/>
        <v>NONE</v>
      </c>
    </row>
    <row r="3019" spans="1:14">
      <c r="A3019" s="4" t="s">
        <v>6054</v>
      </c>
      <c r="B3019" s="4" t="s">
        <v>6055</v>
      </c>
      <c r="C3019" s="4" t="s">
        <v>35</v>
      </c>
      <c r="D3019" s="4" t="s">
        <v>64</v>
      </c>
      <c r="E3019" s="5">
        <v>39.809699999999999</v>
      </c>
      <c r="F3019" s="5">
        <v>38.709600000000002</v>
      </c>
      <c r="G3019" s="5">
        <v>38.605499999999999</v>
      </c>
      <c r="H3019" s="4">
        <v>0</v>
      </c>
      <c r="I3019" s="6">
        <v>2554741</v>
      </c>
      <c r="J3019" s="7">
        <v>209.79</v>
      </c>
      <c r="K3019" s="9">
        <f>(PricingDataTable[[#This Row],[Current Price ($)]]-PricingDataTable[[#This Row],[Prior Price ($)]])/PricingDataTable[[#This Row],[Prior Price ($)]]</f>
        <v>-2.7633968605641279E-2</v>
      </c>
      <c r="L3019" s="9">
        <f>(PricingDataTable[[#This Row],[Vendor Price ($)]]-PricingDataTable[[#This Row],[Current Price ($)]])/PricingDataTable[[#This Row],[Current Price ($)]]</f>
        <v>-2.6892553785108223E-3</v>
      </c>
      <c r="M3019" t="str">
        <f t="shared" si="94"/>
        <v>PASS</v>
      </c>
      <c r="N3019" s="10" t="str">
        <f t="shared" si="95"/>
        <v>NONE</v>
      </c>
    </row>
    <row r="3020" spans="1:14">
      <c r="A3020" s="4" t="s">
        <v>6056</v>
      </c>
      <c r="B3020" s="4" t="s">
        <v>6057</v>
      </c>
      <c r="C3020" s="4" t="s">
        <v>19</v>
      </c>
      <c r="D3020" s="4" t="s">
        <v>13</v>
      </c>
      <c r="E3020" s="5">
        <v>168.3904</v>
      </c>
      <c r="F3020" s="5">
        <v>170.1618</v>
      </c>
      <c r="G3020" s="5">
        <v>170.07230000000001</v>
      </c>
      <c r="H3020" s="4">
        <v>1</v>
      </c>
      <c r="I3020" s="6">
        <v>4666235</v>
      </c>
      <c r="J3020" s="7">
        <v>683.37</v>
      </c>
      <c r="K3020" s="9">
        <f>(PricingDataTable[[#This Row],[Current Price ($)]]-PricingDataTable[[#This Row],[Prior Price ($)]])/PricingDataTable[[#This Row],[Prior Price ($)]]</f>
        <v>1.0519602067576298E-2</v>
      </c>
      <c r="L3020" s="9">
        <f>(PricingDataTable[[#This Row],[Vendor Price ($)]]-PricingDataTable[[#This Row],[Current Price ($)]])/PricingDataTable[[#This Row],[Current Price ($)]]</f>
        <v>-5.2596998856374827E-4</v>
      </c>
      <c r="M3020" t="str">
        <f t="shared" si="94"/>
        <v>PASS</v>
      </c>
      <c r="N3020" s="10" t="str">
        <f t="shared" si="95"/>
        <v>NONE</v>
      </c>
    </row>
    <row r="3021" spans="1:14">
      <c r="A3021" s="4" t="s">
        <v>6058</v>
      </c>
      <c r="B3021" s="4" t="s">
        <v>6059</v>
      </c>
      <c r="C3021" s="4" t="s">
        <v>39</v>
      </c>
      <c r="D3021" s="4" t="s">
        <v>64</v>
      </c>
      <c r="E3021" s="5">
        <v>169.60319999999999</v>
      </c>
      <c r="F3021" s="5">
        <v>166.92949999999999</v>
      </c>
      <c r="G3021" s="5">
        <v>167.08680000000001</v>
      </c>
      <c r="H3021" s="4">
        <v>0</v>
      </c>
      <c r="I3021" s="6">
        <v>2994097</v>
      </c>
      <c r="J3021" s="7">
        <v>557.28</v>
      </c>
      <c r="K3021" s="9">
        <f>(PricingDataTable[[#This Row],[Current Price ($)]]-PricingDataTable[[#This Row],[Prior Price ($)]])/PricingDataTable[[#This Row],[Prior Price ($)]]</f>
        <v>-1.5764443123714628E-2</v>
      </c>
      <c r="L3021" s="9">
        <f>(PricingDataTable[[#This Row],[Vendor Price ($)]]-PricingDataTable[[#This Row],[Current Price ($)]])/PricingDataTable[[#This Row],[Current Price ($)]]</f>
        <v>9.4231397086806494E-4</v>
      </c>
      <c r="M3021" t="str">
        <f t="shared" si="94"/>
        <v>PASS</v>
      </c>
      <c r="N3021" s="10" t="str">
        <f t="shared" si="95"/>
        <v>NONE</v>
      </c>
    </row>
    <row r="3022" spans="1:14">
      <c r="A3022" s="4" t="s">
        <v>6060</v>
      </c>
      <c r="B3022" s="4" t="s">
        <v>6061</v>
      </c>
      <c r="C3022" s="4" t="s">
        <v>16</v>
      </c>
      <c r="D3022" s="4" t="s">
        <v>13</v>
      </c>
      <c r="E3022" s="5">
        <v>81.557299999999998</v>
      </c>
      <c r="F3022" s="5">
        <v>81.679299999999998</v>
      </c>
      <c r="G3022" s="5">
        <v>81.8065</v>
      </c>
      <c r="H3022" s="4">
        <v>1</v>
      </c>
      <c r="I3022" s="6">
        <v>2051996</v>
      </c>
      <c r="J3022" s="7">
        <v>781.82</v>
      </c>
      <c r="K3022" s="9">
        <f>(PricingDataTable[[#This Row],[Current Price ($)]]-PricingDataTable[[#This Row],[Prior Price ($)]])/PricingDataTable[[#This Row],[Prior Price ($)]]</f>
        <v>1.4958808101788546E-3</v>
      </c>
      <c r="L3022" s="9">
        <f>(PricingDataTable[[#This Row],[Vendor Price ($)]]-PricingDataTable[[#This Row],[Current Price ($)]])/PricingDataTable[[#This Row],[Current Price ($)]]</f>
        <v>1.557310114068093E-3</v>
      </c>
      <c r="M3022" t="str">
        <f t="shared" si="94"/>
        <v>PASS</v>
      </c>
      <c r="N3022" s="10" t="str">
        <f t="shared" si="95"/>
        <v>NONE</v>
      </c>
    </row>
    <row r="3023" spans="1:14">
      <c r="A3023" s="4" t="s">
        <v>6062</v>
      </c>
      <c r="B3023" s="4" t="s">
        <v>6063</v>
      </c>
      <c r="C3023" s="4" t="s">
        <v>16</v>
      </c>
      <c r="D3023" s="4" t="s">
        <v>13</v>
      </c>
      <c r="E3023" s="5">
        <v>118.6443</v>
      </c>
      <c r="F3023" s="5">
        <v>116.7299</v>
      </c>
      <c r="G3023" s="5">
        <v>116.6306</v>
      </c>
      <c r="H3023" s="4">
        <v>0</v>
      </c>
      <c r="I3023" s="6">
        <v>1093936</v>
      </c>
      <c r="J3023" s="7">
        <v>778.97</v>
      </c>
      <c r="K3023" s="9">
        <f>(PricingDataTable[[#This Row],[Current Price ($)]]-PricingDataTable[[#This Row],[Prior Price ($)]])/PricingDataTable[[#This Row],[Prior Price ($)]]</f>
        <v>-1.6135625563132829E-2</v>
      </c>
      <c r="L3023" s="9">
        <f>(PricingDataTable[[#This Row],[Vendor Price ($)]]-PricingDataTable[[#This Row],[Current Price ($)]])/PricingDataTable[[#This Row],[Current Price ($)]]</f>
        <v>-8.5068178761396607E-4</v>
      </c>
      <c r="M3023" t="str">
        <f t="shared" si="94"/>
        <v>PASS</v>
      </c>
      <c r="N3023" s="10" t="str">
        <f t="shared" si="95"/>
        <v>NONE</v>
      </c>
    </row>
    <row r="3024" spans="1:14">
      <c r="A3024" s="4" t="s">
        <v>6064</v>
      </c>
      <c r="B3024" s="4" t="s">
        <v>6065</v>
      </c>
      <c r="C3024" s="4" t="s">
        <v>19</v>
      </c>
      <c r="D3024" s="4" t="s">
        <v>64</v>
      </c>
      <c r="E3024" s="5">
        <v>43.1995</v>
      </c>
      <c r="F3024" s="5">
        <v>42.869300000000003</v>
      </c>
      <c r="G3024" s="5">
        <v>39.883800000000001</v>
      </c>
      <c r="H3024" s="4">
        <v>0</v>
      </c>
      <c r="I3024" s="6">
        <v>1892652</v>
      </c>
      <c r="J3024" s="7">
        <v>357.38</v>
      </c>
      <c r="K3024" s="9">
        <f>(PricingDataTable[[#This Row],[Current Price ($)]]-PricingDataTable[[#This Row],[Prior Price ($)]])/PricingDataTable[[#This Row],[Prior Price ($)]]</f>
        <v>-7.6436069861919196E-3</v>
      </c>
      <c r="L3024" s="9">
        <f>(PricingDataTable[[#This Row],[Vendor Price ($)]]-PricingDataTable[[#This Row],[Current Price ($)]])/PricingDataTable[[#This Row],[Current Price ($)]]</f>
        <v>-6.9641911577749155E-2</v>
      </c>
      <c r="M3024" t="str">
        <f t="shared" si="94"/>
        <v>VENDOR DIFFERENCE</v>
      </c>
      <c r="N3024" s="10" t="str">
        <f t="shared" si="95"/>
        <v>HIGH</v>
      </c>
    </row>
    <row r="3025" spans="1:14">
      <c r="A3025" s="4" t="s">
        <v>6066</v>
      </c>
      <c r="B3025" s="4" t="s">
        <v>6067</v>
      </c>
      <c r="C3025" s="4" t="s">
        <v>19</v>
      </c>
      <c r="D3025" s="4" t="s">
        <v>13</v>
      </c>
      <c r="E3025" s="5">
        <v>14.1577</v>
      </c>
      <c r="F3025" s="5">
        <v>11.4427</v>
      </c>
      <c r="G3025" s="5">
        <v>11.4793</v>
      </c>
      <c r="H3025" s="4">
        <v>0</v>
      </c>
      <c r="I3025" s="6">
        <v>2616031</v>
      </c>
      <c r="J3025" s="7">
        <v>4.5999999999999996</v>
      </c>
      <c r="K3025" s="9">
        <f>(PricingDataTable[[#This Row],[Current Price ($)]]-PricingDataTable[[#This Row],[Prior Price ($)]])/PricingDataTable[[#This Row],[Prior Price ($)]]</f>
        <v>-0.19176843696363108</v>
      </c>
      <c r="L3025" s="9">
        <f>(PricingDataTable[[#This Row],[Vendor Price ($)]]-PricingDataTable[[#This Row],[Current Price ($)]])/PricingDataTable[[#This Row],[Current Price ($)]]</f>
        <v>3.198545797757519E-3</v>
      </c>
      <c r="M3025" t="str">
        <f t="shared" si="94"/>
        <v>LARGE MOVE</v>
      </c>
      <c r="N3025" s="10" t="str">
        <f t="shared" si="95"/>
        <v>HIGH</v>
      </c>
    </row>
    <row r="3026" spans="1:14">
      <c r="A3026" s="4" t="s">
        <v>6068</v>
      </c>
      <c r="B3026" s="4" t="s">
        <v>6069</v>
      </c>
      <c r="C3026" s="4" t="s">
        <v>12</v>
      </c>
      <c r="D3026" s="4" t="s">
        <v>13</v>
      </c>
      <c r="E3026" s="5">
        <v>110.22580000000001</v>
      </c>
      <c r="F3026" s="5">
        <v>110.3698</v>
      </c>
      <c r="G3026" s="5">
        <v>110.28789999999999</v>
      </c>
      <c r="H3026" s="4">
        <v>0</v>
      </c>
      <c r="I3026" s="6">
        <v>3058324</v>
      </c>
      <c r="J3026" s="7">
        <v>43.9</v>
      </c>
      <c r="K3026" s="9">
        <f>(PricingDataTable[[#This Row],[Current Price ($)]]-PricingDataTable[[#This Row],[Prior Price ($)]])/PricingDataTable[[#This Row],[Prior Price ($)]]</f>
        <v>1.3064092072817002E-3</v>
      </c>
      <c r="L3026" s="9">
        <f>(PricingDataTable[[#This Row],[Vendor Price ($)]]-PricingDataTable[[#This Row],[Current Price ($)]])/PricingDataTable[[#This Row],[Current Price ($)]]</f>
        <v>-7.4205081462505617E-4</v>
      </c>
      <c r="M3026" t="str">
        <f t="shared" si="94"/>
        <v>PASS</v>
      </c>
      <c r="N3026" s="10" t="str">
        <f t="shared" si="95"/>
        <v>NONE</v>
      </c>
    </row>
    <row r="3027" spans="1:14">
      <c r="A3027" s="4" t="s">
        <v>6070</v>
      </c>
      <c r="B3027" s="4" t="s">
        <v>6071</v>
      </c>
      <c r="C3027" s="4" t="s">
        <v>35</v>
      </c>
      <c r="D3027" s="4" t="s">
        <v>13</v>
      </c>
      <c r="E3027" s="5">
        <v>132.97620000000001</v>
      </c>
      <c r="F3027" s="5">
        <v>134.91540000000001</v>
      </c>
      <c r="G3027" s="5">
        <v>134.53899999999999</v>
      </c>
      <c r="H3027" s="4">
        <v>0</v>
      </c>
      <c r="I3027" s="6">
        <v>3375316</v>
      </c>
      <c r="J3027" s="7">
        <v>639.29</v>
      </c>
      <c r="K3027" s="9">
        <f>(PricingDataTable[[#This Row],[Current Price ($)]]-PricingDataTable[[#This Row],[Prior Price ($)]])/PricingDataTable[[#This Row],[Prior Price ($)]]</f>
        <v>1.4583060728160374E-2</v>
      </c>
      <c r="L3027" s="9">
        <f>(PricingDataTable[[#This Row],[Vendor Price ($)]]-PricingDataTable[[#This Row],[Current Price ($)]])/PricingDataTable[[#This Row],[Current Price ($)]]</f>
        <v>-2.7898964832778024E-3</v>
      </c>
      <c r="M3027" t="str">
        <f t="shared" si="94"/>
        <v>PASS</v>
      </c>
      <c r="N3027" s="10" t="str">
        <f t="shared" si="95"/>
        <v>NONE</v>
      </c>
    </row>
    <row r="3028" spans="1:14">
      <c r="A3028" s="4" t="s">
        <v>6072</v>
      </c>
      <c r="B3028" s="4" t="s">
        <v>6073</v>
      </c>
      <c r="C3028" s="4" t="s">
        <v>19</v>
      </c>
      <c r="D3028" s="4" t="s">
        <v>13</v>
      </c>
      <c r="E3028" s="5">
        <v>114.80970000000001</v>
      </c>
      <c r="F3028" s="5">
        <v>115.36</v>
      </c>
      <c r="G3028" s="5">
        <v>115.12130000000001</v>
      </c>
      <c r="H3028" s="4">
        <v>0</v>
      </c>
      <c r="I3028" s="6">
        <v>2835732</v>
      </c>
      <c r="J3028" s="7">
        <v>90.63</v>
      </c>
      <c r="K3028" s="9">
        <f>(PricingDataTable[[#This Row],[Current Price ($)]]-PricingDataTable[[#This Row],[Prior Price ($)]])/PricingDataTable[[#This Row],[Prior Price ($)]]</f>
        <v>4.7931490109284569E-3</v>
      </c>
      <c r="L3028" s="9">
        <f>(PricingDataTable[[#This Row],[Vendor Price ($)]]-PricingDataTable[[#This Row],[Current Price ($)]])/PricingDataTable[[#This Row],[Current Price ($)]]</f>
        <v>-2.0691747572815044E-3</v>
      </c>
      <c r="M3028" t="str">
        <f t="shared" si="94"/>
        <v>PASS</v>
      </c>
      <c r="N3028" s="10" t="str">
        <f t="shared" si="95"/>
        <v>NONE</v>
      </c>
    </row>
    <row r="3029" spans="1:14">
      <c r="A3029" s="4" t="s">
        <v>6074</v>
      </c>
      <c r="B3029" s="4" t="s">
        <v>6075</v>
      </c>
      <c r="C3029" s="4" t="s">
        <v>19</v>
      </c>
      <c r="D3029" s="4" t="s">
        <v>13</v>
      </c>
      <c r="E3029" s="5">
        <v>77.430999999999997</v>
      </c>
      <c r="F3029" s="5">
        <v>78.864000000000004</v>
      </c>
      <c r="G3029" s="5">
        <v>78.4499</v>
      </c>
      <c r="H3029" s="4">
        <v>0</v>
      </c>
      <c r="I3029" s="6">
        <v>784189</v>
      </c>
      <c r="J3029" s="7">
        <v>574.03</v>
      </c>
      <c r="K3029" s="9">
        <f>(PricingDataTable[[#This Row],[Current Price ($)]]-PricingDataTable[[#This Row],[Prior Price ($)]])/PricingDataTable[[#This Row],[Prior Price ($)]]</f>
        <v>1.8506799602226589E-2</v>
      </c>
      <c r="L3029" s="9">
        <f>(PricingDataTable[[#This Row],[Vendor Price ($)]]-PricingDataTable[[#This Row],[Current Price ($)]])/PricingDataTable[[#This Row],[Current Price ($)]]</f>
        <v>-5.2508115236356862E-3</v>
      </c>
      <c r="M3029" t="str">
        <f t="shared" si="94"/>
        <v>PASS</v>
      </c>
      <c r="N3029" s="10" t="str">
        <f t="shared" si="95"/>
        <v>NONE</v>
      </c>
    </row>
    <row r="3030" spans="1:14">
      <c r="A3030" s="4" t="s">
        <v>6076</v>
      </c>
      <c r="B3030" s="4" t="s">
        <v>6077</v>
      </c>
      <c r="C3030" s="4" t="s">
        <v>16</v>
      </c>
      <c r="D3030" s="4" t="s">
        <v>13</v>
      </c>
      <c r="E3030" s="5">
        <v>95.743700000000004</v>
      </c>
      <c r="F3030" s="5">
        <v>95.847099999999998</v>
      </c>
      <c r="G3030" s="5">
        <v>96.216399999999993</v>
      </c>
      <c r="H3030" s="4">
        <v>0</v>
      </c>
      <c r="I3030" s="6">
        <v>4031853</v>
      </c>
      <c r="J3030" s="7">
        <v>250.3</v>
      </c>
      <c r="K3030" s="9">
        <f>(PricingDataTable[[#This Row],[Current Price ($)]]-PricingDataTable[[#This Row],[Prior Price ($)]])/PricingDataTable[[#This Row],[Prior Price ($)]]</f>
        <v>1.07996661921352E-3</v>
      </c>
      <c r="L3030" s="9">
        <f>(PricingDataTable[[#This Row],[Vendor Price ($)]]-PricingDataTable[[#This Row],[Current Price ($)]])/PricingDataTable[[#This Row],[Current Price ($)]]</f>
        <v>3.8530117238810098E-3</v>
      </c>
      <c r="M3030" t="str">
        <f t="shared" si="94"/>
        <v>PASS</v>
      </c>
      <c r="N3030" s="10" t="str">
        <f t="shared" si="95"/>
        <v>NONE</v>
      </c>
    </row>
    <row r="3031" spans="1:14">
      <c r="A3031" s="4" t="s">
        <v>6078</v>
      </c>
      <c r="B3031" s="4" t="s">
        <v>6079</v>
      </c>
      <c r="C3031" s="4" t="s">
        <v>19</v>
      </c>
      <c r="D3031" s="4" t="s">
        <v>13</v>
      </c>
      <c r="E3031" s="5">
        <v>180.49469999999999</v>
      </c>
      <c r="F3031" s="5">
        <v>180.34399999999999</v>
      </c>
      <c r="G3031" s="5">
        <v>180.22149999999999</v>
      </c>
      <c r="H3031" s="4">
        <v>0</v>
      </c>
      <c r="I3031" s="6">
        <v>777137</v>
      </c>
      <c r="J3031" s="7">
        <v>642.09</v>
      </c>
      <c r="K3031" s="9">
        <f>(PricingDataTable[[#This Row],[Current Price ($)]]-PricingDataTable[[#This Row],[Prior Price ($)]])/PricingDataTable[[#This Row],[Prior Price ($)]]</f>
        <v>-8.3492756296999577E-4</v>
      </c>
      <c r="L3031" s="9">
        <f>(PricingDataTable[[#This Row],[Vendor Price ($)]]-PricingDataTable[[#This Row],[Current Price ($)]])/PricingDataTable[[#This Row],[Current Price ($)]]</f>
        <v>-6.7925741915451736E-4</v>
      </c>
      <c r="M3031" t="str">
        <f t="shared" si="94"/>
        <v>PASS</v>
      </c>
      <c r="N3031" s="10" t="str">
        <f t="shared" si="95"/>
        <v>NONE</v>
      </c>
    </row>
    <row r="3032" spans="1:14">
      <c r="A3032" s="4" t="s">
        <v>6080</v>
      </c>
      <c r="B3032" s="4" t="s">
        <v>6081</v>
      </c>
      <c r="C3032" s="4" t="s">
        <v>19</v>
      </c>
      <c r="D3032" s="4" t="s">
        <v>13</v>
      </c>
      <c r="E3032" s="5">
        <v>141.83439999999999</v>
      </c>
      <c r="F3032" s="5">
        <v>170.66120000000001</v>
      </c>
      <c r="G3032" s="5">
        <v>170.69409999999999</v>
      </c>
      <c r="H3032" s="4">
        <v>0</v>
      </c>
      <c r="I3032" s="6">
        <v>2437502</v>
      </c>
      <c r="J3032" s="7">
        <v>349.78</v>
      </c>
      <c r="K3032" s="9">
        <f>(PricingDataTable[[#This Row],[Current Price ($)]]-PricingDataTable[[#This Row],[Prior Price ($)]])/PricingDataTable[[#This Row],[Prior Price ($)]]</f>
        <v>0.20324265481434703</v>
      </c>
      <c r="L3032" s="9">
        <f>(PricingDataTable[[#This Row],[Vendor Price ($)]]-PricingDataTable[[#This Row],[Current Price ($)]])/PricingDataTable[[#This Row],[Current Price ($)]]</f>
        <v>1.9277961247186659E-4</v>
      </c>
      <c r="M3032" t="str">
        <f t="shared" si="94"/>
        <v>LARGE MOVE</v>
      </c>
      <c r="N3032" s="10" t="str">
        <f t="shared" si="95"/>
        <v>HIGH</v>
      </c>
    </row>
    <row r="3033" spans="1:14">
      <c r="A3033" s="4" t="s">
        <v>6082</v>
      </c>
      <c r="B3033" s="4" t="s">
        <v>6083</v>
      </c>
      <c r="C3033" s="4" t="s">
        <v>12</v>
      </c>
      <c r="D3033" s="4" t="s">
        <v>13</v>
      </c>
      <c r="E3033" s="5">
        <v>100.1002</v>
      </c>
      <c r="F3033" s="5">
        <v>92.430099999999996</v>
      </c>
      <c r="G3033" s="5">
        <v>91.816500000000005</v>
      </c>
      <c r="H3033" s="4">
        <v>4</v>
      </c>
      <c r="I3033" s="6">
        <v>59433</v>
      </c>
      <c r="J3033" s="7">
        <v>365.49</v>
      </c>
      <c r="K3033" s="9">
        <f>(PricingDataTable[[#This Row],[Current Price ($)]]-PricingDataTable[[#This Row],[Prior Price ($)]])/PricingDataTable[[#This Row],[Prior Price ($)]]</f>
        <v>-7.6624222529025968E-2</v>
      </c>
      <c r="L3033" s="9">
        <f>(PricingDataTable[[#This Row],[Vendor Price ($)]]-PricingDataTable[[#This Row],[Current Price ($)]])/PricingDataTable[[#This Row],[Current Price ($)]]</f>
        <v>-6.6385300892240848E-3</v>
      </c>
      <c r="M3033" t="str">
        <f t="shared" si="94"/>
        <v>STALE</v>
      </c>
      <c r="N3033" s="10" t="str">
        <f t="shared" si="95"/>
        <v>MEDIUM</v>
      </c>
    </row>
    <row r="3034" spans="1:14">
      <c r="A3034" s="4" t="s">
        <v>6084</v>
      </c>
      <c r="B3034" s="4" t="s">
        <v>6085</v>
      </c>
      <c r="C3034" s="4" t="s">
        <v>19</v>
      </c>
      <c r="D3034" s="4" t="s">
        <v>13</v>
      </c>
      <c r="E3034" s="5">
        <v>127.3784</v>
      </c>
      <c r="F3034" s="5">
        <v>126.0282</v>
      </c>
      <c r="G3034" s="5">
        <v>126.1219</v>
      </c>
      <c r="H3034" s="4">
        <v>3</v>
      </c>
      <c r="I3034" s="6">
        <v>3970157</v>
      </c>
      <c r="J3034" s="7">
        <v>570.66999999999996</v>
      </c>
      <c r="K3034" s="9">
        <f>(PricingDataTable[[#This Row],[Current Price ($)]]-PricingDataTable[[#This Row],[Prior Price ($)]])/PricingDataTable[[#This Row],[Prior Price ($)]]</f>
        <v>-1.0599913329104472E-2</v>
      </c>
      <c r="L3034" s="9">
        <f>(PricingDataTable[[#This Row],[Vendor Price ($)]]-PricingDataTable[[#This Row],[Current Price ($)]])/PricingDataTable[[#This Row],[Current Price ($)]]</f>
        <v>7.4348439476242889E-4</v>
      </c>
      <c r="M3034" t="str">
        <f t="shared" si="94"/>
        <v>STALE</v>
      </c>
      <c r="N3034" s="10" t="str">
        <f t="shared" si="95"/>
        <v>LOW</v>
      </c>
    </row>
    <row r="3035" spans="1:14">
      <c r="A3035" s="4" t="s">
        <v>6086</v>
      </c>
      <c r="B3035" s="4" t="s">
        <v>6087</v>
      </c>
      <c r="C3035" s="4" t="s">
        <v>16</v>
      </c>
      <c r="D3035" s="4" t="s">
        <v>64</v>
      </c>
      <c r="E3035" s="5">
        <v>107.37520000000001</v>
      </c>
      <c r="F3035" s="5">
        <v>106.3612</v>
      </c>
      <c r="G3035" s="5">
        <v>105.9551</v>
      </c>
      <c r="H3035" s="4">
        <v>0</v>
      </c>
      <c r="I3035" s="6">
        <v>3618861</v>
      </c>
      <c r="J3035" s="7">
        <v>311.33</v>
      </c>
      <c r="K3035" s="9">
        <f>(PricingDataTable[[#This Row],[Current Price ($)]]-PricingDataTable[[#This Row],[Prior Price ($)]])/PricingDataTable[[#This Row],[Prior Price ($)]]</f>
        <v>-9.4435214090405409E-3</v>
      </c>
      <c r="L3035" s="9">
        <f>(PricingDataTable[[#This Row],[Vendor Price ($)]]-PricingDataTable[[#This Row],[Current Price ($)]])/PricingDataTable[[#This Row],[Current Price ($)]]</f>
        <v>-3.8181216458632945E-3</v>
      </c>
      <c r="M3035" t="str">
        <f t="shared" si="94"/>
        <v>PASS</v>
      </c>
      <c r="N3035" s="10" t="str">
        <f t="shared" si="95"/>
        <v>NONE</v>
      </c>
    </row>
    <row r="3036" spans="1:14">
      <c r="A3036" s="4" t="s">
        <v>6088</v>
      </c>
      <c r="B3036" s="4" t="s">
        <v>6089</v>
      </c>
      <c r="C3036" s="4" t="s">
        <v>39</v>
      </c>
      <c r="D3036" s="4" t="s">
        <v>13</v>
      </c>
      <c r="E3036" s="5">
        <v>276.32769999999999</v>
      </c>
      <c r="F3036" s="5">
        <v>294.85590000000002</v>
      </c>
      <c r="G3036" s="5">
        <v>295.27710000000002</v>
      </c>
      <c r="H3036" s="4">
        <v>0</v>
      </c>
      <c r="I3036" s="6">
        <v>2385926</v>
      </c>
      <c r="J3036" s="7">
        <v>439.2</v>
      </c>
      <c r="K3036" s="9">
        <f>(PricingDataTable[[#This Row],[Current Price ($)]]-PricingDataTable[[#This Row],[Prior Price ($)]])/PricingDataTable[[#This Row],[Prior Price ($)]]</f>
        <v>6.705154785423259E-2</v>
      </c>
      <c r="L3036" s="9">
        <f>(PricingDataTable[[#This Row],[Vendor Price ($)]]-PricingDataTable[[#This Row],[Current Price ($)]])/PricingDataTable[[#This Row],[Current Price ($)]]</f>
        <v>1.4284943933629915E-3</v>
      </c>
      <c r="M3036" t="str">
        <f t="shared" si="94"/>
        <v>LARGE MOVE</v>
      </c>
      <c r="N3036" s="10" t="str">
        <f t="shared" si="95"/>
        <v>LOW</v>
      </c>
    </row>
    <row r="3037" spans="1:14">
      <c r="A3037" s="4" t="s">
        <v>6090</v>
      </c>
      <c r="B3037" s="4" t="s">
        <v>6091</v>
      </c>
      <c r="C3037" s="4" t="s">
        <v>19</v>
      </c>
      <c r="D3037" s="4" t="s">
        <v>32</v>
      </c>
      <c r="E3037" s="5">
        <v>255.12309999999999</v>
      </c>
      <c r="F3037" s="5">
        <v>253.8837</v>
      </c>
      <c r="G3037" s="5">
        <v>252.66069999999999</v>
      </c>
      <c r="H3037" s="4">
        <v>3</v>
      </c>
      <c r="I3037" s="6">
        <v>541448</v>
      </c>
      <c r="J3037" s="7">
        <v>777.29</v>
      </c>
      <c r="K3037" s="9">
        <f>(PricingDataTable[[#This Row],[Current Price ($)]]-PricingDataTable[[#This Row],[Prior Price ($)]])/PricingDataTable[[#This Row],[Prior Price ($)]]</f>
        <v>-4.8580469585074388E-3</v>
      </c>
      <c r="L3037" s="9">
        <f>(PricingDataTable[[#This Row],[Vendor Price ($)]]-PricingDataTable[[#This Row],[Current Price ($)]])/PricingDataTable[[#This Row],[Current Price ($)]]</f>
        <v>-4.8171662851928393E-3</v>
      </c>
      <c r="M3037" t="str">
        <f t="shared" si="94"/>
        <v>STALE</v>
      </c>
      <c r="N3037" s="10" t="str">
        <f t="shared" si="95"/>
        <v>LOW</v>
      </c>
    </row>
    <row r="3038" spans="1:14">
      <c r="A3038" s="4" t="s">
        <v>6092</v>
      </c>
      <c r="B3038" s="4" t="s">
        <v>6093</v>
      </c>
      <c r="C3038" s="4" t="s">
        <v>16</v>
      </c>
      <c r="D3038" s="4" t="s">
        <v>13</v>
      </c>
      <c r="E3038" s="5">
        <v>102.9966</v>
      </c>
      <c r="F3038" s="5">
        <v>103.6537</v>
      </c>
      <c r="G3038" s="5">
        <v>113.3789</v>
      </c>
      <c r="H3038" s="4">
        <v>0</v>
      </c>
      <c r="I3038" s="6">
        <v>3563854</v>
      </c>
      <c r="J3038" s="7">
        <v>820.16</v>
      </c>
      <c r="K3038" s="9">
        <f>(PricingDataTable[[#This Row],[Current Price ($)]]-PricingDataTable[[#This Row],[Prior Price ($)]])/PricingDataTable[[#This Row],[Prior Price ($)]]</f>
        <v>6.3798222465595933E-3</v>
      </c>
      <c r="L3038" s="9">
        <f>(PricingDataTable[[#This Row],[Vendor Price ($)]]-PricingDataTable[[#This Row],[Current Price ($)]])/PricingDataTable[[#This Row],[Current Price ($)]]</f>
        <v>9.3823954185909442E-2</v>
      </c>
      <c r="M3038" t="str">
        <f t="shared" si="94"/>
        <v>VENDOR DIFFERENCE</v>
      </c>
      <c r="N3038" s="10" t="str">
        <f t="shared" si="95"/>
        <v>HIGH</v>
      </c>
    </row>
    <row r="3039" spans="1:14">
      <c r="A3039" s="4" t="s">
        <v>6094</v>
      </c>
      <c r="B3039" s="4" t="s">
        <v>6095</v>
      </c>
      <c r="C3039" s="4" t="s">
        <v>39</v>
      </c>
      <c r="D3039" s="4" t="s">
        <v>13</v>
      </c>
      <c r="E3039" s="5">
        <v>210.97800000000001</v>
      </c>
      <c r="F3039" s="5">
        <v>212.01320000000001</v>
      </c>
      <c r="G3039" s="5">
        <v>212.87049999999999</v>
      </c>
      <c r="H3039" s="4">
        <v>0</v>
      </c>
      <c r="I3039" s="6">
        <v>2713889</v>
      </c>
      <c r="J3039" s="7">
        <v>51.21</v>
      </c>
      <c r="K3039" s="9">
        <f>(PricingDataTable[[#This Row],[Current Price ($)]]-PricingDataTable[[#This Row],[Prior Price ($)]])/PricingDataTable[[#This Row],[Prior Price ($)]]</f>
        <v>4.9066727336499688E-3</v>
      </c>
      <c r="L3039" s="9">
        <f>(PricingDataTable[[#This Row],[Vendor Price ($)]]-PricingDataTable[[#This Row],[Current Price ($)]])/PricingDataTable[[#This Row],[Current Price ($)]]</f>
        <v>4.0436161522017537E-3</v>
      </c>
      <c r="M3039" t="str">
        <f t="shared" si="94"/>
        <v>PASS</v>
      </c>
      <c r="N3039" s="10" t="str">
        <f t="shared" si="95"/>
        <v>NONE</v>
      </c>
    </row>
    <row r="3040" spans="1:14">
      <c r="A3040" s="4" t="s">
        <v>6096</v>
      </c>
      <c r="B3040" s="4" t="s">
        <v>6097</v>
      </c>
      <c r="C3040" s="4" t="s">
        <v>19</v>
      </c>
      <c r="D3040" s="4" t="s">
        <v>13</v>
      </c>
      <c r="E3040" s="5">
        <v>109.6176</v>
      </c>
      <c r="F3040" s="5">
        <v>112.03570000000001</v>
      </c>
      <c r="G3040" s="5">
        <v>112.19929999999999</v>
      </c>
      <c r="H3040" s="4">
        <v>0</v>
      </c>
      <c r="I3040" s="6">
        <v>1405324</v>
      </c>
      <c r="J3040" s="7">
        <v>156.28</v>
      </c>
      <c r="K3040" s="9">
        <f>(PricingDataTable[[#This Row],[Current Price ($)]]-PricingDataTable[[#This Row],[Prior Price ($)]])/PricingDataTable[[#This Row],[Prior Price ($)]]</f>
        <v>2.2059413816759441E-2</v>
      </c>
      <c r="L3040" s="9">
        <f>(PricingDataTable[[#This Row],[Vendor Price ($)]]-PricingDataTable[[#This Row],[Current Price ($)]])/PricingDataTable[[#This Row],[Current Price ($)]]</f>
        <v>1.4602488313991719E-3</v>
      </c>
      <c r="M3040" t="str">
        <f t="shared" si="94"/>
        <v>PASS</v>
      </c>
      <c r="N3040" s="10" t="str">
        <f t="shared" si="95"/>
        <v>NONE</v>
      </c>
    </row>
    <row r="3041" spans="1:14">
      <c r="A3041" s="4" t="s">
        <v>6098</v>
      </c>
      <c r="B3041" s="4" t="s">
        <v>6099</v>
      </c>
      <c r="C3041" s="4" t="s">
        <v>19</v>
      </c>
      <c r="D3041" s="4" t="s">
        <v>36</v>
      </c>
      <c r="E3041" s="5">
        <v>233.97380000000001</v>
      </c>
      <c r="F3041" s="5">
        <v>235.85820000000001</v>
      </c>
      <c r="G3041" s="5">
        <v>236.12029999999999</v>
      </c>
      <c r="H3041" s="4">
        <v>5</v>
      </c>
      <c r="I3041" s="6">
        <v>2907049</v>
      </c>
      <c r="J3041" s="7">
        <v>269.39</v>
      </c>
      <c r="K3041" s="9">
        <f>(PricingDataTable[[#This Row],[Current Price ($)]]-PricingDataTable[[#This Row],[Prior Price ($)]])/PricingDataTable[[#This Row],[Prior Price ($)]]</f>
        <v>8.0538932136846059E-3</v>
      </c>
      <c r="L3041" s="9">
        <f>(PricingDataTable[[#This Row],[Vendor Price ($)]]-PricingDataTable[[#This Row],[Current Price ($)]])/PricingDataTable[[#This Row],[Current Price ($)]]</f>
        <v>1.1112609186366017E-3</v>
      </c>
      <c r="M3041" t="str">
        <f t="shared" si="94"/>
        <v>STALE</v>
      </c>
      <c r="N3041" s="10" t="str">
        <f t="shared" si="95"/>
        <v>MEDIUM</v>
      </c>
    </row>
    <row r="3042" spans="1:14">
      <c r="A3042" s="4" t="s">
        <v>6100</v>
      </c>
      <c r="B3042" s="4" t="s">
        <v>6101</v>
      </c>
      <c r="C3042" s="4" t="s">
        <v>16</v>
      </c>
      <c r="D3042" s="4" t="s">
        <v>13</v>
      </c>
      <c r="E3042" s="5">
        <v>79.810699999999997</v>
      </c>
      <c r="F3042" s="5">
        <v>79.855199999999996</v>
      </c>
      <c r="G3042" s="5">
        <v>80.516199999999998</v>
      </c>
      <c r="H3042" s="4">
        <v>0</v>
      </c>
      <c r="I3042" s="6">
        <v>3739058</v>
      </c>
      <c r="J3042" s="7">
        <v>169.3</v>
      </c>
      <c r="K3042" s="9">
        <f>(PricingDataTable[[#This Row],[Current Price ($)]]-PricingDataTable[[#This Row],[Prior Price ($)]])/PricingDataTable[[#This Row],[Prior Price ($)]]</f>
        <v>5.5756934847081053E-4</v>
      </c>
      <c r="L3042" s="9">
        <f>(PricingDataTable[[#This Row],[Vendor Price ($)]]-PricingDataTable[[#This Row],[Current Price ($)]])/PricingDataTable[[#This Row],[Current Price ($)]]</f>
        <v>8.2774822428595927E-3</v>
      </c>
      <c r="M3042" t="str">
        <f t="shared" si="94"/>
        <v>PASS</v>
      </c>
      <c r="N3042" s="10" t="str">
        <f t="shared" si="95"/>
        <v>NONE</v>
      </c>
    </row>
    <row r="3043" spans="1:14">
      <c r="A3043" s="4" t="s">
        <v>6102</v>
      </c>
      <c r="B3043" s="4" t="s">
        <v>6103</v>
      </c>
      <c r="C3043" s="4" t="s">
        <v>39</v>
      </c>
      <c r="D3043" s="4" t="s">
        <v>13</v>
      </c>
      <c r="E3043" s="5">
        <v>146.88730000000001</v>
      </c>
      <c r="F3043" s="5">
        <v>146.32599999999999</v>
      </c>
      <c r="G3043" s="5">
        <v>146.17609999999999</v>
      </c>
      <c r="H3043" s="4">
        <v>2</v>
      </c>
      <c r="I3043" s="6">
        <v>3551770</v>
      </c>
      <c r="J3043" s="7">
        <v>586.62</v>
      </c>
      <c r="K3043" s="9">
        <f>(PricingDataTable[[#This Row],[Current Price ($)]]-PricingDataTable[[#This Row],[Prior Price ($)]])/PricingDataTable[[#This Row],[Prior Price ($)]]</f>
        <v>-3.8212970079783411E-3</v>
      </c>
      <c r="L3043" s="9">
        <f>(PricingDataTable[[#This Row],[Vendor Price ($)]]-PricingDataTable[[#This Row],[Current Price ($)]])/PricingDataTable[[#This Row],[Current Price ($)]]</f>
        <v>-1.0244249142326201E-3</v>
      </c>
      <c r="M3043" t="str">
        <f t="shared" si="94"/>
        <v>PASS</v>
      </c>
      <c r="N3043" s="10" t="str">
        <f t="shared" si="95"/>
        <v>NONE</v>
      </c>
    </row>
    <row r="3044" spans="1:14">
      <c r="A3044" s="4" t="s">
        <v>6104</v>
      </c>
      <c r="B3044" s="4" t="s">
        <v>6105</v>
      </c>
      <c r="C3044" s="4" t="s">
        <v>35</v>
      </c>
      <c r="D3044" s="4" t="s">
        <v>13</v>
      </c>
      <c r="E3044" s="5">
        <v>12.8414</v>
      </c>
      <c r="F3044" s="5">
        <v>12.9231</v>
      </c>
      <c r="G3044" s="5">
        <v>12.8911</v>
      </c>
      <c r="H3044" s="4">
        <v>1</v>
      </c>
      <c r="I3044" s="6">
        <v>3889424</v>
      </c>
      <c r="J3044" s="7">
        <v>499.59</v>
      </c>
      <c r="K3044" s="9">
        <f>(PricingDataTable[[#This Row],[Current Price ($)]]-PricingDataTable[[#This Row],[Prior Price ($)]])/PricingDataTable[[#This Row],[Prior Price ($)]]</f>
        <v>6.3622346473125721E-3</v>
      </c>
      <c r="L3044" s="9">
        <f>(PricingDataTable[[#This Row],[Vendor Price ($)]]-PricingDataTable[[#This Row],[Current Price ($)]])/PricingDataTable[[#This Row],[Current Price ($)]]</f>
        <v>-2.4761860544296669E-3</v>
      </c>
      <c r="M3044" t="str">
        <f t="shared" si="94"/>
        <v>PASS</v>
      </c>
      <c r="N3044" s="10" t="str">
        <f t="shared" si="95"/>
        <v>NONE</v>
      </c>
    </row>
    <row r="3045" spans="1:14">
      <c r="A3045" s="4" t="s">
        <v>6106</v>
      </c>
      <c r="B3045" s="4" t="s">
        <v>6107</v>
      </c>
      <c r="C3045" s="4" t="s">
        <v>19</v>
      </c>
      <c r="D3045" s="4" t="s">
        <v>36</v>
      </c>
      <c r="E3045" s="5">
        <v>197.83760000000001</v>
      </c>
      <c r="F3045" s="5">
        <v>198.5607</v>
      </c>
      <c r="G3045" s="5">
        <v>198.46340000000001</v>
      </c>
      <c r="H3045" s="4">
        <v>5</v>
      </c>
      <c r="I3045" s="6">
        <v>4812643</v>
      </c>
      <c r="J3045" s="7">
        <v>522.4</v>
      </c>
      <c r="K3045" s="9">
        <f>(PricingDataTable[[#This Row],[Current Price ($)]]-PricingDataTable[[#This Row],[Prior Price ($)]])/PricingDataTable[[#This Row],[Prior Price ($)]]</f>
        <v>3.6550180552129023E-3</v>
      </c>
      <c r="L3045" s="9">
        <f>(PricingDataTable[[#This Row],[Vendor Price ($)]]-PricingDataTable[[#This Row],[Current Price ($)]])/PricingDataTable[[#This Row],[Current Price ($)]]</f>
        <v>-4.9002647553110935E-4</v>
      </c>
      <c r="M3045" t="str">
        <f t="shared" si="94"/>
        <v>STALE</v>
      </c>
      <c r="N3045" s="10" t="str">
        <f t="shared" si="95"/>
        <v>MEDIUM</v>
      </c>
    </row>
    <row r="3046" spans="1:14">
      <c r="A3046" s="4" t="s">
        <v>6108</v>
      </c>
      <c r="B3046" s="4" t="s">
        <v>6109</v>
      </c>
      <c r="C3046" s="4" t="s">
        <v>16</v>
      </c>
      <c r="D3046" s="4" t="s">
        <v>13</v>
      </c>
      <c r="E3046" s="5">
        <v>104.0061</v>
      </c>
      <c r="F3046" s="5">
        <v>105.12649999999999</v>
      </c>
      <c r="G3046" s="5">
        <v>104.8742</v>
      </c>
      <c r="H3046" s="4">
        <v>0</v>
      </c>
      <c r="I3046" s="6">
        <v>2105569</v>
      </c>
      <c r="J3046" s="7">
        <v>214.73</v>
      </c>
      <c r="K3046" s="9">
        <f>(PricingDataTable[[#This Row],[Current Price ($)]]-PricingDataTable[[#This Row],[Prior Price ($)]])/PricingDataTable[[#This Row],[Prior Price ($)]]</f>
        <v>1.077244507774053E-2</v>
      </c>
      <c r="L3046" s="9">
        <f>(PricingDataTable[[#This Row],[Vendor Price ($)]]-PricingDataTable[[#This Row],[Current Price ($)]])/PricingDataTable[[#This Row],[Current Price ($)]]</f>
        <v>-2.3999657555420478E-3</v>
      </c>
      <c r="M3046" t="str">
        <f t="shared" si="94"/>
        <v>PASS</v>
      </c>
      <c r="N3046" s="10" t="str">
        <f t="shared" si="95"/>
        <v>NONE</v>
      </c>
    </row>
    <row r="3047" spans="1:14">
      <c r="A3047" s="4" t="s">
        <v>6110</v>
      </c>
      <c r="B3047" s="4" t="s">
        <v>6111</v>
      </c>
      <c r="C3047" s="4" t="s">
        <v>19</v>
      </c>
      <c r="D3047" s="4" t="s">
        <v>13</v>
      </c>
      <c r="E3047" s="5">
        <v>11.832700000000001</v>
      </c>
      <c r="F3047" s="5">
        <v>11.96</v>
      </c>
      <c r="G3047" s="5">
        <v>12.0351</v>
      </c>
      <c r="H3047" s="4">
        <v>0</v>
      </c>
      <c r="I3047" s="6">
        <v>1025960</v>
      </c>
      <c r="J3047" s="7">
        <v>775.02</v>
      </c>
      <c r="K3047" s="9">
        <f>(PricingDataTable[[#This Row],[Current Price ($)]]-PricingDataTable[[#This Row],[Prior Price ($)]])/PricingDataTable[[#This Row],[Prior Price ($)]]</f>
        <v>1.0758322276403522E-2</v>
      </c>
      <c r="L3047" s="9">
        <f>(PricingDataTable[[#This Row],[Vendor Price ($)]]-PricingDataTable[[#This Row],[Current Price ($)]])/PricingDataTable[[#This Row],[Current Price ($)]]</f>
        <v>6.2792642140467436E-3</v>
      </c>
      <c r="M3047" t="str">
        <f t="shared" si="94"/>
        <v>PASS</v>
      </c>
      <c r="N3047" s="10" t="str">
        <f t="shared" si="95"/>
        <v>NONE</v>
      </c>
    </row>
    <row r="3048" spans="1:14">
      <c r="A3048" s="4" t="s">
        <v>6112</v>
      </c>
      <c r="B3048" s="4" t="s">
        <v>6113</v>
      </c>
      <c r="C3048" s="4" t="s">
        <v>19</v>
      </c>
      <c r="D3048" s="4" t="s">
        <v>13</v>
      </c>
      <c r="E3048" s="5">
        <v>189.2885</v>
      </c>
      <c r="F3048" s="5">
        <v>190.149</v>
      </c>
      <c r="G3048" s="5">
        <v>190.8956</v>
      </c>
      <c r="H3048" s="4">
        <v>2</v>
      </c>
      <c r="I3048" s="6">
        <v>4102913</v>
      </c>
      <c r="J3048" s="7">
        <v>197.54</v>
      </c>
      <c r="K3048" s="9">
        <f>(PricingDataTable[[#This Row],[Current Price ($)]]-PricingDataTable[[#This Row],[Prior Price ($)]])/PricingDataTable[[#This Row],[Prior Price ($)]]</f>
        <v>4.5459708328820922E-3</v>
      </c>
      <c r="L3048" s="9">
        <f>(PricingDataTable[[#This Row],[Vendor Price ($)]]-PricingDataTable[[#This Row],[Current Price ($)]])/PricingDataTable[[#This Row],[Current Price ($)]]</f>
        <v>3.9263945642627664E-3</v>
      </c>
      <c r="M3048" t="str">
        <f t="shared" si="94"/>
        <v>PASS</v>
      </c>
      <c r="N3048" s="10" t="str">
        <f t="shared" si="95"/>
        <v>NONE</v>
      </c>
    </row>
    <row r="3049" spans="1:14">
      <c r="A3049" s="4" t="s">
        <v>6114</v>
      </c>
      <c r="B3049" s="4" t="s">
        <v>6115</v>
      </c>
      <c r="C3049" s="4" t="s">
        <v>19</v>
      </c>
      <c r="D3049" s="4" t="s">
        <v>13</v>
      </c>
      <c r="E3049" s="5">
        <v>200.20820000000001</v>
      </c>
      <c r="F3049" s="5">
        <v>199.75</v>
      </c>
      <c r="G3049" s="5">
        <v>199.7302</v>
      </c>
      <c r="H3049" s="4">
        <v>0</v>
      </c>
      <c r="I3049" s="6">
        <v>547660</v>
      </c>
      <c r="J3049" s="7">
        <v>523.59</v>
      </c>
      <c r="K3049" s="9">
        <f>(PricingDataTable[[#This Row],[Current Price ($)]]-PricingDataTable[[#This Row],[Prior Price ($)]])/PricingDataTable[[#This Row],[Prior Price ($)]]</f>
        <v>-2.2886175491313794E-3</v>
      </c>
      <c r="L3049" s="9">
        <f>(PricingDataTable[[#This Row],[Vendor Price ($)]]-PricingDataTable[[#This Row],[Current Price ($)]])/PricingDataTable[[#This Row],[Current Price ($)]]</f>
        <v>-9.9123904881119368E-5</v>
      </c>
      <c r="M3049" t="str">
        <f t="shared" si="94"/>
        <v>PASS</v>
      </c>
      <c r="N3049" s="10" t="str">
        <f t="shared" si="95"/>
        <v>NONE</v>
      </c>
    </row>
    <row r="3050" spans="1:14">
      <c r="A3050" s="4" t="s">
        <v>6116</v>
      </c>
      <c r="B3050" s="4" t="s">
        <v>6117</v>
      </c>
      <c r="C3050" s="4" t="s">
        <v>39</v>
      </c>
      <c r="D3050" s="4" t="s">
        <v>13</v>
      </c>
      <c r="E3050" s="5">
        <v>296.85270000000003</v>
      </c>
      <c r="F3050" s="5">
        <v>300.28980000000001</v>
      </c>
      <c r="G3050" s="5">
        <v>299.4853</v>
      </c>
      <c r="H3050" s="4">
        <v>0</v>
      </c>
      <c r="I3050" s="6">
        <v>2923169</v>
      </c>
      <c r="J3050" s="7">
        <v>842.6</v>
      </c>
      <c r="K3050" s="9">
        <f>(PricingDataTable[[#This Row],[Current Price ($)]]-PricingDataTable[[#This Row],[Prior Price ($)]])/PricingDataTable[[#This Row],[Prior Price ($)]]</f>
        <v>1.1578469725894313E-2</v>
      </c>
      <c r="L3050" s="9">
        <f>(PricingDataTable[[#This Row],[Vendor Price ($)]]-PricingDataTable[[#This Row],[Current Price ($)]])/PricingDataTable[[#This Row],[Current Price ($)]]</f>
        <v>-2.6790786766650704E-3</v>
      </c>
      <c r="M3050" t="str">
        <f t="shared" si="94"/>
        <v>PASS</v>
      </c>
      <c r="N3050" s="10" t="str">
        <f t="shared" si="95"/>
        <v>NONE</v>
      </c>
    </row>
    <row r="3051" spans="1:14">
      <c r="A3051" s="4" t="s">
        <v>6118</v>
      </c>
      <c r="B3051" s="4" t="s">
        <v>6119</v>
      </c>
      <c r="C3051" s="4" t="s">
        <v>39</v>
      </c>
      <c r="D3051" s="4" t="s">
        <v>13</v>
      </c>
      <c r="E3051" s="5">
        <v>346.01029999999997</v>
      </c>
      <c r="F3051" s="5">
        <v>348.67</v>
      </c>
      <c r="G3051" s="5">
        <v>349.27100000000002</v>
      </c>
      <c r="H3051" s="4">
        <v>0</v>
      </c>
      <c r="I3051" s="6">
        <v>977822</v>
      </c>
      <c r="J3051" s="7">
        <v>694.58</v>
      </c>
      <c r="K3051" s="9">
        <f>(PricingDataTable[[#This Row],[Current Price ($)]]-PricingDataTable[[#This Row],[Prior Price ($)]])/PricingDataTable[[#This Row],[Prior Price ($)]]</f>
        <v>7.6867653939782822E-3</v>
      </c>
      <c r="L3051" s="9">
        <f>(PricingDataTable[[#This Row],[Vendor Price ($)]]-PricingDataTable[[#This Row],[Current Price ($)]])/PricingDataTable[[#This Row],[Current Price ($)]]</f>
        <v>1.7236928901253306E-3</v>
      </c>
      <c r="M3051" t="str">
        <f t="shared" si="94"/>
        <v>PASS</v>
      </c>
      <c r="N3051" s="10" t="str">
        <f t="shared" si="95"/>
        <v>NONE</v>
      </c>
    </row>
    <row r="3052" spans="1:14">
      <c r="A3052" s="4" t="s">
        <v>6120</v>
      </c>
      <c r="B3052" s="4" t="s">
        <v>6121</v>
      </c>
      <c r="C3052" s="4" t="s">
        <v>39</v>
      </c>
      <c r="D3052" s="4" t="s">
        <v>13</v>
      </c>
      <c r="E3052" s="5">
        <v>177.4059</v>
      </c>
      <c r="F3052" s="5">
        <v>175.16730000000001</v>
      </c>
      <c r="G3052" s="5">
        <v>174.7201</v>
      </c>
      <c r="H3052" s="4">
        <v>0</v>
      </c>
      <c r="I3052" s="6">
        <v>3992867</v>
      </c>
      <c r="J3052" s="7">
        <v>196.75</v>
      </c>
      <c r="K3052" s="9">
        <f>(PricingDataTable[[#This Row],[Current Price ($)]]-PricingDataTable[[#This Row],[Prior Price ($)]])/PricingDataTable[[#This Row],[Prior Price ($)]]</f>
        <v>-1.2618520579078774E-2</v>
      </c>
      <c r="L3052" s="9">
        <f>(PricingDataTable[[#This Row],[Vendor Price ($)]]-PricingDataTable[[#This Row],[Current Price ($)]])/PricingDataTable[[#This Row],[Current Price ($)]]</f>
        <v>-2.5529879149819019E-3</v>
      </c>
      <c r="M3052" t="str">
        <f t="shared" si="94"/>
        <v>PASS</v>
      </c>
      <c r="N3052" s="10" t="str">
        <f t="shared" si="95"/>
        <v>NONE</v>
      </c>
    </row>
    <row r="3053" spans="1:14">
      <c r="A3053" s="4" t="s">
        <v>6122</v>
      </c>
      <c r="B3053" s="4" t="s">
        <v>6123</v>
      </c>
      <c r="C3053" s="4" t="s">
        <v>16</v>
      </c>
      <c r="D3053" s="4" t="s">
        <v>13</v>
      </c>
      <c r="E3053" s="5">
        <v>108.81950000000001</v>
      </c>
      <c r="F3053" s="5">
        <v>108.4687</v>
      </c>
      <c r="G3053" s="5">
        <v>108.37</v>
      </c>
      <c r="H3053" s="4">
        <v>0</v>
      </c>
      <c r="I3053" s="6">
        <v>917115</v>
      </c>
      <c r="J3053" s="7">
        <v>831.54</v>
      </c>
      <c r="K3053" s="9">
        <f>(PricingDataTable[[#This Row],[Current Price ($)]]-PricingDataTable[[#This Row],[Prior Price ($)]])/PricingDataTable[[#This Row],[Prior Price ($)]]</f>
        <v>-3.2236869311107535E-3</v>
      </c>
      <c r="L3053" s="9">
        <f>(PricingDataTable[[#This Row],[Vendor Price ($)]]-PricingDataTable[[#This Row],[Current Price ($)]])/PricingDataTable[[#This Row],[Current Price ($)]]</f>
        <v>-9.0993991815144638E-4</v>
      </c>
      <c r="M3053" t="str">
        <f t="shared" si="94"/>
        <v>PASS</v>
      </c>
      <c r="N3053" s="10" t="str">
        <f t="shared" si="95"/>
        <v>NONE</v>
      </c>
    </row>
    <row r="3054" spans="1:14">
      <c r="A3054" s="4" t="s">
        <v>6124</v>
      </c>
      <c r="B3054" s="4" t="s">
        <v>6125</v>
      </c>
      <c r="C3054" s="4" t="s">
        <v>12</v>
      </c>
      <c r="D3054" s="4" t="s">
        <v>13</v>
      </c>
      <c r="E3054" s="5">
        <v>76.052899999999994</v>
      </c>
      <c r="F3054" s="5">
        <v>75.007300000000001</v>
      </c>
      <c r="G3054" s="5">
        <v>75.094099999999997</v>
      </c>
      <c r="H3054" s="4">
        <v>0</v>
      </c>
      <c r="I3054" s="6">
        <v>4592166</v>
      </c>
      <c r="J3054" s="7">
        <v>77.45</v>
      </c>
      <c r="K3054" s="9">
        <f>(PricingDataTable[[#This Row],[Current Price ($)]]-PricingDataTable[[#This Row],[Prior Price ($)]])/PricingDataTable[[#This Row],[Prior Price ($)]]</f>
        <v>-1.3748325178921425E-2</v>
      </c>
      <c r="L3054" s="9">
        <f>(PricingDataTable[[#This Row],[Vendor Price ($)]]-PricingDataTable[[#This Row],[Current Price ($)]])/PricingDataTable[[#This Row],[Current Price ($)]]</f>
        <v>1.1572206971854294E-3</v>
      </c>
      <c r="M3054" t="str">
        <f t="shared" si="94"/>
        <v>PASS</v>
      </c>
      <c r="N3054" s="10" t="str">
        <f t="shared" si="95"/>
        <v>NONE</v>
      </c>
    </row>
    <row r="3055" spans="1:14">
      <c r="A3055" s="4" t="s">
        <v>6126</v>
      </c>
      <c r="B3055" s="4" t="s">
        <v>6127</v>
      </c>
      <c r="C3055" s="4" t="s">
        <v>19</v>
      </c>
      <c r="D3055" s="4" t="s">
        <v>13</v>
      </c>
      <c r="E3055" s="5">
        <v>254.57409999999999</v>
      </c>
      <c r="F3055" s="5">
        <v>255.7938</v>
      </c>
      <c r="G3055" s="5">
        <v>255.9796</v>
      </c>
      <c r="H3055" s="4">
        <v>0</v>
      </c>
      <c r="I3055" s="6">
        <v>2016908</v>
      </c>
      <c r="J3055" s="7">
        <v>397.4</v>
      </c>
      <c r="K3055" s="9">
        <f>(PricingDataTable[[#This Row],[Current Price ($)]]-PricingDataTable[[#This Row],[Prior Price ($)]])/PricingDataTable[[#This Row],[Prior Price ($)]]</f>
        <v>4.7911393971343409E-3</v>
      </c>
      <c r="L3055" s="9">
        <f>(PricingDataTable[[#This Row],[Vendor Price ($)]]-PricingDataTable[[#This Row],[Current Price ($)]])/PricingDataTable[[#This Row],[Current Price ($)]]</f>
        <v>7.263663153680832E-4</v>
      </c>
      <c r="M3055" t="str">
        <f t="shared" si="94"/>
        <v>PASS</v>
      </c>
      <c r="N3055" s="10" t="str">
        <f t="shared" si="95"/>
        <v>NONE</v>
      </c>
    </row>
    <row r="3056" spans="1:14">
      <c r="A3056" s="4" t="s">
        <v>6128</v>
      </c>
      <c r="B3056" s="4" t="s">
        <v>6129</v>
      </c>
      <c r="C3056" s="4" t="s">
        <v>16</v>
      </c>
      <c r="D3056" s="4" t="s">
        <v>13</v>
      </c>
      <c r="E3056" s="5">
        <v>78.369100000000003</v>
      </c>
      <c r="F3056" s="5">
        <v>79.497100000000003</v>
      </c>
      <c r="G3056" s="5">
        <v>79.442599999999999</v>
      </c>
      <c r="H3056" s="4">
        <v>0</v>
      </c>
      <c r="I3056" s="6">
        <v>1001926</v>
      </c>
      <c r="J3056" s="7">
        <v>724.35</v>
      </c>
      <c r="K3056" s="9">
        <f>(PricingDataTable[[#This Row],[Current Price ($)]]-PricingDataTable[[#This Row],[Prior Price ($)]])/PricingDataTable[[#This Row],[Prior Price ($)]]</f>
        <v>1.4393428022013779E-2</v>
      </c>
      <c r="L3056" s="9">
        <f>(PricingDataTable[[#This Row],[Vendor Price ($)]]-PricingDataTable[[#This Row],[Current Price ($)]])/PricingDataTable[[#This Row],[Current Price ($)]]</f>
        <v>-6.8555959902945427E-4</v>
      </c>
      <c r="M3056" t="str">
        <f t="shared" si="94"/>
        <v>PASS</v>
      </c>
      <c r="N3056" s="10" t="str">
        <f t="shared" si="95"/>
        <v>NONE</v>
      </c>
    </row>
    <row r="3057" spans="1:14">
      <c r="A3057" s="4" t="s">
        <v>6130</v>
      </c>
      <c r="B3057" s="4" t="s">
        <v>6131</v>
      </c>
      <c r="C3057" s="4" t="s">
        <v>19</v>
      </c>
      <c r="D3057" s="4" t="s">
        <v>13</v>
      </c>
      <c r="E3057" s="5">
        <v>45.159300000000002</v>
      </c>
      <c r="F3057" s="5">
        <v>45.762</v>
      </c>
      <c r="G3057" s="5">
        <v>45.760899999999999</v>
      </c>
      <c r="H3057" s="4">
        <v>0</v>
      </c>
      <c r="I3057" s="6">
        <v>1921621</v>
      </c>
      <c r="J3057" s="7">
        <v>659.74</v>
      </c>
      <c r="K3057" s="9">
        <f>(PricingDataTable[[#This Row],[Current Price ($)]]-PricingDataTable[[#This Row],[Prior Price ($)]])/PricingDataTable[[#This Row],[Prior Price ($)]]</f>
        <v>1.3346088181171955E-2</v>
      </c>
      <c r="L3057" s="9">
        <f>(PricingDataTable[[#This Row],[Vendor Price ($)]]-PricingDataTable[[#This Row],[Current Price ($)]])/PricingDataTable[[#This Row],[Current Price ($)]]</f>
        <v>-2.4037410952340131E-5</v>
      </c>
      <c r="M3057" t="str">
        <f t="shared" si="94"/>
        <v>PASS</v>
      </c>
      <c r="N3057" s="10" t="str">
        <f t="shared" si="95"/>
        <v>NONE</v>
      </c>
    </row>
    <row r="3058" spans="1:14">
      <c r="A3058" s="4" t="s">
        <v>6132</v>
      </c>
      <c r="B3058" s="4" t="s">
        <v>6133</v>
      </c>
      <c r="C3058" s="4" t="s">
        <v>19</v>
      </c>
      <c r="D3058" s="4" t="s">
        <v>237</v>
      </c>
      <c r="E3058" s="5">
        <v>326.65519999999998</v>
      </c>
      <c r="F3058" s="5">
        <v>327.75529999999998</v>
      </c>
      <c r="G3058" s="5">
        <v>326.77089999999998</v>
      </c>
      <c r="H3058" s="4">
        <v>5</v>
      </c>
      <c r="I3058" s="6">
        <v>3326472</v>
      </c>
      <c r="J3058" s="7">
        <v>460.77</v>
      </c>
      <c r="K3058" s="9">
        <f>(PricingDataTable[[#This Row],[Current Price ($)]]-PricingDataTable[[#This Row],[Prior Price ($)]])/PricingDataTable[[#This Row],[Prior Price ($)]]</f>
        <v>3.3677712768693034E-3</v>
      </c>
      <c r="L3058" s="9">
        <f>(PricingDataTable[[#This Row],[Vendor Price ($)]]-PricingDataTable[[#This Row],[Current Price ($)]])/PricingDataTable[[#This Row],[Current Price ($)]]</f>
        <v>-3.0034602033895221E-3</v>
      </c>
      <c r="M3058" t="str">
        <f t="shared" si="94"/>
        <v>STALE</v>
      </c>
      <c r="N3058" s="10" t="str">
        <f t="shared" si="95"/>
        <v>MEDIUM</v>
      </c>
    </row>
    <row r="3059" spans="1:14">
      <c r="A3059" s="4" t="s">
        <v>6134</v>
      </c>
      <c r="B3059" s="4" t="s">
        <v>6135</v>
      </c>
      <c r="C3059" s="4" t="s">
        <v>19</v>
      </c>
      <c r="D3059" s="4" t="s">
        <v>13</v>
      </c>
      <c r="E3059" s="5">
        <v>169.9092</v>
      </c>
      <c r="F3059" s="5">
        <v>169.85849999999999</v>
      </c>
      <c r="G3059" s="5">
        <v>169.77449999999999</v>
      </c>
      <c r="H3059" s="4">
        <v>0</v>
      </c>
      <c r="I3059" s="6">
        <v>1046014</v>
      </c>
      <c r="J3059" s="7">
        <v>268.52999999999997</v>
      </c>
      <c r="K3059" s="9">
        <f>(PricingDataTable[[#This Row],[Current Price ($)]]-PricingDataTable[[#This Row],[Prior Price ($)]])/PricingDataTable[[#This Row],[Prior Price ($)]]</f>
        <v>-2.9839467197777508E-4</v>
      </c>
      <c r="L3059" s="9">
        <f>(PricingDataTable[[#This Row],[Vendor Price ($)]]-PricingDataTable[[#This Row],[Current Price ($)]])/PricingDataTable[[#This Row],[Current Price ($)]]</f>
        <v>-4.9452926995118397E-4</v>
      </c>
      <c r="M3059" t="str">
        <f t="shared" si="94"/>
        <v>PASS</v>
      </c>
      <c r="N3059" s="10" t="str">
        <f t="shared" si="95"/>
        <v>NONE</v>
      </c>
    </row>
    <row r="3060" spans="1:14">
      <c r="A3060" s="4" t="s">
        <v>6136</v>
      </c>
      <c r="B3060" s="4" t="s">
        <v>6137</v>
      </c>
      <c r="C3060" s="4" t="s">
        <v>16</v>
      </c>
      <c r="D3060" s="4" t="s">
        <v>32</v>
      </c>
      <c r="E3060" s="5">
        <v>119.5038</v>
      </c>
      <c r="F3060" s="5">
        <v>92.894999999999996</v>
      </c>
      <c r="G3060" s="5">
        <v>93.233900000000006</v>
      </c>
      <c r="H3060" s="4">
        <v>0</v>
      </c>
      <c r="I3060" s="6">
        <v>317646</v>
      </c>
      <c r="J3060" s="7">
        <v>676</v>
      </c>
      <c r="K3060" s="9">
        <f>(PricingDataTable[[#This Row],[Current Price ($)]]-PricingDataTable[[#This Row],[Prior Price ($)]])/PricingDataTable[[#This Row],[Prior Price ($)]]</f>
        <v>-0.22266070200278151</v>
      </c>
      <c r="L3060" s="9">
        <f>(PricingDataTable[[#This Row],[Vendor Price ($)]]-PricingDataTable[[#This Row],[Current Price ($)]])/PricingDataTable[[#This Row],[Current Price ($)]]</f>
        <v>3.6482049625922767E-3</v>
      </c>
      <c r="M3060" t="str">
        <f t="shared" si="94"/>
        <v>LARGE MOVE</v>
      </c>
      <c r="N3060" s="10" t="str">
        <f t="shared" si="95"/>
        <v>HIGH</v>
      </c>
    </row>
    <row r="3061" spans="1:14">
      <c r="A3061" s="4" t="s">
        <v>6138</v>
      </c>
      <c r="B3061" s="4" t="s">
        <v>6139</v>
      </c>
      <c r="C3061" s="4" t="s">
        <v>19</v>
      </c>
      <c r="D3061" s="4" t="s">
        <v>36</v>
      </c>
      <c r="E3061" s="5">
        <v>283.7987</v>
      </c>
      <c r="F3061" s="5">
        <v>285.46339999999998</v>
      </c>
      <c r="G3061" s="5">
        <v>286.4239</v>
      </c>
      <c r="H3061" s="4">
        <v>0</v>
      </c>
      <c r="I3061" s="6">
        <v>4573694</v>
      </c>
      <c r="J3061" s="7">
        <v>411.87</v>
      </c>
      <c r="K3061" s="9">
        <f>(PricingDataTable[[#This Row],[Current Price ($)]]-PricingDataTable[[#This Row],[Prior Price ($)]])/PricingDataTable[[#This Row],[Prior Price ($)]]</f>
        <v>5.8657773978527108E-3</v>
      </c>
      <c r="L3061" s="9">
        <f>(PricingDataTable[[#This Row],[Vendor Price ($)]]-PricingDataTable[[#This Row],[Current Price ($)]])/PricingDataTable[[#This Row],[Current Price ($)]]</f>
        <v>3.3647045470628621E-3</v>
      </c>
      <c r="M3061" t="str">
        <f t="shared" si="94"/>
        <v>PASS</v>
      </c>
      <c r="N3061" s="10" t="str">
        <f t="shared" si="95"/>
        <v>NONE</v>
      </c>
    </row>
    <row r="3062" spans="1:14">
      <c r="A3062" s="4" t="s">
        <v>6140</v>
      </c>
      <c r="B3062" s="4" t="s">
        <v>6141</v>
      </c>
      <c r="C3062" s="4" t="s">
        <v>19</v>
      </c>
      <c r="D3062" s="4" t="s">
        <v>13</v>
      </c>
      <c r="E3062" s="5">
        <v>243.8252</v>
      </c>
      <c r="F3062" s="5">
        <v>241.9358</v>
      </c>
      <c r="G3062" s="5">
        <v>241.8877</v>
      </c>
      <c r="H3062" s="4">
        <v>0</v>
      </c>
      <c r="I3062" s="6">
        <v>58996</v>
      </c>
      <c r="J3062" s="7">
        <v>275.11</v>
      </c>
      <c r="K3062" s="9">
        <f>(PricingDataTable[[#This Row],[Current Price ($)]]-PricingDataTable[[#This Row],[Prior Price ($)]])/PricingDataTable[[#This Row],[Prior Price ($)]]</f>
        <v>-7.7489939514045099E-3</v>
      </c>
      <c r="L3062" s="9">
        <f>(PricingDataTable[[#This Row],[Vendor Price ($)]]-PricingDataTable[[#This Row],[Current Price ($)]])/PricingDataTable[[#This Row],[Current Price ($)]]</f>
        <v>-1.9881307355093847E-4</v>
      </c>
      <c r="M3062" t="str">
        <f t="shared" si="94"/>
        <v>PASS</v>
      </c>
      <c r="N3062" s="10" t="str">
        <f t="shared" si="95"/>
        <v>NONE</v>
      </c>
    </row>
    <row r="3063" spans="1:14">
      <c r="A3063" s="4" t="s">
        <v>6142</v>
      </c>
      <c r="B3063" s="4" t="s">
        <v>6143</v>
      </c>
      <c r="C3063" s="4" t="s">
        <v>19</v>
      </c>
      <c r="D3063" s="4" t="s">
        <v>36</v>
      </c>
      <c r="E3063" s="5">
        <v>187.43279999999999</v>
      </c>
      <c r="F3063" s="5">
        <v>187.30119999999999</v>
      </c>
      <c r="G3063" s="5">
        <v>186.84970000000001</v>
      </c>
      <c r="H3063" s="4">
        <v>0</v>
      </c>
      <c r="I3063" s="6">
        <v>4004691</v>
      </c>
      <c r="J3063" s="7">
        <v>177.99</v>
      </c>
      <c r="K3063" s="9">
        <f>(PricingDataTable[[#This Row],[Current Price ($)]]-PricingDataTable[[#This Row],[Prior Price ($)]])/PricingDataTable[[#This Row],[Prior Price ($)]]</f>
        <v>-7.0211830586744547E-4</v>
      </c>
      <c r="L3063" s="9">
        <f>(PricingDataTable[[#This Row],[Vendor Price ($)]]-PricingDataTable[[#This Row],[Current Price ($)]])/PricingDataTable[[#This Row],[Current Price ($)]]</f>
        <v>-2.4105558319967068E-3</v>
      </c>
      <c r="M3063" t="str">
        <f t="shared" si="94"/>
        <v>PASS</v>
      </c>
      <c r="N3063" s="10" t="str">
        <f t="shared" si="95"/>
        <v>NONE</v>
      </c>
    </row>
    <row r="3064" spans="1:14">
      <c r="A3064" s="4" t="s">
        <v>6144</v>
      </c>
      <c r="B3064" s="4" t="s">
        <v>6145</v>
      </c>
      <c r="C3064" s="4" t="s">
        <v>16</v>
      </c>
      <c r="D3064" s="4" t="s">
        <v>13</v>
      </c>
      <c r="E3064" s="5">
        <v>118.8895</v>
      </c>
      <c r="F3064" s="5">
        <v>120.3365</v>
      </c>
      <c r="G3064" s="5">
        <v>120.1524</v>
      </c>
      <c r="H3064" s="4">
        <v>0</v>
      </c>
      <c r="I3064" s="6">
        <v>867250</v>
      </c>
      <c r="J3064" s="7">
        <v>502.53</v>
      </c>
      <c r="K3064" s="9">
        <f>(PricingDataTable[[#This Row],[Current Price ($)]]-PricingDataTable[[#This Row],[Prior Price ($)]])/PricingDataTable[[#This Row],[Prior Price ($)]]</f>
        <v>1.2170965476345705E-2</v>
      </c>
      <c r="L3064" s="9">
        <f>(PricingDataTable[[#This Row],[Vendor Price ($)]]-PricingDataTable[[#This Row],[Current Price ($)]])/PricingDataTable[[#This Row],[Current Price ($)]]</f>
        <v>-1.5298766375954162E-3</v>
      </c>
      <c r="M3064" t="str">
        <f t="shared" si="94"/>
        <v>PASS</v>
      </c>
      <c r="N3064" s="10" t="str">
        <f t="shared" si="95"/>
        <v>NONE</v>
      </c>
    </row>
    <row r="3065" spans="1:14">
      <c r="A3065" s="4" t="s">
        <v>6146</v>
      </c>
      <c r="B3065" s="4" t="s">
        <v>6147</v>
      </c>
      <c r="C3065" s="4" t="s">
        <v>35</v>
      </c>
      <c r="D3065" s="4" t="s">
        <v>13</v>
      </c>
      <c r="E3065" s="5">
        <v>35.001800000000003</v>
      </c>
      <c r="F3065" s="5">
        <v>32.529600000000002</v>
      </c>
      <c r="G3065" s="5">
        <v>32.4178</v>
      </c>
      <c r="H3065" s="4">
        <v>0</v>
      </c>
      <c r="I3065" s="6">
        <v>4225988</v>
      </c>
      <c r="J3065" s="7">
        <v>279.95999999999998</v>
      </c>
      <c r="K3065" s="9">
        <f>(PricingDataTable[[#This Row],[Current Price ($)]]-PricingDataTable[[#This Row],[Prior Price ($)]])/PricingDataTable[[#This Row],[Prior Price ($)]]</f>
        <v>-7.0630653280688446E-2</v>
      </c>
      <c r="L3065" s="9">
        <f>(PricingDataTable[[#This Row],[Vendor Price ($)]]-PricingDataTable[[#This Row],[Current Price ($)]])/PricingDataTable[[#This Row],[Current Price ($)]]</f>
        <v>-3.4368698047317625E-3</v>
      </c>
      <c r="M3065" t="str">
        <f t="shared" si="94"/>
        <v>LARGE MOVE</v>
      </c>
      <c r="N3065" s="10" t="str">
        <f t="shared" si="95"/>
        <v>MEDIUM</v>
      </c>
    </row>
    <row r="3066" spans="1:14">
      <c r="A3066" s="4" t="s">
        <v>6148</v>
      </c>
      <c r="B3066" s="4" t="s">
        <v>6149</v>
      </c>
      <c r="C3066" s="4" t="s">
        <v>39</v>
      </c>
      <c r="D3066" s="4" t="s">
        <v>13</v>
      </c>
      <c r="E3066" s="5">
        <v>12.562099999999999</v>
      </c>
      <c r="F3066" s="5">
        <v>12.432600000000001</v>
      </c>
      <c r="G3066" s="5">
        <v>12.430400000000001</v>
      </c>
      <c r="H3066" s="4">
        <v>0</v>
      </c>
      <c r="I3066" s="6">
        <v>4269225</v>
      </c>
      <c r="J3066" s="7">
        <v>64.05</v>
      </c>
      <c r="K3066" s="9">
        <f>(PricingDataTable[[#This Row],[Current Price ($)]]-PricingDataTable[[#This Row],[Prior Price ($)]])/PricingDataTable[[#This Row],[Prior Price ($)]]</f>
        <v>-1.030878595139335E-2</v>
      </c>
      <c r="L3066" s="9">
        <f>(PricingDataTable[[#This Row],[Vendor Price ($)]]-PricingDataTable[[#This Row],[Current Price ($)]])/PricingDataTable[[#This Row],[Current Price ($)]]</f>
        <v>-1.7695413670513021E-4</v>
      </c>
      <c r="M3066" t="str">
        <f t="shared" si="94"/>
        <v>PASS</v>
      </c>
      <c r="N3066" s="10" t="str">
        <f t="shared" si="95"/>
        <v>NONE</v>
      </c>
    </row>
    <row r="3067" spans="1:14">
      <c r="A3067" s="4" t="s">
        <v>6150</v>
      </c>
      <c r="B3067" s="4" t="s">
        <v>6151</v>
      </c>
      <c r="C3067" s="4" t="s">
        <v>19</v>
      </c>
      <c r="D3067" s="4" t="s">
        <v>13</v>
      </c>
      <c r="E3067" s="5">
        <v>172.42410000000001</v>
      </c>
      <c r="F3067" s="5">
        <v>174.69630000000001</v>
      </c>
      <c r="G3067" s="5">
        <v>174.98750000000001</v>
      </c>
      <c r="H3067" s="4">
        <v>0</v>
      </c>
      <c r="I3067" s="6">
        <v>4760063</v>
      </c>
      <c r="J3067" s="7">
        <v>201.12</v>
      </c>
      <c r="K3067" s="9">
        <f>(PricingDataTable[[#This Row],[Current Price ($)]]-PricingDataTable[[#This Row],[Prior Price ($)]])/PricingDataTable[[#This Row],[Prior Price ($)]]</f>
        <v>1.3177972220820627E-2</v>
      </c>
      <c r="L3067" s="9">
        <f>(PricingDataTable[[#This Row],[Vendor Price ($)]]-PricingDataTable[[#This Row],[Current Price ($)]])/PricingDataTable[[#This Row],[Current Price ($)]]</f>
        <v>1.6668927733443893E-3</v>
      </c>
      <c r="M3067" t="str">
        <f t="shared" si="94"/>
        <v>PASS</v>
      </c>
      <c r="N3067" s="10" t="str">
        <f t="shared" si="95"/>
        <v>NONE</v>
      </c>
    </row>
    <row r="3068" spans="1:14">
      <c r="A3068" s="4" t="s">
        <v>6152</v>
      </c>
      <c r="B3068" s="4" t="s">
        <v>6153</v>
      </c>
      <c r="C3068" s="4" t="s">
        <v>35</v>
      </c>
      <c r="D3068" s="4" t="s">
        <v>237</v>
      </c>
      <c r="E3068" s="5">
        <v>143.1157</v>
      </c>
      <c r="F3068" s="5">
        <v>143.6884</v>
      </c>
      <c r="G3068" s="5">
        <v>143.0838</v>
      </c>
      <c r="H3068" s="4">
        <v>0</v>
      </c>
      <c r="I3068" s="6">
        <v>3538844</v>
      </c>
      <c r="J3068" s="7">
        <v>531.14</v>
      </c>
      <c r="K3068" s="9">
        <f>(PricingDataTable[[#This Row],[Current Price ($)]]-PricingDataTable[[#This Row],[Prior Price ($)]])/PricingDataTable[[#This Row],[Prior Price ($)]]</f>
        <v>4.0016574002712316E-3</v>
      </c>
      <c r="L3068" s="9">
        <f>(PricingDataTable[[#This Row],[Vendor Price ($)]]-PricingDataTable[[#This Row],[Current Price ($)]])/PricingDataTable[[#This Row],[Current Price ($)]]</f>
        <v>-4.2077161413169393E-3</v>
      </c>
      <c r="M3068" t="str">
        <f t="shared" si="94"/>
        <v>PASS</v>
      </c>
      <c r="N3068" s="10" t="str">
        <f t="shared" si="95"/>
        <v>NONE</v>
      </c>
    </row>
    <row r="3069" spans="1:14">
      <c r="A3069" s="4" t="s">
        <v>6154</v>
      </c>
      <c r="B3069" s="4" t="s">
        <v>6155</v>
      </c>
      <c r="C3069" s="4" t="s">
        <v>19</v>
      </c>
      <c r="D3069" s="4" t="s">
        <v>237</v>
      </c>
      <c r="E3069" s="5">
        <v>67.622399999999999</v>
      </c>
      <c r="F3069" s="5">
        <v>66.558700000000002</v>
      </c>
      <c r="G3069" s="5">
        <v>66.6648</v>
      </c>
      <c r="H3069" s="4">
        <v>2</v>
      </c>
      <c r="I3069" s="6">
        <v>1337229</v>
      </c>
      <c r="J3069" s="7">
        <v>208.23</v>
      </c>
      <c r="K3069" s="9">
        <f>(PricingDataTable[[#This Row],[Current Price ($)]]-PricingDataTable[[#This Row],[Prior Price ($)]])/PricingDataTable[[#This Row],[Prior Price ($)]]</f>
        <v>-1.5729994794624225E-2</v>
      </c>
      <c r="L3069" s="9">
        <f>(PricingDataTable[[#This Row],[Vendor Price ($)]]-PricingDataTable[[#This Row],[Current Price ($)]])/PricingDataTable[[#This Row],[Current Price ($)]]</f>
        <v>1.594081615175745E-3</v>
      </c>
      <c r="M3069" t="str">
        <f t="shared" si="94"/>
        <v>PASS</v>
      </c>
      <c r="N3069" s="10" t="str">
        <f t="shared" si="95"/>
        <v>NONE</v>
      </c>
    </row>
    <row r="3070" spans="1:14">
      <c r="A3070" s="4" t="s">
        <v>6156</v>
      </c>
      <c r="B3070" s="4" t="s">
        <v>6157</v>
      </c>
      <c r="C3070" s="4" t="s">
        <v>16</v>
      </c>
      <c r="D3070" s="4" t="s">
        <v>13</v>
      </c>
      <c r="E3070" s="5">
        <v>108.9586</v>
      </c>
      <c r="F3070" s="5">
        <v>108.67910000000001</v>
      </c>
      <c r="G3070" s="5">
        <v>109.05159999999999</v>
      </c>
      <c r="H3070" s="4">
        <v>5</v>
      </c>
      <c r="I3070" s="6">
        <v>8343</v>
      </c>
      <c r="J3070" s="7">
        <v>229.94</v>
      </c>
      <c r="K3070" s="9">
        <f>(PricingDataTable[[#This Row],[Current Price ($)]]-PricingDataTable[[#This Row],[Prior Price ($)]])/PricingDataTable[[#This Row],[Prior Price ($)]]</f>
        <v>-2.5651944867132906E-3</v>
      </c>
      <c r="L3070" s="9">
        <f>(PricingDataTable[[#This Row],[Vendor Price ($)]]-PricingDataTable[[#This Row],[Current Price ($)]])/PricingDataTable[[#This Row],[Current Price ($)]]</f>
        <v>3.4275219430413765E-3</v>
      </c>
      <c r="M3070" t="str">
        <f t="shared" si="94"/>
        <v>STALE</v>
      </c>
      <c r="N3070" s="10" t="str">
        <f t="shared" si="95"/>
        <v>MEDIUM</v>
      </c>
    </row>
    <row r="3071" spans="1:14">
      <c r="A3071" s="4" t="s">
        <v>6158</v>
      </c>
      <c r="B3071" s="4" t="s">
        <v>6159</v>
      </c>
      <c r="C3071" s="4" t="s">
        <v>35</v>
      </c>
      <c r="D3071" s="4" t="s">
        <v>64</v>
      </c>
      <c r="E3071" s="5">
        <v>30.206199999999999</v>
      </c>
      <c r="F3071" s="5">
        <v>30.448599999999999</v>
      </c>
      <c r="G3071" s="5">
        <v>30.4437</v>
      </c>
      <c r="H3071" s="4">
        <v>0</v>
      </c>
      <c r="I3071" s="6">
        <v>1796722</v>
      </c>
      <c r="J3071" s="7">
        <v>734.69</v>
      </c>
      <c r="K3071" s="9">
        <f>(PricingDataTable[[#This Row],[Current Price ($)]]-PricingDataTable[[#This Row],[Prior Price ($)]])/PricingDataTable[[#This Row],[Prior Price ($)]]</f>
        <v>8.0248425819864789E-3</v>
      </c>
      <c r="L3071" s="9">
        <f>(PricingDataTable[[#This Row],[Vendor Price ($)]]-PricingDataTable[[#This Row],[Current Price ($)]])/PricingDataTable[[#This Row],[Current Price ($)]]</f>
        <v>-1.6092693916959199E-4</v>
      </c>
      <c r="M3071" t="str">
        <f t="shared" si="94"/>
        <v>PASS</v>
      </c>
      <c r="N3071" s="10" t="str">
        <f t="shared" si="95"/>
        <v>NONE</v>
      </c>
    </row>
    <row r="3072" spans="1:14">
      <c r="A3072" s="4" t="s">
        <v>6160</v>
      </c>
      <c r="B3072" s="4" t="s">
        <v>6161</v>
      </c>
      <c r="C3072" s="4" t="s">
        <v>16</v>
      </c>
      <c r="D3072" s="4" t="s">
        <v>13</v>
      </c>
      <c r="E3072" s="5">
        <v>121.3334</v>
      </c>
      <c r="F3072" s="5">
        <v>121.58450000000001</v>
      </c>
      <c r="G3072" s="5">
        <v>121.40260000000001</v>
      </c>
      <c r="H3072" s="4">
        <v>0</v>
      </c>
      <c r="I3072" s="6">
        <v>2784548</v>
      </c>
      <c r="J3072" s="7">
        <v>576.63</v>
      </c>
      <c r="K3072" s="9">
        <f>(PricingDataTable[[#This Row],[Current Price ($)]]-PricingDataTable[[#This Row],[Prior Price ($)]])/PricingDataTable[[#This Row],[Prior Price ($)]]</f>
        <v>2.0695043574152552E-3</v>
      </c>
      <c r="L3072" s="9">
        <f>(PricingDataTable[[#This Row],[Vendor Price ($)]]-PricingDataTable[[#This Row],[Current Price ($)]])/PricingDataTable[[#This Row],[Current Price ($)]]</f>
        <v>-1.4960788587360958E-3</v>
      </c>
      <c r="M3072" t="str">
        <f t="shared" si="94"/>
        <v>PASS</v>
      </c>
      <c r="N3072" s="10" t="str">
        <f t="shared" si="95"/>
        <v>NONE</v>
      </c>
    </row>
    <row r="3073" spans="1:14">
      <c r="A3073" s="4" t="s">
        <v>6162</v>
      </c>
      <c r="B3073" s="4" t="s">
        <v>6163</v>
      </c>
      <c r="C3073" s="4" t="s">
        <v>16</v>
      </c>
      <c r="D3073" s="4" t="s">
        <v>13</v>
      </c>
      <c r="E3073" s="5">
        <v>104.1065</v>
      </c>
      <c r="F3073" s="5">
        <v>102.1807</v>
      </c>
      <c r="G3073" s="5">
        <v>102.41540000000001</v>
      </c>
      <c r="H3073" s="4">
        <v>0</v>
      </c>
      <c r="I3073" s="6">
        <v>3484021</v>
      </c>
      <c r="J3073" s="7">
        <v>364.32</v>
      </c>
      <c r="K3073" s="9">
        <f>(PricingDataTable[[#This Row],[Current Price ($)]]-PricingDataTable[[#This Row],[Prior Price ($)]])/PricingDataTable[[#This Row],[Prior Price ($)]]</f>
        <v>-1.8498364655424929E-2</v>
      </c>
      <c r="L3073" s="9">
        <f>(PricingDataTable[[#This Row],[Vendor Price ($)]]-PricingDataTable[[#This Row],[Current Price ($)]])/PricingDataTable[[#This Row],[Current Price ($)]]</f>
        <v>2.2969112562353134E-3</v>
      </c>
      <c r="M3073" t="str">
        <f t="shared" si="94"/>
        <v>PASS</v>
      </c>
      <c r="N3073" s="10" t="str">
        <f t="shared" si="95"/>
        <v>NONE</v>
      </c>
    </row>
    <row r="3074" spans="1:14">
      <c r="A3074" s="4" t="s">
        <v>6164</v>
      </c>
      <c r="B3074" s="4" t="s">
        <v>6165</v>
      </c>
      <c r="C3074" s="4" t="s">
        <v>12</v>
      </c>
      <c r="D3074" s="4" t="s">
        <v>13</v>
      </c>
      <c r="E3074" s="5">
        <v>116.71510000000001</v>
      </c>
      <c r="F3074" s="5">
        <v>115.027</v>
      </c>
      <c r="G3074" s="5">
        <v>115.4615</v>
      </c>
      <c r="H3074" s="4">
        <v>0</v>
      </c>
      <c r="I3074" s="6">
        <v>4161474</v>
      </c>
      <c r="J3074" s="7">
        <v>800.3</v>
      </c>
      <c r="K3074" s="9">
        <f>(PricingDataTable[[#This Row],[Current Price ($)]]-PricingDataTable[[#This Row],[Prior Price ($)]])/PricingDataTable[[#This Row],[Prior Price ($)]]</f>
        <v>-1.4463424184188726E-2</v>
      </c>
      <c r="L3074" s="9">
        <f>(PricingDataTable[[#This Row],[Vendor Price ($)]]-PricingDataTable[[#This Row],[Current Price ($)]])/PricingDataTable[[#This Row],[Current Price ($)]]</f>
        <v>3.7773740078416362E-3</v>
      </c>
      <c r="M3074" t="str">
        <f t="shared" ref="M3074:M3137" si="96">IF(OR(F3074="",F3074=0),"MISSING",IF(H3074&gt;=3,"STALE",IF(ABS(K3074)&gt;=5%,"LARGE MOVE",IF(ABS(L3074)&gt;=2%,"VENDOR DIFFERENCE","PASS"))))</f>
        <v>PASS</v>
      </c>
      <c r="N3074" s="10" t="str">
        <f t="shared" ref="N3074:N3137" si="97">IF(M3074="PASS","NONE",IF(M3074="MISSING","HIGH",IF(OR(ABS(K3074)&gt;=10%,ABS(L3074)&gt;=5%),"HIGH",IF(OR(ABS(K3074)&gt;=7%,ABS(L3074)&gt;=3%,H3074&gt;=5),"MEDIUM","LOW"))))</f>
        <v>NONE</v>
      </c>
    </row>
    <row r="3075" spans="1:14">
      <c r="A3075" s="4" t="s">
        <v>6166</v>
      </c>
      <c r="B3075" s="4" t="s">
        <v>6167</v>
      </c>
      <c r="C3075" s="4" t="s">
        <v>19</v>
      </c>
      <c r="D3075" s="4" t="s">
        <v>13</v>
      </c>
      <c r="E3075" s="5">
        <v>337.87220000000002</v>
      </c>
      <c r="F3075" s="5">
        <v>333.68259999999998</v>
      </c>
      <c r="G3075" s="5">
        <v>333.64940000000001</v>
      </c>
      <c r="H3075" s="4">
        <v>1</v>
      </c>
      <c r="I3075" s="6">
        <v>2447429</v>
      </c>
      <c r="J3075" s="7">
        <v>280.99</v>
      </c>
      <c r="K3075" s="9">
        <f>(PricingDataTable[[#This Row],[Current Price ($)]]-PricingDataTable[[#This Row],[Prior Price ($)]])/PricingDataTable[[#This Row],[Prior Price ($)]]</f>
        <v>-1.2399954775799965E-2</v>
      </c>
      <c r="L3075" s="9">
        <f>(PricingDataTable[[#This Row],[Vendor Price ($)]]-PricingDataTable[[#This Row],[Current Price ($)]])/PricingDataTable[[#This Row],[Current Price ($)]]</f>
        <v>-9.9495748354769655E-5</v>
      </c>
      <c r="M3075" t="str">
        <f t="shared" si="96"/>
        <v>PASS</v>
      </c>
      <c r="N3075" s="10" t="str">
        <f t="shared" si="97"/>
        <v>NONE</v>
      </c>
    </row>
    <row r="3076" spans="1:14">
      <c r="A3076" s="4" t="s">
        <v>6168</v>
      </c>
      <c r="B3076" s="4" t="s">
        <v>6169</v>
      </c>
      <c r="C3076" s="4" t="s">
        <v>19</v>
      </c>
      <c r="D3076" s="4" t="s">
        <v>13</v>
      </c>
      <c r="E3076" s="5">
        <v>346.40069999999997</v>
      </c>
      <c r="F3076" s="5">
        <v>348.53840000000002</v>
      </c>
      <c r="G3076" s="5">
        <v>384.9495</v>
      </c>
      <c r="H3076" s="4">
        <v>0</v>
      </c>
      <c r="I3076" s="6">
        <v>4022404</v>
      </c>
      <c r="J3076" s="7">
        <v>730.85</v>
      </c>
      <c r="K3076" s="9">
        <f>(PricingDataTable[[#This Row],[Current Price ($)]]-PricingDataTable[[#This Row],[Prior Price ($)]])/PricingDataTable[[#This Row],[Prior Price ($)]]</f>
        <v>6.1711769058204911E-3</v>
      </c>
      <c r="L3076" s="9">
        <f>(PricingDataTable[[#This Row],[Vendor Price ($)]]-PricingDataTable[[#This Row],[Current Price ($)]])/PricingDataTable[[#This Row],[Current Price ($)]]</f>
        <v>0.10446797253903722</v>
      </c>
      <c r="M3076" t="str">
        <f t="shared" si="96"/>
        <v>VENDOR DIFFERENCE</v>
      </c>
      <c r="N3076" s="10" t="str">
        <f t="shared" si="97"/>
        <v>HIGH</v>
      </c>
    </row>
    <row r="3077" spans="1:14">
      <c r="A3077" s="4" t="s">
        <v>6170</v>
      </c>
      <c r="B3077" s="4" t="s">
        <v>6171</v>
      </c>
      <c r="C3077" s="4" t="s">
        <v>19</v>
      </c>
      <c r="D3077" s="4" t="s">
        <v>237</v>
      </c>
      <c r="E3077" s="5">
        <v>197.94380000000001</v>
      </c>
      <c r="F3077" s="5">
        <v>202.42939999999999</v>
      </c>
      <c r="G3077" s="5">
        <v>201.73140000000001</v>
      </c>
      <c r="H3077" s="4">
        <v>4</v>
      </c>
      <c r="I3077" s="6">
        <v>1358682</v>
      </c>
      <c r="J3077" s="7">
        <v>530.27</v>
      </c>
      <c r="K3077" s="9">
        <f>(PricingDataTable[[#This Row],[Current Price ($)]]-PricingDataTable[[#This Row],[Prior Price ($)]])/PricingDataTable[[#This Row],[Prior Price ($)]]</f>
        <v>2.266097750977791E-2</v>
      </c>
      <c r="L3077" s="9">
        <f>(PricingDataTable[[#This Row],[Vendor Price ($)]]-PricingDataTable[[#This Row],[Current Price ($)]])/PricingDataTable[[#This Row],[Current Price ($)]]</f>
        <v>-3.4481157381288444E-3</v>
      </c>
      <c r="M3077" t="str">
        <f t="shared" si="96"/>
        <v>STALE</v>
      </c>
      <c r="N3077" s="10" t="str">
        <f t="shared" si="97"/>
        <v>LOW</v>
      </c>
    </row>
    <row r="3078" spans="1:14">
      <c r="A3078" s="4" t="s">
        <v>6172</v>
      </c>
      <c r="B3078" s="4" t="s">
        <v>6173</v>
      </c>
      <c r="C3078" s="4" t="s">
        <v>39</v>
      </c>
      <c r="D3078" s="4" t="s">
        <v>13</v>
      </c>
      <c r="E3078" s="5">
        <v>288.24779999999998</v>
      </c>
      <c r="F3078" s="5">
        <v>291.08550000000002</v>
      </c>
      <c r="G3078" s="5">
        <v>290.88670000000002</v>
      </c>
      <c r="H3078" s="4">
        <v>0</v>
      </c>
      <c r="I3078" s="6">
        <v>81590</v>
      </c>
      <c r="J3078" s="7">
        <v>461.35</v>
      </c>
      <c r="K3078" s="9">
        <f>(PricingDataTable[[#This Row],[Current Price ($)]]-PricingDataTable[[#This Row],[Prior Price ($)]])/PricingDataTable[[#This Row],[Prior Price ($)]]</f>
        <v>9.844654495194902E-3</v>
      </c>
      <c r="L3078" s="9">
        <f>(PricingDataTable[[#This Row],[Vendor Price ($)]]-PricingDataTable[[#This Row],[Current Price ($)]])/PricingDataTable[[#This Row],[Current Price ($)]]</f>
        <v>-6.8296084827312116E-4</v>
      </c>
      <c r="M3078" t="str">
        <f t="shared" si="96"/>
        <v>PASS</v>
      </c>
      <c r="N3078" s="10" t="str">
        <f t="shared" si="97"/>
        <v>NONE</v>
      </c>
    </row>
    <row r="3079" spans="1:14">
      <c r="A3079" s="4" t="s">
        <v>6174</v>
      </c>
      <c r="B3079" s="4" t="s">
        <v>6175</v>
      </c>
      <c r="C3079" s="4" t="s">
        <v>19</v>
      </c>
      <c r="D3079" s="4" t="s">
        <v>13</v>
      </c>
      <c r="E3079" s="5">
        <v>187.21119999999999</v>
      </c>
      <c r="F3079" s="5">
        <v>187.38489999999999</v>
      </c>
      <c r="G3079" s="5">
        <v>187.12819999999999</v>
      </c>
      <c r="H3079" s="4">
        <v>5</v>
      </c>
      <c r="I3079" s="6">
        <v>4215758</v>
      </c>
      <c r="J3079" s="7">
        <v>186.44</v>
      </c>
      <c r="K3079" s="9">
        <f>(PricingDataTable[[#This Row],[Current Price ($)]]-PricingDataTable[[#This Row],[Prior Price ($)]])/PricingDataTable[[#This Row],[Prior Price ($)]]</f>
        <v>9.2782910424160864E-4</v>
      </c>
      <c r="L3079" s="9">
        <f>(PricingDataTable[[#This Row],[Vendor Price ($)]]-PricingDataTable[[#This Row],[Current Price ($)]])/PricingDataTable[[#This Row],[Current Price ($)]]</f>
        <v>-1.3699076072831646E-3</v>
      </c>
      <c r="M3079" t="str">
        <f t="shared" si="96"/>
        <v>STALE</v>
      </c>
      <c r="N3079" s="10" t="str">
        <f t="shared" si="97"/>
        <v>MEDIUM</v>
      </c>
    </row>
    <row r="3080" spans="1:14">
      <c r="A3080" s="4" t="s">
        <v>6176</v>
      </c>
      <c r="B3080" s="4" t="s">
        <v>6177</v>
      </c>
      <c r="C3080" s="4" t="s">
        <v>19</v>
      </c>
      <c r="D3080" s="4" t="s">
        <v>13</v>
      </c>
      <c r="E3080" s="5">
        <v>19.039300000000001</v>
      </c>
      <c r="F3080" s="5">
        <v>18.857700000000001</v>
      </c>
      <c r="G3080" s="5">
        <v>18.767700000000001</v>
      </c>
      <c r="H3080" s="4">
        <v>2</v>
      </c>
      <c r="I3080" s="6">
        <v>3133979</v>
      </c>
      <c r="J3080" s="7">
        <v>403.59</v>
      </c>
      <c r="K3080" s="9">
        <f>(PricingDataTable[[#This Row],[Current Price ($)]]-PricingDataTable[[#This Row],[Prior Price ($)]])/PricingDataTable[[#This Row],[Prior Price ($)]]</f>
        <v>-9.5381657939104664E-3</v>
      </c>
      <c r="L3080" s="9">
        <f>(PricingDataTable[[#This Row],[Vendor Price ($)]]-PricingDataTable[[#This Row],[Current Price ($)]])/PricingDataTable[[#This Row],[Current Price ($)]]</f>
        <v>-4.7725862644967228E-3</v>
      </c>
      <c r="M3080" t="str">
        <f t="shared" si="96"/>
        <v>PASS</v>
      </c>
      <c r="N3080" s="10" t="str">
        <f t="shared" si="97"/>
        <v>NONE</v>
      </c>
    </row>
    <row r="3081" spans="1:14">
      <c r="A3081" s="4" t="s">
        <v>6178</v>
      </c>
      <c r="B3081" s="4" t="s">
        <v>6179</v>
      </c>
      <c r="C3081" s="4" t="s">
        <v>16</v>
      </c>
      <c r="D3081" s="4" t="s">
        <v>13</v>
      </c>
      <c r="E3081" s="5">
        <v>85.609399999999994</v>
      </c>
      <c r="F3081" s="5">
        <v>99.870800000000003</v>
      </c>
      <c r="G3081" s="5">
        <v>99.963300000000004</v>
      </c>
      <c r="H3081" s="4">
        <v>1</v>
      </c>
      <c r="I3081" s="6">
        <v>2831181</v>
      </c>
      <c r="J3081" s="7">
        <v>891.66</v>
      </c>
      <c r="K3081" s="9">
        <f>(PricingDataTable[[#This Row],[Current Price ($)]]-PricingDataTable[[#This Row],[Prior Price ($)]])/PricingDataTable[[#This Row],[Prior Price ($)]]</f>
        <v>0.16658684677149951</v>
      </c>
      <c r="L3081" s="9">
        <f>(PricingDataTable[[#This Row],[Vendor Price ($)]]-PricingDataTable[[#This Row],[Current Price ($)]])/PricingDataTable[[#This Row],[Current Price ($)]]</f>
        <v>9.2619664606672953E-4</v>
      </c>
      <c r="M3081" t="str">
        <f t="shared" si="96"/>
        <v>LARGE MOVE</v>
      </c>
      <c r="N3081" s="10" t="str">
        <f t="shared" si="97"/>
        <v>HIGH</v>
      </c>
    </row>
    <row r="3082" spans="1:14">
      <c r="A3082" s="4" t="s">
        <v>6180</v>
      </c>
      <c r="B3082" s="4" t="s">
        <v>6181</v>
      </c>
      <c r="C3082" s="4" t="s">
        <v>16</v>
      </c>
      <c r="D3082" s="4" t="s">
        <v>13</v>
      </c>
      <c r="E3082" s="5">
        <v>122.82989999999999</v>
      </c>
      <c r="F3082" s="5">
        <v>122.7295</v>
      </c>
      <c r="G3082" s="5">
        <v>122.84569999999999</v>
      </c>
      <c r="H3082" s="4">
        <v>1</v>
      </c>
      <c r="I3082" s="6">
        <v>3423721</v>
      </c>
      <c r="J3082" s="7">
        <v>790.77</v>
      </c>
      <c r="K3082" s="9">
        <f>(PricingDataTable[[#This Row],[Current Price ($)]]-PricingDataTable[[#This Row],[Prior Price ($)]])/PricingDataTable[[#This Row],[Prior Price ($)]]</f>
        <v>-8.1739055392859058E-4</v>
      </c>
      <c r="L3082" s="9">
        <f>(PricingDataTable[[#This Row],[Vendor Price ($)]]-PricingDataTable[[#This Row],[Current Price ($)]])/PricingDataTable[[#This Row],[Current Price ($)]]</f>
        <v>9.4679763219105502E-4</v>
      </c>
      <c r="M3082" t="str">
        <f t="shared" si="96"/>
        <v>PASS</v>
      </c>
      <c r="N3082" s="10" t="str">
        <f t="shared" si="97"/>
        <v>NONE</v>
      </c>
    </row>
    <row r="3083" spans="1:14">
      <c r="A3083" s="4" t="s">
        <v>6182</v>
      </c>
      <c r="B3083" s="4" t="s">
        <v>6183</v>
      </c>
      <c r="C3083" s="4" t="s">
        <v>12</v>
      </c>
      <c r="D3083" s="4" t="s">
        <v>13</v>
      </c>
      <c r="E3083" s="5">
        <v>78.964299999999994</v>
      </c>
      <c r="F3083" s="5">
        <v>78.823800000000006</v>
      </c>
      <c r="G3083" s="5">
        <v>78.857399999999998</v>
      </c>
      <c r="H3083" s="4">
        <v>1</v>
      </c>
      <c r="I3083" s="6">
        <v>4949198</v>
      </c>
      <c r="J3083" s="7">
        <v>82.44</v>
      </c>
      <c r="K3083" s="9">
        <f>(PricingDataTable[[#This Row],[Current Price ($)]]-PricingDataTable[[#This Row],[Prior Price ($)]])/PricingDataTable[[#This Row],[Prior Price ($)]]</f>
        <v>-1.7792850693286555E-3</v>
      </c>
      <c r="L3083" s="9">
        <f>(PricingDataTable[[#This Row],[Vendor Price ($)]]-PricingDataTable[[#This Row],[Current Price ($)]])/PricingDataTable[[#This Row],[Current Price ($)]]</f>
        <v>4.2626719341103505E-4</v>
      </c>
      <c r="M3083" t="str">
        <f t="shared" si="96"/>
        <v>PASS</v>
      </c>
      <c r="N3083" s="10" t="str">
        <f t="shared" si="97"/>
        <v>NONE</v>
      </c>
    </row>
    <row r="3084" spans="1:14">
      <c r="A3084" s="4" t="s">
        <v>6184</v>
      </c>
      <c r="B3084" s="4" t="s">
        <v>6185</v>
      </c>
      <c r="C3084" s="4" t="s">
        <v>19</v>
      </c>
      <c r="D3084" s="4" t="s">
        <v>32</v>
      </c>
      <c r="E3084" s="5">
        <v>314.46159999999998</v>
      </c>
      <c r="F3084" s="5">
        <v>317.55279999999999</v>
      </c>
      <c r="G3084" s="5">
        <v>315.80630000000002</v>
      </c>
      <c r="H3084" s="4">
        <v>0</v>
      </c>
      <c r="I3084" s="6">
        <v>141111</v>
      </c>
      <c r="J3084" s="7">
        <v>346.18</v>
      </c>
      <c r="K3084" s="9">
        <f>(PricingDataTable[[#This Row],[Current Price ($)]]-PricingDataTable[[#This Row],[Prior Price ($)]])/PricingDataTable[[#This Row],[Prior Price ($)]]</f>
        <v>9.8301350625959252E-3</v>
      </c>
      <c r="L3084" s="9">
        <f>(PricingDataTable[[#This Row],[Vendor Price ($)]]-PricingDataTable[[#This Row],[Current Price ($)]])/PricingDataTable[[#This Row],[Current Price ($)]]</f>
        <v>-5.4998727770624893E-3</v>
      </c>
      <c r="M3084" t="str">
        <f t="shared" si="96"/>
        <v>PASS</v>
      </c>
      <c r="N3084" s="10" t="str">
        <f t="shared" si="97"/>
        <v>NONE</v>
      </c>
    </row>
    <row r="3085" spans="1:14">
      <c r="A3085" s="4" t="s">
        <v>6186</v>
      </c>
      <c r="B3085" s="4" t="s">
        <v>6187</v>
      </c>
      <c r="C3085" s="4" t="s">
        <v>39</v>
      </c>
      <c r="D3085" s="4" t="s">
        <v>13</v>
      </c>
      <c r="E3085" s="5">
        <v>15.3179</v>
      </c>
      <c r="F3085" s="5">
        <v>15.445399999999999</v>
      </c>
      <c r="G3085" s="5">
        <v>15.5335</v>
      </c>
      <c r="H3085" s="4">
        <v>0</v>
      </c>
      <c r="I3085" s="6">
        <v>4936735</v>
      </c>
      <c r="J3085" s="7">
        <v>360.35</v>
      </c>
      <c r="K3085" s="9">
        <f>(PricingDataTable[[#This Row],[Current Price ($)]]-PricingDataTable[[#This Row],[Prior Price ($)]])/PricingDataTable[[#This Row],[Prior Price ($)]]</f>
        <v>8.323595270892192E-3</v>
      </c>
      <c r="L3085" s="9">
        <f>(PricingDataTable[[#This Row],[Vendor Price ($)]]-PricingDataTable[[#This Row],[Current Price ($)]])/PricingDataTable[[#This Row],[Current Price ($)]]</f>
        <v>5.7039636396597525E-3</v>
      </c>
      <c r="M3085" t="str">
        <f t="shared" si="96"/>
        <v>PASS</v>
      </c>
      <c r="N3085" s="10" t="str">
        <f t="shared" si="97"/>
        <v>NONE</v>
      </c>
    </row>
    <row r="3086" spans="1:14">
      <c r="A3086" s="4" t="s">
        <v>6188</v>
      </c>
      <c r="B3086" s="4" t="s">
        <v>6189</v>
      </c>
      <c r="C3086" s="4" t="s">
        <v>16</v>
      </c>
      <c r="D3086" s="4" t="s">
        <v>32</v>
      </c>
      <c r="E3086" s="5">
        <v>121.866</v>
      </c>
      <c r="F3086" s="5">
        <v>122.14449999999999</v>
      </c>
      <c r="G3086" s="5">
        <v>121.97709999999999</v>
      </c>
      <c r="H3086" s="4">
        <v>0</v>
      </c>
      <c r="I3086" s="6">
        <v>165844</v>
      </c>
      <c r="J3086" s="7">
        <v>173.83</v>
      </c>
      <c r="K3086" s="9">
        <f>(PricingDataTable[[#This Row],[Current Price ($)]]-PricingDataTable[[#This Row],[Prior Price ($)]])/PricingDataTable[[#This Row],[Prior Price ($)]]</f>
        <v>2.2852969655194556E-3</v>
      </c>
      <c r="L3086" s="9">
        <f>(PricingDataTable[[#This Row],[Vendor Price ($)]]-PricingDataTable[[#This Row],[Current Price ($)]])/PricingDataTable[[#This Row],[Current Price ($)]]</f>
        <v>-1.3705078820577322E-3</v>
      </c>
      <c r="M3086" t="str">
        <f t="shared" si="96"/>
        <v>PASS</v>
      </c>
      <c r="N3086" s="10" t="str">
        <f t="shared" si="97"/>
        <v>NONE</v>
      </c>
    </row>
    <row r="3087" spans="1:14">
      <c r="A3087" s="4" t="s">
        <v>6190</v>
      </c>
      <c r="B3087" s="4" t="s">
        <v>6191</v>
      </c>
      <c r="C3087" s="4" t="s">
        <v>16</v>
      </c>
      <c r="D3087" s="4" t="s">
        <v>13</v>
      </c>
      <c r="E3087" s="5">
        <v>80.264899999999997</v>
      </c>
      <c r="F3087" s="5">
        <v>80.572400000000002</v>
      </c>
      <c r="G3087" s="5">
        <v>80.344700000000003</v>
      </c>
      <c r="H3087" s="4">
        <v>2</v>
      </c>
      <c r="I3087" s="6">
        <v>1327789</v>
      </c>
      <c r="J3087" s="7">
        <v>589.53</v>
      </c>
      <c r="K3087" s="9">
        <f>(PricingDataTable[[#This Row],[Current Price ($)]]-PricingDataTable[[#This Row],[Prior Price ($)]])/PricingDataTable[[#This Row],[Prior Price ($)]]</f>
        <v>3.8310643880451424E-3</v>
      </c>
      <c r="L3087" s="9">
        <f>(PricingDataTable[[#This Row],[Vendor Price ($)]]-PricingDataTable[[#This Row],[Current Price ($)]])/PricingDataTable[[#This Row],[Current Price ($)]]</f>
        <v>-2.8260297570880189E-3</v>
      </c>
      <c r="M3087" t="str">
        <f t="shared" si="96"/>
        <v>PASS</v>
      </c>
      <c r="N3087" s="10" t="str">
        <f t="shared" si="97"/>
        <v>NONE</v>
      </c>
    </row>
    <row r="3088" spans="1:14">
      <c r="A3088" s="4" t="s">
        <v>6192</v>
      </c>
      <c r="B3088" s="4" t="s">
        <v>6193</v>
      </c>
      <c r="C3088" s="4" t="s">
        <v>39</v>
      </c>
      <c r="D3088" s="4" t="s">
        <v>13</v>
      </c>
      <c r="E3088" s="5">
        <v>243.24340000000001</v>
      </c>
      <c r="F3088" s="5">
        <v>241.31899999999999</v>
      </c>
      <c r="G3088" s="5">
        <v>242.989</v>
      </c>
      <c r="H3088" s="4">
        <v>1</v>
      </c>
      <c r="I3088" s="6">
        <v>2715067</v>
      </c>
      <c r="J3088" s="7">
        <v>297.45999999999998</v>
      </c>
      <c r="K3088" s="9">
        <f>(PricingDataTable[[#This Row],[Current Price ($)]]-PricingDataTable[[#This Row],[Prior Price ($)]])/PricingDataTable[[#This Row],[Prior Price ($)]]</f>
        <v>-7.9114171237534905E-3</v>
      </c>
      <c r="L3088" s="9">
        <f>(PricingDataTable[[#This Row],[Vendor Price ($)]]-PricingDataTable[[#This Row],[Current Price ($)]])/PricingDataTable[[#This Row],[Current Price ($)]]</f>
        <v>6.920300515085907E-3</v>
      </c>
      <c r="M3088" t="str">
        <f t="shared" si="96"/>
        <v>PASS</v>
      </c>
      <c r="N3088" s="10" t="str">
        <f t="shared" si="97"/>
        <v>NONE</v>
      </c>
    </row>
    <row r="3089" spans="1:14">
      <c r="A3089" s="4" t="s">
        <v>6194</v>
      </c>
      <c r="B3089" s="4" t="s">
        <v>6195</v>
      </c>
      <c r="C3089" s="4" t="s">
        <v>12</v>
      </c>
      <c r="D3089" s="4" t="s">
        <v>13</v>
      </c>
      <c r="E3089" s="5">
        <v>77.046000000000006</v>
      </c>
      <c r="F3089" s="5">
        <v>77.414900000000003</v>
      </c>
      <c r="G3089" s="5">
        <v>77.631</v>
      </c>
      <c r="H3089" s="4">
        <v>0</v>
      </c>
      <c r="I3089" s="6">
        <v>3202009</v>
      </c>
      <c r="J3089" s="7">
        <v>576.64</v>
      </c>
      <c r="K3089" s="9">
        <f>(PricingDataTable[[#This Row],[Current Price ($)]]-PricingDataTable[[#This Row],[Prior Price ($)]])/PricingDataTable[[#This Row],[Prior Price ($)]]</f>
        <v>4.7880486981802615E-3</v>
      </c>
      <c r="L3089" s="9">
        <f>(PricingDataTable[[#This Row],[Vendor Price ($)]]-PricingDataTable[[#This Row],[Current Price ($)]])/PricingDataTable[[#This Row],[Current Price ($)]]</f>
        <v>2.7914522914839041E-3</v>
      </c>
      <c r="M3089" t="str">
        <f t="shared" si="96"/>
        <v>PASS</v>
      </c>
      <c r="N3089" s="10" t="str">
        <f t="shared" si="97"/>
        <v>NONE</v>
      </c>
    </row>
    <row r="3090" spans="1:14">
      <c r="A3090" s="4" t="s">
        <v>6196</v>
      </c>
      <c r="B3090" s="4" t="s">
        <v>6197</v>
      </c>
      <c r="C3090" s="4" t="s">
        <v>16</v>
      </c>
      <c r="D3090" s="4" t="s">
        <v>13</v>
      </c>
      <c r="E3090" s="5">
        <v>84.904200000000003</v>
      </c>
      <c r="F3090" s="5">
        <v>84.430300000000003</v>
      </c>
      <c r="G3090" s="5">
        <v>84.084100000000007</v>
      </c>
      <c r="H3090" s="4">
        <v>0</v>
      </c>
      <c r="I3090" s="6">
        <v>3821438</v>
      </c>
      <c r="J3090" s="7">
        <v>435.05</v>
      </c>
      <c r="K3090" s="9">
        <f>(PricingDataTable[[#This Row],[Current Price ($)]]-PricingDataTable[[#This Row],[Prior Price ($)]])/PricingDataTable[[#This Row],[Prior Price ($)]]</f>
        <v>-5.5815848921490384E-3</v>
      </c>
      <c r="L3090" s="9">
        <f>(PricingDataTable[[#This Row],[Vendor Price ($)]]-PricingDataTable[[#This Row],[Current Price ($)]])/PricingDataTable[[#This Row],[Current Price ($)]]</f>
        <v>-4.1004236630687802E-3</v>
      </c>
      <c r="M3090" t="str">
        <f t="shared" si="96"/>
        <v>PASS</v>
      </c>
      <c r="N3090" s="10" t="str">
        <f t="shared" si="97"/>
        <v>NONE</v>
      </c>
    </row>
    <row r="3091" spans="1:14">
      <c r="A3091" s="4" t="s">
        <v>6198</v>
      </c>
      <c r="B3091" s="4" t="s">
        <v>6199</v>
      </c>
      <c r="C3091" s="4" t="s">
        <v>12</v>
      </c>
      <c r="D3091" s="4" t="s">
        <v>32</v>
      </c>
      <c r="E3091" s="5">
        <v>107.8214</v>
      </c>
      <c r="F3091" s="5">
        <v>106.5003</v>
      </c>
      <c r="G3091" s="5">
        <v>106.0865</v>
      </c>
      <c r="H3091" s="4">
        <v>2</v>
      </c>
      <c r="I3091" s="6">
        <v>668440</v>
      </c>
      <c r="J3091" s="7">
        <v>530.5</v>
      </c>
      <c r="K3091" s="9">
        <f>(PricingDataTable[[#This Row],[Current Price ($)]]-PricingDataTable[[#This Row],[Prior Price ($)]])/PricingDataTable[[#This Row],[Prior Price ($)]]</f>
        <v>-1.2252669692658426E-2</v>
      </c>
      <c r="L3091" s="9">
        <f>(PricingDataTable[[#This Row],[Vendor Price ($)]]-PricingDataTable[[#This Row],[Current Price ($)]])/PricingDataTable[[#This Row],[Current Price ($)]]</f>
        <v>-3.8854350645021172E-3</v>
      </c>
      <c r="M3091" t="str">
        <f t="shared" si="96"/>
        <v>PASS</v>
      </c>
      <c r="N3091" s="10" t="str">
        <f t="shared" si="97"/>
        <v>NONE</v>
      </c>
    </row>
    <row r="3092" spans="1:14">
      <c r="A3092" s="4" t="s">
        <v>6200</v>
      </c>
      <c r="B3092" s="4" t="s">
        <v>6201</v>
      </c>
      <c r="C3092" s="4" t="s">
        <v>19</v>
      </c>
      <c r="D3092" s="4" t="s">
        <v>13</v>
      </c>
      <c r="E3092" s="5">
        <v>343.77749999999997</v>
      </c>
      <c r="F3092" s="5">
        <v>344.1474</v>
      </c>
      <c r="G3092" s="5">
        <v>343.90949999999998</v>
      </c>
      <c r="H3092" s="4">
        <v>1</v>
      </c>
      <c r="I3092" s="6">
        <v>2331609</v>
      </c>
      <c r="J3092" s="7">
        <v>811.96</v>
      </c>
      <c r="K3092" s="9">
        <f>(PricingDataTable[[#This Row],[Current Price ($)]]-PricingDataTable[[#This Row],[Prior Price ($)]])/PricingDataTable[[#This Row],[Prior Price ($)]]</f>
        <v>1.0759866483409464E-3</v>
      </c>
      <c r="L3092" s="9">
        <f>(PricingDataTable[[#This Row],[Vendor Price ($)]]-PricingDataTable[[#This Row],[Current Price ($)]])/PricingDataTable[[#This Row],[Current Price ($)]]</f>
        <v>-6.9127356475749821E-4</v>
      </c>
      <c r="M3092" t="str">
        <f t="shared" si="96"/>
        <v>PASS</v>
      </c>
      <c r="N3092" s="10" t="str">
        <f t="shared" si="97"/>
        <v>NONE</v>
      </c>
    </row>
    <row r="3093" spans="1:14">
      <c r="A3093" s="4" t="s">
        <v>6202</v>
      </c>
      <c r="B3093" s="4" t="s">
        <v>6203</v>
      </c>
      <c r="C3093" s="4" t="s">
        <v>35</v>
      </c>
      <c r="D3093" s="4" t="s">
        <v>13</v>
      </c>
      <c r="E3093" s="5">
        <v>69.118099999999998</v>
      </c>
      <c r="F3093" s="5">
        <v>68.400400000000005</v>
      </c>
      <c r="G3093" s="5">
        <v>68.290800000000004</v>
      </c>
      <c r="H3093" s="4">
        <v>1</v>
      </c>
      <c r="I3093" s="6">
        <v>4580351</v>
      </c>
      <c r="J3093" s="7">
        <v>468.91</v>
      </c>
      <c r="K3093" s="9">
        <f>(PricingDataTable[[#This Row],[Current Price ($)]]-PricingDataTable[[#This Row],[Prior Price ($)]])/PricingDataTable[[#This Row],[Prior Price ($)]]</f>
        <v>-1.0383676634629621E-2</v>
      </c>
      <c r="L3093" s="9">
        <f>(PricingDataTable[[#This Row],[Vendor Price ($)]]-PricingDataTable[[#This Row],[Current Price ($)]])/PricingDataTable[[#This Row],[Current Price ($)]]</f>
        <v>-1.6023298109367834E-3</v>
      </c>
      <c r="M3093" t="str">
        <f t="shared" si="96"/>
        <v>PASS</v>
      </c>
      <c r="N3093" s="10" t="str">
        <f t="shared" si="97"/>
        <v>NONE</v>
      </c>
    </row>
    <row r="3094" spans="1:14">
      <c r="A3094" s="4" t="s">
        <v>6204</v>
      </c>
      <c r="B3094" s="4" t="s">
        <v>6205</v>
      </c>
      <c r="C3094" s="4" t="s">
        <v>35</v>
      </c>
      <c r="D3094" s="4" t="s">
        <v>13</v>
      </c>
      <c r="E3094" s="5">
        <v>157.1472</v>
      </c>
      <c r="F3094" s="5">
        <v>155.00989999999999</v>
      </c>
      <c r="G3094" s="5">
        <v>154.94540000000001</v>
      </c>
      <c r="H3094" s="4">
        <v>0</v>
      </c>
      <c r="I3094" s="6">
        <v>2008810</v>
      </c>
      <c r="J3094" s="7">
        <v>291.33</v>
      </c>
      <c r="K3094" s="9">
        <f>(PricingDataTable[[#This Row],[Current Price ($)]]-PricingDataTable[[#This Row],[Prior Price ($)]])/PricingDataTable[[#This Row],[Prior Price ($)]]</f>
        <v>-1.3600624128205977E-2</v>
      </c>
      <c r="L3094" s="9">
        <f>(PricingDataTable[[#This Row],[Vendor Price ($)]]-PricingDataTable[[#This Row],[Current Price ($)]])/PricingDataTable[[#This Row],[Current Price ($)]]</f>
        <v>-4.1610245539143713E-4</v>
      </c>
      <c r="M3094" t="str">
        <f t="shared" si="96"/>
        <v>PASS</v>
      </c>
      <c r="N3094" s="10" t="str">
        <f t="shared" si="97"/>
        <v>NONE</v>
      </c>
    </row>
    <row r="3095" spans="1:14">
      <c r="A3095" s="4" t="s">
        <v>6206</v>
      </c>
      <c r="B3095" s="4" t="s">
        <v>6207</v>
      </c>
      <c r="C3095" s="4" t="s">
        <v>19</v>
      </c>
      <c r="D3095" s="4" t="s">
        <v>13</v>
      </c>
      <c r="E3095" s="5">
        <v>104.2565</v>
      </c>
      <c r="F3095" s="5">
        <v>103.899</v>
      </c>
      <c r="G3095" s="5">
        <v>104.2368</v>
      </c>
      <c r="H3095" s="4">
        <v>0</v>
      </c>
      <c r="I3095" s="6">
        <v>1264001</v>
      </c>
      <c r="J3095" s="7">
        <v>432.48</v>
      </c>
      <c r="K3095" s="9">
        <f>(PricingDataTable[[#This Row],[Current Price ($)]]-PricingDataTable[[#This Row],[Prior Price ($)]])/PricingDataTable[[#This Row],[Prior Price ($)]]</f>
        <v>-3.4290427934949063E-3</v>
      </c>
      <c r="L3095" s="9">
        <f>(PricingDataTable[[#This Row],[Vendor Price ($)]]-PricingDataTable[[#This Row],[Current Price ($)]])/PricingDataTable[[#This Row],[Current Price ($)]]</f>
        <v>3.2512343718418988E-3</v>
      </c>
      <c r="M3095" t="str">
        <f t="shared" si="96"/>
        <v>PASS</v>
      </c>
      <c r="N3095" s="10" t="str">
        <f t="shared" si="97"/>
        <v>NONE</v>
      </c>
    </row>
    <row r="3096" spans="1:14">
      <c r="A3096" s="4" t="s">
        <v>6208</v>
      </c>
      <c r="B3096" s="4" t="s">
        <v>6209</v>
      </c>
      <c r="C3096" s="4" t="s">
        <v>19</v>
      </c>
      <c r="D3096" s="4" t="s">
        <v>13</v>
      </c>
      <c r="E3096" s="5">
        <v>165.34289999999999</v>
      </c>
      <c r="F3096" s="5">
        <v>163.86009999999999</v>
      </c>
      <c r="G3096" s="5">
        <v>163.3595</v>
      </c>
      <c r="H3096" s="4">
        <v>0</v>
      </c>
      <c r="I3096" s="6">
        <v>1040403</v>
      </c>
      <c r="J3096" s="7">
        <v>838.43</v>
      </c>
      <c r="K3096" s="9">
        <f>(PricingDataTable[[#This Row],[Current Price ($)]]-PricingDataTable[[#This Row],[Prior Price ($)]])/PricingDataTable[[#This Row],[Prior Price ($)]]</f>
        <v>-8.9680294708753602E-3</v>
      </c>
      <c r="L3096" s="9">
        <f>(PricingDataTable[[#This Row],[Vendor Price ($)]]-PricingDataTable[[#This Row],[Current Price ($)]])/PricingDataTable[[#This Row],[Current Price ($)]]</f>
        <v>-3.0550451269100382E-3</v>
      </c>
      <c r="M3096" t="str">
        <f t="shared" si="96"/>
        <v>PASS</v>
      </c>
      <c r="N3096" s="10" t="str">
        <f t="shared" si="97"/>
        <v>NONE</v>
      </c>
    </row>
    <row r="3097" spans="1:14">
      <c r="A3097" s="4" t="s">
        <v>6210</v>
      </c>
      <c r="B3097" s="4" t="s">
        <v>6211</v>
      </c>
      <c r="C3097" s="4" t="s">
        <v>19</v>
      </c>
      <c r="D3097" s="4" t="s">
        <v>13</v>
      </c>
      <c r="E3097" s="5">
        <v>343.70100000000002</v>
      </c>
      <c r="F3097" s="5">
        <v>344.66469999999998</v>
      </c>
      <c r="G3097" s="5">
        <v>344.5702</v>
      </c>
      <c r="H3097" s="4">
        <v>0</v>
      </c>
      <c r="I3097" s="6">
        <v>157054</v>
      </c>
      <c r="J3097" s="7">
        <v>503.93</v>
      </c>
      <c r="K3097" s="9">
        <f>(PricingDataTable[[#This Row],[Current Price ($)]]-PricingDataTable[[#This Row],[Prior Price ($)]])/PricingDataTable[[#This Row],[Prior Price ($)]]</f>
        <v>2.803890590949576E-3</v>
      </c>
      <c r="L3097" s="9">
        <f>(PricingDataTable[[#This Row],[Vendor Price ($)]]-PricingDataTable[[#This Row],[Current Price ($)]])/PricingDataTable[[#This Row],[Current Price ($)]]</f>
        <v>-2.741795141770604E-4</v>
      </c>
      <c r="M3097" t="str">
        <f t="shared" si="96"/>
        <v>PASS</v>
      </c>
      <c r="N3097" s="10" t="str">
        <f t="shared" si="97"/>
        <v>NONE</v>
      </c>
    </row>
    <row r="3098" spans="1:14">
      <c r="A3098" s="4" t="s">
        <v>6212</v>
      </c>
      <c r="B3098" s="4" t="s">
        <v>6213</v>
      </c>
      <c r="C3098" s="4" t="s">
        <v>16</v>
      </c>
      <c r="D3098" s="4" t="s">
        <v>13</v>
      </c>
      <c r="E3098" s="5">
        <v>75.021199999999993</v>
      </c>
      <c r="F3098" s="5">
        <v>74.860100000000003</v>
      </c>
      <c r="G3098" s="5">
        <v>74.652500000000003</v>
      </c>
      <c r="H3098" s="4">
        <v>1</v>
      </c>
      <c r="I3098" s="6">
        <v>1455103</v>
      </c>
      <c r="J3098" s="7">
        <v>886.62</v>
      </c>
      <c r="K3098" s="9">
        <f>(PricingDataTable[[#This Row],[Current Price ($)]]-PricingDataTable[[#This Row],[Prior Price ($)]])/PricingDataTable[[#This Row],[Prior Price ($)]]</f>
        <v>-2.1473930035775285E-3</v>
      </c>
      <c r="L3098" s="9">
        <f>(PricingDataTable[[#This Row],[Vendor Price ($)]]-PricingDataTable[[#This Row],[Current Price ($)]])/PricingDataTable[[#This Row],[Current Price ($)]]</f>
        <v>-2.7731728918342258E-3</v>
      </c>
      <c r="M3098" t="str">
        <f t="shared" si="96"/>
        <v>PASS</v>
      </c>
      <c r="N3098" s="10" t="str">
        <f t="shared" si="97"/>
        <v>NONE</v>
      </c>
    </row>
    <row r="3099" spans="1:14">
      <c r="A3099" s="4" t="s">
        <v>6214</v>
      </c>
      <c r="B3099" s="4" t="s">
        <v>6215</v>
      </c>
      <c r="C3099" s="4" t="s">
        <v>39</v>
      </c>
      <c r="D3099" s="4" t="s">
        <v>36</v>
      </c>
      <c r="E3099" s="5">
        <v>349.93740000000003</v>
      </c>
      <c r="F3099" s="5">
        <v>342.78919999999999</v>
      </c>
      <c r="G3099" s="5">
        <v>343.03109999999998</v>
      </c>
      <c r="H3099" s="4">
        <v>1</v>
      </c>
      <c r="I3099" s="6">
        <v>4047560</v>
      </c>
      <c r="J3099" s="7">
        <v>60.53</v>
      </c>
      <c r="K3099" s="9">
        <f>(PricingDataTable[[#This Row],[Current Price ($)]]-PricingDataTable[[#This Row],[Prior Price ($)]])/PricingDataTable[[#This Row],[Prior Price ($)]]</f>
        <v>-2.0427082100970148E-2</v>
      </c>
      <c r="L3099" s="9">
        <f>(PricingDataTable[[#This Row],[Vendor Price ($)]]-PricingDataTable[[#This Row],[Current Price ($)]])/PricingDataTable[[#This Row],[Current Price ($)]]</f>
        <v>7.0568150921903868E-4</v>
      </c>
      <c r="M3099" t="str">
        <f t="shared" si="96"/>
        <v>PASS</v>
      </c>
      <c r="N3099" s="10" t="str">
        <f t="shared" si="97"/>
        <v>NONE</v>
      </c>
    </row>
    <row r="3100" spans="1:14">
      <c r="A3100" s="4" t="s">
        <v>6216</v>
      </c>
      <c r="B3100" s="4" t="s">
        <v>6217</v>
      </c>
      <c r="C3100" s="4" t="s">
        <v>16</v>
      </c>
      <c r="D3100" s="4" t="s">
        <v>32</v>
      </c>
      <c r="E3100" s="5">
        <v>111.7411</v>
      </c>
      <c r="F3100" s="5">
        <v>112.5582</v>
      </c>
      <c r="G3100" s="5">
        <v>112.27809999999999</v>
      </c>
      <c r="H3100" s="4">
        <v>0</v>
      </c>
      <c r="I3100" s="6">
        <v>4481693</v>
      </c>
      <c r="J3100" s="7">
        <v>107.62</v>
      </c>
      <c r="K3100" s="9">
        <f>(PricingDataTable[[#This Row],[Current Price ($)]]-PricingDataTable[[#This Row],[Prior Price ($)]])/PricingDataTable[[#This Row],[Prior Price ($)]]</f>
        <v>7.3124392009743626E-3</v>
      </c>
      <c r="L3100" s="9">
        <f>(PricingDataTable[[#This Row],[Vendor Price ($)]]-PricingDataTable[[#This Row],[Current Price ($)]])/PricingDataTable[[#This Row],[Current Price ($)]]</f>
        <v>-2.4884903987448669E-3</v>
      </c>
      <c r="M3100" t="str">
        <f t="shared" si="96"/>
        <v>PASS</v>
      </c>
      <c r="N3100" s="10" t="str">
        <f t="shared" si="97"/>
        <v>NONE</v>
      </c>
    </row>
    <row r="3101" spans="1:14">
      <c r="A3101" s="4" t="s">
        <v>6218</v>
      </c>
      <c r="B3101" s="4" t="s">
        <v>6219</v>
      </c>
      <c r="C3101" s="4" t="s">
        <v>19</v>
      </c>
      <c r="D3101" s="4" t="s">
        <v>32</v>
      </c>
      <c r="E3101" s="5">
        <v>52.400399999999998</v>
      </c>
      <c r="F3101" s="5">
        <v>52.054600000000001</v>
      </c>
      <c r="G3101" s="5">
        <v>51.8566</v>
      </c>
      <c r="H3101" s="4">
        <v>0</v>
      </c>
      <c r="I3101" s="6">
        <v>2323010</v>
      </c>
      <c r="J3101" s="7">
        <v>510.41</v>
      </c>
      <c r="K3101" s="9">
        <f>(PricingDataTable[[#This Row],[Current Price ($)]]-PricingDataTable[[#This Row],[Prior Price ($)]])/PricingDataTable[[#This Row],[Prior Price ($)]]</f>
        <v>-6.5991862657536395E-3</v>
      </c>
      <c r="L3101" s="9">
        <f>(PricingDataTable[[#This Row],[Vendor Price ($)]]-PricingDataTable[[#This Row],[Current Price ($)]])/PricingDataTable[[#This Row],[Current Price ($)]]</f>
        <v>-3.8036984243467512E-3</v>
      </c>
      <c r="M3101" t="str">
        <f t="shared" si="96"/>
        <v>PASS</v>
      </c>
      <c r="N3101" s="10" t="str">
        <f t="shared" si="97"/>
        <v>NONE</v>
      </c>
    </row>
    <row r="3102" spans="1:14">
      <c r="A3102" s="4" t="s">
        <v>6220</v>
      </c>
      <c r="B3102" s="4" t="s">
        <v>6221</v>
      </c>
      <c r="C3102" s="4" t="s">
        <v>39</v>
      </c>
      <c r="D3102" s="4" t="s">
        <v>13</v>
      </c>
      <c r="E3102" s="5">
        <v>109.5545</v>
      </c>
      <c r="F3102" s="5">
        <v>111.8627</v>
      </c>
      <c r="G3102" s="5">
        <v>111.72620000000001</v>
      </c>
      <c r="H3102" s="4">
        <v>0</v>
      </c>
      <c r="I3102" s="6">
        <v>3902352</v>
      </c>
      <c r="J3102" s="7">
        <v>342.39</v>
      </c>
      <c r="K3102" s="9">
        <f>(PricingDataTable[[#This Row],[Current Price ($)]]-PricingDataTable[[#This Row],[Prior Price ($)]])/PricingDataTable[[#This Row],[Prior Price ($)]]</f>
        <v>2.1068965674618561E-2</v>
      </c>
      <c r="L3102" s="9">
        <f>(PricingDataTable[[#This Row],[Vendor Price ($)]]-PricingDataTable[[#This Row],[Current Price ($)]])/PricingDataTable[[#This Row],[Current Price ($)]]</f>
        <v>-1.220245890721376E-3</v>
      </c>
      <c r="M3102" t="str">
        <f t="shared" si="96"/>
        <v>PASS</v>
      </c>
      <c r="N3102" s="10" t="str">
        <f t="shared" si="97"/>
        <v>NONE</v>
      </c>
    </row>
    <row r="3103" spans="1:14">
      <c r="A3103" s="4" t="s">
        <v>6222</v>
      </c>
      <c r="B3103" s="4" t="s">
        <v>6223</v>
      </c>
      <c r="C3103" s="4" t="s">
        <v>12</v>
      </c>
      <c r="D3103" s="4" t="s">
        <v>64</v>
      </c>
      <c r="E3103" s="5">
        <v>110.03149999999999</v>
      </c>
      <c r="F3103" s="5">
        <v>0</v>
      </c>
      <c r="G3103" s="5">
        <v>110.88290000000001</v>
      </c>
      <c r="H3103" s="4">
        <v>0</v>
      </c>
      <c r="I3103" s="6">
        <v>4943745</v>
      </c>
      <c r="J3103" s="7">
        <v>146.78</v>
      </c>
      <c r="K3103" s="9">
        <f>(PricingDataTable[[#This Row],[Current Price ($)]]-PricingDataTable[[#This Row],[Prior Price ($)]])/PricingDataTable[[#This Row],[Prior Price ($)]]</f>
        <v>-1</v>
      </c>
      <c r="L3103" s="9" t="e">
        <f>(PricingDataTable[[#This Row],[Vendor Price ($)]]-PricingDataTable[[#This Row],[Current Price ($)]])/PricingDataTable[[#This Row],[Current Price ($)]]</f>
        <v>#DIV/0!</v>
      </c>
      <c r="M3103" t="str">
        <f t="shared" si="96"/>
        <v>MISSING</v>
      </c>
      <c r="N3103" s="10" t="str">
        <f t="shared" si="97"/>
        <v>HIGH</v>
      </c>
    </row>
    <row r="3104" spans="1:14">
      <c r="A3104" s="4" t="s">
        <v>6224</v>
      </c>
      <c r="B3104" s="4" t="s">
        <v>6225</v>
      </c>
      <c r="C3104" s="4" t="s">
        <v>19</v>
      </c>
      <c r="D3104" s="4" t="s">
        <v>13</v>
      </c>
      <c r="E3104" s="5">
        <v>16.8521</v>
      </c>
      <c r="F3104" s="5">
        <v>16.7151</v>
      </c>
      <c r="G3104" s="5">
        <v>16.677600000000002</v>
      </c>
      <c r="H3104" s="4">
        <v>0</v>
      </c>
      <c r="I3104" s="6">
        <v>1833729</v>
      </c>
      <c r="J3104" s="7">
        <v>169.49</v>
      </c>
      <c r="K3104" s="9">
        <f>(PricingDataTable[[#This Row],[Current Price ($)]]-PricingDataTable[[#This Row],[Prior Price ($)]])/PricingDataTable[[#This Row],[Prior Price ($)]]</f>
        <v>-8.1295506198040875E-3</v>
      </c>
      <c r="L3104" s="9">
        <f>(PricingDataTable[[#This Row],[Vendor Price ($)]]-PricingDataTable[[#This Row],[Current Price ($)]])/PricingDataTable[[#This Row],[Current Price ($)]]</f>
        <v>-2.2434804458243067E-3</v>
      </c>
      <c r="M3104" t="str">
        <f t="shared" si="96"/>
        <v>PASS</v>
      </c>
      <c r="N3104" s="10" t="str">
        <f t="shared" si="97"/>
        <v>NONE</v>
      </c>
    </row>
    <row r="3105" spans="1:14">
      <c r="A3105" s="4" t="s">
        <v>6226</v>
      </c>
      <c r="B3105" s="4" t="s">
        <v>6227</v>
      </c>
      <c r="C3105" s="4" t="s">
        <v>39</v>
      </c>
      <c r="D3105" s="4" t="s">
        <v>13</v>
      </c>
      <c r="E3105" s="5">
        <v>101.1553</v>
      </c>
      <c r="F3105" s="5">
        <v>103.8177</v>
      </c>
      <c r="G3105" s="5">
        <v>103.6095</v>
      </c>
      <c r="H3105" s="4">
        <v>1</v>
      </c>
      <c r="I3105" s="6">
        <v>3550680</v>
      </c>
      <c r="J3105" s="7">
        <v>465.64</v>
      </c>
      <c r="K3105" s="9">
        <f>(PricingDataTable[[#This Row],[Current Price ($)]]-PricingDataTable[[#This Row],[Prior Price ($)]])/PricingDataTable[[#This Row],[Prior Price ($)]]</f>
        <v>2.6319925896122153E-2</v>
      </c>
      <c r="L3105" s="9">
        <f>(PricingDataTable[[#This Row],[Vendor Price ($)]]-PricingDataTable[[#This Row],[Current Price ($)]])/PricingDataTable[[#This Row],[Current Price ($)]]</f>
        <v>-2.0054383790047846E-3</v>
      </c>
      <c r="M3105" t="str">
        <f t="shared" si="96"/>
        <v>PASS</v>
      </c>
      <c r="N3105" s="10" t="str">
        <f t="shared" si="97"/>
        <v>NONE</v>
      </c>
    </row>
    <row r="3106" spans="1:14">
      <c r="A3106" s="4" t="s">
        <v>6228</v>
      </c>
      <c r="B3106" s="4" t="s">
        <v>6229</v>
      </c>
      <c r="C3106" s="4" t="s">
        <v>16</v>
      </c>
      <c r="D3106" s="4" t="s">
        <v>32</v>
      </c>
      <c r="E3106" s="5">
        <v>111.4115</v>
      </c>
      <c r="F3106" s="5">
        <v>112.6144</v>
      </c>
      <c r="G3106" s="5">
        <v>112.148</v>
      </c>
      <c r="H3106" s="4">
        <v>0</v>
      </c>
      <c r="I3106" s="6">
        <v>2607449</v>
      </c>
      <c r="J3106" s="7">
        <v>814.07</v>
      </c>
      <c r="K3106" s="9">
        <f>(PricingDataTable[[#This Row],[Current Price ($)]]-PricingDataTable[[#This Row],[Prior Price ($)]])/PricingDataTable[[#This Row],[Prior Price ($)]]</f>
        <v>1.0796910552321794E-2</v>
      </c>
      <c r="L3106" s="9">
        <f>(PricingDataTable[[#This Row],[Vendor Price ($)]]-PricingDataTable[[#This Row],[Current Price ($)]])/PricingDataTable[[#This Row],[Current Price ($)]]</f>
        <v>-4.1415662650603055E-3</v>
      </c>
      <c r="M3106" t="str">
        <f t="shared" si="96"/>
        <v>PASS</v>
      </c>
      <c r="N3106" s="10" t="str">
        <f t="shared" si="97"/>
        <v>NONE</v>
      </c>
    </row>
    <row r="3107" spans="1:14">
      <c r="A3107" s="4" t="s">
        <v>6230</v>
      </c>
      <c r="B3107" s="4" t="s">
        <v>6231</v>
      </c>
      <c r="C3107" s="4" t="s">
        <v>16</v>
      </c>
      <c r="D3107" s="4" t="s">
        <v>13</v>
      </c>
      <c r="E3107" s="5">
        <v>91.024100000000004</v>
      </c>
      <c r="F3107" s="5">
        <v>90.188000000000002</v>
      </c>
      <c r="G3107" s="5">
        <v>90.351299999999995</v>
      </c>
      <c r="H3107" s="4">
        <v>0</v>
      </c>
      <c r="I3107" s="6">
        <v>3054447</v>
      </c>
      <c r="J3107" s="7">
        <v>47.93</v>
      </c>
      <c r="K3107" s="9">
        <f>(PricingDataTable[[#This Row],[Current Price ($)]]-PricingDataTable[[#This Row],[Prior Price ($)]])/PricingDataTable[[#This Row],[Prior Price ($)]]</f>
        <v>-9.1854794499478913E-3</v>
      </c>
      <c r="L3107" s="9">
        <f>(PricingDataTable[[#This Row],[Vendor Price ($)]]-PricingDataTable[[#This Row],[Current Price ($)]])/PricingDataTable[[#This Row],[Current Price ($)]]</f>
        <v>1.810662172351005E-3</v>
      </c>
      <c r="M3107" t="str">
        <f t="shared" si="96"/>
        <v>PASS</v>
      </c>
      <c r="N3107" s="10" t="str">
        <f t="shared" si="97"/>
        <v>NONE</v>
      </c>
    </row>
    <row r="3108" spans="1:14">
      <c r="A3108" s="4" t="s">
        <v>6232</v>
      </c>
      <c r="B3108" s="4" t="s">
        <v>6233</v>
      </c>
      <c r="C3108" s="4" t="s">
        <v>19</v>
      </c>
      <c r="D3108" s="4" t="s">
        <v>13</v>
      </c>
      <c r="E3108" s="5">
        <v>190.8451</v>
      </c>
      <c r="F3108" s="5">
        <v>193.90950000000001</v>
      </c>
      <c r="G3108" s="5">
        <v>194.23480000000001</v>
      </c>
      <c r="H3108" s="4">
        <v>0</v>
      </c>
      <c r="I3108" s="6">
        <v>1180048</v>
      </c>
      <c r="J3108" s="7">
        <v>190.91</v>
      </c>
      <c r="K3108" s="9">
        <f>(PricingDataTable[[#This Row],[Current Price ($)]]-PricingDataTable[[#This Row],[Prior Price ($)]])/PricingDataTable[[#This Row],[Prior Price ($)]]</f>
        <v>1.6057001201498E-2</v>
      </c>
      <c r="L3108" s="9">
        <f>(PricingDataTable[[#This Row],[Vendor Price ($)]]-PricingDataTable[[#This Row],[Current Price ($)]])/PricingDataTable[[#This Row],[Current Price ($)]]</f>
        <v>1.6775867092638504E-3</v>
      </c>
      <c r="M3108" t="str">
        <f t="shared" si="96"/>
        <v>PASS</v>
      </c>
      <c r="N3108" s="10" t="str">
        <f t="shared" si="97"/>
        <v>NONE</v>
      </c>
    </row>
    <row r="3109" spans="1:14">
      <c r="A3109" s="4" t="s">
        <v>6234</v>
      </c>
      <c r="B3109" s="4" t="s">
        <v>6235</v>
      </c>
      <c r="C3109" s="4" t="s">
        <v>16</v>
      </c>
      <c r="D3109" s="4" t="s">
        <v>36</v>
      </c>
      <c r="E3109" s="5">
        <v>93.100200000000001</v>
      </c>
      <c r="F3109" s="5">
        <v>92.734399999999994</v>
      </c>
      <c r="G3109" s="5">
        <v>92.777699999999996</v>
      </c>
      <c r="H3109" s="4">
        <v>0</v>
      </c>
      <c r="I3109" s="6">
        <v>3451740</v>
      </c>
      <c r="J3109" s="7">
        <v>409.57</v>
      </c>
      <c r="K3109" s="9">
        <f>(PricingDataTable[[#This Row],[Current Price ($)]]-PricingDataTable[[#This Row],[Prior Price ($)]])/PricingDataTable[[#This Row],[Prior Price ($)]]</f>
        <v>-3.92910004489794E-3</v>
      </c>
      <c r="L3109" s="9">
        <f>(PricingDataTable[[#This Row],[Vendor Price ($)]]-PricingDataTable[[#This Row],[Current Price ($)]])/PricingDataTable[[#This Row],[Current Price ($)]]</f>
        <v>4.6692489518454982E-4</v>
      </c>
      <c r="M3109" t="str">
        <f t="shared" si="96"/>
        <v>PASS</v>
      </c>
      <c r="N3109" s="10" t="str">
        <f t="shared" si="97"/>
        <v>NONE</v>
      </c>
    </row>
    <row r="3110" spans="1:14">
      <c r="A3110" s="4" t="s">
        <v>6236</v>
      </c>
      <c r="B3110" s="4" t="s">
        <v>6237</v>
      </c>
      <c r="C3110" s="4" t="s">
        <v>19</v>
      </c>
      <c r="D3110" s="4" t="s">
        <v>13</v>
      </c>
      <c r="E3110" s="5">
        <v>34.0351</v>
      </c>
      <c r="F3110" s="5">
        <v>33.4268</v>
      </c>
      <c r="G3110" s="5">
        <v>33.315399999999997</v>
      </c>
      <c r="H3110" s="4">
        <v>5</v>
      </c>
      <c r="I3110" s="6">
        <v>2518223</v>
      </c>
      <c r="J3110" s="7">
        <v>611.75</v>
      </c>
      <c r="K3110" s="9">
        <f>(PricingDataTable[[#This Row],[Current Price ($)]]-PricingDataTable[[#This Row],[Prior Price ($)]])/PricingDataTable[[#This Row],[Prior Price ($)]]</f>
        <v>-1.7872725509841307E-2</v>
      </c>
      <c r="L3110" s="9">
        <f>(PricingDataTable[[#This Row],[Vendor Price ($)]]-PricingDataTable[[#This Row],[Current Price ($)]])/PricingDataTable[[#This Row],[Current Price ($)]]</f>
        <v>-3.332655234721938E-3</v>
      </c>
      <c r="M3110" t="str">
        <f t="shared" si="96"/>
        <v>STALE</v>
      </c>
      <c r="N3110" s="10" t="str">
        <f t="shared" si="97"/>
        <v>MEDIUM</v>
      </c>
    </row>
    <row r="3111" spans="1:14">
      <c r="A3111" s="4" t="s">
        <v>6238</v>
      </c>
      <c r="B3111" s="4" t="s">
        <v>6239</v>
      </c>
      <c r="C3111" s="4" t="s">
        <v>19</v>
      </c>
      <c r="D3111" s="4" t="s">
        <v>32</v>
      </c>
      <c r="E3111" s="5">
        <v>97.655000000000001</v>
      </c>
      <c r="F3111" s="5">
        <v>98.3566</v>
      </c>
      <c r="G3111" s="5">
        <v>98.733099999999993</v>
      </c>
      <c r="H3111" s="4">
        <v>1</v>
      </c>
      <c r="I3111" s="6">
        <v>20570</v>
      </c>
      <c r="J3111" s="7">
        <v>446.96</v>
      </c>
      <c r="K3111" s="9">
        <f>(PricingDataTable[[#This Row],[Current Price ($)]]-PricingDataTable[[#This Row],[Prior Price ($)]])/PricingDataTable[[#This Row],[Prior Price ($)]]</f>
        <v>7.184475961292295E-3</v>
      </c>
      <c r="L3111" s="9">
        <f>(PricingDataTable[[#This Row],[Vendor Price ($)]]-PricingDataTable[[#This Row],[Current Price ($)]])/PricingDataTable[[#This Row],[Current Price ($)]]</f>
        <v>3.8279078373997569E-3</v>
      </c>
      <c r="M3111" t="str">
        <f t="shared" si="96"/>
        <v>PASS</v>
      </c>
      <c r="N3111" s="10" t="str">
        <f t="shared" si="97"/>
        <v>NONE</v>
      </c>
    </row>
    <row r="3112" spans="1:14">
      <c r="A3112" s="4" t="s">
        <v>6240</v>
      </c>
      <c r="B3112" s="4" t="s">
        <v>6241</v>
      </c>
      <c r="C3112" s="4" t="s">
        <v>39</v>
      </c>
      <c r="D3112" s="4" t="s">
        <v>13</v>
      </c>
      <c r="E3112" s="5">
        <v>335.41430000000003</v>
      </c>
      <c r="F3112" s="5">
        <v>324.8229</v>
      </c>
      <c r="G3112" s="5">
        <v>324.71359999999999</v>
      </c>
      <c r="H3112" s="4">
        <v>0</v>
      </c>
      <c r="I3112" s="6">
        <v>364792</v>
      </c>
      <c r="J3112" s="7">
        <v>416.99</v>
      </c>
      <c r="K3112" s="9">
        <f>(PricingDataTable[[#This Row],[Current Price ($)]]-PricingDataTable[[#This Row],[Prior Price ($)]])/PricingDataTable[[#This Row],[Prior Price ($)]]</f>
        <v>-3.1577067525147322E-2</v>
      </c>
      <c r="L3112" s="9">
        <f>(PricingDataTable[[#This Row],[Vendor Price ($)]]-PricingDataTable[[#This Row],[Current Price ($)]])/PricingDataTable[[#This Row],[Current Price ($)]]</f>
        <v>-3.3649105404827932E-4</v>
      </c>
      <c r="M3112" t="str">
        <f t="shared" si="96"/>
        <v>PASS</v>
      </c>
      <c r="N3112" s="10" t="str">
        <f t="shared" si="97"/>
        <v>NONE</v>
      </c>
    </row>
    <row r="3113" spans="1:14">
      <c r="A3113" s="4" t="s">
        <v>6242</v>
      </c>
      <c r="B3113" s="4" t="s">
        <v>6243</v>
      </c>
      <c r="C3113" s="4" t="s">
        <v>19</v>
      </c>
      <c r="D3113" s="4" t="s">
        <v>64</v>
      </c>
      <c r="E3113" s="5">
        <v>116.5138</v>
      </c>
      <c r="F3113" s="5">
        <v>114.49890000000001</v>
      </c>
      <c r="G3113" s="5">
        <v>114.9983</v>
      </c>
      <c r="H3113" s="4">
        <v>0</v>
      </c>
      <c r="I3113" s="6">
        <v>2645659</v>
      </c>
      <c r="J3113" s="7">
        <v>692</v>
      </c>
      <c r="K3113" s="9">
        <f>(PricingDataTable[[#This Row],[Current Price ($)]]-PricingDataTable[[#This Row],[Prior Price ($)]])/PricingDataTable[[#This Row],[Prior Price ($)]]</f>
        <v>-1.7293230501451307E-2</v>
      </c>
      <c r="L3113" s="9">
        <f>(PricingDataTable[[#This Row],[Vendor Price ($)]]-PricingDataTable[[#This Row],[Current Price ($)]])/PricingDataTable[[#This Row],[Current Price ($)]]</f>
        <v>4.361613954369817E-3</v>
      </c>
      <c r="M3113" t="str">
        <f t="shared" si="96"/>
        <v>PASS</v>
      </c>
      <c r="N3113" s="10" t="str">
        <f t="shared" si="97"/>
        <v>NONE</v>
      </c>
    </row>
    <row r="3114" spans="1:14">
      <c r="A3114" s="4" t="s">
        <v>6244</v>
      </c>
      <c r="B3114" s="4" t="s">
        <v>6245</v>
      </c>
      <c r="C3114" s="4" t="s">
        <v>19</v>
      </c>
      <c r="D3114" s="4" t="s">
        <v>13</v>
      </c>
      <c r="E3114" s="5">
        <v>218.95320000000001</v>
      </c>
      <c r="F3114" s="5">
        <v>216.96559999999999</v>
      </c>
      <c r="G3114" s="5">
        <v>216.16909999999999</v>
      </c>
      <c r="H3114" s="4">
        <v>1</v>
      </c>
      <c r="I3114" s="6">
        <v>1834119</v>
      </c>
      <c r="J3114" s="7">
        <v>575.33000000000004</v>
      </c>
      <c r="K3114" s="9">
        <f>(PricingDataTable[[#This Row],[Current Price ($)]]-PricingDataTable[[#This Row],[Prior Price ($)]])/PricingDataTable[[#This Row],[Prior Price ($)]]</f>
        <v>-9.0777389871443508E-3</v>
      </c>
      <c r="L3114" s="9">
        <f>(PricingDataTable[[#This Row],[Vendor Price ($)]]-PricingDataTable[[#This Row],[Current Price ($)]])/PricingDataTable[[#This Row],[Current Price ($)]]</f>
        <v>-3.671088873074851E-3</v>
      </c>
      <c r="M3114" t="str">
        <f t="shared" si="96"/>
        <v>PASS</v>
      </c>
      <c r="N3114" s="10" t="str">
        <f t="shared" si="97"/>
        <v>NONE</v>
      </c>
    </row>
    <row r="3115" spans="1:14">
      <c r="A3115" s="4" t="s">
        <v>6246</v>
      </c>
      <c r="B3115" s="4" t="s">
        <v>6247</v>
      </c>
      <c r="C3115" s="4" t="s">
        <v>19</v>
      </c>
      <c r="D3115" s="4" t="s">
        <v>13</v>
      </c>
      <c r="E3115" s="5">
        <v>48.640999999999998</v>
      </c>
      <c r="F3115" s="5">
        <v>48.085500000000003</v>
      </c>
      <c r="G3115" s="5">
        <v>48.054600000000001</v>
      </c>
      <c r="H3115" s="4">
        <v>1</v>
      </c>
      <c r="I3115" s="6">
        <v>1072329</v>
      </c>
      <c r="J3115" s="7">
        <v>492.44</v>
      </c>
      <c r="K3115" s="9">
        <f>(PricingDataTable[[#This Row],[Current Price ($)]]-PricingDataTable[[#This Row],[Prior Price ($)]])/PricingDataTable[[#This Row],[Prior Price ($)]]</f>
        <v>-1.1420406652823647E-2</v>
      </c>
      <c r="L3115" s="9">
        <f>(PricingDataTable[[#This Row],[Vendor Price ($)]]-PricingDataTable[[#This Row],[Current Price ($)]])/PricingDataTable[[#This Row],[Current Price ($)]]</f>
        <v>-6.4260535920397188E-4</v>
      </c>
      <c r="M3115" t="str">
        <f t="shared" si="96"/>
        <v>PASS</v>
      </c>
      <c r="N3115" s="10" t="str">
        <f t="shared" si="97"/>
        <v>NONE</v>
      </c>
    </row>
    <row r="3116" spans="1:14">
      <c r="A3116" s="4" t="s">
        <v>6248</v>
      </c>
      <c r="B3116" s="4" t="s">
        <v>6249</v>
      </c>
      <c r="C3116" s="4" t="s">
        <v>19</v>
      </c>
      <c r="D3116" s="4" t="s">
        <v>13</v>
      </c>
      <c r="E3116" s="5">
        <v>207.8843</v>
      </c>
      <c r="F3116" s="5">
        <v>210.68029999999999</v>
      </c>
      <c r="G3116" s="5">
        <v>211.8766</v>
      </c>
      <c r="H3116" s="4">
        <v>0</v>
      </c>
      <c r="I3116" s="6">
        <v>4700305</v>
      </c>
      <c r="J3116" s="7">
        <v>446.96</v>
      </c>
      <c r="K3116" s="9">
        <f>(PricingDataTable[[#This Row],[Current Price ($)]]-PricingDataTable[[#This Row],[Prior Price ($)]])/PricingDataTable[[#This Row],[Prior Price ($)]]</f>
        <v>1.3449789137515399E-2</v>
      </c>
      <c r="L3116" s="9">
        <f>(PricingDataTable[[#This Row],[Vendor Price ($)]]-PricingDataTable[[#This Row],[Current Price ($)]])/PricingDataTable[[#This Row],[Current Price ($)]]</f>
        <v>5.6782717700706144E-3</v>
      </c>
      <c r="M3116" t="str">
        <f t="shared" si="96"/>
        <v>PASS</v>
      </c>
      <c r="N3116" s="10" t="str">
        <f t="shared" si="97"/>
        <v>NONE</v>
      </c>
    </row>
    <row r="3117" spans="1:14">
      <c r="A3117" s="4" t="s">
        <v>6250</v>
      </c>
      <c r="B3117" s="4" t="s">
        <v>6251</v>
      </c>
      <c r="C3117" s="4" t="s">
        <v>12</v>
      </c>
      <c r="D3117" s="4" t="s">
        <v>13</v>
      </c>
      <c r="E3117" s="5">
        <v>117.45659999999999</v>
      </c>
      <c r="F3117" s="5">
        <v>117.5278</v>
      </c>
      <c r="G3117" s="5">
        <v>117.8079</v>
      </c>
      <c r="H3117" s="4">
        <v>3</v>
      </c>
      <c r="I3117" s="6">
        <v>3258864</v>
      </c>
      <c r="J3117" s="7">
        <v>128.13999999999999</v>
      </c>
      <c r="K3117" s="9">
        <f>(PricingDataTable[[#This Row],[Current Price ($)]]-PricingDataTable[[#This Row],[Prior Price ($)]])/PricingDataTable[[#This Row],[Prior Price ($)]]</f>
        <v>6.0618134698266928E-4</v>
      </c>
      <c r="L3117" s="9">
        <f>(PricingDataTable[[#This Row],[Vendor Price ($)]]-PricingDataTable[[#This Row],[Current Price ($)]])/PricingDataTable[[#This Row],[Current Price ($)]]</f>
        <v>2.3832659166597558E-3</v>
      </c>
      <c r="M3117" t="str">
        <f t="shared" si="96"/>
        <v>STALE</v>
      </c>
      <c r="N3117" s="10" t="str">
        <f t="shared" si="97"/>
        <v>LOW</v>
      </c>
    </row>
    <row r="3118" spans="1:14">
      <c r="A3118" s="4" t="s">
        <v>6252</v>
      </c>
      <c r="B3118" s="4" t="s">
        <v>6253</v>
      </c>
      <c r="C3118" s="4" t="s">
        <v>39</v>
      </c>
      <c r="D3118" s="4" t="s">
        <v>13</v>
      </c>
      <c r="E3118" s="5">
        <v>126.3976</v>
      </c>
      <c r="F3118" s="5">
        <v>130.6825</v>
      </c>
      <c r="G3118" s="5">
        <v>130.1482</v>
      </c>
      <c r="H3118" s="4">
        <v>0</v>
      </c>
      <c r="I3118" s="6">
        <v>2895909</v>
      </c>
      <c r="J3118" s="7">
        <v>659.97</v>
      </c>
      <c r="K3118" s="9">
        <f>(PricingDataTable[[#This Row],[Current Price ($)]]-PricingDataTable[[#This Row],[Prior Price ($)]])/PricingDataTable[[#This Row],[Prior Price ($)]]</f>
        <v>3.3900168990550511E-2</v>
      </c>
      <c r="L3118" s="9">
        <f>(PricingDataTable[[#This Row],[Vendor Price ($)]]-PricingDataTable[[#This Row],[Current Price ($)]])/PricingDataTable[[#This Row],[Current Price ($)]]</f>
        <v>-4.0885351902511949E-3</v>
      </c>
      <c r="M3118" t="str">
        <f t="shared" si="96"/>
        <v>PASS</v>
      </c>
      <c r="N3118" s="10" t="str">
        <f t="shared" si="97"/>
        <v>NONE</v>
      </c>
    </row>
    <row r="3119" spans="1:14">
      <c r="A3119" s="4" t="s">
        <v>6254</v>
      </c>
      <c r="B3119" s="4" t="s">
        <v>6255</v>
      </c>
      <c r="C3119" s="4" t="s">
        <v>12</v>
      </c>
      <c r="D3119" s="4" t="s">
        <v>64</v>
      </c>
      <c r="E3119" s="5">
        <v>115.5132</v>
      </c>
      <c r="F3119" s="5">
        <v>113.9516</v>
      </c>
      <c r="G3119" s="5">
        <v>113.6923</v>
      </c>
      <c r="H3119" s="4">
        <v>0</v>
      </c>
      <c r="I3119" s="6">
        <v>4526624</v>
      </c>
      <c r="J3119" s="7">
        <v>454.22</v>
      </c>
      <c r="K3119" s="9">
        <f>(PricingDataTable[[#This Row],[Current Price ($)]]-PricingDataTable[[#This Row],[Prior Price ($)]])/PricingDataTable[[#This Row],[Prior Price ($)]]</f>
        <v>-1.3518801314481795E-2</v>
      </c>
      <c r="L3119" s="9">
        <f>(PricingDataTable[[#This Row],[Vendor Price ($)]]-PricingDataTable[[#This Row],[Current Price ($)]])/PricingDataTable[[#This Row],[Current Price ($)]]</f>
        <v>-2.2755275046598389E-3</v>
      </c>
      <c r="M3119" t="str">
        <f t="shared" si="96"/>
        <v>PASS</v>
      </c>
      <c r="N3119" s="10" t="str">
        <f t="shared" si="97"/>
        <v>NONE</v>
      </c>
    </row>
    <row r="3120" spans="1:14">
      <c r="A3120" s="4" t="s">
        <v>6256</v>
      </c>
      <c r="B3120" s="4" t="s">
        <v>6257</v>
      </c>
      <c r="C3120" s="4" t="s">
        <v>16</v>
      </c>
      <c r="D3120" s="4" t="s">
        <v>13</v>
      </c>
      <c r="E3120" s="5">
        <v>84.340299999999999</v>
      </c>
      <c r="F3120" s="5">
        <v>97.230900000000005</v>
      </c>
      <c r="G3120" s="5">
        <v>96.759100000000004</v>
      </c>
      <c r="H3120" s="4">
        <v>1</v>
      </c>
      <c r="I3120" s="6">
        <v>1666783</v>
      </c>
      <c r="J3120" s="7">
        <v>11.1</v>
      </c>
      <c r="K3120" s="9">
        <f>(PricingDataTable[[#This Row],[Current Price ($)]]-PricingDataTable[[#This Row],[Prior Price ($)]])/PricingDataTable[[#This Row],[Prior Price ($)]]</f>
        <v>0.1528403384858722</v>
      </c>
      <c r="L3120" s="9">
        <f>(PricingDataTable[[#This Row],[Vendor Price ($)]]-PricingDataTable[[#This Row],[Current Price ($)]])/PricingDataTable[[#This Row],[Current Price ($)]]</f>
        <v>-4.8523668915951799E-3</v>
      </c>
      <c r="M3120" t="str">
        <f t="shared" si="96"/>
        <v>LARGE MOVE</v>
      </c>
      <c r="N3120" s="10" t="str">
        <f t="shared" si="97"/>
        <v>HIGH</v>
      </c>
    </row>
    <row r="3121" spans="1:14">
      <c r="A3121" s="4" t="s">
        <v>6258</v>
      </c>
      <c r="B3121" s="4" t="s">
        <v>6259</v>
      </c>
      <c r="C3121" s="4" t="s">
        <v>12</v>
      </c>
      <c r="D3121" s="4" t="s">
        <v>13</v>
      </c>
      <c r="E3121" s="5">
        <v>93.068299999999994</v>
      </c>
      <c r="F3121" s="5">
        <v>91.700699999999998</v>
      </c>
      <c r="G3121" s="5">
        <v>91.275199999999998</v>
      </c>
      <c r="H3121" s="4">
        <v>1</v>
      </c>
      <c r="I3121" s="6">
        <v>3783317</v>
      </c>
      <c r="J3121" s="7">
        <v>678.37</v>
      </c>
      <c r="K3121" s="9">
        <f>(PricingDataTable[[#This Row],[Current Price ($)]]-PricingDataTable[[#This Row],[Prior Price ($)]])/PricingDataTable[[#This Row],[Prior Price ($)]]</f>
        <v>-1.4694584514813272E-2</v>
      </c>
      <c r="L3121" s="9">
        <f>(PricingDataTable[[#This Row],[Vendor Price ($)]]-PricingDataTable[[#This Row],[Current Price ($)]])/PricingDataTable[[#This Row],[Current Price ($)]]</f>
        <v>-4.6400954409290176E-3</v>
      </c>
      <c r="M3121" t="str">
        <f t="shared" si="96"/>
        <v>PASS</v>
      </c>
      <c r="N3121" s="10" t="str">
        <f t="shared" si="97"/>
        <v>NONE</v>
      </c>
    </row>
    <row r="3122" spans="1:14">
      <c r="A3122" s="4" t="s">
        <v>6260</v>
      </c>
      <c r="B3122" s="4" t="s">
        <v>6261</v>
      </c>
      <c r="C3122" s="4" t="s">
        <v>19</v>
      </c>
      <c r="D3122" s="4" t="s">
        <v>13</v>
      </c>
      <c r="E3122" s="5">
        <v>263.28140000000002</v>
      </c>
      <c r="F3122" s="5">
        <v>263.11219999999997</v>
      </c>
      <c r="G3122" s="5">
        <v>263.06079999999997</v>
      </c>
      <c r="H3122" s="4">
        <v>0</v>
      </c>
      <c r="I3122" s="6">
        <v>3752822</v>
      </c>
      <c r="J3122" s="7">
        <v>321.14</v>
      </c>
      <c r="K3122" s="9">
        <f>(PricingDataTable[[#This Row],[Current Price ($)]]-PricingDataTable[[#This Row],[Prior Price ($)]])/PricingDataTable[[#This Row],[Prior Price ($)]]</f>
        <v>-6.4265838756572317E-4</v>
      </c>
      <c r="L3122" s="9">
        <f>(PricingDataTable[[#This Row],[Vendor Price ($)]]-PricingDataTable[[#This Row],[Current Price ($)]])/PricingDataTable[[#This Row],[Current Price ($)]]</f>
        <v>-1.9535392125489051E-4</v>
      </c>
      <c r="M3122" t="str">
        <f t="shared" si="96"/>
        <v>PASS</v>
      </c>
      <c r="N3122" s="10" t="str">
        <f t="shared" si="97"/>
        <v>NONE</v>
      </c>
    </row>
    <row r="3123" spans="1:14">
      <c r="A3123" s="4" t="s">
        <v>6262</v>
      </c>
      <c r="B3123" s="4" t="s">
        <v>6263</v>
      </c>
      <c r="C3123" s="4" t="s">
        <v>19</v>
      </c>
      <c r="D3123" s="4" t="s">
        <v>13</v>
      </c>
      <c r="E3123" s="5">
        <v>305.77420000000001</v>
      </c>
      <c r="F3123" s="5">
        <v>305.27629999999999</v>
      </c>
      <c r="G3123" s="5">
        <v>305.06760000000003</v>
      </c>
      <c r="H3123" s="4">
        <v>2</v>
      </c>
      <c r="I3123" s="6">
        <v>4911860</v>
      </c>
      <c r="J3123" s="7">
        <v>820.11</v>
      </c>
      <c r="K3123" s="9">
        <f>(PricingDataTable[[#This Row],[Current Price ($)]]-PricingDataTable[[#This Row],[Prior Price ($)]])/PricingDataTable[[#This Row],[Prior Price ($)]]</f>
        <v>-1.6283257384044029E-3</v>
      </c>
      <c r="L3123" s="9">
        <f>(PricingDataTable[[#This Row],[Vendor Price ($)]]-PricingDataTable[[#This Row],[Current Price ($)]])/PricingDataTable[[#This Row],[Current Price ($)]]</f>
        <v>-6.8364298178392752E-4</v>
      </c>
      <c r="M3123" t="str">
        <f t="shared" si="96"/>
        <v>PASS</v>
      </c>
      <c r="N3123" s="10" t="str">
        <f t="shared" si="97"/>
        <v>NONE</v>
      </c>
    </row>
    <row r="3124" spans="1:14">
      <c r="A3124" s="4" t="s">
        <v>6264</v>
      </c>
      <c r="B3124" s="4" t="s">
        <v>6265</v>
      </c>
      <c r="C3124" s="4" t="s">
        <v>19</v>
      </c>
      <c r="D3124" s="4" t="s">
        <v>13</v>
      </c>
      <c r="E3124" s="5">
        <v>144.4239</v>
      </c>
      <c r="F3124" s="5">
        <v>144.2936</v>
      </c>
      <c r="G3124" s="5">
        <v>144.82679999999999</v>
      </c>
      <c r="H3124" s="4">
        <v>0</v>
      </c>
      <c r="I3124" s="6">
        <v>2143452</v>
      </c>
      <c r="J3124" s="7">
        <v>742.26</v>
      </c>
      <c r="K3124" s="9">
        <f>(PricingDataTable[[#This Row],[Current Price ($)]]-PricingDataTable[[#This Row],[Prior Price ($)]])/PricingDataTable[[#This Row],[Prior Price ($)]]</f>
        <v>-9.0220524442287885E-4</v>
      </c>
      <c r="L3124" s="9">
        <f>(PricingDataTable[[#This Row],[Vendor Price ($)]]-PricingDataTable[[#This Row],[Current Price ($)]])/PricingDataTable[[#This Row],[Current Price ($)]]</f>
        <v>3.6952435866870995E-3</v>
      </c>
      <c r="M3124" t="str">
        <f t="shared" si="96"/>
        <v>PASS</v>
      </c>
      <c r="N3124" s="10" t="str">
        <f t="shared" si="97"/>
        <v>NONE</v>
      </c>
    </row>
    <row r="3125" spans="1:14">
      <c r="A3125" s="4" t="s">
        <v>6266</v>
      </c>
      <c r="B3125" s="4" t="s">
        <v>6267</v>
      </c>
      <c r="C3125" s="4" t="s">
        <v>12</v>
      </c>
      <c r="D3125" s="4" t="s">
        <v>13</v>
      </c>
      <c r="E3125" s="5">
        <v>80.062100000000001</v>
      </c>
      <c r="F3125" s="5">
        <v>77.969800000000006</v>
      </c>
      <c r="G3125" s="5">
        <v>78.021900000000002</v>
      </c>
      <c r="H3125" s="4">
        <v>0</v>
      </c>
      <c r="I3125" s="6">
        <v>1643978</v>
      </c>
      <c r="J3125" s="7">
        <v>681.63</v>
      </c>
      <c r="K3125" s="9">
        <f>(PricingDataTable[[#This Row],[Current Price ($)]]-PricingDataTable[[#This Row],[Prior Price ($)]])/PricingDataTable[[#This Row],[Prior Price ($)]]</f>
        <v>-2.6133463898648606E-2</v>
      </c>
      <c r="L3125" s="9">
        <f>(PricingDataTable[[#This Row],[Vendor Price ($)]]-PricingDataTable[[#This Row],[Current Price ($)]])/PricingDataTable[[#This Row],[Current Price ($)]]</f>
        <v>6.6820743416035196E-4</v>
      </c>
      <c r="M3125" t="str">
        <f t="shared" si="96"/>
        <v>PASS</v>
      </c>
      <c r="N3125" s="10" t="str">
        <f t="shared" si="97"/>
        <v>NONE</v>
      </c>
    </row>
    <row r="3126" spans="1:14">
      <c r="A3126" s="4" t="s">
        <v>6268</v>
      </c>
      <c r="B3126" s="4" t="s">
        <v>6269</v>
      </c>
      <c r="C3126" s="4" t="s">
        <v>12</v>
      </c>
      <c r="D3126" s="4" t="s">
        <v>237</v>
      </c>
      <c r="E3126" s="5">
        <v>78.600700000000003</v>
      </c>
      <c r="F3126" s="5">
        <v>77.253500000000003</v>
      </c>
      <c r="G3126" s="5">
        <v>77.510999999999996</v>
      </c>
      <c r="H3126" s="4">
        <v>0</v>
      </c>
      <c r="I3126" s="6">
        <v>3291905</v>
      </c>
      <c r="J3126" s="7">
        <v>373.71</v>
      </c>
      <c r="K3126" s="9">
        <f>(PricingDataTable[[#This Row],[Current Price ($)]]-PricingDataTable[[#This Row],[Prior Price ($)]])/PricingDataTable[[#This Row],[Prior Price ($)]]</f>
        <v>-1.7139796464916989E-2</v>
      </c>
      <c r="L3126" s="9">
        <f>(PricingDataTable[[#This Row],[Vendor Price ($)]]-PricingDataTable[[#This Row],[Current Price ($)]])/PricingDataTable[[#This Row],[Current Price ($)]]</f>
        <v>3.3331823153642639E-3</v>
      </c>
      <c r="M3126" t="str">
        <f t="shared" si="96"/>
        <v>PASS</v>
      </c>
      <c r="N3126" s="10" t="str">
        <f t="shared" si="97"/>
        <v>NONE</v>
      </c>
    </row>
    <row r="3127" spans="1:14">
      <c r="A3127" s="4" t="s">
        <v>6270</v>
      </c>
      <c r="B3127" s="4" t="s">
        <v>6271</v>
      </c>
      <c r="C3127" s="4" t="s">
        <v>16</v>
      </c>
      <c r="D3127" s="4" t="s">
        <v>237</v>
      </c>
      <c r="E3127" s="5">
        <v>99.435699999999997</v>
      </c>
      <c r="F3127" s="5">
        <v>98.449100000000001</v>
      </c>
      <c r="G3127" s="5">
        <v>98.328299999999999</v>
      </c>
      <c r="H3127" s="4">
        <v>0</v>
      </c>
      <c r="I3127" s="6">
        <v>2081081</v>
      </c>
      <c r="J3127" s="7">
        <v>95.94</v>
      </c>
      <c r="K3127" s="9">
        <f>(PricingDataTable[[#This Row],[Current Price ($)]]-PricingDataTable[[#This Row],[Prior Price ($)]])/PricingDataTable[[#This Row],[Prior Price ($)]]</f>
        <v>-9.9219897883757614E-3</v>
      </c>
      <c r="L3127" s="9">
        <f>(PricingDataTable[[#This Row],[Vendor Price ($)]]-PricingDataTable[[#This Row],[Current Price ($)]])/PricingDataTable[[#This Row],[Current Price ($)]]</f>
        <v>-1.2270300084003072E-3</v>
      </c>
      <c r="M3127" t="str">
        <f t="shared" si="96"/>
        <v>PASS</v>
      </c>
      <c r="N3127" s="10" t="str">
        <f t="shared" si="97"/>
        <v>NONE</v>
      </c>
    </row>
    <row r="3128" spans="1:14">
      <c r="A3128" s="4" t="s">
        <v>6272</v>
      </c>
      <c r="B3128" s="4" t="s">
        <v>6273</v>
      </c>
      <c r="C3128" s="4" t="s">
        <v>19</v>
      </c>
      <c r="D3128" s="4" t="s">
        <v>13</v>
      </c>
      <c r="E3128" s="5">
        <v>259.88659999999999</v>
      </c>
      <c r="F3128" s="5">
        <v>265.36279999999999</v>
      </c>
      <c r="G3128" s="5">
        <v>266.13189999999997</v>
      </c>
      <c r="H3128" s="4">
        <v>0</v>
      </c>
      <c r="I3128" s="6">
        <v>4130643</v>
      </c>
      <c r="J3128" s="7">
        <v>265.83</v>
      </c>
      <c r="K3128" s="9">
        <f>(PricingDataTable[[#This Row],[Current Price ($)]]-PricingDataTable[[#This Row],[Prior Price ($)]])/PricingDataTable[[#This Row],[Prior Price ($)]]</f>
        <v>2.1071498107251417E-2</v>
      </c>
      <c r="L3128" s="9">
        <f>(PricingDataTable[[#This Row],[Vendor Price ($)]]-PricingDataTable[[#This Row],[Current Price ($)]])/PricingDataTable[[#This Row],[Current Price ($)]]</f>
        <v>2.8982962193645091E-3</v>
      </c>
      <c r="M3128" t="str">
        <f t="shared" si="96"/>
        <v>PASS</v>
      </c>
      <c r="N3128" s="10" t="str">
        <f t="shared" si="97"/>
        <v>NONE</v>
      </c>
    </row>
    <row r="3129" spans="1:14">
      <c r="A3129" s="4" t="s">
        <v>6274</v>
      </c>
      <c r="B3129" s="4" t="s">
        <v>6275</v>
      </c>
      <c r="C3129" s="4" t="s">
        <v>39</v>
      </c>
      <c r="D3129" s="4" t="s">
        <v>13</v>
      </c>
      <c r="E3129" s="5">
        <v>99.584900000000005</v>
      </c>
      <c r="F3129" s="5">
        <v>108.51009999999999</v>
      </c>
      <c r="G3129" s="5">
        <v>108.3815</v>
      </c>
      <c r="H3129" s="4">
        <v>0</v>
      </c>
      <c r="I3129" s="6">
        <v>1097420</v>
      </c>
      <c r="J3129" s="7">
        <v>766.2</v>
      </c>
      <c r="K3129" s="9">
        <f>(PricingDataTable[[#This Row],[Current Price ($)]]-PricingDataTable[[#This Row],[Prior Price ($)]])/PricingDataTable[[#This Row],[Prior Price ($)]]</f>
        <v>8.9624029345814371E-2</v>
      </c>
      <c r="L3129" s="9">
        <f>(PricingDataTable[[#This Row],[Vendor Price ($)]]-PricingDataTable[[#This Row],[Current Price ($)]])/PricingDataTable[[#This Row],[Current Price ($)]]</f>
        <v>-1.1851431341413528E-3</v>
      </c>
      <c r="M3129" t="str">
        <f t="shared" si="96"/>
        <v>LARGE MOVE</v>
      </c>
      <c r="N3129" s="10" t="str">
        <f t="shared" si="97"/>
        <v>MEDIUM</v>
      </c>
    </row>
    <row r="3130" spans="1:14">
      <c r="A3130" s="4" t="s">
        <v>6276</v>
      </c>
      <c r="B3130" s="4" t="s">
        <v>6277</v>
      </c>
      <c r="C3130" s="4" t="s">
        <v>39</v>
      </c>
      <c r="D3130" s="4" t="s">
        <v>13</v>
      </c>
      <c r="E3130" s="5">
        <v>104.02419999999999</v>
      </c>
      <c r="F3130" s="5">
        <v>104.9375</v>
      </c>
      <c r="G3130" s="5">
        <v>105.14230000000001</v>
      </c>
      <c r="H3130" s="4">
        <v>0</v>
      </c>
      <c r="I3130" s="6">
        <v>3802117</v>
      </c>
      <c r="J3130" s="7">
        <v>475.62</v>
      </c>
      <c r="K3130" s="9">
        <f>(PricingDataTable[[#This Row],[Current Price ($)]]-PricingDataTable[[#This Row],[Prior Price ($)]])/PricingDataTable[[#This Row],[Prior Price ($)]]</f>
        <v>8.7796878034150389E-3</v>
      </c>
      <c r="L3130" s="9">
        <f>(PricingDataTable[[#This Row],[Vendor Price ($)]]-PricingDataTable[[#This Row],[Current Price ($)]])/PricingDataTable[[#This Row],[Current Price ($)]]</f>
        <v>1.9516378796903477E-3</v>
      </c>
      <c r="M3130" t="str">
        <f t="shared" si="96"/>
        <v>PASS</v>
      </c>
      <c r="N3130" s="10" t="str">
        <f t="shared" si="97"/>
        <v>NONE</v>
      </c>
    </row>
    <row r="3131" spans="1:14">
      <c r="A3131" s="4" t="s">
        <v>6278</v>
      </c>
      <c r="B3131" s="4" t="s">
        <v>6279</v>
      </c>
      <c r="C3131" s="4" t="s">
        <v>19</v>
      </c>
      <c r="D3131" s="4" t="s">
        <v>13</v>
      </c>
      <c r="E3131" s="5">
        <v>48.314399999999999</v>
      </c>
      <c r="F3131" s="5">
        <v>48.633699999999997</v>
      </c>
      <c r="G3131" s="5">
        <v>48.665500000000002</v>
      </c>
      <c r="H3131" s="4">
        <v>0</v>
      </c>
      <c r="I3131" s="6">
        <v>4472661</v>
      </c>
      <c r="J3131" s="7">
        <v>648.04999999999995</v>
      </c>
      <c r="K3131" s="9">
        <f>(PricingDataTable[[#This Row],[Current Price ($)]]-PricingDataTable[[#This Row],[Prior Price ($)]])/PricingDataTable[[#This Row],[Prior Price ($)]]</f>
        <v>6.6087957213584016E-3</v>
      </c>
      <c r="L3131" s="9">
        <f>(PricingDataTable[[#This Row],[Vendor Price ($)]]-PricingDataTable[[#This Row],[Current Price ($)]])/PricingDataTable[[#This Row],[Current Price ($)]]</f>
        <v>6.5386758564542791E-4</v>
      </c>
      <c r="M3131" t="str">
        <f t="shared" si="96"/>
        <v>PASS</v>
      </c>
      <c r="N3131" s="10" t="str">
        <f t="shared" si="97"/>
        <v>NONE</v>
      </c>
    </row>
    <row r="3132" spans="1:14">
      <c r="A3132" s="4" t="s">
        <v>6280</v>
      </c>
      <c r="B3132" s="4" t="s">
        <v>6281</v>
      </c>
      <c r="C3132" s="4" t="s">
        <v>12</v>
      </c>
      <c r="D3132" s="4" t="s">
        <v>13</v>
      </c>
      <c r="E3132" s="5">
        <v>111.74250000000001</v>
      </c>
      <c r="F3132" s="5">
        <v>111.85890000000001</v>
      </c>
      <c r="G3132" s="5">
        <v>111.5934</v>
      </c>
      <c r="H3132" s="4">
        <v>1</v>
      </c>
      <c r="I3132" s="6">
        <v>3059991</v>
      </c>
      <c r="J3132" s="7">
        <v>404.98</v>
      </c>
      <c r="K3132" s="9">
        <f>(PricingDataTable[[#This Row],[Current Price ($)]]-PricingDataTable[[#This Row],[Prior Price ($)]])/PricingDataTable[[#This Row],[Prior Price ($)]]</f>
        <v>1.0416806497080225E-3</v>
      </c>
      <c r="L3132" s="9">
        <f>(PricingDataTable[[#This Row],[Vendor Price ($)]]-PricingDataTable[[#This Row],[Current Price ($)]])/PricingDataTable[[#This Row],[Current Price ($)]]</f>
        <v>-2.373525933117552E-3</v>
      </c>
      <c r="M3132" t="str">
        <f t="shared" si="96"/>
        <v>PASS</v>
      </c>
      <c r="N3132" s="10" t="str">
        <f t="shared" si="97"/>
        <v>NONE</v>
      </c>
    </row>
    <row r="3133" spans="1:14">
      <c r="A3133" s="4" t="s">
        <v>6282</v>
      </c>
      <c r="B3133" s="4" t="s">
        <v>6283</v>
      </c>
      <c r="C3133" s="4" t="s">
        <v>39</v>
      </c>
      <c r="D3133" s="4" t="s">
        <v>13</v>
      </c>
      <c r="E3133" s="5">
        <v>222.9237</v>
      </c>
      <c r="F3133" s="5">
        <v>224.54</v>
      </c>
      <c r="G3133" s="5">
        <v>224.1103</v>
      </c>
      <c r="H3133" s="4">
        <v>0</v>
      </c>
      <c r="I3133" s="6">
        <v>698239</v>
      </c>
      <c r="J3133" s="7">
        <v>750.15</v>
      </c>
      <c r="K3133" s="9">
        <f>(PricingDataTable[[#This Row],[Current Price ($)]]-PricingDataTable[[#This Row],[Prior Price ($)]])/PricingDataTable[[#This Row],[Prior Price ($)]]</f>
        <v>7.2504628265186496E-3</v>
      </c>
      <c r="L3133" s="9">
        <f>(PricingDataTable[[#This Row],[Vendor Price ($)]]-PricingDataTable[[#This Row],[Current Price ($)]])/PricingDataTable[[#This Row],[Current Price ($)]]</f>
        <v>-1.9136902110982314E-3</v>
      </c>
      <c r="M3133" t="str">
        <f t="shared" si="96"/>
        <v>PASS</v>
      </c>
      <c r="N3133" s="10" t="str">
        <f t="shared" si="97"/>
        <v>NONE</v>
      </c>
    </row>
    <row r="3134" spans="1:14">
      <c r="A3134" s="4" t="s">
        <v>6284</v>
      </c>
      <c r="B3134" s="4" t="s">
        <v>6285</v>
      </c>
      <c r="C3134" s="4" t="s">
        <v>39</v>
      </c>
      <c r="D3134" s="4" t="s">
        <v>13</v>
      </c>
      <c r="E3134" s="5">
        <v>207.71960000000001</v>
      </c>
      <c r="F3134" s="5">
        <v>204.83199999999999</v>
      </c>
      <c r="G3134" s="5">
        <v>204.11279999999999</v>
      </c>
      <c r="H3134" s="4">
        <v>0</v>
      </c>
      <c r="I3134" s="6">
        <v>1823108</v>
      </c>
      <c r="J3134" s="7">
        <v>693.87</v>
      </c>
      <c r="K3134" s="9">
        <f>(PricingDataTable[[#This Row],[Current Price ($)]]-PricingDataTable[[#This Row],[Prior Price ($)]])/PricingDataTable[[#This Row],[Prior Price ($)]]</f>
        <v>-1.3901432508054224E-2</v>
      </c>
      <c r="L3134" s="9">
        <f>(PricingDataTable[[#This Row],[Vendor Price ($)]]-PricingDataTable[[#This Row],[Current Price ($)]])/PricingDataTable[[#This Row],[Current Price ($)]]</f>
        <v>-3.5111701296672432E-3</v>
      </c>
      <c r="M3134" t="str">
        <f t="shared" si="96"/>
        <v>PASS</v>
      </c>
      <c r="N3134" s="10" t="str">
        <f t="shared" si="97"/>
        <v>NONE</v>
      </c>
    </row>
    <row r="3135" spans="1:14">
      <c r="A3135" s="4" t="s">
        <v>6286</v>
      </c>
      <c r="B3135" s="4" t="s">
        <v>6287</v>
      </c>
      <c r="C3135" s="4" t="s">
        <v>19</v>
      </c>
      <c r="D3135" s="4" t="s">
        <v>64</v>
      </c>
      <c r="E3135" s="5">
        <v>74.209999999999994</v>
      </c>
      <c r="F3135" s="5">
        <v>74.352900000000005</v>
      </c>
      <c r="G3135" s="5">
        <v>74.317999999999998</v>
      </c>
      <c r="H3135" s="4">
        <v>0</v>
      </c>
      <c r="I3135" s="6">
        <v>197756</v>
      </c>
      <c r="J3135" s="7">
        <v>138.69</v>
      </c>
      <c r="K3135" s="9">
        <f>(PricingDataTable[[#This Row],[Current Price ($)]]-PricingDataTable[[#This Row],[Prior Price ($)]])/PricingDataTable[[#This Row],[Prior Price ($)]]</f>
        <v>1.9256164937341543E-3</v>
      </c>
      <c r="L3135" s="9">
        <f>(PricingDataTable[[#This Row],[Vendor Price ($)]]-PricingDataTable[[#This Row],[Current Price ($)]])/PricingDataTable[[#This Row],[Current Price ($)]]</f>
        <v>-4.6938317133571762E-4</v>
      </c>
      <c r="M3135" t="str">
        <f t="shared" si="96"/>
        <v>PASS</v>
      </c>
      <c r="N3135" s="10" t="str">
        <f t="shared" si="97"/>
        <v>NONE</v>
      </c>
    </row>
    <row r="3136" spans="1:14">
      <c r="A3136" s="4" t="s">
        <v>6288</v>
      </c>
      <c r="B3136" s="4" t="s">
        <v>6289</v>
      </c>
      <c r="C3136" s="4" t="s">
        <v>19</v>
      </c>
      <c r="D3136" s="4" t="s">
        <v>13</v>
      </c>
      <c r="E3136" s="5">
        <v>77.193600000000004</v>
      </c>
      <c r="F3136" s="5">
        <v>76.866299999999995</v>
      </c>
      <c r="G3136" s="5">
        <v>76.5578</v>
      </c>
      <c r="H3136" s="4">
        <v>0</v>
      </c>
      <c r="I3136" s="6">
        <v>2865699</v>
      </c>
      <c r="J3136" s="7">
        <v>72.790000000000006</v>
      </c>
      <c r="K3136" s="9">
        <f>(PricingDataTable[[#This Row],[Current Price ($)]]-PricingDataTable[[#This Row],[Prior Price ($)]])/PricingDataTable[[#This Row],[Prior Price ($)]]</f>
        <v>-4.2399888073623732E-3</v>
      </c>
      <c r="L3136" s="9">
        <f>(PricingDataTable[[#This Row],[Vendor Price ($)]]-PricingDataTable[[#This Row],[Current Price ($)]])/PricingDataTable[[#This Row],[Current Price ($)]]</f>
        <v>-4.013462336550545E-3</v>
      </c>
      <c r="M3136" t="str">
        <f t="shared" si="96"/>
        <v>PASS</v>
      </c>
      <c r="N3136" s="10" t="str">
        <f t="shared" si="97"/>
        <v>NONE</v>
      </c>
    </row>
    <row r="3137" spans="1:14">
      <c r="A3137" s="4" t="s">
        <v>6290</v>
      </c>
      <c r="B3137" s="4" t="s">
        <v>6291</v>
      </c>
      <c r="C3137" s="4" t="s">
        <v>39</v>
      </c>
      <c r="D3137" s="4" t="s">
        <v>13</v>
      </c>
      <c r="E3137" s="5">
        <v>26.0227</v>
      </c>
      <c r="F3137" s="5">
        <v>26.181799999999999</v>
      </c>
      <c r="G3137" s="5">
        <v>26.121099999999998</v>
      </c>
      <c r="H3137" s="4">
        <v>4</v>
      </c>
      <c r="I3137" s="6">
        <v>2083022</v>
      </c>
      <c r="J3137" s="7">
        <v>779.04</v>
      </c>
      <c r="K3137" s="9">
        <f>(PricingDataTable[[#This Row],[Current Price ($)]]-PricingDataTable[[#This Row],[Prior Price ($)]])/PricingDataTable[[#This Row],[Prior Price ($)]]</f>
        <v>6.1138928704553598E-3</v>
      </c>
      <c r="L3137" s="9">
        <f>(PricingDataTable[[#This Row],[Vendor Price ($)]]-PricingDataTable[[#This Row],[Current Price ($)]])/PricingDataTable[[#This Row],[Current Price ($)]]</f>
        <v>-2.3184043877808496E-3</v>
      </c>
      <c r="M3137" t="str">
        <f t="shared" si="96"/>
        <v>STALE</v>
      </c>
      <c r="N3137" s="10" t="str">
        <f t="shared" si="97"/>
        <v>LOW</v>
      </c>
    </row>
    <row r="3138" spans="1:14">
      <c r="A3138" s="4" t="s">
        <v>6292</v>
      </c>
      <c r="B3138" s="4" t="s">
        <v>6293</v>
      </c>
      <c r="C3138" s="4" t="s">
        <v>39</v>
      </c>
      <c r="D3138" s="4" t="s">
        <v>32</v>
      </c>
      <c r="E3138" s="5">
        <v>96.316400000000002</v>
      </c>
      <c r="F3138" s="5">
        <v>98.347300000000004</v>
      </c>
      <c r="G3138" s="5">
        <v>98.116100000000003</v>
      </c>
      <c r="H3138" s="4">
        <v>0</v>
      </c>
      <c r="I3138" s="6">
        <v>664324</v>
      </c>
      <c r="J3138" s="7">
        <v>96.76</v>
      </c>
      <c r="K3138" s="9">
        <f>(PricingDataTable[[#This Row],[Current Price ($)]]-PricingDataTable[[#This Row],[Prior Price ($)]])/PricingDataTable[[#This Row],[Prior Price ($)]]</f>
        <v>2.1085713336461937E-2</v>
      </c>
      <c r="L3138" s="9">
        <f>(PricingDataTable[[#This Row],[Vendor Price ($)]]-PricingDataTable[[#This Row],[Current Price ($)]])/PricingDataTable[[#This Row],[Current Price ($)]]</f>
        <v>-2.3508525399273919E-3</v>
      </c>
      <c r="M3138" t="str">
        <f t="shared" ref="M3138:M3201" si="98">IF(OR(F3138="",F3138=0),"MISSING",IF(H3138&gt;=3,"STALE",IF(ABS(K3138)&gt;=5%,"LARGE MOVE",IF(ABS(L3138)&gt;=2%,"VENDOR DIFFERENCE","PASS"))))</f>
        <v>PASS</v>
      </c>
      <c r="N3138" s="10" t="str">
        <f t="shared" ref="N3138:N3201" si="99">IF(M3138="PASS","NONE",IF(M3138="MISSING","HIGH",IF(OR(ABS(K3138)&gt;=10%,ABS(L3138)&gt;=5%),"HIGH",IF(OR(ABS(K3138)&gt;=7%,ABS(L3138)&gt;=3%,H3138&gt;=5),"MEDIUM","LOW"))))</f>
        <v>NONE</v>
      </c>
    </row>
    <row r="3139" spans="1:14">
      <c r="A3139" s="4" t="s">
        <v>6294</v>
      </c>
      <c r="B3139" s="4" t="s">
        <v>6295</v>
      </c>
      <c r="C3139" s="4" t="s">
        <v>19</v>
      </c>
      <c r="D3139" s="4" t="s">
        <v>13</v>
      </c>
      <c r="E3139" s="5">
        <v>308.87169999999998</v>
      </c>
      <c r="F3139" s="5">
        <v>318.60969999999998</v>
      </c>
      <c r="G3139" s="5">
        <v>319.60539999999997</v>
      </c>
      <c r="H3139" s="4">
        <v>3</v>
      </c>
      <c r="I3139" s="6">
        <v>3735794</v>
      </c>
      <c r="J3139" s="7">
        <v>96.49</v>
      </c>
      <c r="K3139" s="9">
        <f>(PricingDataTable[[#This Row],[Current Price ($)]]-PricingDataTable[[#This Row],[Prior Price ($)]])/PricingDataTable[[#This Row],[Prior Price ($)]]</f>
        <v>3.1527653715118606E-2</v>
      </c>
      <c r="L3139" s="9">
        <f>(PricingDataTable[[#This Row],[Vendor Price ($)]]-PricingDataTable[[#This Row],[Current Price ($)]])/PricingDataTable[[#This Row],[Current Price ($)]]</f>
        <v>3.125140257813869E-3</v>
      </c>
      <c r="M3139" t="str">
        <f t="shared" si="98"/>
        <v>STALE</v>
      </c>
      <c r="N3139" s="10" t="str">
        <f t="shared" si="99"/>
        <v>LOW</v>
      </c>
    </row>
    <row r="3140" spans="1:14">
      <c r="A3140" s="4" t="s">
        <v>6296</v>
      </c>
      <c r="B3140" s="4" t="s">
        <v>6297</v>
      </c>
      <c r="C3140" s="4" t="s">
        <v>19</v>
      </c>
      <c r="D3140" s="4" t="s">
        <v>13</v>
      </c>
      <c r="E3140" s="5">
        <v>315.7944</v>
      </c>
      <c r="F3140" s="5">
        <v>323.0068</v>
      </c>
      <c r="G3140" s="5">
        <v>322.58909999999997</v>
      </c>
      <c r="H3140" s="4">
        <v>2</v>
      </c>
      <c r="I3140" s="6">
        <v>1080575</v>
      </c>
      <c r="J3140" s="7">
        <v>76.91</v>
      </c>
      <c r="K3140" s="9">
        <f>(PricingDataTable[[#This Row],[Current Price ($)]]-PricingDataTable[[#This Row],[Prior Price ($)]])/PricingDataTable[[#This Row],[Prior Price ($)]]</f>
        <v>2.2838910379664751E-2</v>
      </c>
      <c r="L3140" s="9">
        <f>(PricingDataTable[[#This Row],[Vendor Price ($)]]-PricingDataTable[[#This Row],[Current Price ($)]])/PricingDataTable[[#This Row],[Current Price ($)]]</f>
        <v>-1.2931616300338718E-3</v>
      </c>
      <c r="M3140" t="str">
        <f t="shared" si="98"/>
        <v>PASS</v>
      </c>
      <c r="N3140" s="10" t="str">
        <f t="shared" si="99"/>
        <v>NONE</v>
      </c>
    </row>
    <row r="3141" spans="1:14">
      <c r="A3141" s="4" t="s">
        <v>6298</v>
      </c>
      <c r="B3141" s="4" t="s">
        <v>6299</v>
      </c>
      <c r="C3141" s="4" t="s">
        <v>16</v>
      </c>
      <c r="D3141" s="4" t="s">
        <v>64</v>
      </c>
      <c r="E3141" s="5">
        <v>97.58</v>
      </c>
      <c r="F3141" s="5">
        <v>112.4721</v>
      </c>
      <c r="G3141" s="5">
        <v>112.6353</v>
      </c>
      <c r="H3141" s="4">
        <v>0</v>
      </c>
      <c r="I3141" s="6">
        <v>2577448</v>
      </c>
      <c r="J3141" s="7">
        <v>90.94</v>
      </c>
      <c r="K3141" s="9">
        <f>(PricingDataTable[[#This Row],[Current Price ($)]]-PricingDataTable[[#This Row],[Prior Price ($)]])/PricingDataTable[[#This Row],[Prior Price ($)]]</f>
        <v>0.15261426521828242</v>
      </c>
      <c r="L3141" s="9">
        <f>(PricingDataTable[[#This Row],[Vendor Price ($)]]-PricingDataTable[[#This Row],[Current Price ($)]])/PricingDataTable[[#This Row],[Current Price ($)]]</f>
        <v>1.4510265212439649E-3</v>
      </c>
      <c r="M3141" t="str">
        <f t="shared" si="98"/>
        <v>LARGE MOVE</v>
      </c>
      <c r="N3141" s="10" t="str">
        <f t="shared" si="99"/>
        <v>HIGH</v>
      </c>
    </row>
    <row r="3142" spans="1:14">
      <c r="A3142" s="4" t="s">
        <v>6300</v>
      </c>
      <c r="B3142" s="4" t="s">
        <v>6301</v>
      </c>
      <c r="C3142" s="4" t="s">
        <v>19</v>
      </c>
      <c r="D3142" s="4" t="s">
        <v>13</v>
      </c>
      <c r="E3142" s="5">
        <v>114.31480000000001</v>
      </c>
      <c r="F3142" s="5">
        <v>113.1331</v>
      </c>
      <c r="G3142" s="5">
        <v>113.03959999999999</v>
      </c>
      <c r="H3142" s="4">
        <v>0</v>
      </c>
      <c r="I3142" s="6">
        <v>3187253</v>
      </c>
      <c r="J3142" s="7">
        <v>484.62</v>
      </c>
      <c r="K3142" s="9">
        <f>(PricingDataTable[[#This Row],[Current Price ($)]]-PricingDataTable[[#This Row],[Prior Price ($)]])/PricingDataTable[[#This Row],[Prior Price ($)]]</f>
        <v>-1.0337244171358445E-2</v>
      </c>
      <c r="L3142" s="9">
        <f>(PricingDataTable[[#This Row],[Vendor Price ($)]]-PricingDataTable[[#This Row],[Current Price ($)]])/PricingDataTable[[#This Row],[Current Price ($)]]</f>
        <v>-8.2646016064269359E-4</v>
      </c>
      <c r="M3142" t="str">
        <f t="shared" si="98"/>
        <v>PASS</v>
      </c>
      <c r="N3142" s="10" t="str">
        <f t="shared" si="99"/>
        <v>NONE</v>
      </c>
    </row>
    <row r="3143" spans="1:14">
      <c r="A3143" s="4" t="s">
        <v>6302</v>
      </c>
      <c r="B3143" s="4" t="s">
        <v>6303</v>
      </c>
      <c r="C3143" s="4" t="s">
        <v>12</v>
      </c>
      <c r="D3143" s="4" t="s">
        <v>32</v>
      </c>
      <c r="E3143" s="5">
        <v>86.055000000000007</v>
      </c>
      <c r="F3143" s="5">
        <v>86.534400000000005</v>
      </c>
      <c r="G3143" s="5">
        <v>86.313999999999993</v>
      </c>
      <c r="H3143" s="4">
        <v>0</v>
      </c>
      <c r="I3143" s="6">
        <v>2091057</v>
      </c>
      <c r="J3143" s="7">
        <v>591</v>
      </c>
      <c r="K3143" s="9">
        <f>(PricingDataTable[[#This Row],[Current Price ($)]]-PricingDataTable[[#This Row],[Prior Price ($)]])/PricingDataTable[[#This Row],[Prior Price ($)]]</f>
        <v>5.570855848004163E-3</v>
      </c>
      <c r="L3143" s="9">
        <f>(PricingDataTable[[#This Row],[Vendor Price ($)]]-PricingDataTable[[#This Row],[Current Price ($)]])/PricingDataTable[[#This Row],[Current Price ($)]]</f>
        <v>-2.5469639819541375E-3</v>
      </c>
      <c r="M3143" t="str">
        <f t="shared" si="98"/>
        <v>PASS</v>
      </c>
      <c r="N3143" s="10" t="str">
        <f t="shared" si="99"/>
        <v>NONE</v>
      </c>
    </row>
    <row r="3144" spans="1:14">
      <c r="A3144" s="4" t="s">
        <v>6304</v>
      </c>
      <c r="B3144" s="4" t="s">
        <v>6305</v>
      </c>
      <c r="C3144" s="4" t="s">
        <v>19</v>
      </c>
      <c r="D3144" s="4" t="s">
        <v>13</v>
      </c>
      <c r="E3144" s="5">
        <v>13.8032</v>
      </c>
      <c r="F3144" s="5">
        <v>13.606999999999999</v>
      </c>
      <c r="G3144" s="5">
        <v>13.564399999999999</v>
      </c>
      <c r="H3144" s="4">
        <v>1</v>
      </c>
      <c r="I3144" s="6">
        <v>819693</v>
      </c>
      <c r="J3144" s="7">
        <v>558.96</v>
      </c>
      <c r="K3144" s="9">
        <f>(PricingDataTable[[#This Row],[Current Price ($)]]-PricingDataTable[[#This Row],[Prior Price ($)]])/PricingDataTable[[#This Row],[Prior Price ($)]]</f>
        <v>-1.4214095282253465E-2</v>
      </c>
      <c r="L3144" s="9">
        <f>(PricingDataTable[[#This Row],[Vendor Price ($)]]-PricingDataTable[[#This Row],[Current Price ($)]])/PricingDataTable[[#This Row],[Current Price ($)]]</f>
        <v>-3.1307415300948186E-3</v>
      </c>
      <c r="M3144" t="str">
        <f t="shared" si="98"/>
        <v>PASS</v>
      </c>
      <c r="N3144" s="10" t="str">
        <f t="shared" si="99"/>
        <v>NONE</v>
      </c>
    </row>
    <row r="3145" spans="1:14">
      <c r="A3145" s="4" t="s">
        <v>6306</v>
      </c>
      <c r="B3145" s="4" t="s">
        <v>6307</v>
      </c>
      <c r="C3145" s="4" t="s">
        <v>19</v>
      </c>
      <c r="D3145" s="4" t="s">
        <v>13</v>
      </c>
      <c r="E3145" s="5">
        <v>112.97920000000001</v>
      </c>
      <c r="F3145" s="5">
        <v>113.63639999999999</v>
      </c>
      <c r="G3145" s="5">
        <v>113.53279999999999</v>
      </c>
      <c r="H3145" s="4">
        <v>1</v>
      </c>
      <c r="I3145" s="6">
        <v>2891459</v>
      </c>
      <c r="J3145" s="7">
        <v>618.09</v>
      </c>
      <c r="K3145" s="9">
        <f>(PricingDataTable[[#This Row],[Current Price ($)]]-PricingDataTable[[#This Row],[Prior Price ($)]])/PricingDataTable[[#This Row],[Prior Price ($)]]</f>
        <v>5.8169999433523058E-3</v>
      </c>
      <c r="L3145" s="9">
        <f>(PricingDataTable[[#This Row],[Vendor Price ($)]]-PricingDataTable[[#This Row],[Current Price ($)]])/PricingDataTable[[#This Row],[Current Price ($)]]</f>
        <v>-9.1167970826249464E-4</v>
      </c>
      <c r="M3145" t="str">
        <f t="shared" si="98"/>
        <v>PASS</v>
      </c>
      <c r="N3145" s="10" t="str">
        <f t="shared" si="99"/>
        <v>NONE</v>
      </c>
    </row>
    <row r="3146" spans="1:14">
      <c r="A3146" s="4" t="s">
        <v>6308</v>
      </c>
      <c r="B3146" s="4" t="s">
        <v>6309</v>
      </c>
      <c r="C3146" s="4" t="s">
        <v>19</v>
      </c>
      <c r="D3146" s="4" t="s">
        <v>32</v>
      </c>
      <c r="E3146" s="5">
        <v>272.55840000000001</v>
      </c>
      <c r="F3146" s="5">
        <v>273.98039999999997</v>
      </c>
      <c r="G3146" s="5">
        <v>274.2124</v>
      </c>
      <c r="H3146" s="4">
        <v>0</v>
      </c>
      <c r="I3146" s="6">
        <v>146194</v>
      </c>
      <c r="J3146" s="7">
        <v>391.08</v>
      </c>
      <c r="K3146" s="9">
        <f>(PricingDataTable[[#This Row],[Current Price ($)]]-PricingDataTable[[#This Row],[Prior Price ($)]])/PricingDataTable[[#This Row],[Prior Price ($)]]</f>
        <v>5.2172305091311389E-3</v>
      </c>
      <c r="L3146" s="9">
        <f>(PricingDataTable[[#This Row],[Vendor Price ($)]]-PricingDataTable[[#This Row],[Current Price ($)]])/PricingDataTable[[#This Row],[Current Price ($)]]</f>
        <v>8.4677590075796574E-4</v>
      </c>
      <c r="M3146" t="str">
        <f t="shared" si="98"/>
        <v>PASS</v>
      </c>
      <c r="N3146" s="10" t="str">
        <f t="shared" si="99"/>
        <v>NONE</v>
      </c>
    </row>
    <row r="3147" spans="1:14">
      <c r="A3147" s="4" t="s">
        <v>6310</v>
      </c>
      <c r="B3147" s="4" t="s">
        <v>6311</v>
      </c>
      <c r="C3147" s="4" t="s">
        <v>19</v>
      </c>
      <c r="D3147" s="4" t="s">
        <v>13</v>
      </c>
      <c r="E3147" s="5">
        <v>257.38159999999999</v>
      </c>
      <c r="F3147" s="5">
        <v>253.74369999999999</v>
      </c>
      <c r="G3147" s="5">
        <v>254.41589999999999</v>
      </c>
      <c r="H3147" s="4">
        <v>4</v>
      </c>
      <c r="I3147" s="6">
        <v>704361</v>
      </c>
      <c r="J3147" s="7">
        <v>575.09</v>
      </c>
      <c r="K3147" s="9">
        <f>(PricingDataTable[[#This Row],[Current Price ($)]]-PricingDataTable[[#This Row],[Prior Price ($)]])/PricingDataTable[[#This Row],[Prior Price ($)]]</f>
        <v>-1.4134266008137341E-2</v>
      </c>
      <c r="L3147" s="9">
        <f>(PricingDataTable[[#This Row],[Vendor Price ($)]]-PricingDataTable[[#This Row],[Current Price ($)]])/PricingDataTable[[#This Row],[Current Price ($)]]</f>
        <v>2.6491298109076354E-3</v>
      </c>
      <c r="M3147" t="str">
        <f t="shared" si="98"/>
        <v>STALE</v>
      </c>
      <c r="N3147" s="10" t="str">
        <f t="shared" si="99"/>
        <v>LOW</v>
      </c>
    </row>
    <row r="3148" spans="1:14">
      <c r="A3148" s="4" t="s">
        <v>6312</v>
      </c>
      <c r="B3148" s="4" t="s">
        <v>6313</v>
      </c>
      <c r="C3148" s="4" t="s">
        <v>35</v>
      </c>
      <c r="D3148" s="4" t="s">
        <v>13</v>
      </c>
      <c r="E3148" s="5">
        <v>103.00190000000001</v>
      </c>
      <c r="F3148" s="5">
        <v>102.0919</v>
      </c>
      <c r="G3148" s="5">
        <v>102.2402</v>
      </c>
      <c r="H3148" s="4">
        <v>3</v>
      </c>
      <c r="I3148" s="6">
        <v>2088316</v>
      </c>
      <c r="J3148" s="7">
        <v>256.08</v>
      </c>
      <c r="K3148" s="9">
        <f>(PricingDataTable[[#This Row],[Current Price ($)]]-PricingDataTable[[#This Row],[Prior Price ($)]])/PricingDataTable[[#This Row],[Prior Price ($)]]</f>
        <v>-8.8347884844843707E-3</v>
      </c>
      <c r="L3148" s="9">
        <f>(PricingDataTable[[#This Row],[Vendor Price ($)]]-PricingDataTable[[#This Row],[Current Price ($)]])/PricingDataTable[[#This Row],[Current Price ($)]]</f>
        <v>1.4526127929836363E-3</v>
      </c>
      <c r="M3148" t="str">
        <f t="shared" si="98"/>
        <v>STALE</v>
      </c>
      <c r="N3148" s="10" t="str">
        <f t="shared" si="99"/>
        <v>LOW</v>
      </c>
    </row>
    <row r="3149" spans="1:14">
      <c r="A3149" s="4" t="s">
        <v>6314</v>
      </c>
      <c r="B3149" s="4" t="s">
        <v>6315</v>
      </c>
      <c r="C3149" s="4" t="s">
        <v>35</v>
      </c>
      <c r="D3149" s="4" t="s">
        <v>13</v>
      </c>
      <c r="E3149" s="5">
        <v>127.2821</v>
      </c>
      <c r="F3149" s="5">
        <v>126.4516</v>
      </c>
      <c r="G3149" s="5">
        <v>126.49939999999999</v>
      </c>
      <c r="H3149" s="4">
        <v>0</v>
      </c>
      <c r="I3149" s="6">
        <v>4193426</v>
      </c>
      <c r="J3149" s="7">
        <v>271.42</v>
      </c>
      <c r="K3149" s="9">
        <f>(PricingDataTable[[#This Row],[Current Price ($)]]-PricingDataTable[[#This Row],[Prior Price ($)]])/PricingDataTable[[#This Row],[Prior Price ($)]]</f>
        <v>-6.5248766322994409E-3</v>
      </c>
      <c r="L3149" s="9">
        <f>(PricingDataTable[[#This Row],[Vendor Price ($)]]-PricingDataTable[[#This Row],[Current Price ($)]])/PricingDataTable[[#This Row],[Current Price ($)]]</f>
        <v>3.780102426540683E-4</v>
      </c>
      <c r="M3149" t="str">
        <f t="shared" si="98"/>
        <v>PASS</v>
      </c>
      <c r="N3149" s="10" t="str">
        <f t="shared" si="99"/>
        <v>NONE</v>
      </c>
    </row>
    <row r="3150" spans="1:14">
      <c r="A3150" s="4" t="s">
        <v>6316</v>
      </c>
      <c r="B3150" s="4" t="s">
        <v>6317</v>
      </c>
      <c r="C3150" s="4" t="s">
        <v>19</v>
      </c>
      <c r="D3150" s="4" t="s">
        <v>13</v>
      </c>
      <c r="E3150" s="5">
        <v>257.44380000000001</v>
      </c>
      <c r="F3150" s="5">
        <v>256.76710000000003</v>
      </c>
      <c r="G3150" s="5">
        <v>256.74310000000003</v>
      </c>
      <c r="H3150" s="4">
        <v>0</v>
      </c>
      <c r="I3150" s="6">
        <v>1416920</v>
      </c>
      <c r="J3150" s="7">
        <v>504.22</v>
      </c>
      <c r="K3150" s="9">
        <f>(PricingDataTable[[#This Row],[Current Price ($)]]-PricingDataTable[[#This Row],[Prior Price ($)]])/PricingDataTable[[#This Row],[Prior Price ($)]]</f>
        <v>-2.6285348491592439E-3</v>
      </c>
      <c r="L3150" s="9">
        <f>(PricingDataTable[[#This Row],[Vendor Price ($)]]-PricingDataTable[[#This Row],[Current Price ($)]])/PricingDataTable[[#This Row],[Current Price ($)]]</f>
        <v>-9.3469918848641077E-5</v>
      </c>
      <c r="M3150" t="str">
        <f t="shared" si="98"/>
        <v>PASS</v>
      </c>
      <c r="N3150" s="10" t="str">
        <f t="shared" si="99"/>
        <v>NONE</v>
      </c>
    </row>
    <row r="3151" spans="1:14">
      <c r="A3151" s="4" t="s">
        <v>6318</v>
      </c>
      <c r="B3151" s="4" t="s">
        <v>6319</v>
      </c>
      <c r="C3151" s="4" t="s">
        <v>16</v>
      </c>
      <c r="D3151" s="4" t="s">
        <v>13</v>
      </c>
      <c r="E3151" s="5">
        <v>101.3107</v>
      </c>
      <c r="F3151" s="5">
        <v>101.688</v>
      </c>
      <c r="G3151" s="5">
        <v>101.8261</v>
      </c>
      <c r="H3151" s="4">
        <v>0</v>
      </c>
      <c r="I3151" s="6">
        <v>807792</v>
      </c>
      <c r="J3151" s="7">
        <v>117.74</v>
      </c>
      <c r="K3151" s="9">
        <f>(PricingDataTable[[#This Row],[Current Price ($)]]-PricingDataTable[[#This Row],[Prior Price ($)]])/PricingDataTable[[#This Row],[Prior Price ($)]]</f>
        <v>3.7241870799432373E-3</v>
      </c>
      <c r="L3151" s="9">
        <f>(PricingDataTable[[#This Row],[Vendor Price ($)]]-PricingDataTable[[#This Row],[Current Price ($)]])/PricingDataTable[[#This Row],[Current Price ($)]]</f>
        <v>1.3580756824796863E-3</v>
      </c>
      <c r="M3151" t="str">
        <f t="shared" si="98"/>
        <v>PASS</v>
      </c>
      <c r="N3151" s="10" t="str">
        <f t="shared" si="99"/>
        <v>NONE</v>
      </c>
    </row>
    <row r="3152" spans="1:14">
      <c r="A3152" s="4" t="s">
        <v>6320</v>
      </c>
      <c r="B3152" s="4" t="s">
        <v>6321</v>
      </c>
      <c r="C3152" s="4" t="s">
        <v>16</v>
      </c>
      <c r="D3152" s="4" t="s">
        <v>13</v>
      </c>
      <c r="E3152" s="5">
        <v>88.297600000000003</v>
      </c>
      <c r="F3152" s="5">
        <v>88.278599999999997</v>
      </c>
      <c r="G3152" s="5">
        <v>88.402799999999999</v>
      </c>
      <c r="H3152" s="4">
        <v>0</v>
      </c>
      <c r="I3152" s="6">
        <v>2862152</v>
      </c>
      <c r="J3152" s="7">
        <v>643.58000000000004</v>
      </c>
      <c r="K3152" s="9">
        <f>(PricingDataTable[[#This Row],[Current Price ($)]]-PricingDataTable[[#This Row],[Prior Price ($)]])/PricingDataTable[[#This Row],[Prior Price ($)]]</f>
        <v>-2.151813865836156E-4</v>
      </c>
      <c r="L3152" s="9">
        <f>(PricingDataTable[[#This Row],[Vendor Price ($)]]-PricingDataTable[[#This Row],[Current Price ($)]])/PricingDataTable[[#This Row],[Current Price ($)]]</f>
        <v>1.4069094888229069E-3</v>
      </c>
      <c r="M3152" t="str">
        <f t="shared" si="98"/>
        <v>PASS</v>
      </c>
      <c r="N3152" s="10" t="str">
        <f t="shared" si="99"/>
        <v>NONE</v>
      </c>
    </row>
    <row r="3153" spans="1:14">
      <c r="A3153" s="4" t="s">
        <v>6322</v>
      </c>
      <c r="B3153" s="4" t="s">
        <v>6323</v>
      </c>
      <c r="C3153" s="4" t="s">
        <v>16</v>
      </c>
      <c r="D3153" s="4" t="s">
        <v>13</v>
      </c>
      <c r="E3153" s="5">
        <v>100.8022</v>
      </c>
      <c r="F3153" s="5">
        <v>99.801900000000003</v>
      </c>
      <c r="G3153" s="5">
        <v>100.2452</v>
      </c>
      <c r="H3153" s="4">
        <v>0</v>
      </c>
      <c r="I3153" s="6">
        <v>3117927</v>
      </c>
      <c r="J3153" s="7">
        <v>618.97</v>
      </c>
      <c r="K3153" s="9">
        <f>(PricingDataTable[[#This Row],[Current Price ($)]]-PricingDataTable[[#This Row],[Prior Price ($)]])/PricingDataTable[[#This Row],[Prior Price ($)]]</f>
        <v>-9.923394529087616E-3</v>
      </c>
      <c r="L3153" s="9">
        <f>(PricingDataTable[[#This Row],[Vendor Price ($)]]-PricingDataTable[[#This Row],[Current Price ($)]])/PricingDataTable[[#This Row],[Current Price ($)]]</f>
        <v>4.4417992042235024E-3</v>
      </c>
      <c r="M3153" t="str">
        <f t="shared" si="98"/>
        <v>PASS</v>
      </c>
      <c r="N3153" s="10" t="str">
        <f t="shared" si="99"/>
        <v>NONE</v>
      </c>
    </row>
    <row r="3154" spans="1:14">
      <c r="A3154" s="4" t="s">
        <v>6324</v>
      </c>
      <c r="B3154" s="4" t="s">
        <v>6325</v>
      </c>
      <c r="C3154" s="4" t="s">
        <v>19</v>
      </c>
      <c r="D3154" s="4" t="s">
        <v>13</v>
      </c>
      <c r="E3154" s="5">
        <v>163.3631</v>
      </c>
      <c r="F3154" s="5">
        <v>144.4657</v>
      </c>
      <c r="G3154" s="5">
        <v>143.66800000000001</v>
      </c>
      <c r="H3154" s="4">
        <v>0</v>
      </c>
      <c r="I3154" s="6">
        <v>366248</v>
      </c>
      <c r="J3154" s="7">
        <v>436.33</v>
      </c>
      <c r="K3154" s="9">
        <f>(PricingDataTable[[#This Row],[Current Price ($)]]-PricingDataTable[[#This Row],[Prior Price ($)]])/PricingDataTable[[#This Row],[Prior Price ($)]]</f>
        <v>-0.11567728575180077</v>
      </c>
      <c r="L3154" s="9">
        <f>(PricingDataTable[[#This Row],[Vendor Price ($)]]-PricingDataTable[[#This Row],[Current Price ($)]])/PricingDataTable[[#This Row],[Current Price ($)]]</f>
        <v>-5.5217259183321151E-3</v>
      </c>
      <c r="M3154" t="str">
        <f t="shared" si="98"/>
        <v>LARGE MOVE</v>
      </c>
      <c r="N3154" s="10" t="str">
        <f t="shared" si="99"/>
        <v>HIGH</v>
      </c>
    </row>
    <row r="3155" spans="1:14">
      <c r="A3155" s="4" t="s">
        <v>6326</v>
      </c>
      <c r="B3155" s="4" t="s">
        <v>6327</v>
      </c>
      <c r="C3155" s="4" t="s">
        <v>16</v>
      </c>
      <c r="D3155" s="4" t="s">
        <v>13</v>
      </c>
      <c r="E3155" s="5">
        <v>80.751599999999996</v>
      </c>
      <c r="F3155" s="5">
        <v>80.046999999999997</v>
      </c>
      <c r="G3155" s="5">
        <v>79.995500000000007</v>
      </c>
      <c r="H3155" s="4">
        <v>0</v>
      </c>
      <c r="I3155" s="6">
        <v>2401405</v>
      </c>
      <c r="J3155" s="7">
        <v>486.68</v>
      </c>
      <c r="K3155" s="9">
        <f>(PricingDataTable[[#This Row],[Current Price ($)]]-PricingDataTable[[#This Row],[Prior Price ($)]])/PricingDataTable[[#This Row],[Prior Price ($)]]</f>
        <v>-8.7255237047934569E-3</v>
      </c>
      <c r="L3155" s="9">
        <f>(PricingDataTable[[#This Row],[Vendor Price ($)]]-PricingDataTable[[#This Row],[Current Price ($)]])/PricingDataTable[[#This Row],[Current Price ($)]]</f>
        <v>-6.4337201893874989E-4</v>
      </c>
      <c r="M3155" t="str">
        <f t="shared" si="98"/>
        <v>PASS</v>
      </c>
      <c r="N3155" s="10" t="str">
        <f t="shared" si="99"/>
        <v>NONE</v>
      </c>
    </row>
    <row r="3156" spans="1:14">
      <c r="A3156" s="4" t="s">
        <v>6328</v>
      </c>
      <c r="B3156" s="4" t="s">
        <v>6329</v>
      </c>
      <c r="C3156" s="4" t="s">
        <v>35</v>
      </c>
      <c r="D3156" s="4" t="s">
        <v>13</v>
      </c>
      <c r="E3156" s="5">
        <v>53.0749</v>
      </c>
      <c r="F3156" s="5">
        <v>54.100700000000003</v>
      </c>
      <c r="G3156" s="5">
        <v>54.021999999999998</v>
      </c>
      <c r="H3156" s="4">
        <v>0</v>
      </c>
      <c r="I3156" s="6">
        <v>2084046</v>
      </c>
      <c r="J3156" s="7">
        <v>278.43</v>
      </c>
      <c r="K3156" s="9">
        <f>(PricingDataTable[[#This Row],[Current Price ($)]]-PricingDataTable[[#This Row],[Prior Price ($)]])/PricingDataTable[[#This Row],[Prior Price ($)]]</f>
        <v>1.9327403348852353E-2</v>
      </c>
      <c r="L3156" s="9">
        <f>(PricingDataTable[[#This Row],[Vendor Price ($)]]-PricingDataTable[[#This Row],[Current Price ($)]])/PricingDataTable[[#This Row],[Current Price ($)]]</f>
        <v>-1.4546946712335491E-3</v>
      </c>
      <c r="M3156" t="str">
        <f t="shared" si="98"/>
        <v>PASS</v>
      </c>
      <c r="N3156" s="10" t="str">
        <f t="shared" si="99"/>
        <v>NONE</v>
      </c>
    </row>
    <row r="3157" spans="1:14">
      <c r="A3157" s="4" t="s">
        <v>6330</v>
      </c>
      <c r="B3157" s="4" t="s">
        <v>6331</v>
      </c>
      <c r="C3157" s="4" t="s">
        <v>12</v>
      </c>
      <c r="D3157" s="4" t="s">
        <v>13</v>
      </c>
      <c r="E3157" s="5">
        <v>95.369200000000006</v>
      </c>
      <c r="F3157" s="5">
        <v>95.553399999999996</v>
      </c>
      <c r="G3157" s="5">
        <v>95.431100000000001</v>
      </c>
      <c r="H3157" s="4">
        <v>0</v>
      </c>
      <c r="I3157" s="6">
        <v>3880530</v>
      </c>
      <c r="J3157" s="7">
        <v>777.96</v>
      </c>
      <c r="K3157" s="9">
        <f>(PricingDataTable[[#This Row],[Current Price ($)]]-PricingDataTable[[#This Row],[Prior Price ($)]])/PricingDataTable[[#This Row],[Prior Price ($)]]</f>
        <v>1.9314411780741573E-3</v>
      </c>
      <c r="L3157" s="9">
        <f>(PricingDataTable[[#This Row],[Vendor Price ($)]]-PricingDataTable[[#This Row],[Current Price ($)]])/PricingDataTable[[#This Row],[Current Price ($)]]</f>
        <v>-1.2799125933770608E-3</v>
      </c>
      <c r="M3157" t="str">
        <f t="shared" si="98"/>
        <v>PASS</v>
      </c>
      <c r="N3157" s="10" t="str">
        <f t="shared" si="99"/>
        <v>NONE</v>
      </c>
    </row>
    <row r="3158" spans="1:14">
      <c r="A3158" s="4" t="s">
        <v>6332</v>
      </c>
      <c r="B3158" s="4" t="s">
        <v>6333</v>
      </c>
      <c r="C3158" s="4" t="s">
        <v>12</v>
      </c>
      <c r="D3158" s="4" t="s">
        <v>64</v>
      </c>
      <c r="E3158" s="5">
        <v>100.3222</v>
      </c>
      <c r="F3158" s="5">
        <v>98.673699999999997</v>
      </c>
      <c r="G3158" s="5">
        <v>98.098699999999994</v>
      </c>
      <c r="H3158" s="4">
        <v>0</v>
      </c>
      <c r="I3158" s="6">
        <v>831908</v>
      </c>
      <c r="J3158" s="7">
        <v>121.37</v>
      </c>
      <c r="K3158" s="9">
        <f>(PricingDataTable[[#This Row],[Current Price ($)]]-PricingDataTable[[#This Row],[Prior Price ($)]])/PricingDataTable[[#This Row],[Prior Price ($)]]</f>
        <v>-1.6432055915839152E-2</v>
      </c>
      <c r="L3158" s="9">
        <f>(PricingDataTable[[#This Row],[Vendor Price ($)]]-PricingDataTable[[#This Row],[Current Price ($)]])/PricingDataTable[[#This Row],[Current Price ($)]]</f>
        <v>-5.8272873116139642E-3</v>
      </c>
      <c r="M3158" t="str">
        <f t="shared" si="98"/>
        <v>PASS</v>
      </c>
      <c r="N3158" s="10" t="str">
        <f t="shared" si="99"/>
        <v>NONE</v>
      </c>
    </row>
    <row r="3159" spans="1:14">
      <c r="A3159" s="4" t="s">
        <v>6334</v>
      </c>
      <c r="B3159" s="4" t="s">
        <v>6335</v>
      </c>
      <c r="C3159" s="4" t="s">
        <v>19</v>
      </c>
      <c r="D3159" s="4" t="s">
        <v>13</v>
      </c>
      <c r="E3159" s="5">
        <v>175.52449999999999</v>
      </c>
      <c r="F3159" s="5">
        <v>176.99010000000001</v>
      </c>
      <c r="G3159" s="5"/>
      <c r="H3159" s="4">
        <v>0</v>
      </c>
      <c r="I3159" s="6">
        <v>4955677</v>
      </c>
      <c r="J3159" s="7">
        <v>86.68</v>
      </c>
      <c r="K3159" s="9">
        <f>(PricingDataTable[[#This Row],[Current Price ($)]]-PricingDataTable[[#This Row],[Prior Price ($)]])/PricingDataTable[[#This Row],[Prior Price ($)]]</f>
        <v>8.3498315050037093E-3</v>
      </c>
      <c r="L3159" s="9">
        <f>(PricingDataTable[[#This Row],[Vendor Price ($)]]-PricingDataTable[[#This Row],[Current Price ($)]])/PricingDataTable[[#This Row],[Current Price ($)]]</f>
        <v>-1</v>
      </c>
      <c r="M3159" t="str">
        <f t="shared" si="98"/>
        <v>VENDOR DIFFERENCE</v>
      </c>
      <c r="N3159" s="10" t="str">
        <f t="shared" si="99"/>
        <v>HIGH</v>
      </c>
    </row>
    <row r="3160" spans="1:14">
      <c r="A3160" s="4" t="s">
        <v>6336</v>
      </c>
      <c r="B3160" s="4" t="s">
        <v>6337</v>
      </c>
      <c r="C3160" s="4" t="s">
        <v>19</v>
      </c>
      <c r="D3160" s="4" t="s">
        <v>13</v>
      </c>
      <c r="E3160" s="5">
        <v>330.78879999999998</v>
      </c>
      <c r="F3160" s="5">
        <v>335.62150000000003</v>
      </c>
      <c r="G3160" s="5">
        <v>335.72969999999998</v>
      </c>
      <c r="H3160" s="4">
        <v>1</v>
      </c>
      <c r="I3160" s="6">
        <v>1342960</v>
      </c>
      <c r="J3160" s="7">
        <v>150.08000000000001</v>
      </c>
      <c r="K3160" s="9">
        <f>(PricingDataTable[[#This Row],[Current Price ($)]]-PricingDataTable[[#This Row],[Prior Price ($)]])/PricingDataTable[[#This Row],[Prior Price ($)]]</f>
        <v>1.4609624025964741E-2</v>
      </c>
      <c r="L3160" s="9">
        <f>(PricingDataTable[[#This Row],[Vendor Price ($)]]-PricingDataTable[[#This Row],[Current Price ($)]])/PricingDataTable[[#This Row],[Current Price ($)]]</f>
        <v>3.2238697461263325E-4</v>
      </c>
      <c r="M3160" t="str">
        <f t="shared" si="98"/>
        <v>PASS</v>
      </c>
      <c r="N3160" s="10" t="str">
        <f t="shared" si="99"/>
        <v>NONE</v>
      </c>
    </row>
    <row r="3161" spans="1:14">
      <c r="A3161" s="4" t="s">
        <v>6338</v>
      </c>
      <c r="B3161" s="4" t="s">
        <v>6339</v>
      </c>
      <c r="C3161" s="4" t="s">
        <v>39</v>
      </c>
      <c r="D3161" s="4" t="s">
        <v>13</v>
      </c>
      <c r="E3161" s="5">
        <v>41.137300000000003</v>
      </c>
      <c r="F3161" s="5">
        <v>40.775300000000001</v>
      </c>
      <c r="G3161" s="5">
        <v>40.6935</v>
      </c>
      <c r="H3161" s="4">
        <v>0</v>
      </c>
      <c r="I3161" s="6">
        <v>2113504</v>
      </c>
      <c r="J3161" s="7">
        <v>289.89</v>
      </c>
      <c r="K3161" s="9">
        <f>(PricingDataTable[[#This Row],[Current Price ($)]]-PricingDataTable[[#This Row],[Prior Price ($)]])/PricingDataTable[[#This Row],[Prior Price ($)]]</f>
        <v>-8.7997996951672038E-3</v>
      </c>
      <c r="L3161" s="9">
        <f>(PricingDataTable[[#This Row],[Vendor Price ($)]]-PricingDataTable[[#This Row],[Current Price ($)]])/PricingDataTable[[#This Row],[Current Price ($)]]</f>
        <v>-2.0061164479476842E-3</v>
      </c>
      <c r="M3161" t="str">
        <f t="shared" si="98"/>
        <v>PASS</v>
      </c>
      <c r="N3161" s="10" t="str">
        <f t="shared" si="99"/>
        <v>NONE</v>
      </c>
    </row>
    <row r="3162" spans="1:14">
      <c r="A3162" s="4" t="s">
        <v>6340</v>
      </c>
      <c r="B3162" s="4" t="s">
        <v>6341</v>
      </c>
      <c r="C3162" s="4" t="s">
        <v>16</v>
      </c>
      <c r="D3162" s="4" t="s">
        <v>237</v>
      </c>
      <c r="E3162" s="5">
        <v>101.23399999999999</v>
      </c>
      <c r="F3162" s="5">
        <v>102.0415</v>
      </c>
      <c r="G3162" s="5">
        <v>101.9439</v>
      </c>
      <c r="H3162" s="4">
        <v>0</v>
      </c>
      <c r="I3162" s="6">
        <v>4651842</v>
      </c>
      <c r="J3162" s="7">
        <v>7.53</v>
      </c>
      <c r="K3162" s="9">
        <f>(PricingDataTable[[#This Row],[Current Price ($)]]-PricingDataTable[[#This Row],[Prior Price ($)]])/PricingDataTable[[#This Row],[Prior Price ($)]]</f>
        <v>7.9765691368513005E-3</v>
      </c>
      <c r="L3162" s="9">
        <f>(PricingDataTable[[#This Row],[Vendor Price ($)]]-PricingDataTable[[#This Row],[Current Price ($)]])/PricingDataTable[[#This Row],[Current Price ($)]]</f>
        <v>-9.5647359162693516E-4</v>
      </c>
      <c r="M3162" t="str">
        <f t="shared" si="98"/>
        <v>PASS</v>
      </c>
      <c r="N3162" s="10" t="str">
        <f t="shared" si="99"/>
        <v>NONE</v>
      </c>
    </row>
    <row r="3163" spans="1:14">
      <c r="A3163" s="4" t="s">
        <v>6342</v>
      </c>
      <c r="B3163" s="4" t="s">
        <v>6343</v>
      </c>
      <c r="C3163" s="4" t="s">
        <v>19</v>
      </c>
      <c r="D3163" s="4" t="s">
        <v>64</v>
      </c>
      <c r="E3163" s="5">
        <v>303.14870000000002</v>
      </c>
      <c r="F3163" s="5">
        <v>288.49110000000002</v>
      </c>
      <c r="G3163" s="5">
        <v>287.46210000000002</v>
      </c>
      <c r="H3163" s="4">
        <v>0</v>
      </c>
      <c r="I3163" s="6">
        <v>3333736</v>
      </c>
      <c r="J3163" s="7">
        <v>778.77</v>
      </c>
      <c r="K3163" s="9">
        <f>(PricingDataTable[[#This Row],[Current Price ($)]]-PricingDataTable[[#This Row],[Prior Price ($)]])/PricingDataTable[[#This Row],[Prior Price ($)]]</f>
        <v>-4.8351188707060268E-2</v>
      </c>
      <c r="L3163" s="9">
        <f>(PricingDataTable[[#This Row],[Vendor Price ($)]]-PricingDataTable[[#This Row],[Current Price ($)]])/PricingDataTable[[#This Row],[Current Price ($)]]</f>
        <v>-3.5668344708034193E-3</v>
      </c>
      <c r="M3163" t="str">
        <f t="shared" si="98"/>
        <v>PASS</v>
      </c>
      <c r="N3163" s="10" t="str">
        <f t="shared" si="99"/>
        <v>NONE</v>
      </c>
    </row>
    <row r="3164" spans="1:14">
      <c r="A3164" s="4" t="s">
        <v>6344</v>
      </c>
      <c r="B3164" s="4" t="s">
        <v>6345</v>
      </c>
      <c r="C3164" s="4" t="s">
        <v>12</v>
      </c>
      <c r="D3164" s="4" t="s">
        <v>32</v>
      </c>
      <c r="E3164" s="5">
        <v>107.78230000000001</v>
      </c>
      <c r="F3164" s="5">
        <v>107.49</v>
      </c>
      <c r="G3164" s="5">
        <v>107.4152</v>
      </c>
      <c r="H3164" s="4">
        <v>0</v>
      </c>
      <c r="I3164" s="6">
        <v>525465</v>
      </c>
      <c r="J3164" s="7">
        <v>809.69</v>
      </c>
      <c r="K3164" s="9">
        <f>(PricingDataTable[[#This Row],[Current Price ($)]]-PricingDataTable[[#This Row],[Prior Price ($)]])/PricingDataTable[[#This Row],[Prior Price ($)]]</f>
        <v>-2.7119480656843612E-3</v>
      </c>
      <c r="L3164" s="9">
        <f>(PricingDataTable[[#This Row],[Vendor Price ($)]]-PricingDataTable[[#This Row],[Current Price ($)]])/PricingDataTable[[#This Row],[Current Price ($)]]</f>
        <v>-6.9587868638939631E-4</v>
      </c>
      <c r="M3164" t="str">
        <f t="shared" si="98"/>
        <v>PASS</v>
      </c>
      <c r="N3164" s="10" t="str">
        <f t="shared" si="99"/>
        <v>NONE</v>
      </c>
    </row>
    <row r="3165" spans="1:14">
      <c r="A3165" s="4" t="s">
        <v>6346</v>
      </c>
      <c r="B3165" s="4" t="s">
        <v>6347</v>
      </c>
      <c r="C3165" s="4" t="s">
        <v>39</v>
      </c>
      <c r="D3165" s="4" t="s">
        <v>36</v>
      </c>
      <c r="E3165" s="5">
        <v>78.133399999999995</v>
      </c>
      <c r="F3165" s="5">
        <v>77.856399999999994</v>
      </c>
      <c r="G3165" s="5">
        <v>77.603499999999997</v>
      </c>
      <c r="H3165" s="4">
        <v>0</v>
      </c>
      <c r="I3165" s="6">
        <v>569426</v>
      </c>
      <c r="J3165" s="7">
        <v>877.99</v>
      </c>
      <c r="K3165" s="9">
        <f>(PricingDataTable[[#This Row],[Current Price ($)]]-PricingDataTable[[#This Row],[Prior Price ($)]])/PricingDataTable[[#This Row],[Prior Price ($)]]</f>
        <v>-3.5452188180726944E-3</v>
      </c>
      <c r="L3165" s="9">
        <f>(PricingDataTable[[#This Row],[Vendor Price ($)]]-PricingDataTable[[#This Row],[Current Price ($)]])/PricingDataTable[[#This Row],[Current Price ($)]]</f>
        <v>-3.2482878735723307E-3</v>
      </c>
      <c r="M3165" t="str">
        <f t="shared" si="98"/>
        <v>PASS</v>
      </c>
      <c r="N3165" s="10" t="str">
        <f t="shared" si="99"/>
        <v>NONE</v>
      </c>
    </row>
    <row r="3166" spans="1:14">
      <c r="A3166" s="4" t="s">
        <v>6348</v>
      </c>
      <c r="B3166" s="4" t="s">
        <v>6349</v>
      </c>
      <c r="C3166" s="4" t="s">
        <v>16</v>
      </c>
      <c r="D3166" s="4" t="s">
        <v>64</v>
      </c>
      <c r="E3166" s="5">
        <v>108.9482</v>
      </c>
      <c r="F3166" s="5">
        <v>110.4345</v>
      </c>
      <c r="G3166" s="5">
        <v>110.8201</v>
      </c>
      <c r="H3166" s="4">
        <v>1</v>
      </c>
      <c r="I3166" s="6">
        <v>1298583</v>
      </c>
      <c r="J3166" s="7">
        <v>596.04999999999995</v>
      </c>
      <c r="K3166" s="9">
        <f>(PricingDataTable[[#This Row],[Current Price ($)]]-PricingDataTable[[#This Row],[Prior Price ($)]])/PricingDataTable[[#This Row],[Prior Price ($)]]</f>
        <v>1.3642263020407863E-2</v>
      </c>
      <c r="L3166" s="9">
        <f>(PricingDataTable[[#This Row],[Vendor Price ($)]]-PricingDataTable[[#This Row],[Current Price ($)]])/PricingDataTable[[#This Row],[Current Price ($)]]</f>
        <v>3.4916624786637926E-3</v>
      </c>
      <c r="M3166" t="str">
        <f t="shared" si="98"/>
        <v>PASS</v>
      </c>
      <c r="N3166" s="10" t="str">
        <f t="shared" si="99"/>
        <v>NONE</v>
      </c>
    </row>
    <row r="3167" spans="1:14">
      <c r="A3167" s="4" t="s">
        <v>6350</v>
      </c>
      <c r="B3167" s="4" t="s">
        <v>6351</v>
      </c>
      <c r="C3167" s="4" t="s">
        <v>19</v>
      </c>
      <c r="D3167" s="4" t="s">
        <v>32</v>
      </c>
      <c r="E3167" s="5">
        <v>89.297200000000004</v>
      </c>
      <c r="F3167" s="5">
        <v>87.852400000000003</v>
      </c>
      <c r="G3167" s="5">
        <v>87.646000000000001</v>
      </c>
      <c r="H3167" s="4">
        <v>1</v>
      </c>
      <c r="I3167" s="6">
        <v>2260308</v>
      </c>
      <c r="J3167" s="7">
        <v>554.27</v>
      </c>
      <c r="K3167" s="9">
        <f>(PricingDataTable[[#This Row],[Current Price ($)]]-PricingDataTable[[#This Row],[Prior Price ($)]])/PricingDataTable[[#This Row],[Prior Price ($)]]</f>
        <v>-1.6179678646138968E-2</v>
      </c>
      <c r="L3167" s="9">
        <f>(PricingDataTable[[#This Row],[Vendor Price ($)]]-PricingDataTable[[#This Row],[Current Price ($)]])/PricingDataTable[[#This Row],[Current Price ($)]]</f>
        <v>-2.3493951218179826E-3</v>
      </c>
      <c r="M3167" t="str">
        <f t="shared" si="98"/>
        <v>PASS</v>
      </c>
      <c r="N3167" s="10" t="str">
        <f t="shared" si="99"/>
        <v>NONE</v>
      </c>
    </row>
    <row r="3168" spans="1:14">
      <c r="A3168" s="4" t="s">
        <v>6352</v>
      </c>
      <c r="B3168" s="4" t="s">
        <v>6353</v>
      </c>
      <c r="C3168" s="4" t="s">
        <v>19</v>
      </c>
      <c r="D3168" s="4" t="s">
        <v>13</v>
      </c>
      <c r="E3168" s="5">
        <v>271.767</v>
      </c>
      <c r="F3168" s="5">
        <v>271.59550000000002</v>
      </c>
      <c r="G3168" s="5">
        <v>269.66239999999999</v>
      </c>
      <c r="H3168" s="4">
        <v>0</v>
      </c>
      <c r="I3168" s="6">
        <v>4324985</v>
      </c>
      <c r="J3168" s="7">
        <v>584.58000000000004</v>
      </c>
      <c r="K3168" s="9">
        <f>(PricingDataTable[[#This Row],[Current Price ($)]]-PricingDataTable[[#This Row],[Prior Price ($)]])/PricingDataTable[[#This Row],[Prior Price ($)]]</f>
        <v>-6.3105527897051688E-4</v>
      </c>
      <c r="L3168" s="9">
        <f>(PricingDataTable[[#This Row],[Vendor Price ($)]]-PricingDataTable[[#This Row],[Current Price ($)]])/PricingDataTable[[#This Row],[Current Price ($)]]</f>
        <v>-7.1175700628325006E-3</v>
      </c>
      <c r="M3168" t="str">
        <f t="shared" si="98"/>
        <v>PASS</v>
      </c>
      <c r="N3168" s="10" t="str">
        <f t="shared" si="99"/>
        <v>NONE</v>
      </c>
    </row>
    <row r="3169" spans="1:14">
      <c r="A3169" s="4" t="s">
        <v>6354</v>
      </c>
      <c r="B3169" s="4" t="s">
        <v>6355</v>
      </c>
      <c r="C3169" s="4" t="s">
        <v>12</v>
      </c>
      <c r="D3169" s="4" t="s">
        <v>13</v>
      </c>
      <c r="E3169" s="5">
        <v>115.8021</v>
      </c>
      <c r="F3169" s="5">
        <v>117.0166</v>
      </c>
      <c r="G3169" s="5">
        <v>117.2321</v>
      </c>
      <c r="H3169" s="4">
        <v>0</v>
      </c>
      <c r="I3169" s="6">
        <v>1745464</v>
      </c>
      <c r="J3169" s="7">
        <v>16.89</v>
      </c>
      <c r="K3169" s="9">
        <f>(PricingDataTable[[#This Row],[Current Price ($)]]-PricingDataTable[[#This Row],[Prior Price ($)]])/PricingDataTable[[#This Row],[Prior Price ($)]]</f>
        <v>1.04877199981693E-2</v>
      </c>
      <c r="L3169" s="9">
        <f>(PricingDataTable[[#This Row],[Vendor Price ($)]]-PricingDataTable[[#This Row],[Current Price ($)]])/PricingDataTable[[#This Row],[Current Price ($)]]</f>
        <v>1.8416190523396323E-3</v>
      </c>
      <c r="M3169" t="str">
        <f t="shared" si="98"/>
        <v>PASS</v>
      </c>
      <c r="N3169" s="10" t="str">
        <f t="shared" si="99"/>
        <v>NONE</v>
      </c>
    </row>
    <row r="3170" spans="1:14">
      <c r="A3170" s="4" t="s">
        <v>6356</v>
      </c>
      <c r="B3170" s="4" t="s">
        <v>6357</v>
      </c>
      <c r="C3170" s="4" t="s">
        <v>12</v>
      </c>
      <c r="D3170" s="4" t="s">
        <v>13</v>
      </c>
      <c r="E3170" s="5">
        <v>110.97880000000001</v>
      </c>
      <c r="F3170" s="5">
        <v>109.1759</v>
      </c>
      <c r="G3170" s="5">
        <v>108.8476</v>
      </c>
      <c r="H3170" s="4">
        <v>2</v>
      </c>
      <c r="I3170" s="6">
        <v>3596323</v>
      </c>
      <c r="J3170" s="7">
        <v>421.32</v>
      </c>
      <c r="K3170" s="9">
        <f>(PricingDataTable[[#This Row],[Current Price ($)]]-PricingDataTable[[#This Row],[Prior Price ($)]])/PricingDataTable[[#This Row],[Prior Price ($)]]</f>
        <v>-1.6245445075996571E-2</v>
      </c>
      <c r="L3170" s="9">
        <f>(PricingDataTable[[#This Row],[Vendor Price ($)]]-PricingDataTable[[#This Row],[Current Price ($)]])/PricingDataTable[[#This Row],[Current Price ($)]]</f>
        <v>-3.0070739055047743E-3</v>
      </c>
      <c r="M3170" t="str">
        <f t="shared" si="98"/>
        <v>PASS</v>
      </c>
      <c r="N3170" s="10" t="str">
        <f t="shared" si="99"/>
        <v>NONE</v>
      </c>
    </row>
    <row r="3171" spans="1:14">
      <c r="A3171" s="4" t="s">
        <v>6358</v>
      </c>
      <c r="B3171" s="4" t="s">
        <v>6359</v>
      </c>
      <c r="C3171" s="4" t="s">
        <v>12</v>
      </c>
      <c r="D3171" s="4" t="s">
        <v>13</v>
      </c>
      <c r="E3171" s="5">
        <v>104.7899</v>
      </c>
      <c r="F3171" s="5">
        <v>106.2936</v>
      </c>
      <c r="G3171" s="5">
        <v>106.0727</v>
      </c>
      <c r="H3171" s="4">
        <v>0</v>
      </c>
      <c r="I3171" s="6">
        <v>596868</v>
      </c>
      <c r="J3171" s="7">
        <v>506.27</v>
      </c>
      <c r="K3171" s="9">
        <f>(PricingDataTable[[#This Row],[Current Price ($)]]-PricingDataTable[[#This Row],[Prior Price ($)]])/PricingDataTable[[#This Row],[Prior Price ($)]]</f>
        <v>1.4349665378056424E-2</v>
      </c>
      <c r="L3171" s="9">
        <f>(PricingDataTable[[#This Row],[Vendor Price ($)]]-PricingDataTable[[#This Row],[Current Price ($)]])/PricingDataTable[[#This Row],[Current Price ($)]]</f>
        <v>-2.0782060255744497E-3</v>
      </c>
      <c r="M3171" t="str">
        <f t="shared" si="98"/>
        <v>PASS</v>
      </c>
      <c r="N3171" s="10" t="str">
        <f t="shared" si="99"/>
        <v>NONE</v>
      </c>
    </row>
    <row r="3172" spans="1:14">
      <c r="A3172" s="4" t="s">
        <v>6360</v>
      </c>
      <c r="B3172" s="4" t="s">
        <v>6361</v>
      </c>
      <c r="C3172" s="4" t="s">
        <v>16</v>
      </c>
      <c r="D3172" s="4" t="s">
        <v>13</v>
      </c>
      <c r="E3172" s="5">
        <v>88.978099999999998</v>
      </c>
      <c r="F3172" s="5">
        <v>89.165199999999999</v>
      </c>
      <c r="G3172" s="5">
        <v>88.943799999999996</v>
      </c>
      <c r="H3172" s="4">
        <v>0</v>
      </c>
      <c r="I3172" s="6">
        <v>1463220</v>
      </c>
      <c r="J3172" s="7">
        <v>378.92</v>
      </c>
      <c r="K3172" s="9">
        <f>(PricingDataTable[[#This Row],[Current Price ($)]]-PricingDataTable[[#This Row],[Prior Price ($)]])/PricingDataTable[[#This Row],[Prior Price ($)]]</f>
        <v>2.1027646128654234E-3</v>
      </c>
      <c r="L3172" s="9">
        <f>(PricingDataTable[[#This Row],[Vendor Price ($)]]-PricingDataTable[[#This Row],[Current Price ($)]])/PricingDataTable[[#This Row],[Current Price ($)]]</f>
        <v>-2.4830314965928716E-3</v>
      </c>
      <c r="M3172" t="str">
        <f t="shared" si="98"/>
        <v>PASS</v>
      </c>
      <c r="N3172" s="10" t="str">
        <f t="shared" si="99"/>
        <v>NONE</v>
      </c>
    </row>
    <row r="3173" spans="1:14">
      <c r="A3173" s="4" t="s">
        <v>6362</v>
      </c>
      <c r="B3173" s="4" t="s">
        <v>6363</v>
      </c>
      <c r="C3173" s="4" t="s">
        <v>35</v>
      </c>
      <c r="D3173" s="4" t="s">
        <v>13</v>
      </c>
      <c r="E3173" s="5">
        <v>98.131799999999998</v>
      </c>
      <c r="F3173" s="5">
        <v>100.5586</v>
      </c>
      <c r="G3173" s="5">
        <v>100.6456</v>
      </c>
      <c r="H3173" s="4">
        <v>1</v>
      </c>
      <c r="I3173" s="6">
        <v>2983089</v>
      </c>
      <c r="J3173" s="7">
        <v>411.26</v>
      </c>
      <c r="K3173" s="9">
        <f>(PricingDataTable[[#This Row],[Current Price ($)]]-PricingDataTable[[#This Row],[Prior Price ($)]])/PricingDataTable[[#This Row],[Prior Price ($)]]</f>
        <v>2.4730005971560699E-2</v>
      </c>
      <c r="L3173" s="9">
        <f>(PricingDataTable[[#This Row],[Vendor Price ($)]]-PricingDataTable[[#This Row],[Current Price ($)]])/PricingDataTable[[#This Row],[Current Price ($)]]</f>
        <v>8.6516717615403658E-4</v>
      </c>
      <c r="M3173" t="str">
        <f t="shared" si="98"/>
        <v>PASS</v>
      </c>
      <c r="N3173" s="10" t="str">
        <f t="shared" si="99"/>
        <v>NONE</v>
      </c>
    </row>
    <row r="3174" spans="1:14">
      <c r="A3174" s="4" t="s">
        <v>6364</v>
      </c>
      <c r="B3174" s="4" t="s">
        <v>6365</v>
      </c>
      <c r="C3174" s="4" t="s">
        <v>16</v>
      </c>
      <c r="D3174" s="4" t="s">
        <v>13</v>
      </c>
      <c r="E3174" s="5">
        <v>118.2032</v>
      </c>
      <c r="F3174" s="5">
        <v>120.2282</v>
      </c>
      <c r="G3174" s="5">
        <v>120.11109999999999</v>
      </c>
      <c r="H3174" s="4">
        <v>1</v>
      </c>
      <c r="I3174" s="6">
        <v>2770715</v>
      </c>
      <c r="J3174" s="7">
        <v>309.58999999999997</v>
      </c>
      <c r="K3174" s="9">
        <f>(PricingDataTable[[#This Row],[Current Price ($)]]-PricingDataTable[[#This Row],[Prior Price ($)]])/PricingDataTable[[#This Row],[Prior Price ($)]]</f>
        <v>1.7131515898046804E-2</v>
      </c>
      <c r="L3174" s="9">
        <f>(PricingDataTable[[#This Row],[Vendor Price ($)]]-PricingDataTable[[#This Row],[Current Price ($)]])/PricingDataTable[[#This Row],[Current Price ($)]]</f>
        <v>-9.7398114585436489E-4</v>
      </c>
      <c r="M3174" t="str">
        <f t="shared" si="98"/>
        <v>PASS</v>
      </c>
      <c r="N3174" s="10" t="str">
        <f t="shared" si="99"/>
        <v>NONE</v>
      </c>
    </row>
    <row r="3175" spans="1:14">
      <c r="A3175" s="4" t="s">
        <v>6366</v>
      </c>
      <c r="B3175" s="4" t="s">
        <v>6367</v>
      </c>
      <c r="C3175" s="4" t="s">
        <v>39</v>
      </c>
      <c r="D3175" s="4" t="s">
        <v>13</v>
      </c>
      <c r="E3175" s="5">
        <v>16.376000000000001</v>
      </c>
      <c r="F3175" s="5">
        <v>16.316600000000001</v>
      </c>
      <c r="G3175" s="5">
        <v>16.280799999999999</v>
      </c>
      <c r="H3175" s="4">
        <v>0</v>
      </c>
      <c r="I3175" s="6">
        <v>933977</v>
      </c>
      <c r="J3175" s="7">
        <v>115.12</v>
      </c>
      <c r="K3175" s="9">
        <f>(PricingDataTable[[#This Row],[Current Price ($)]]-PricingDataTable[[#This Row],[Prior Price ($)]])/PricingDataTable[[#This Row],[Prior Price ($)]]</f>
        <v>-3.6272594040058694E-3</v>
      </c>
      <c r="L3175" s="9">
        <f>(PricingDataTable[[#This Row],[Vendor Price ($)]]-PricingDataTable[[#This Row],[Current Price ($)]])/PricingDataTable[[#This Row],[Current Price ($)]]</f>
        <v>-2.1940845519288227E-3</v>
      </c>
      <c r="M3175" t="str">
        <f t="shared" si="98"/>
        <v>PASS</v>
      </c>
      <c r="N3175" s="10" t="str">
        <f t="shared" si="99"/>
        <v>NONE</v>
      </c>
    </row>
    <row r="3176" spans="1:14">
      <c r="A3176" s="4" t="s">
        <v>6368</v>
      </c>
      <c r="B3176" s="4" t="s">
        <v>6369</v>
      </c>
      <c r="C3176" s="4" t="s">
        <v>39</v>
      </c>
      <c r="D3176" s="4" t="s">
        <v>13</v>
      </c>
      <c r="E3176" s="5">
        <v>72.033600000000007</v>
      </c>
      <c r="F3176" s="5">
        <v>70.263999999999996</v>
      </c>
      <c r="G3176" s="5">
        <v>69.8553</v>
      </c>
      <c r="H3176" s="4">
        <v>0</v>
      </c>
      <c r="I3176" s="6">
        <v>974826</v>
      </c>
      <c r="J3176" s="7">
        <v>515.02</v>
      </c>
      <c r="K3176" s="9">
        <f>(PricingDataTable[[#This Row],[Current Price ($)]]-PricingDataTable[[#This Row],[Prior Price ($)]])/PricingDataTable[[#This Row],[Prior Price ($)]]</f>
        <v>-2.4566313498145462E-2</v>
      </c>
      <c r="L3176" s="9">
        <f>(PricingDataTable[[#This Row],[Vendor Price ($)]]-PricingDataTable[[#This Row],[Current Price ($)]])/PricingDataTable[[#This Row],[Current Price ($)]]</f>
        <v>-5.8166344073778331E-3</v>
      </c>
      <c r="M3176" t="str">
        <f t="shared" si="98"/>
        <v>PASS</v>
      </c>
      <c r="N3176" s="10" t="str">
        <f t="shared" si="99"/>
        <v>NONE</v>
      </c>
    </row>
    <row r="3177" spans="1:14">
      <c r="A3177" s="4" t="s">
        <v>6370</v>
      </c>
      <c r="B3177" s="4" t="s">
        <v>6371</v>
      </c>
      <c r="C3177" s="4" t="s">
        <v>35</v>
      </c>
      <c r="D3177" s="4" t="s">
        <v>13</v>
      </c>
      <c r="E3177" s="5">
        <v>26.738499999999998</v>
      </c>
      <c r="F3177" s="5">
        <v>26.5471</v>
      </c>
      <c r="G3177" s="5">
        <v>26.416699999999999</v>
      </c>
      <c r="H3177" s="4">
        <v>1</v>
      </c>
      <c r="I3177" s="6">
        <v>1337604</v>
      </c>
      <c r="J3177" s="7">
        <v>753.91</v>
      </c>
      <c r="K3177" s="9">
        <f>(PricingDataTable[[#This Row],[Current Price ($)]]-PricingDataTable[[#This Row],[Prior Price ($)]])/PricingDataTable[[#This Row],[Prior Price ($)]]</f>
        <v>-7.1582175514706518E-3</v>
      </c>
      <c r="L3177" s="9">
        <f>(PricingDataTable[[#This Row],[Vendor Price ($)]]-PricingDataTable[[#This Row],[Current Price ($)]])/PricingDataTable[[#This Row],[Current Price ($)]]</f>
        <v>-4.9120242889054404E-3</v>
      </c>
      <c r="M3177" t="str">
        <f t="shared" si="98"/>
        <v>PASS</v>
      </c>
      <c r="N3177" s="10" t="str">
        <f t="shared" si="99"/>
        <v>NONE</v>
      </c>
    </row>
    <row r="3178" spans="1:14">
      <c r="A3178" s="4" t="s">
        <v>6372</v>
      </c>
      <c r="B3178" s="4" t="s">
        <v>6373</v>
      </c>
      <c r="C3178" s="4" t="s">
        <v>16</v>
      </c>
      <c r="D3178" s="4" t="s">
        <v>13</v>
      </c>
      <c r="E3178" s="5">
        <v>87.140799999999999</v>
      </c>
      <c r="F3178" s="5">
        <v>87.420900000000003</v>
      </c>
      <c r="G3178" s="5">
        <v>87.368499999999997</v>
      </c>
      <c r="H3178" s="4">
        <v>0</v>
      </c>
      <c r="I3178" s="6">
        <v>793643</v>
      </c>
      <c r="J3178" s="7">
        <v>772.82</v>
      </c>
      <c r="K3178" s="9">
        <f>(PricingDataTable[[#This Row],[Current Price ($)]]-PricingDataTable[[#This Row],[Prior Price ($)]])/PricingDataTable[[#This Row],[Prior Price ($)]]</f>
        <v>3.2143381745405649E-3</v>
      </c>
      <c r="L3178" s="9">
        <f>(PricingDataTable[[#This Row],[Vendor Price ($)]]-PricingDataTable[[#This Row],[Current Price ($)]])/PricingDataTable[[#This Row],[Current Price ($)]]</f>
        <v>-5.9939899955280458E-4</v>
      </c>
      <c r="M3178" t="str">
        <f t="shared" si="98"/>
        <v>PASS</v>
      </c>
      <c r="N3178" s="10" t="str">
        <f t="shared" si="99"/>
        <v>NONE</v>
      </c>
    </row>
    <row r="3179" spans="1:14">
      <c r="A3179" s="4" t="s">
        <v>6374</v>
      </c>
      <c r="B3179" s="4" t="s">
        <v>6375</v>
      </c>
      <c r="C3179" s="4" t="s">
        <v>19</v>
      </c>
      <c r="D3179" s="4" t="s">
        <v>13</v>
      </c>
      <c r="E3179" s="5">
        <v>150.80869999999999</v>
      </c>
      <c r="F3179" s="5">
        <v>150.59399999999999</v>
      </c>
      <c r="G3179" s="5">
        <v>151.09280000000001</v>
      </c>
      <c r="H3179" s="4">
        <v>0</v>
      </c>
      <c r="I3179" s="6">
        <v>1130229</v>
      </c>
      <c r="J3179" s="7">
        <v>41.19</v>
      </c>
      <c r="K3179" s="9">
        <f>(PricingDataTable[[#This Row],[Current Price ($)]]-PricingDataTable[[#This Row],[Prior Price ($)]])/PricingDataTable[[#This Row],[Prior Price ($)]]</f>
        <v>-1.4236579189396464E-3</v>
      </c>
      <c r="L3179" s="9">
        <f>(PricingDataTable[[#This Row],[Vendor Price ($)]]-PricingDataTable[[#This Row],[Current Price ($)]])/PricingDataTable[[#This Row],[Current Price ($)]]</f>
        <v>3.3122169541948353E-3</v>
      </c>
      <c r="M3179" t="str">
        <f t="shared" si="98"/>
        <v>PASS</v>
      </c>
      <c r="N3179" s="10" t="str">
        <f t="shared" si="99"/>
        <v>NONE</v>
      </c>
    </row>
    <row r="3180" spans="1:14">
      <c r="A3180" s="4" t="s">
        <v>6376</v>
      </c>
      <c r="B3180" s="4" t="s">
        <v>6377</v>
      </c>
      <c r="C3180" s="4" t="s">
        <v>19</v>
      </c>
      <c r="D3180" s="4" t="s">
        <v>13</v>
      </c>
      <c r="E3180" s="5">
        <v>304.83679999999998</v>
      </c>
      <c r="F3180" s="5">
        <v>301.51220000000001</v>
      </c>
      <c r="G3180" s="5">
        <v>301.63319999999999</v>
      </c>
      <c r="H3180" s="4">
        <v>1</v>
      </c>
      <c r="I3180" s="6">
        <v>1571637</v>
      </c>
      <c r="J3180" s="7">
        <v>837.7</v>
      </c>
      <c r="K3180" s="9">
        <f>(PricingDataTable[[#This Row],[Current Price ($)]]-PricingDataTable[[#This Row],[Prior Price ($)]])/PricingDataTable[[#This Row],[Prior Price ($)]]</f>
        <v>-1.0906163560304974E-2</v>
      </c>
      <c r="L3180" s="9">
        <f>(PricingDataTable[[#This Row],[Vendor Price ($)]]-PricingDataTable[[#This Row],[Current Price ($)]])/PricingDataTable[[#This Row],[Current Price ($)]]</f>
        <v>4.0131046106917366E-4</v>
      </c>
      <c r="M3180" t="str">
        <f t="shared" si="98"/>
        <v>PASS</v>
      </c>
      <c r="N3180" s="10" t="str">
        <f t="shared" si="99"/>
        <v>NONE</v>
      </c>
    </row>
    <row r="3181" spans="1:14">
      <c r="A3181" s="4" t="s">
        <v>6378</v>
      </c>
      <c r="B3181" s="4" t="s">
        <v>6379</v>
      </c>
      <c r="C3181" s="4" t="s">
        <v>19</v>
      </c>
      <c r="D3181" s="4" t="s">
        <v>13</v>
      </c>
      <c r="E3181" s="5">
        <v>256.86239999999998</v>
      </c>
      <c r="F3181" s="5">
        <v>255.27719999999999</v>
      </c>
      <c r="G3181" s="5">
        <v>255.84100000000001</v>
      </c>
      <c r="H3181" s="4">
        <v>0</v>
      </c>
      <c r="I3181" s="6">
        <v>3576213</v>
      </c>
      <c r="J3181" s="7">
        <v>686.03</v>
      </c>
      <c r="K3181" s="9">
        <f>(PricingDataTable[[#This Row],[Current Price ($)]]-PricingDataTable[[#This Row],[Prior Price ($)]])/PricingDataTable[[#This Row],[Prior Price ($)]]</f>
        <v>-6.1713976043203918E-3</v>
      </c>
      <c r="L3181" s="9">
        <f>(PricingDataTable[[#This Row],[Vendor Price ($)]]-PricingDataTable[[#This Row],[Current Price ($)]])/PricingDataTable[[#This Row],[Current Price ($)]]</f>
        <v>2.2085795362845359E-3</v>
      </c>
      <c r="M3181" t="str">
        <f t="shared" si="98"/>
        <v>PASS</v>
      </c>
      <c r="N3181" s="10" t="str">
        <f t="shared" si="99"/>
        <v>NONE</v>
      </c>
    </row>
    <row r="3182" spans="1:14">
      <c r="A3182" s="4" t="s">
        <v>6380</v>
      </c>
      <c r="B3182" s="4" t="s">
        <v>6381</v>
      </c>
      <c r="C3182" s="4" t="s">
        <v>16</v>
      </c>
      <c r="D3182" s="4" t="s">
        <v>13</v>
      </c>
      <c r="E3182" s="5">
        <v>95.0428</v>
      </c>
      <c r="F3182" s="5">
        <v>96.004999999999995</v>
      </c>
      <c r="G3182" s="5">
        <v>95.761399999999995</v>
      </c>
      <c r="H3182" s="4">
        <v>0</v>
      </c>
      <c r="I3182" s="6">
        <v>2224142</v>
      </c>
      <c r="J3182" s="7">
        <v>306.64999999999998</v>
      </c>
      <c r="K3182" s="9">
        <f>(PricingDataTable[[#This Row],[Current Price ($)]]-PricingDataTable[[#This Row],[Prior Price ($)]])/PricingDataTable[[#This Row],[Prior Price ($)]]</f>
        <v>1.0123859987289891E-2</v>
      </c>
      <c r="L3182" s="9">
        <f>(PricingDataTable[[#This Row],[Vendor Price ($)]]-PricingDataTable[[#This Row],[Current Price ($)]])/PricingDataTable[[#This Row],[Current Price ($)]]</f>
        <v>-2.537367845424725E-3</v>
      </c>
      <c r="M3182" t="str">
        <f t="shared" si="98"/>
        <v>PASS</v>
      </c>
      <c r="N3182" s="10" t="str">
        <f t="shared" si="99"/>
        <v>NONE</v>
      </c>
    </row>
    <row r="3183" spans="1:14">
      <c r="A3183" s="4" t="s">
        <v>6382</v>
      </c>
      <c r="B3183" s="4" t="s">
        <v>6383</v>
      </c>
      <c r="C3183" s="4" t="s">
        <v>19</v>
      </c>
      <c r="D3183" s="4" t="s">
        <v>13</v>
      </c>
      <c r="E3183" s="5">
        <v>127.3997</v>
      </c>
      <c r="F3183" s="5">
        <v>125.5301</v>
      </c>
      <c r="G3183" s="5">
        <v>125.25790000000001</v>
      </c>
      <c r="H3183" s="4">
        <v>0</v>
      </c>
      <c r="I3183" s="6">
        <v>2612946</v>
      </c>
      <c r="J3183" s="7">
        <v>334.82</v>
      </c>
      <c r="K3183" s="9">
        <f>(PricingDataTable[[#This Row],[Current Price ($)]]-PricingDataTable[[#This Row],[Prior Price ($)]])/PricingDataTable[[#This Row],[Prior Price ($)]]</f>
        <v>-1.4675073803156455E-2</v>
      </c>
      <c r="L3183" s="9">
        <f>(PricingDataTable[[#This Row],[Vendor Price ($)]]-PricingDataTable[[#This Row],[Current Price ($)]])/PricingDataTable[[#This Row],[Current Price ($)]]</f>
        <v>-2.1684042313357354E-3</v>
      </c>
      <c r="M3183" t="str">
        <f t="shared" si="98"/>
        <v>PASS</v>
      </c>
      <c r="N3183" s="10" t="str">
        <f t="shared" si="99"/>
        <v>NONE</v>
      </c>
    </row>
    <row r="3184" spans="1:14">
      <c r="A3184" s="4" t="s">
        <v>6384</v>
      </c>
      <c r="B3184" s="4" t="s">
        <v>6385</v>
      </c>
      <c r="C3184" s="4" t="s">
        <v>19</v>
      </c>
      <c r="D3184" s="4" t="s">
        <v>13</v>
      </c>
      <c r="E3184" s="5">
        <v>21.807200000000002</v>
      </c>
      <c r="F3184" s="5">
        <v>21.619</v>
      </c>
      <c r="G3184" s="5">
        <v>21.583600000000001</v>
      </c>
      <c r="H3184" s="4">
        <v>0</v>
      </c>
      <c r="I3184" s="6">
        <v>4487370</v>
      </c>
      <c r="J3184" s="7">
        <v>580.52</v>
      </c>
      <c r="K3184" s="9">
        <f>(PricingDataTable[[#This Row],[Current Price ($)]]-PricingDataTable[[#This Row],[Prior Price ($)]])/PricingDataTable[[#This Row],[Prior Price ($)]]</f>
        <v>-8.6301771891853108E-3</v>
      </c>
      <c r="L3184" s="9">
        <f>(PricingDataTable[[#This Row],[Vendor Price ($)]]-PricingDataTable[[#This Row],[Current Price ($)]])/PricingDataTable[[#This Row],[Current Price ($)]]</f>
        <v>-1.6374485406355156E-3</v>
      </c>
      <c r="M3184" t="str">
        <f t="shared" si="98"/>
        <v>PASS</v>
      </c>
      <c r="N3184" s="10" t="str">
        <f t="shared" si="99"/>
        <v>NONE</v>
      </c>
    </row>
    <row r="3185" spans="1:14">
      <c r="A3185" s="4" t="s">
        <v>6386</v>
      </c>
      <c r="B3185" s="4" t="s">
        <v>6387</v>
      </c>
      <c r="C3185" s="4" t="s">
        <v>19</v>
      </c>
      <c r="D3185" s="4" t="s">
        <v>13</v>
      </c>
      <c r="E3185" s="5">
        <v>63.927999999999997</v>
      </c>
      <c r="F3185" s="5">
        <v>62.309699999999999</v>
      </c>
      <c r="G3185" s="5">
        <v>62.109200000000001</v>
      </c>
      <c r="H3185" s="4">
        <v>3</v>
      </c>
      <c r="I3185" s="6">
        <v>3861979</v>
      </c>
      <c r="J3185" s="7">
        <v>762.46</v>
      </c>
      <c r="K3185" s="9">
        <f>(PricingDataTable[[#This Row],[Current Price ($)]]-PricingDataTable[[#This Row],[Prior Price ($)]])/PricingDataTable[[#This Row],[Prior Price ($)]]</f>
        <v>-2.5314416218245494E-2</v>
      </c>
      <c r="L3185" s="9">
        <f>(PricingDataTable[[#This Row],[Vendor Price ($)]]-PricingDataTable[[#This Row],[Current Price ($)]])/PricingDataTable[[#This Row],[Current Price ($)]]</f>
        <v>-3.2177975499801496E-3</v>
      </c>
      <c r="M3185" t="str">
        <f t="shared" si="98"/>
        <v>STALE</v>
      </c>
      <c r="N3185" s="10" t="str">
        <f t="shared" si="99"/>
        <v>LOW</v>
      </c>
    </row>
    <row r="3186" spans="1:14">
      <c r="A3186" s="4" t="s">
        <v>6388</v>
      </c>
      <c r="B3186" s="4" t="s">
        <v>6389</v>
      </c>
      <c r="C3186" s="4" t="s">
        <v>19</v>
      </c>
      <c r="D3186" s="4" t="s">
        <v>13</v>
      </c>
      <c r="E3186" s="5">
        <v>44.917000000000002</v>
      </c>
      <c r="F3186" s="5">
        <v>44.715000000000003</v>
      </c>
      <c r="G3186" s="5">
        <v>44.5792</v>
      </c>
      <c r="H3186" s="4">
        <v>1</v>
      </c>
      <c r="I3186" s="6">
        <v>4577018</v>
      </c>
      <c r="J3186" s="7">
        <v>561.41999999999996</v>
      </c>
      <c r="K3186" s="9">
        <f>(PricingDataTable[[#This Row],[Current Price ($)]]-PricingDataTable[[#This Row],[Prior Price ($)]])/PricingDataTable[[#This Row],[Prior Price ($)]]</f>
        <v>-4.4971836943695741E-3</v>
      </c>
      <c r="L3186" s="9">
        <f>(PricingDataTable[[#This Row],[Vendor Price ($)]]-PricingDataTable[[#This Row],[Current Price ($)]])/PricingDataTable[[#This Row],[Current Price ($)]]</f>
        <v>-3.0370121883037736E-3</v>
      </c>
      <c r="M3186" t="str">
        <f t="shared" si="98"/>
        <v>PASS</v>
      </c>
      <c r="N3186" s="10" t="str">
        <f t="shared" si="99"/>
        <v>NONE</v>
      </c>
    </row>
    <row r="3187" spans="1:14">
      <c r="A3187" s="4" t="s">
        <v>6390</v>
      </c>
      <c r="B3187" s="4" t="s">
        <v>6391</v>
      </c>
      <c r="C3187" s="4" t="s">
        <v>16</v>
      </c>
      <c r="D3187" s="4" t="s">
        <v>13</v>
      </c>
      <c r="E3187" s="5">
        <v>96.924499999999995</v>
      </c>
      <c r="F3187" s="5">
        <v>97.751000000000005</v>
      </c>
      <c r="G3187" s="5">
        <v>97.744100000000003</v>
      </c>
      <c r="H3187" s="4">
        <v>0</v>
      </c>
      <c r="I3187" s="6">
        <v>2565955</v>
      </c>
      <c r="J3187" s="7">
        <v>698.04</v>
      </c>
      <c r="K3187" s="9">
        <f>(PricingDataTable[[#This Row],[Current Price ($)]]-PricingDataTable[[#This Row],[Prior Price ($)]])/PricingDataTable[[#This Row],[Prior Price ($)]]</f>
        <v>8.5272557506101149E-3</v>
      </c>
      <c r="L3187" s="9">
        <f>(PricingDataTable[[#This Row],[Vendor Price ($)]]-PricingDataTable[[#This Row],[Current Price ($)]])/PricingDataTable[[#This Row],[Current Price ($)]]</f>
        <v>-7.058751317123796E-5</v>
      </c>
      <c r="M3187" t="str">
        <f t="shared" si="98"/>
        <v>PASS</v>
      </c>
      <c r="N3187" s="10" t="str">
        <f t="shared" si="99"/>
        <v>NONE</v>
      </c>
    </row>
    <row r="3188" spans="1:14">
      <c r="A3188" s="4" t="s">
        <v>6392</v>
      </c>
      <c r="B3188" s="4" t="s">
        <v>6393</v>
      </c>
      <c r="C3188" s="4" t="s">
        <v>16</v>
      </c>
      <c r="D3188" s="4" t="s">
        <v>13</v>
      </c>
      <c r="E3188" s="5">
        <v>100.2822</v>
      </c>
      <c r="F3188" s="5">
        <v>101.76519999999999</v>
      </c>
      <c r="G3188" s="5">
        <v>101.97669999999999</v>
      </c>
      <c r="H3188" s="4">
        <v>0</v>
      </c>
      <c r="I3188" s="6">
        <v>2655071</v>
      </c>
      <c r="J3188" s="7">
        <v>471.25</v>
      </c>
      <c r="K3188" s="9">
        <f>(PricingDataTable[[#This Row],[Current Price ($)]]-PricingDataTable[[#This Row],[Prior Price ($)]])/PricingDataTable[[#This Row],[Prior Price ($)]]</f>
        <v>1.4788267509089249E-2</v>
      </c>
      <c r="L3188" s="9">
        <f>(PricingDataTable[[#This Row],[Vendor Price ($)]]-PricingDataTable[[#This Row],[Current Price ($)]])/PricingDataTable[[#This Row],[Current Price ($)]]</f>
        <v>2.0783136081882697E-3</v>
      </c>
      <c r="M3188" t="str">
        <f t="shared" si="98"/>
        <v>PASS</v>
      </c>
      <c r="N3188" s="10" t="str">
        <f t="shared" si="99"/>
        <v>NONE</v>
      </c>
    </row>
    <row r="3189" spans="1:14">
      <c r="A3189" s="4" t="s">
        <v>6394</v>
      </c>
      <c r="B3189" s="4" t="s">
        <v>6395</v>
      </c>
      <c r="C3189" s="4" t="s">
        <v>19</v>
      </c>
      <c r="D3189" s="4" t="s">
        <v>13</v>
      </c>
      <c r="E3189" s="5">
        <v>219.46260000000001</v>
      </c>
      <c r="F3189" s="5">
        <v>218.4213</v>
      </c>
      <c r="G3189" s="5">
        <v>218.1294</v>
      </c>
      <c r="H3189" s="4">
        <v>1</v>
      </c>
      <c r="I3189" s="6">
        <v>233347</v>
      </c>
      <c r="J3189" s="7">
        <v>773.61</v>
      </c>
      <c r="K3189" s="9">
        <f>(PricingDataTable[[#This Row],[Current Price ($)]]-PricingDataTable[[#This Row],[Prior Price ($)]])/PricingDataTable[[#This Row],[Prior Price ($)]]</f>
        <v>-4.7447720021543838E-3</v>
      </c>
      <c r="L3189" s="9">
        <f>(PricingDataTable[[#This Row],[Vendor Price ($)]]-PricingDataTable[[#This Row],[Current Price ($)]])/PricingDataTable[[#This Row],[Current Price ($)]]</f>
        <v>-1.3364081250317541E-3</v>
      </c>
      <c r="M3189" t="str">
        <f t="shared" si="98"/>
        <v>PASS</v>
      </c>
      <c r="N3189" s="10" t="str">
        <f t="shared" si="99"/>
        <v>NONE</v>
      </c>
    </row>
    <row r="3190" spans="1:14">
      <c r="A3190" s="4" t="s">
        <v>6396</v>
      </c>
      <c r="B3190" s="4" t="s">
        <v>6397</v>
      </c>
      <c r="C3190" s="4" t="s">
        <v>19</v>
      </c>
      <c r="D3190" s="4" t="s">
        <v>13</v>
      </c>
      <c r="E3190" s="5">
        <v>134.71420000000001</v>
      </c>
      <c r="F3190" s="5">
        <v>134.09989999999999</v>
      </c>
      <c r="G3190" s="5">
        <v>133.65870000000001</v>
      </c>
      <c r="H3190" s="4">
        <v>5</v>
      </c>
      <c r="I3190" s="6">
        <v>2819661</v>
      </c>
      <c r="J3190" s="7">
        <v>559.13</v>
      </c>
      <c r="K3190" s="9">
        <f>(PricingDataTable[[#This Row],[Current Price ($)]]-PricingDataTable[[#This Row],[Prior Price ($)]])/PricingDataTable[[#This Row],[Prior Price ($)]]</f>
        <v>-4.560024110301767E-3</v>
      </c>
      <c r="L3190" s="9">
        <f>(PricingDataTable[[#This Row],[Vendor Price ($)]]-PricingDataTable[[#This Row],[Current Price ($)]])/PricingDataTable[[#This Row],[Current Price ($)]]</f>
        <v>-3.2900844817929076E-3</v>
      </c>
      <c r="M3190" t="str">
        <f t="shared" si="98"/>
        <v>STALE</v>
      </c>
      <c r="N3190" s="10" t="str">
        <f t="shared" si="99"/>
        <v>MEDIUM</v>
      </c>
    </row>
    <row r="3191" spans="1:14">
      <c r="A3191" s="4" t="s">
        <v>6398</v>
      </c>
      <c r="B3191" s="4" t="s">
        <v>6399</v>
      </c>
      <c r="C3191" s="4" t="s">
        <v>16</v>
      </c>
      <c r="D3191" s="4" t="s">
        <v>13</v>
      </c>
      <c r="E3191" s="5">
        <v>103.264</v>
      </c>
      <c r="F3191" s="5">
        <v>104.2133</v>
      </c>
      <c r="G3191" s="5">
        <v>103.83580000000001</v>
      </c>
      <c r="H3191" s="4">
        <v>0</v>
      </c>
      <c r="I3191" s="6">
        <v>1760129</v>
      </c>
      <c r="J3191" s="7">
        <v>98.45</v>
      </c>
      <c r="K3191" s="9">
        <f>(PricingDataTable[[#This Row],[Current Price ($)]]-PricingDataTable[[#This Row],[Prior Price ($)]])/PricingDataTable[[#This Row],[Prior Price ($)]]</f>
        <v>9.192942361326388E-3</v>
      </c>
      <c r="L3191" s="9">
        <f>(PricingDataTable[[#This Row],[Vendor Price ($)]]-PricingDataTable[[#This Row],[Current Price ($)]])/PricingDataTable[[#This Row],[Current Price ($)]]</f>
        <v>-3.6223783336675618E-3</v>
      </c>
      <c r="M3191" t="str">
        <f t="shared" si="98"/>
        <v>PASS</v>
      </c>
      <c r="N3191" s="10" t="str">
        <f t="shared" si="99"/>
        <v>NONE</v>
      </c>
    </row>
    <row r="3192" spans="1:14">
      <c r="A3192" s="4" t="s">
        <v>6400</v>
      </c>
      <c r="B3192" s="4" t="s">
        <v>6401</v>
      </c>
      <c r="C3192" s="4" t="s">
        <v>19</v>
      </c>
      <c r="D3192" s="4" t="s">
        <v>36</v>
      </c>
      <c r="E3192" s="5">
        <v>45.316699999999997</v>
      </c>
      <c r="F3192" s="5">
        <v>45.238700000000001</v>
      </c>
      <c r="G3192" s="5">
        <v>45.008600000000001</v>
      </c>
      <c r="H3192" s="4">
        <v>1</v>
      </c>
      <c r="I3192" s="6">
        <v>4332306</v>
      </c>
      <c r="J3192" s="7">
        <v>50.4</v>
      </c>
      <c r="K3192" s="9">
        <f>(PricingDataTable[[#This Row],[Current Price ($)]]-PricingDataTable[[#This Row],[Prior Price ($)]])/PricingDataTable[[#This Row],[Prior Price ($)]]</f>
        <v>-1.7212197710776789E-3</v>
      </c>
      <c r="L3192" s="9">
        <f>(PricingDataTable[[#This Row],[Vendor Price ($)]]-PricingDataTable[[#This Row],[Current Price ($)]])/PricingDataTable[[#This Row],[Current Price ($)]]</f>
        <v>-5.0863530561223065E-3</v>
      </c>
      <c r="M3192" t="str">
        <f t="shared" si="98"/>
        <v>PASS</v>
      </c>
      <c r="N3192" s="10" t="str">
        <f t="shared" si="99"/>
        <v>NONE</v>
      </c>
    </row>
    <row r="3193" spans="1:14">
      <c r="A3193" s="4" t="s">
        <v>6402</v>
      </c>
      <c r="B3193" s="4" t="s">
        <v>6403</v>
      </c>
      <c r="C3193" s="4" t="s">
        <v>19</v>
      </c>
      <c r="D3193" s="4" t="s">
        <v>13</v>
      </c>
      <c r="E3193" s="5">
        <v>178.9802</v>
      </c>
      <c r="F3193" s="5">
        <v>182.15430000000001</v>
      </c>
      <c r="G3193" s="5">
        <v>181.69069999999999</v>
      </c>
      <c r="H3193" s="4">
        <v>0</v>
      </c>
      <c r="I3193" s="6">
        <v>2374924</v>
      </c>
      <c r="J3193" s="7">
        <v>537.32000000000005</v>
      </c>
      <c r="K3193" s="9">
        <f>(PricingDataTable[[#This Row],[Current Price ($)]]-PricingDataTable[[#This Row],[Prior Price ($)]])/PricingDataTable[[#This Row],[Prior Price ($)]]</f>
        <v>1.7734363912879806E-2</v>
      </c>
      <c r="L3193" s="9">
        <f>(PricingDataTable[[#This Row],[Vendor Price ($)]]-PricingDataTable[[#This Row],[Current Price ($)]])/PricingDataTable[[#This Row],[Current Price ($)]]</f>
        <v>-2.5450950101096365E-3</v>
      </c>
      <c r="M3193" t="str">
        <f t="shared" si="98"/>
        <v>PASS</v>
      </c>
      <c r="N3193" s="10" t="str">
        <f t="shared" si="99"/>
        <v>NONE</v>
      </c>
    </row>
    <row r="3194" spans="1:14">
      <c r="A3194" s="4" t="s">
        <v>6404</v>
      </c>
      <c r="B3194" s="4" t="s">
        <v>6405</v>
      </c>
      <c r="C3194" s="4" t="s">
        <v>19</v>
      </c>
      <c r="D3194" s="4" t="s">
        <v>13</v>
      </c>
      <c r="E3194" s="5">
        <v>26.710899999999999</v>
      </c>
      <c r="F3194" s="5">
        <v>26.809699999999999</v>
      </c>
      <c r="G3194" s="5">
        <v>26.896100000000001</v>
      </c>
      <c r="H3194" s="4">
        <v>0</v>
      </c>
      <c r="I3194" s="6">
        <v>3191516</v>
      </c>
      <c r="J3194" s="7">
        <v>2.79</v>
      </c>
      <c r="K3194" s="9">
        <f>(PricingDataTable[[#This Row],[Current Price ($)]]-PricingDataTable[[#This Row],[Prior Price ($)]])/PricingDataTable[[#This Row],[Prior Price ($)]]</f>
        <v>3.6988645084965566E-3</v>
      </c>
      <c r="L3194" s="9">
        <f>(PricingDataTable[[#This Row],[Vendor Price ($)]]-PricingDataTable[[#This Row],[Current Price ($)]])/PricingDataTable[[#This Row],[Current Price ($)]]</f>
        <v>3.2227141668874008E-3</v>
      </c>
      <c r="M3194" t="str">
        <f t="shared" si="98"/>
        <v>PASS</v>
      </c>
      <c r="N3194" s="10" t="str">
        <f t="shared" si="99"/>
        <v>NONE</v>
      </c>
    </row>
    <row r="3195" spans="1:14">
      <c r="A3195" s="4" t="s">
        <v>6406</v>
      </c>
      <c r="B3195" s="4" t="s">
        <v>6407</v>
      </c>
      <c r="C3195" s="4" t="s">
        <v>16</v>
      </c>
      <c r="D3195" s="4" t="s">
        <v>64</v>
      </c>
      <c r="E3195" s="5">
        <v>88.689700000000002</v>
      </c>
      <c r="F3195" s="5">
        <v>108.17919999999999</v>
      </c>
      <c r="G3195" s="5">
        <v>108.6516</v>
      </c>
      <c r="H3195" s="4">
        <v>1</v>
      </c>
      <c r="I3195" s="6">
        <v>3385479</v>
      </c>
      <c r="J3195" s="7">
        <v>574.55999999999995</v>
      </c>
      <c r="K3195" s="9">
        <f>(PricingDataTable[[#This Row],[Current Price ($)]]-PricingDataTable[[#This Row],[Prior Price ($)]])/PricingDataTable[[#This Row],[Prior Price ($)]]</f>
        <v>0.21974930572546747</v>
      </c>
      <c r="L3195" s="9">
        <f>(PricingDataTable[[#This Row],[Vendor Price ($)]]-PricingDataTable[[#This Row],[Current Price ($)]])/PricingDataTable[[#This Row],[Current Price ($)]]</f>
        <v>4.3668283736615493E-3</v>
      </c>
      <c r="M3195" t="str">
        <f t="shared" si="98"/>
        <v>LARGE MOVE</v>
      </c>
      <c r="N3195" s="10" t="str">
        <f t="shared" si="99"/>
        <v>HIGH</v>
      </c>
    </row>
    <row r="3196" spans="1:14">
      <c r="A3196" s="4" t="s">
        <v>6408</v>
      </c>
      <c r="B3196" s="4" t="s">
        <v>6409</v>
      </c>
      <c r="C3196" s="4" t="s">
        <v>12</v>
      </c>
      <c r="D3196" s="4" t="s">
        <v>13</v>
      </c>
      <c r="E3196" s="5">
        <v>115.5765</v>
      </c>
      <c r="F3196" s="5">
        <v>115.276</v>
      </c>
      <c r="G3196" s="5">
        <v>115.41070000000001</v>
      </c>
      <c r="H3196" s="4">
        <v>0</v>
      </c>
      <c r="I3196" s="6">
        <v>2945434</v>
      </c>
      <c r="J3196" s="7">
        <v>769.05</v>
      </c>
      <c r="K3196" s="9">
        <f>(PricingDataTable[[#This Row],[Current Price ($)]]-PricingDataTable[[#This Row],[Prior Price ($)]])/PricingDataTable[[#This Row],[Prior Price ($)]]</f>
        <v>-2.6000095175057174E-3</v>
      </c>
      <c r="L3196" s="9">
        <f>(PricingDataTable[[#This Row],[Vendor Price ($)]]-PricingDataTable[[#This Row],[Current Price ($)]])/PricingDataTable[[#This Row],[Current Price ($)]]</f>
        <v>1.1684999479510858E-3</v>
      </c>
      <c r="M3196" t="str">
        <f t="shared" si="98"/>
        <v>PASS</v>
      </c>
      <c r="N3196" s="10" t="str">
        <f t="shared" si="99"/>
        <v>NONE</v>
      </c>
    </row>
    <row r="3197" spans="1:14">
      <c r="A3197" s="4" t="s">
        <v>6410</v>
      </c>
      <c r="B3197" s="4" t="s">
        <v>6411</v>
      </c>
      <c r="C3197" s="4" t="s">
        <v>19</v>
      </c>
      <c r="D3197" s="4" t="s">
        <v>13</v>
      </c>
      <c r="E3197" s="5">
        <v>138.41370000000001</v>
      </c>
      <c r="F3197" s="5">
        <v>137.9186</v>
      </c>
      <c r="G3197" s="5">
        <v>137.91290000000001</v>
      </c>
      <c r="H3197" s="4">
        <v>0</v>
      </c>
      <c r="I3197" s="6">
        <v>1189763</v>
      </c>
      <c r="J3197" s="7">
        <v>739.79</v>
      </c>
      <c r="K3197" s="9">
        <f>(PricingDataTable[[#This Row],[Current Price ($)]]-PricingDataTable[[#This Row],[Prior Price ($)]])/PricingDataTable[[#This Row],[Prior Price ($)]]</f>
        <v>-3.5769580612324348E-3</v>
      </c>
      <c r="L3197" s="9">
        <f>(PricingDataTable[[#This Row],[Vendor Price ($)]]-PricingDataTable[[#This Row],[Current Price ($)]])/PricingDataTable[[#This Row],[Current Price ($)]]</f>
        <v>-4.1328725784558926E-5</v>
      </c>
      <c r="M3197" t="str">
        <f t="shared" si="98"/>
        <v>PASS</v>
      </c>
      <c r="N3197" s="10" t="str">
        <f t="shared" si="99"/>
        <v>NONE</v>
      </c>
    </row>
    <row r="3198" spans="1:14">
      <c r="A3198" s="4" t="s">
        <v>6412</v>
      </c>
      <c r="B3198" s="4" t="s">
        <v>6413</v>
      </c>
      <c r="C3198" s="4" t="s">
        <v>19</v>
      </c>
      <c r="D3198" s="4" t="s">
        <v>13</v>
      </c>
      <c r="E3198" s="5">
        <v>308.01819999999998</v>
      </c>
      <c r="F3198" s="5">
        <v>307.70159999999998</v>
      </c>
      <c r="G3198" s="5">
        <v>309.64580000000001</v>
      </c>
      <c r="H3198" s="4">
        <v>1</v>
      </c>
      <c r="I3198" s="6">
        <v>3403472</v>
      </c>
      <c r="J3198" s="7">
        <v>805.4</v>
      </c>
      <c r="K3198" s="9">
        <f>(PricingDataTable[[#This Row],[Current Price ($)]]-PricingDataTable[[#This Row],[Prior Price ($)]])/PricingDataTable[[#This Row],[Prior Price ($)]]</f>
        <v>-1.0278613406610195E-3</v>
      </c>
      <c r="L3198" s="9">
        <f>(PricingDataTable[[#This Row],[Vendor Price ($)]]-PricingDataTable[[#This Row],[Current Price ($)]])/PricingDataTable[[#This Row],[Current Price ($)]]</f>
        <v>6.3184591825327643E-3</v>
      </c>
      <c r="M3198" t="str">
        <f t="shared" si="98"/>
        <v>PASS</v>
      </c>
      <c r="N3198" s="10" t="str">
        <f t="shared" si="99"/>
        <v>NONE</v>
      </c>
    </row>
    <row r="3199" spans="1:14">
      <c r="A3199" s="4" t="s">
        <v>6414</v>
      </c>
      <c r="B3199" s="4" t="s">
        <v>6415</v>
      </c>
      <c r="C3199" s="4" t="s">
        <v>12</v>
      </c>
      <c r="D3199" s="4" t="s">
        <v>13</v>
      </c>
      <c r="E3199" s="5">
        <v>93.278499999999994</v>
      </c>
      <c r="F3199" s="5">
        <v>91.782799999999995</v>
      </c>
      <c r="G3199" s="5">
        <v>91.710599999999999</v>
      </c>
      <c r="H3199" s="4">
        <v>0</v>
      </c>
      <c r="I3199" s="6">
        <v>300982</v>
      </c>
      <c r="J3199" s="7">
        <v>676.86</v>
      </c>
      <c r="K3199" s="9">
        <f>(PricingDataTable[[#This Row],[Current Price ($)]]-PricingDataTable[[#This Row],[Prior Price ($)]])/PricingDataTable[[#This Row],[Prior Price ($)]]</f>
        <v>-1.6034777574682264E-2</v>
      </c>
      <c r="L3199" s="9">
        <f>(PricingDataTable[[#This Row],[Vendor Price ($)]]-PricingDataTable[[#This Row],[Current Price ($)]])/PricingDataTable[[#This Row],[Current Price ($)]]</f>
        <v>-7.866397625698405E-4</v>
      </c>
      <c r="M3199" t="str">
        <f t="shared" si="98"/>
        <v>PASS</v>
      </c>
      <c r="N3199" s="10" t="str">
        <f t="shared" si="99"/>
        <v>NONE</v>
      </c>
    </row>
    <row r="3200" spans="1:14">
      <c r="A3200" s="4" t="s">
        <v>6416</v>
      </c>
      <c r="B3200" s="4" t="s">
        <v>6417</v>
      </c>
      <c r="C3200" s="4" t="s">
        <v>39</v>
      </c>
      <c r="D3200" s="4" t="s">
        <v>237</v>
      </c>
      <c r="E3200" s="5">
        <v>235.30289999999999</v>
      </c>
      <c r="F3200" s="5">
        <v>235.82570000000001</v>
      </c>
      <c r="G3200" s="5">
        <v>236.48830000000001</v>
      </c>
      <c r="H3200" s="4">
        <v>0</v>
      </c>
      <c r="I3200" s="6">
        <v>1291507</v>
      </c>
      <c r="J3200" s="7">
        <v>500.98</v>
      </c>
      <c r="K3200" s="9">
        <f>(PricingDataTable[[#This Row],[Current Price ($)]]-PricingDataTable[[#This Row],[Prior Price ($)]])/PricingDataTable[[#This Row],[Prior Price ($)]]</f>
        <v>2.2218170706779132E-3</v>
      </c>
      <c r="L3200" s="9">
        <f>(PricingDataTable[[#This Row],[Vendor Price ($)]]-PricingDataTable[[#This Row],[Current Price ($)]])/PricingDataTable[[#This Row],[Current Price ($)]]</f>
        <v>2.8097022504332547E-3</v>
      </c>
      <c r="M3200" t="str">
        <f t="shared" si="98"/>
        <v>PASS</v>
      </c>
      <c r="N3200" s="10" t="str">
        <f t="shared" si="99"/>
        <v>NONE</v>
      </c>
    </row>
    <row r="3201" spans="1:14">
      <c r="A3201" s="4" t="s">
        <v>6418</v>
      </c>
      <c r="B3201" s="4" t="s">
        <v>6419</v>
      </c>
      <c r="C3201" s="4" t="s">
        <v>16</v>
      </c>
      <c r="D3201" s="4" t="s">
        <v>13</v>
      </c>
      <c r="E3201" s="5">
        <v>101.4937</v>
      </c>
      <c r="F3201" s="5">
        <v>100.2932</v>
      </c>
      <c r="G3201" s="5">
        <v>100.54</v>
      </c>
      <c r="H3201" s="4">
        <v>0</v>
      </c>
      <c r="I3201" s="6">
        <v>1699179</v>
      </c>
      <c r="J3201" s="7">
        <v>816.71</v>
      </c>
      <c r="K3201" s="9">
        <f>(PricingDataTable[[#This Row],[Current Price ($)]]-PricingDataTable[[#This Row],[Prior Price ($)]])/PricingDataTable[[#This Row],[Prior Price ($)]]</f>
        <v>-1.1828320378506302E-2</v>
      </c>
      <c r="L3201" s="9">
        <f>(PricingDataTable[[#This Row],[Vendor Price ($)]]-PricingDataTable[[#This Row],[Current Price ($)]])/PricingDataTable[[#This Row],[Current Price ($)]]</f>
        <v>2.4607849784432788E-3</v>
      </c>
      <c r="M3201" t="str">
        <f t="shared" si="98"/>
        <v>PASS</v>
      </c>
      <c r="N3201" s="10" t="str">
        <f t="shared" si="99"/>
        <v>NONE</v>
      </c>
    </row>
    <row r="3202" spans="1:14">
      <c r="A3202" s="4" t="s">
        <v>6420</v>
      </c>
      <c r="B3202" s="4" t="s">
        <v>6421</v>
      </c>
      <c r="C3202" s="4" t="s">
        <v>12</v>
      </c>
      <c r="D3202" s="4" t="s">
        <v>32</v>
      </c>
      <c r="E3202" s="5">
        <v>81.288700000000006</v>
      </c>
      <c r="F3202" s="5">
        <v>81.259200000000007</v>
      </c>
      <c r="G3202" s="5">
        <v>86.802700000000002</v>
      </c>
      <c r="H3202" s="4">
        <v>2</v>
      </c>
      <c r="I3202" s="6">
        <v>2640357</v>
      </c>
      <c r="J3202" s="7">
        <v>14.16</v>
      </c>
      <c r="K3202" s="9">
        <f>(PricingDataTable[[#This Row],[Current Price ($)]]-PricingDataTable[[#This Row],[Prior Price ($)]])/PricingDataTable[[#This Row],[Prior Price ($)]]</f>
        <v>-3.6290406907723638E-4</v>
      </c>
      <c r="L3202" s="9">
        <f>(PricingDataTable[[#This Row],[Vendor Price ($)]]-PricingDataTable[[#This Row],[Current Price ($)]])/PricingDataTable[[#This Row],[Current Price ($)]]</f>
        <v>6.8219967708271725E-2</v>
      </c>
      <c r="M3202" t="str">
        <f t="shared" ref="M3202:M3265" si="100">IF(OR(F3202="",F3202=0),"MISSING",IF(H3202&gt;=3,"STALE",IF(ABS(K3202)&gt;=5%,"LARGE MOVE",IF(ABS(L3202)&gt;=2%,"VENDOR DIFFERENCE","PASS"))))</f>
        <v>VENDOR DIFFERENCE</v>
      </c>
      <c r="N3202" s="10" t="str">
        <f t="shared" ref="N3202:N3265" si="101">IF(M3202="PASS","NONE",IF(M3202="MISSING","HIGH",IF(OR(ABS(K3202)&gt;=10%,ABS(L3202)&gt;=5%),"HIGH",IF(OR(ABS(K3202)&gt;=7%,ABS(L3202)&gt;=3%,H3202&gt;=5),"MEDIUM","LOW"))))</f>
        <v>HIGH</v>
      </c>
    </row>
    <row r="3203" spans="1:14">
      <c r="A3203" s="4" t="s">
        <v>6422</v>
      </c>
      <c r="B3203" s="4" t="s">
        <v>6423</v>
      </c>
      <c r="C3203" s="4" t="s">
        <v>19</v>
      </c>
      <c r="D3203" s="4" t="s">
        <v>13</v>
      </c>
      <c r="E3203" s="5">
        <v>211.57660000000001</v>
      </c>
      <c r="F3203" s="5">
        <v>206.53219999999999</v>
      </c>
      <c r="G3203" s="5">
        <v>205.48820000000001</v>
      </c>
      <c r="H3203" s="4">
        <v>0</v>
      </c>
      <c r="I3203" s="6">
        <v>1117268</v>
      </c>
      <c r="J3203" s="7">
        <v>147.59</v>
      </c>
      <c r="K3203" s="9">
        <f>(PricingDataTable[[#This Row],[Current Price ($)]]-PricingDataTable[[#This Row],[Prior Price ($)]])/PricingDataTable[[#This Row],[Prior Price ($)]]</f>
        <v>-2.3841956057522543E-2</v>
      </c>
      <c r="L3203" s="9">
        <f>(PricingDataTable[[#This Row],[Vendor Price ($)]]-PricingDataTable[[#This Row],[Current Price ($)]])/PricingDataTable[[#This Row],[Current Price ($)]]</f>
        <v>-5.0549018506556498E-3</v>
      </c>
      <c r="M3203" t="str">
        <f t="shared" si="100"/>
        <v>PASS</v>
      </c>
      <c r="N3203" s="10" t="str">
        <f t="shared" si="101"/>
        <v>NONE</v>
      </c>
    </row>
    <row r="3204" spans="1:14">
      <c r="A3204" s="4" t="s">
        <v>6424</v>
      </c>
      <c r="B3204" s="4" t="s">
        <v>6425</v>
      </c>
      <c r="C3204" s="4" t="s">
        <v>19</v>
      </c>
      <c r="D3204" s="4" t="s">
        <v>13</v>
      </c>
      <c r="E3204" s="5">
        <v>14.2049</v>
      </c>
      <c r="F3204" s="5">
        <v>13.9945</v>
      </c>
      <c r="G3204" s="5">
        <v>14.032500000000001</v>
      </c>
      <c r="H3204" s="4">
        <v>1</v>
      </c>
      <c r="I3204" s="6">
        <v>845985</v>
      </c>
      <c r="J3204" s="7">
        <v>665.14</v>
      </c>
      <c r="K3204" s="9">
        <f>(PricingDataTable[[#This Row],[Current Price ($)]]-PricingDataTable[[#This Row],[Prior Price ($)]])/PricingDataTable[[#This Row],[Prior Price ($)]]</f>
        <v>-1.4811790297714162E-2</v>
      </c>
      <c r="L3204" s="9">
        <f>(PricingDataTable[[#This Row],[Vendor Price ($)]]-PricingDataTable[[#This Row],[Current Price ($)]])/PricingDataTable[[#This Row],[Current Price ($)]]</f>
        <v>2.715352459894977E-3</v>
      </c>
      <c r="M3204" t="str">
        <f t="shared" si="100"/>
        <v>PASS</v>
      </c>
      <c r="N3204" s="10" t="str">
        <f t="shared" si="101"/>
        <v>NONE</v>
      </c>
    </row>
    <row r="3205" spans="1:14">
      <c r="A3205" s="4" t="s">
        <v>6426</v>
      </c>
      <c r="B3205" s="4" t="s">
        <v>6427</v>
      </c>
      <c r="C3205" s="4" t="s">
        <v>39</v>
      </c>
      <c r="D3205" s="4" t="s">
        <v>13</v>
      </c>
      <c r="E3205" s="5">
        <v>34.858600000000003</v>
      </c>
      <c r="F3205" s="5">
        <v>34.502299999999998</v>
      </c>
      <c r="G3205" s="5">
        <v>34.337899999999998</v>
      </c>
      <c r="H3205" s="4">
        <v>0</v>
      </c>
      <c r="I3205" s="6">
        <v>4594493</v>
      </c>
      <c r="J3205" s="7">
        <v>358.23</v>
      </c>
      <c r="K3205" s="9">
        <f>(PricingDataTable[[#This Row],[Current Price ($)]]-PricingDataTable[[#This Row],[Prior Price ($)]])/PricingDataTable[[#This Row],[Prior Price ($)]]</f>
        <v>-1.0221294027872734E-2</v>
      </c>
      <c r="L3205" s="9">
        <f>(PricingDataTable[[#This Row],[Vendor Price ($)]]-PricingDataTable[[#This Row],[Current Price ($)]])/PricingDataTable[[#This Row],[Current Price ($)]]</f>
        <v>-4.7648997313222757E-3</v>
      </c>
      <c r="M3205" t="str">
        <f t="shared" si="100"/>
        <v>PASS</v>
      </c>
      <c r="N3205" s="10" t="str">
        <f t="shared" si="101"/>
        <v>NONE</v>
      </c>
    </row>
    <row r="3206" spans="1:14">
      <c r="A3206" s="4" t="s">
        <v>6428</v>
      </c>
      <c r="B3206" s="4" t="s">
        <v>6429</v>
      </c>
      <c r="C3206" s="4" t="s">
        <v>19</v>
      </c>
      <c r="D3206" s="4" t="s">
        <v>13</v>
      </c>
      <c r="E3206" s="5">
        <v>240.3295</v>
      </c>
      <c r="F3206" s="5">
        <v>244.54310000000001</v>
      </c>
      <c r="G3206" s="5">
        <v>243.91990000000001</v>
      </c>
      <c r="H3206" s="4">
        <v>0</v>
      </c>
      <c r="I3206" s="6">
        <v>1144909</v>
      </c>
      <c r="J3206" s="7">
        <v>131.25</v>
      </c>
      <c r="K3206" s="9">
        <f>(PricingDataTable[[#This Row],[Current Price ($)]]-PricingDataTable[[#This Row],[Prior Price ($)]])/PricingDataTable[[#This Row],[Prior Price ($)]]</f>
        <v>1.7532595873581951E-2</v>
      </c>
      <c r="L3206" s="9">
        <f>(PricingDataTable[[#This Row],[Vendor Price ($)]]-PricingDataTable[[#This Row],[Current Price ($)]])/PricingDataTable[[#This Row],[Current Price ($)]]</f>
        <v>-2.5484260238788051E-3</v>
      </c>
      <c r="M3206" t="str">
        <f t="shared" si="100"/>
        <v>PASS</v>
      </c>
      <c r="N3206" s="10" t="str">
        <f t="shared" si="101"/>
        <v>NONE</v>
      </c>
    </row>
    <row r="3207" spans="1:14">
      <c r="A3207" s="4" t="s">
        <v>6430</v>
      </c>
      <c r="B3207" s="4" t="s">
        <v>6431</v>
      </c>
      <c r="C3207" s="4" t="s">
        <v>19</v>
      </c>
      <c r="D3207" s="4" t="s">
        <v>13</v>
      </c>
      <c r="E3207" s="5">
        <v>15.6469</v>
      </c>
      <c r="F3207" s="5">
        <v>15.6585</v>
      </c>
      <c r="G3207" s="5">
        <v>15.0082</v>
      </c>
      <c r="H3207" s="4">
        <v>0</v>
      </c>
      <c r="I3207" s="6">
        <v>1352536</v>
      </c>
      <c r="J3207" s="7">
        <v>238.43</v>
      </c>
      <c r="K3207" s="9">
        <f>(PricingDataTable[[#This Row],[Current Price ($)]]-PricingDataTable[[#This Row],[Prior Price ($)]])/PricingDataTable[[#This Row],[Prior Price ($)]]</f>
        <v>7.4136090855055059E-4</v>
      </c>
      <c r="L3207" s="9">
        <f>(PricingDataTable[[#This Row],[Vendor Price ($)]]-PricingDataTable[[#This Row],[Current Price ($)]])/PricingDataTable[[#This Row],[Current Price ($)]]</f>
        <v>-4.1530159338378496E-2</v>
      </c>
      <c r="M3207" t="str">
        <f t="shared" si="100"/>
        <v>VENDOR DIFFERENCE</v>
      </c>
      <c r="N3207" s="10" t="str">
        <f t="shared" si="101"/>
        <v>MEDIUM</v>
      </c>
    </row>
    <row r="3208" spans="1:14">
      <c r="A3208" s="4" t="s">
        <v>6432</v>
      </c>
      <c r="B3208" s="4" t="s">
        <v>6433</v>
      </c>
      <c r="C3208" s="4" t="s">
        <v>19</v>
      </c>
      <c r="D3208" s="4" t="s">
        <v>13</v>
      </c>
      <c r="E3208" s="5">
        <v>175.00120000000001</v>
      </c>
      <c r="F3208" s="5">
        <v>179.01349999999999</v>
      </c>
      <c r="G3208" s="5">
        <v>179.7192</v>
      </c>
      <c r="H3208" s="4">
        <v>0</v>
      </c>
      <c r="I3208" s="6">
        <v>4066907</v>
      </c>
      <c r="J3208" s="7">
        <v>897.68</v>
      </c>
      <c r="K3208" s="9">
        <f>(PricingDataTable[[#This Row],[Current Price ($)]]-PricingDataTable[[#This Row],[Prior Price ($)]])/PricingDataTable[[#This Row],[Prior Price ($)]]</f>
        <v>2.2927271355853457E-2</v>
      </c>
      <c r="L3208" s="9">
        <f>(PricingDataTable[[#This Row],[Vendor Price ($)]]-PricingDataTable[[#This Row],[Current Price ($)]])/PricingDataTable[[#This Row],[Current Price ($)]]</f>
        <v>3.9421607867563468E-3</v>
      </c>
      <c r="M3208" t="str">
        <f t="shared" si="100"/>
        <v>PASS</v>
      </c>
      <c r="N3208" s="10" t="str">
        <f t="shared" si="101"/>
        <v>NONE</v>
      </c>
    </row>
    <row r="3209" spans="1:14">
      <c r="A3209" s="4" t="s">
        <v>6434</v>
      </c>
      <c r="B3209" s="4" t="s">
        <v>6435</v>
      </c>
      <c r="C3209" s="4" t="s">
        <v>19</v>
      </c>
      <c r="D3209" s="4" t="s">
        <v>32</v>
      </c>
      <c r="E3209" s="5">
        <v>185.65039999999999</v>
      </c>
      <c r="F3209" s="5">
        <v>183.49170000000001</v>
      </c>
      <c r="G3209" s="5">
        <v>183.84020000000001</v>
      </c>
      <c r="H3209" s="4">
        <v>1</v>
      </c>
      <c r="I3209" s="6">
        <v>3812002</v>
      </c>
      <c r="J3209" s="7">
        <v>412.64</v>
      </c>
      <c r="K3209" s="9">
        <f>(PricingDataTable[[#This Row],[Current Price ($)]]-PricingDataTable[[#This Row],[Prior Price ($)]])/PricingDataTable[[#This Row],[Prior Price ($)]]</f>
        <v>-1.1627769183368213E-2</v>
      </c>
      <c r="L3209" s="9">
        <f>(PricingDataTable[[#This Row],[Vendor Price ($)]]-PricingDataTable[[#This Row],[Current Price ($)]])/PricingDataTable[[#This Row],[Current Price ($)]]</f>
        <v>1.8992684682740493E-3</v>
      </c>
      <c r="M3209" t="str">
        <f t="shared" si="100"/>
        <v>PASS</v>
      </c>
      <c r="N3209" s="10" t="str">
        <f t="shared" si="101"/>
        <v>NONE</v>
      </c>
    </row>
    <row r="3210" spans="1:14">
      <c r="A3210" s="4" t="s">
        <v>6436</v>
      </c>
      <c r="B3210" s="4" t="s">
        <v>6437</v>
      </c>
      <c r="C3210" s="4" t="s">
        <v>16</v>
      </c>
      <c r="D3210" s="4" t="s">
        <v>36</v>
      </c>
      <c r="E3210" s="5">
        <v>75.1738</v>
      </c>
      <c r="F3210" s="5">
        <v>75.655600000000007</v>
      </c>
      <c r="G3210" s="5">
        <v>75.957499999999996</v>
      </c>
      <c r="H3210" s="4">
        <v>0</v>
      </c>
      <c r="I3210" s="6">
        <v>1081958</v>
      </c>
      <c r="J3210" s="7">
        <v>436.74</v>
      </c>
      <c r="K3210" s="9">
        <f>(PricingDataTable[[#This Row],[Current Price ($)]]-PricingDataTable[[#This Row],[Prior Price ($)]])/PricingDataTable[[#This Row],[Prior Price ($)]]</f>
        <v>6.4091478680072967E-3</v>
      </c>
      <c r="L3210" s="9">
        <f>(PricingDataTable[[#This Row],[Vendor Price ($)]]-PricingDataTable[[#This Row],[Current Price ($)]])/PricingDataTable[[#This Row],[Current Price ($)]]</f>
        <v>3.9904514669104356E-3</v>
      </c>
      <c r="M3210" t="str">
        <f t="shared" si="100"/>
        <v>PASS</v>
      </c>
      <c r="N3210" s="10" t="str">
        <f t="shared" si="101"/>
        <v>NONE</v>
      </c>
    </row>
    <row r="3211" spans="1:14">
      <c r="A3211" s="4" t="s">
        <v>6438</v>
      </c>
      <c r="B3211" s="4" t="s">
        <v>6439</v>
      </c>
      <c r="C3211" s="4" t="s">
        <v>12</v>
      </c>
      <c r="D3211" s="4" t="s">
        <v>13</v>
      </c>
      <c r="E3211" s="5">
        <v>98.494200000000006</v>
      </c>
      <c r="F3211" s="5">
        <v>98.293300000000002</v>
      </c>
      <c r="G3211" s="5">
        <v>97.989000000000004</v>
      </c>
      <c r="H3211" s="4">
        <v>1</v>
      </c>
      <c r="I3211" s="6">
        <v>2446102</v>
      </c>
      <c r="J3211" s="7">
        <v>289.26</v>
      </c>
      <c r="K3211" s="9">
        <f>(PricingDataTable[[#This Row],[Current Price ($)]]-PricingDataTable[[#This Row],[Prior Price ($)]])/PricingDataTable[[#This Row],[Prior Price ($)]]</f>
        <v>-2.039714013617089E-3</v>
      </c>
      <c r="L3211" s="9">
        <f>(PricingDataTable[[#This Row],[Vendor Price ($)]]-PricingDataTable[[#This Row],[Current Price ($)]])/PricingDataTable[[#This Row],[Current Price ($)]]</f>
        <v>-3.09583664400318E-3</v>
      </c>
      <c r="M3211" t="str">
        <f t="shared" si="100"/>
        <v>PASS</v>
      </c>
      <c r="N3211" s="10" t="str">
        <f t="shared" si="101"/>
        <v>NONE</v>
      </c>
    </row>
    <row r="3212" spans="1:14">
      <c r="A3212" s="4" t="s">
        <v>6440</v>
      </c>
      <c r="B3212" s="4" t="s">
        <v>6441</v>
      </c>
      <c r="C3212" s="4" t="s">
        <v>12</v>
      </c>
      <c r="D3212" s="4" t="s">
        <v>13</v>
      </c>
      <c r="E3212" s="5">
        <v>118.2479</v>
      </c>
      <c r="F3212" s="5">
        <v>119.0151</v>
      </c>
      <c r="G3212" s="5">
        <v>119.5565</v>
      </c>
      <c r="H3212" s="4">
        <v>3</v>
      </c>
      <c r="I3212" s="6">
        <v>1394990</v>
      </c>
      <c r="J3212" s="7">
        <v>534.69000000000005</v>
      </c>
      <c r="K3212" s="9">
        <f>(PricingDataTable[[#This Row],[Current Price ($)]]-PricingDataTable[[#This Row],[Prior Price ($)]])/PricingDataTable[[#This Row],[Prior Price ($)]]</f>
        <v>6.4880644814834139E-3</v>
      </c>
      <c r="L3212" s="9">
        <f>(PricingDataTable[[#This Row],[Vendor Price ($)]]-PricingDataTable[[#This Row],[Current Price ($)]])/PricingDataTable[[#This Row],[Current Price ($)]]</f>
        <v>4.5490026055516981E-3</v>
      </c>
      <c r="M3212" t="str">
        <f t="shared" si="100"/>
        <v>STALE</v>
      </c>
      <c r="N3212" s="10" t="str">
        <f t="shared" si="101"/>
        <v>LOW</v>
      </c>
    </row>
    <row r="3213" spans="1:14">
      <c r="A3213" s="4" t="s">
        <v>6442</v>
      </c>
      <c r="B3213" s="4" t="s">
        <v>6443</v>
      </c>
      <c r="C3213" s="4" t="s">
        <v>35</v>
      </c>
      <c r="D3213" s="4" t="s">
        <v>36</v>
      </c>
      <c r="E3213" s="5">
        <v>154.0377</v>
      </c>
      <c r="F3213" s="5">
        <v>155.00640000000001</v>
      </c>
      <c r="G3213" s="5">
        <v>155.708</v>
      </c>
      <c r="H3213" s="4">
        <v>3</v>
      </c>
      <c r="I3213" s="6">
        <v>2835102</v>
      </c>
      <c r="J3213" s="7">
        <v>541.33000000000004</v>
      </c>
      <c r="K3213" s="9">
        <f>(PricingDataTable[[#This Row],[Current Price ($)]]-PricingDataTable[[#This Row],[Prior Price ($)]])/PricingDataTable[[#This Row],[Prior Price ($)]]</f>
        <v>6.2887202288791156E-3</v>
      </c>
      <c r="L3213" s="9">
        <f>(PricingDataTable[[#This Row],[Vendor Price ($)]]-PricingDataTable[[#This Row],[Current Price ($)]])/PricingDataTable[[#This Row],[Current Price ($)]]</f>
        <v>4.5262647219726721E-3</v>
      </c>
      <c r="M3213" t="str">
        <f t="shared" si="100"/>
        <v>STALE</v>
      </c>
      <c r="N3213" s="10" t="str">
        <f t="shared" si="101"/>
        <v>LOW</v>
      </c>
    </row>
    <row r="3214" spans="1:14">
      <c r="A3214" s="4" t="s">
        <v>6444</v>
      </c>
      <c r="B3214" s="4" t="s">
        <v>6445</v>
      </c>
      <c r="C3214" s="4" t="s">
        <v>19</v>
      </c>
      <c r="D3214" s="4" t="s">
        <v>13</v>
      </c>
      <c r="E3214" s="5">
        <v>271.82249999999999</v>
      </c>
      <c r="F3214" s="5">
        <v>273.57130000000001</v>
      </c>
      <c r="G3214" s="5">
        <v>273.05149999999998</v>
      </c>
      <c r="H3214" s="4">
        <v>2</v>
      </c>
      <c r="I3214" s="6">
        <v>2511662</v>
      </c>
      <c r="J3214" s="7">
        <v>67.150000000000006</v>
      </c>
      <c r="K3214" s="9">
        <f>(PricingDataTable[[#This Row],[Current Price ($)]]-PricingDataTable[[#This Row],[Prior Price ($)]])/PricingDataTable[[#This Row],[Prior Price ($)]]</f>
        <v>6.433610168400398E-3</v>
      </c>
      <c r="L3214" s="9">
        <f>(PricingDataTable[[#This Row],[Vendor Price ($)]]-PricingDataTable[[#This Row],[Current Price ($)]])/PricingDataTable[[#This Row],[Current Price ($)]]</f>
        <v>-1.9000531122966189E-3</v>
      </c>
      <c r="M3214" t="str">
        <f t="shared" si="100"/>
        <v>PASS</v>
      </c>
      <c r="N3214" s="10" t="str">
        <f t="shared" si="101"/>
        <v>NONE</v>
      </c>
    </row>
    <row r="3215" spans="1:14">
      <c r="A3215" s="4" t="s">
        <v>6446</v>
      </c>
      <c r="B3215" s="4" t="s">
        <v>6447</v>
      </c>
      <c r="C3215" s="4" t="s">
        <v>35</v>
      </c>
      <c r="D3215" s="4" t="s">
        <v>13</v>
      </c>
      <c r="E3215" s="5">
        <v>177.74789999999999</v>
      </c>
      <c r="F3215" s="5">
        <v>177.7268</v>
      </c>
      <c r="G3215" s="5">
        <v>178.239</v>
      </c>
      <c r="H3215" s="4">
        <v>0</v>
      </c>
      <c r="I3215" s="6">
        <v>1902650</v>
      </c>
      <c r="J3215" s="7">
        <v>814.57</v>
      </c>
      <c r="K3215" s="9">
        <f>(PricingDataTable[[#This Row],[Current Price ($)]]-PricingDataTable[[#This Row],[Prior Price ($)]])/PricingDataTable[[#This Row],[Prior Price ($)]]</f>
        <v>-1.1870745027080435E-4</v>
      </c>
      <c r="L3215" s="9">
        <f>(PricingDataTable[[#This Row],[Vendor Price ($)]]-PricingDataTable[[#This Row],[Current Price ($)]])/PricingDataTable[[#This Row],[Current Price ($)]]</f>
        <v>2.8819513995638649E-3</v>
      </c>
      <c r="M3215" t="str">
        <f t="shared" si="100"/>
        <v>PASS</v>
      </c>
      <c r="N3215" s="10" t="str">
        <f t="shared" si="101"/>
        <v>NONE</v>
      </c>
    </row>
    <row r="3216" spans="1:14">
      <c r="A3216" s="4" t="s">
        <v>6448</v>
      </c>
      <c r="B3216" s="4" t="s">
        <v>6449</v>
      </c>
      <c r="C3216" s="4" t="s">
        <v>19</v>
      </c>
      <c r="D3216" s="4" t="s">
        <v>13</v>
      </c>
      <c r="E3216" s="5">
        <v>61.4437</v>
      </c>
      <c r="F3216" s="5">
        <v>62.548000000000002</v>
      </c>
      <c r="G3216" s="5">
        <v>62.485999999999997</v>
      </c>
      <c r="H3216" s="4">
        <v>0</v>
      </c>
      <c r="I3216" s="6">
        <v>2869954</v>
      </c>
      <c r="J3216" s="7">
        <v>497.62</v>
      </c>
      <c r="K3216" s="9">
        <f>(PricingDataTable[[#This Row],[Current Price ($)]]-PricingDataTable[[#This Row],[Prior Price ($)]])/PricingDataTable[[#This Row],[Prior Price ($)]]</f>
        <v>1.7972550481172227E-2</v>
      </c>
      <c r="L3216" s="9">
        <f>(PricingDataTable[[#This Row],[Vendor Price ($)]]-PricingDataTable[[#This Row],[Current Price ($)]])/PricingDataTable[[#This Row],[Current Price ($)]]</f>
        <v>-9.9123872865646738E-4</v>
      </c>
      <c r="M3216" t="str">
        <f t="shared" si="100"/>
        <v>PASS</v>
      </c>
      <c r="N3216" s="10" t="str">
        <f t="shared" si="101"/>
        <v>NONE</v>
      </c>
    </row>
    <row r="3217" spans="1:14">
      <c r="A3217" s="4" t="s">
        <v>6450</v>
      </c>
      <c r="B3217" s="4" t="s">
        <v>6451</v>
      </c>
      <c r="C3217" s="4" t="s">
        <v>19</v>
      </c>
      <c r="D3217" s="4" t="s">
        <v>13</v>
      </c>
      <c r="E3217" s="5">
        <v>181.8948</v>
      </c>
      <c r="F3217" s="5">
        <v>183.845</v>
      </c>
      <c r="G3217" s="5">
        <v>183.66149999999999</v>
      </c>
      <c r="H3217" s="4">
        <v>1</v>
      </c>
      <c r="I3217" s="6">
        <v>271694</v>
      </c>
      <c r="J3217" s="7">
        <v>521.46</v>
      </c>
      <c r="K3217" s="9">
        <f>(PricingDataTable[[#This Row],[Current Price ($)]]-PricingDataTable[[#This Row],[Prior Price ($)]])/PricingDataTable[[#This Row],[Prior Price ($)]]</f>
        <v>1.072158192537662E-2</v>
      </c>
      <c r="L3217" s="9">
        <f>(PricingDataTable[[#This Row],[Vendor Price ($)]]-PricingDataTable[[#This Row],[Current Price ($)]])/PricingDataTable[[#This Row],[Current Price ($)]]</f>
        <v>-9.9812341918468985E-4</v>
      </c>
      <c r="M3217" t="str">
        <f t="shared" si="100"/>
        <v>PASS</v>
      </c>
      <c r="N3217" s="10" t="str">
        <f t="shared" si="101"/>
        <v>NONE</v>
      </c>
    </row>
    <row r="3218" spans="1:14">
      <c r="A3218" s="4" t="s">
        <v>6452</v>
      </c>
      <c r="B3218" s="4" t="s">
        <v>6453</v>
      </c>
      <c r="C3218" s="4" t="s">
        <v>19</v>
      </c>
      <c r="D3218" s="4" t="s">
        <v>13</v>
      </c>
      <c r="E3218" s="5">
        <v>203.07079999999999</v>
      </c>
      <c r="F3218" s="5">
        <v>206.59030000000001</v>
      </c>
      <c r="G3218" s="5">
        <v>206.93950000000001</v>
      </c>
      <c r="H3218" s="4">
        <v>0</v>
      </c>
      <c r="I3218" s="6">
        <v>1603965</v>
      </c>
      <c r="J3218" s="7">
        <v>12.81</v>
      </c>
      <c r="K3218" s="9">
        <f>(PricingDataTable[[#This Row],[Current Price ($)]]-PricingDataTable[[#This Row],[Prior Price ($)]])/PricingDataTable[[#This Row],[Prior Price ($)]]</f>
        <v>1.7331393779903472E-2</v>
      </c>
      <c r="L3218" s="9">
        <f>(PricingDataTable[[#This Row],[Vendor Price ($)]]-PricingDataTable[[#This Row],[Current Price ($)]])/PricingDataTable[[#This Row],[Current Price ($)]]</f>
        <v>1.6903020132116376E-3</v>
      </c>
      <c r="M3218" t="str">
        <f t="shared" si="100"/>
        <v>PASS</v>
      </c>
      <c r="N3218" s="10" t="str">
        <f t="shared" si="101"/>
        <v>NONE</v>
      </c>
    </row>
    <row r="3219" spans="1:14">
      <c r="A3219" s="4" t="s">
        <v>6454</v>
      </c>
      <c r="B3219" s="4" t="s">
        <v>6455</v>
      </c>
      <c r="C3219" s="4" t="s">
        <v>16</v>
      </c>
      <c r="D3219" s="4" t="s">
        <v>64</v>
      </c>
      <c r="E3219" s="5">
        <v>78.501900000000006</v>
      </c>
      <c r="F3219" s="5">
        <v>76.914699999999996</v>
      </c>
      <c r="G3219" s="5">
        <v>77.080799999999996</v>
      </c>
      <c r="H3219" s="4">
        <v>1</v>
      </c>
      <c r="I3219" s="6">
        <v>2937696</v>
      </c>
      <c r="J3219" s="7">
        <v>151.54</v>
      </c>
      <c r="K3219" s="9">
        <f>(PricingDataTable[[#This Row],[Current Price ($)]]-PricingDataTable[[#This Row],[Prior Price ($)]])/PricingDataTable[[#This Row],[Prior Price ($)]]</f>
        <v>-2.0218618912408615E-2</v>
      </c>
      <c r="L3219" s="9">
        <f>(PricingDataTable[[#This Row],[Vendor Price ($)]]-PricingDataTable[[#This Row],[Current Price ($)]])/PricingDataTable[[#This Row],[Current Price ($)]]</f>
        <v>2.1595351733803832E-3</v>
      </c>
      <c r="M3219" t="str">
        <f t="shared" si="100"/>
        <v>PASS</v>
      </c>
      <c r="N3219" s="10" t="str">
        <f t="shared" si="101"/>
        <v>NONE</v>
      </c>
    </row>
    <row r="3220" spans="1:14">
      <c r="A3220" s="4" t="s">
        <v>6456</v>
      </c>
      <c r="B3220" s="4" t="s">
        <v>6457</v>
      </c>
      <c r="C3220" s="4" t="s">
        <v>19</v>
      </c>
      <c r="D3220" s="4" t="s">
        <v>13</v>
      </c>
      <c r="E3220" s="5">
        <v>133.42269999999999</v>
      </c>
      <c r="F3220" s="5">
        <v>131.46379999999999</v>
      </c>
      <c r="G3220" s="5">
        <v>130.83090000000001</v>
      </c>
      <c r="H3220" s="4">
        <v>0</v>
      </c>
      <c r="I3220" s="6">
        <v>3843607</v>
      </c>
      <c r="J3220" s="7">
        <v>760.03</v>
      </c>
      <c r="K3220" s="9">
        <f>(PricingDataTable[[#This Row],[Current Price ($)]]-PricingDataTable[[#This Row],[Prior Price ($)]])/PricingDataTable[[#This Row],[Prior Price ($)]]</f>
        <v>-1.4681909450191009E-2</v>
      </c>
      <c r="L3220" s="9">
        <f>(PricingDataTable[[#This Row],[Vendor Price ($)]]-PricingDataTable[[#This Row],[Current Price ($)]])/PricingDataTable[[#This Row],[Current Price ($)]]</f>
        <v>-4.814253049128186E-3</v>
      </c>
      <c r="M3220" t="str">
        <f t="shared" si="100"/>
        <v>PASS</v>
      </c>
      <c r="N3220" s="10" t="str">
        <f t="shared" si="101"/>
        <v>NONE</v>
      </c>
    </row>
    <row r="3221" spans="1:14">
      <c r="A3221" s="4" t="s">
        <v>6458</v>
      </c>
      <c r="B3221" s="4" t="s">
        <v>6459</v>
      </c>
      <c r="C3221" s="4" t="s">
        <v>39</v>
      </c>
      <c r="D3221" s="4" t="s">
        <v>13</v>
      </c>
      <c r="E3221" s="5">
        <v>52.5242</v>
      </c>
      <c r="F3221" s="5">
        <v>52.061100000000003</v>
      </c>
      <c r="G3221" s="5">
        <v>51.804099999999998</v>
      </c>
      <c r="H3221" s="4">
        <v>2</v>
      </c>
      <c r="I3221" s="6">
        <v>521932</v>
      </c>
      <c r="J3221" s="7">
        <v>802.96</v>
      </c>
      <c r="K3221" s="9">
        <f>(PricingDataTable[[#This Row],[Current Price ($)]]-PricingDataTable[[#This Row],[Prior Price ($)]])/PricingDataTable[[#This Row],[Prior Price ($)]]</f>
        <v>-8.816888215336877E-3</v>
      </c>
      <c r="L3221" s="9">
        <f>(PricingDataTable[[#This Row],[Vendor Price ($)]]-PricingDataTable[[#This Row],[Current Price ($)]])/PricingDataTable[[#This Row],[Current Price ($)]]</f>
        <v>-4.9365072962347127E-3</v>
      </c>
      <c r="M3221" t="str">
        <f t="shared" si="100"/>
        <v>PASS</v>
      </c>
      <c r="N3221" s="10" t="str">
        <f t="shared" si="101"/>
        <v>NONE</v>
      </c>
    </row>
    <row r="3222" spans="1:14">
      <c r="A3222" s="4" t="s">
        <v>6460</v>
      </c>
      <c r="B3222" s="4" t="s">
        <v>6461</v>
      </c>
      <c r="C3222" s="4" t="s">
        <v>39</v>
      </c>
      <c r="D3222" s="4" t="s">
        <v>13</v>
      </c>
      <c r="E3222" s="5">
        <v>111.7223</v>
      </c>
      <c r="F3222" s="5">
        <v>112.9876</v>
      </c>
      <c r="G3222" s="5">
        <v>113.14230000000001</v>
      </c>
      <c r="H3222" s="4">
        <v>0</v>
      </c>
      <c r="I3222" s="6">
        <v>4779187</v>
      </c>
      <c r="J3222" s="7">
        <v>744.7</v>
      </c>
      <c r="K3222" s="9">
        <f>(PricingDataTable[[#This Row],[Current Price ($)]]-PricingDataTable[[#This Row],[Prior Price ($)]])/PricingDataTable[[#This Row],[Prior Price ($)]]</f>
        <v>1.1325402359242481E-2</v>
      </c>
      <c r="L3222" s="9">
        <f>(PricingDataTable[[#This Row],[Vendor Price ($)]]-PricingDataTable[[#This Row],[Current Price ($)]])/PricingDataTable[[#This Row],[Current Price ($)]]</f>
        <v>1.3691767946217583E-3</v>
      </c>
      <c r="M3222" t="str">
        <f t="shared" si="100"/>
        <v>PASS</v>
      </c>
      <c r="N3222" s="10" t="str">
        <f t="shared" si="101"/>
        <v>NONE</v>
      </c>
    </row>
    <row r="3223" spans="1:14">
      <c r="A3223" s="4" t="s">
        <v>6462</v>
      </c>
      <c r="B3223" s="4" t="s">
        <v>6463</v>
      </c>
      <c r="C3223" s="4" t="s">
        <v>16</v>
      </c>
      <c r="D3223" s="4" t="s">
        <v>13</v>
      </c>
      <c r="E3223" s="5">
        <v>76.770099999999999</v>
      </c>
      <c r="F3223" s="5">
        <v>77.294700000000006</v>
      </c>
      <c r="G3223" s="5">
        <v>77.704499999999996</v>
      </c>
      <c r="H3223" s="4">
        <v>1</v>
      </c>
      <c r="I3223" s="6">
        <v>1308639</v>
      </c>
      <c r="J3223" s="7">
        <v>21.31</v>
      </c>
      <c r="K3223" s="9">
        <f>(PricingDataTable[[#This Row],[Current Price ($)]]-PricingDataTable[[#This Row],[Prior Price ($)]])/PricingDataTable[[#This Row],[Prior Price ($)]]</f>
        <v>6.8333895618216808E-3</v>
      </c>
      <c r="L3223" s="9">
        <f>(PricingDataTable[[#This Row],[Vendor Price ($)]]-PricingDataTable[[#This Row],[Current Price ($)]])/PricingDataTable[[#This Row],[Current Price ($)]]</f>
        <v>5.3017865390510592E-3</v>
      </c>
      <c r="M3223" t="str">
        <f t="shared" si="100"/>
        <v>PASS</v>
      </c>
      <c r="N3223" s="10" t="str">
        <f t="shared" si="101"/>
        <v>NONE</v>
      </c>
    </row>
    <row r="3224" spans="1:14">
      <c r="A3224" s="4" t="s">
        <v>6464</v>
      </c>
      <c r="B3224" s="4" t="s">
        <v>6465</v>
      </c>
      <c r="C3224" s="4" t="s">
        <v>39</v>
      </c>
      <c r="D3224" s="4" t="s">
        <v>32</v>
      </c>
      <c r="E3224" s="5">
        <v>55.959499999999998</v>
      </c>
      <c r="F3224" s="5">
        <v>55.7498</v>
      </c>
      <c r="G3224" s="5">
        <v>55.783900000000003</v>
      </c>
      <c r="H3224" s="4">
        <v>0</v>
      </c>
      <c r="I3224" s="6">
        <v>1743760</v>
      </c>
      <c r="J3224" s="7">
        <v>430.71</v>
      </c>
      <c r="K3224" s="9">
        <f>(PricingDataTable[[#This Row],[Current Price ($)]]-PricingDataTable[[#This Row],[Prior Price ($)]])/PricingDataTable[[#This Row],[Prior Price ($)]]</f>
        <v>-3.7473529963634056E-3</v>
      </c>
      <c r="L3224" s="9">
        <f>(PricingDataTable[[#This Row],[Vendor Price ($)]]-PricingDataTable[[#This Row],[Current Price ($)]])/PricingDataTable[[#This Row],[Current Price ($)]]</f>
        <v>6.1166138712609268E-4</v>
      </c>
      <c r="M3224" t="str">
        <f t="shared" si="100"/>
        <v>PASS</v>
      </c>
      <c r="N3224" s="10" t="str">
        <f t="shared" si="101"/>
        <v>NONE</v>
      </c>
    </row>
    <row r="3225" spans="1:14">
      <c r="A3225" s="4" t="s">
        <v>6466</v>
      </c>
      <c r="B3225" s="4" t="s">
        <v>6467</v>
      </c>
      <c r="C3225" s="4" t="s">
        <v>35</v>
      </c>
      <c r="D3225" s="4" t="s">
        <v>13</v>
      </c>
      <c r="E3225" s="5">
        <v>35.831400000000002</v>
      </c>
      <c r="F3225" s="5">
        <v>36.261400000000002</v>
      </c>
      <c r="G3225" s="5">
        <v>36.363300000000002</v>
      </c>
      <c r="H3225" s="4">
        <v>0</v>
      </c>
      <c r="I3225" s="6">
        <v>3064154</v>
      </c>
      <c r="J3225" s="7">
        <v>216.85</v>
      </c>
      <c r="K3225" s="9">
        <f>(PricingDataTable[[#This Row],[Current Price ($)]]-PricingDataTable[[#This Row],[Prior Price ($)]])/PricingDataTable[[#This Row],[Prior Price ($)]]</f>
        <v>1.2000647476794088E-2</v>
      </c>
      <c r="L3225" s="9">
        <f>(PricingDataTable[[#This Row],[Vendor Price ($)]]-PricingDataTable[[#This Row],[Current Price ($)]])/PricingDataTable[[#This Row],[Current Price ($)]]</f>
        <v>2.810150738802157E-3</v>
      </c>
      <c r="M3225" t="str">
        <f t="shared" si="100"/>
        <v>PASS</v>
      </c>
      <c r="N3225" s="10" t="str">
        <f t="shared" si="101"/>
        <v>NONE</v>
      </c>
    </row>
    <row r="3226" spans="1:14">
      <c r="A3226" s="4" t="s">
        <v>6468</v>
      </c>
      <c r="B3226" s="4" t="s">
        <v>6469</v>
      </c>
      <c r="C3226" s="4" t="s">
        <v>19</v>
      </c>
      <c r="D3226" s="4" t="s">
        <v>13</v>
      </c>
      <c r="E3226" s="5">
        <v>260.26859999999999</v>
      </c>
      <c r="F3226" s="5">
        <v>260.60379999999998</v>
      </c>
      <c r="G3226" s="5">
        <v>259.98160000000001</v>
      </c>
      <c r="H3226" s="4">
        <v>0</v>
      </c>
      <c r="I3226" s="6">
        <v>3199877</v>
      </c>
      <c r="J3226" s="7">
        <v>261.57</v>
      </c>
      <c r="K3226" s="9">
        <f>(PricingDataTable[[#This Row],[Current Price ($)]]-PricingDataTable[[#This Row],[Prior Price ($)]])/PricingDataTable[[#This Row],[Prior Price ($)]]</f>
        <v>1.2879002691833983E-3</v>
      </c>
      <c r="L3226" s="9">
        <f>(PricingDataTable[[#This Row],[Vendor Price ($)]]-PricingDataTable[[#This Row],[Current Price ($)]])/PricingDataTable[[#This Row],[Current Price ($)]]</f>
        <v>-2.3875323383617734E-3</v>
      </c>
      <c r="M3226" t="str">
        <f t="shared" si="100"/>
        <v>PASS</v>
      </c>
      <c r="N3226" s="10" t="str">
        <f t="shared" si="101"/>
        <v>NONE</v>
      </c>
    </row>
    <row r="3227" spans="1:14">
      <c r="A3227" s="4" t="s">
        <v>6470</v>
      </c>
      <c r="B3227" s="4" t="s">
        <v>6471</v>
      </c>
      <c r="C3227" s="4" t="s">
        <v>16</v>
      </c>
      <c r="D3227" s="4" t="s">
        <v>36</v>
      </c>
      <c r="E3227" s="5">
        <v>86.637799999999999</v>
      </c>
      <c r="F3227" s="5">
        <v>69.995400000000004</v>
      </c>
      <c r="G3227" s="5">
        <v>70.0595</v>
      </c>
      <c r="H3227" s="4">
        <v>1</v>
      </c>
      <c r="I3227" s="6">
        <v>2433642</v>
      </c>
      <c r="J3227" s="7">
        <v>471.44</v>
      </c>
      <c r="K3227" s="9">
        <f>(PricingDataTable[[#This Row],[Current Price ($)]]-PricingDataTable[[#This Row],[Prior Price ($)]])/PricingDataTable[[#This Row],[Prior Price ($)]]</f>
        <v>-0.1920916736112874</v>
      </c>
      <c r="L3227" s="9">
        <f>(PricingDataTable[[#This Row],[Vendor Price ($)]]-PricingDataTable[[#This Row],[Current Price ($)]])/PricingDataTable[[#This Row],[Current Price ($)]]</f>
        <v>9.1577446517908704E-4</v>
      </c>
      <c r="M3227" t="str">
        <f t="shared" si="100"/>
        <v>LARGE MOVE</v>
      </c>
      <c r="N3227" s="10" t="str">
        <f t="shared" si="101"/>
        <v>HIGH</v>
      </c>
    </row>
    <row r="3228" spans="1:14">
      <c r="A3228" s="4" t="s">
        <v>6472</v>
      </c>
      <c r="B3228" s="4" t="s">
        <v>6473</v>
      </c>
      <c r="C3228" s="4" t="s">
        <v>16</v>
      </c>
      <c r="D3228" s="4" t="s">
        <v>13</v>
      </c>
      <c r="E3228" s="5">
        <v>122.12220000000001</v>
      </c>
      <c r="F3228" s="5">
        <v>124.0218</v>
      </c>
      <c r="G3228" s="5">
        <v>124.39490000000001</v>
      </c>
      <c r="H3228" s="4">
        <v>0</v>
      </c>
      <c r="I3228" s="6">
        <v>584652</v>
      </c>
      <c r="J3228" s="7">
        <v>744</v>
      </c>
      <c r="K3228" s="9">
        <f>(PricingDataTable[[#This Row],[Current Price ($)]]-PricingDataTable[[#This Row],[Prior Price ($)]])/PricingDataTable[[#This Row],[Prior Price ($)]]</f>
        <v>1.5554911392031853E-2</v>
      </c>
      <c r="L3228" s="9">
        <f>(PricingDataTable[[#This Row],[Vendor Price ($)]]-PricingDataTable[[#This Row],[Current Price ($)]])/PricingDataTable[[#This Row],[Current Price ($)]]</f>
        <v>3.0083420817953615E-3</v>
      </c>
      <c r="M3228" t="str">
        <f t="shared" si="100"/>
        <v>PASS</v>
      </c>
      <c r="N3228" s="10" t="str">
        <f t="shared" si="101"/>
        <v>NONE</v>
      </c>
    </row>
    <row r="3229" spans="1:14">
      <c r="A3229" s="4" t="s">
        <v>6474</v>
      </c>
      <c r="B3229" s="4" t="s">
        <v>6475</v>
      </c>
      <c r="C3229" s="4" t="s">
        <v>16</v>
      </c>
      <c r="D3229" s="4" t="s">
        <v>13</v>
      </c>
      <c r="E3229" s="5">
        <v>109.3857</v>
      </c>
      <c r="F3229" s="5">
        <v>109.117</v>
      </c>
      <c r="G3229" s="5">
        <v>108.5284</v>
      </c>
      <c r="H3229" s="4">
        <v>0</v>
      </c>
      <c r="I3229" s="6">
        <v>3475967</v>
      </c>
      <c r="J3229" s="7">
        <v>260.39</v>
      </c>
      <c r="K3229" s="9">
        <f>(PricingDataTable[[#This Row],[Current Price ($)]]-PricingDataTable[[#This Row],[Prior Price ($)]])/PricingDataTable[[#This Row],[Prior Price ($)]]</f>
        <v>-2.456445403741033E-3</v>
      </c>
      <c r="L3229" s="9">
        <f>(PricingDataTable[[#This Row],[Vendor Price ($)]]-PricingDataTable[[#This Row],[Current Price ($)]])/PricingDataTable[[#This Row],[Current Price ($)]]</f>
        <v>-5.3942098848025468E-3</v>
      </c>
      <c r="M3229" t="str">
        <f t="shared" si="100"/>
        <v>PASS</v>
      </c>
      <c r="N3229" s="10" t="str">
        <f t="shared" si="101"/>
        <v>NONE</v>
      </c>
    </row>
    <row r="3230" spans="1:14">
      <c r="A3230" s="4" t="s">
        <v>6476</v>
      </c>
      <c r="B3230" s="4" t="s">
        <v>6477</v>
      </c>
      <c r="C3230" s="4" t="s">
        <v>19</v>
      </c>
      <c r="D3230" s="4" t="s">
        <v>13</v>
      </c>
      <c r="E3230" s="5">
        <v>21.714500000000001</v>
      </c>
      <c r="F3230" s="5">
        <v>21.9421</v>
      </c>
      <c r="G3230" s="5">
        <v>21.860199999999999</v>
      </c>
      <c r="H3230" s="4">
        <v>0</v>
      </c>
      <c r="I3230" s="6">
        <v>3058080</v>
      </c>
      <c r="J3230" s="7">
        <v>655.20000000000005</v>
      </c>
      <c r="K3230" s="9">
        <f>(PricingDataTable[[#This Row],[Current Price ($)]]-PricingDataTable[[#This Row],[Prior Price ($)]])/PricingDataTable[[#This Row],[Prior Price ($)]]</f>
        <v>1.0481475511754768E-2</v>
      </c>
      <c r="L3230" s="9">
        <f>(PricingDataTable[[#This Row],[Vendor Price ($)]]-PricingDataTable[[#This Row],[Current Price ($)]])/PricingDataTable[[#This Row],[Current Price ($)]]</f>
        <v>-3.732550667438439E-3</v>
      </c>
      <c r="M3230" t="str">
        <f t="shared" si="100"/>
        <v>PASS</v>
      </c>
      <c r="N3230" s="10" t="str">
        <f t="shared" si="101"/>
        <v>NONE</v>
      </c>
    </row>
    <row r="3231" spans="1:14">
      <c r="A3231" s="4" t="s">
        <v>6478</v>
      </c>
      <c r="B3231" s="4" t="s">
        <v>6479</v>
      </c>
      <c r="C3231" s="4" t="s">
        <v>16</v>
      </c>
      <c r="D3231" s="4" t="s">
        <v>13</v>
      </c>
      <c r="E3231" s="5">
        <v>95.762799999999999</v>
      </c>
      <c r="F3231" s="5">
        <v>95.924999999999997</v>
      </c>
      <c r="G3231" s="5">
        <v>95.615499999999997</v>
      </c>
      <c r="H3231" s="4">
        <v>0</v>
      </c>
      <c r="I3231" s="6">
        <v>604759</v>
      </c>
      <c r="J3231" s="7">
        <v>299.05</v>
      </c>
      <c r="K3231" s="9">
        <f>(PricingDataTable[[#This Row],[Current Price ($)]]-PricingDataTable[[#This Row],[Prior Price ($)]])/PricingDataTable[[#This Row],[Prior Price ($)]]</f>
        <v>1.6937683526379614E-3</v>
      </c>
      <c r="L3231" s="9">
        <f>(PricingDataTable[[#This Row],[Vendor Price ($)]]-PricingDataTable[[#This Row],[Current Price ($)]])/PricingDataTable[[#This Row],[Current Price ($)]]</f>
        <v>-3.2264790200677604E-3</v>
      </c>
      <c r="M3231" t="str">
        <f t="shared" si="100"/>
        <v>PASS</v>
      </c>
      <c r="N3231" s="10" t="str">
        <f t="shared" si="101"/>
        <v>NONE</v>
      </c>
    </row>
    <row r="3232" spans="1:14">
      <c r="A3232" s="4" t="s">
        <v>6480</v>
      </c>
      <c r="B3232" s="4" t="s">
        <v>6481</v>
      </c>
      <c r="C3232" s="4" t="s">
        <v>16</v>
      </c>
      <c r="D3232" s="4" t="s">
        <v>13</v>
      </c>
      <c r="E3232" s="5">
        <v>81.579499999999996</v>
      </c>
      <c r="F3232" s="5">
        <v>81.271500000000003</v>
      </c>
      <c r="G3232" s="5">
        <v>81.292299999999997</v>
      </c>
      <c r="H3232" s="4">
        <v>0</v>
      </c>
      <c r="I3232" s="6">
        <v>2810797</v>
      </c>
      <c r="J3232" s="7">
        <v>110.12</v>
      </c>
      <c r="K3232" s="9">
        <f>(PricingDataTable[[#This Row],[Current Price ($)]]-PricingDataTable[[#This Row],[Prior Price ($)]])/PricingDataTable[[#This Row],[Prior Price ($)]]</f>
        <v>-3.7754582952824267E-3</v>
      </c>
      <c r="L3232" s="9">
        <f>(PricingDataTable[[#This Row],[Vendor Price ($)]]-PricingDataTable[[#This Row],[Current Price ($)]])/PricingDataTable[[#This Row],[Current Price ($)]]</f>
        <v>2.5593227638217773E-4</v>
      </c>
      <c r="M3232" t="str">
        <f t="shared" si="100"/>
        <v>PASS</v>
      </c>
      <c r="N3232" s="10" t="str">
        <f t="shared" si="101"/>
        <v>NONE</v>
      </c>
    </row>
    <row r="3233" spans="1:14">
      <c r="A3233" s="4" t="s">
        <v>6482</v>
      </c>
      <c r="B3233" s="4" t="s">
        <v>6483</v>
      </c>
      <c r="C3233" s="4" t="s">
        <v>19</v>
      </c>
      <c r="D3233" s="4" t="s">
        <v>32</v>
      </c>
      <c r="E3233" s="5">
        <v>297.35570000000001</v>
      </c>
      <c r="F3233" s="5">
        <v>297.1293</v>
      </c>
      <c r="G3233" s="5">
        <v>298.6155</v>
      </c>
      <c r="H3233" s="4">
        <v>0</v>
      </c>
      <c r="I3233" s="6">
        <v>2732469</v>
      </c>
      <c r="J3233" s="7">
        <v>9.57</v>
      </c>
      <c r="K3233" s="9">
        <f>(PricingDataTable[[#This Row],[Current Price ($)]]-PricingDataTable[[#This Row],[Prior Price ($)]])/PricingDataTable[[#This Row],[Prior Price ($)]]</f>
        <v>-7.6137770353826198E-4</v>
      </c>
      <c r="L3233" s="9">
        <f>(PricingDataTable[[#This Row],[Vendor Price ($)]]-PricingDataTable[[#This Row],[Current Price ($)]])/PricingDataTable[[#This Row],[Current Price ($)]]</f>
        <v>5.0018628253760116E-3</v>
      </c>
      <c r="M3233" t="str">
        <f t="shared" si="100"/>
        <v>PASS</v>
      </c>
      <c r="N3233" s="10" t="str">
        <f t="shared" si="101"/>
        <v>NONE</v>
      </c>
    </row>
    <row r="3234" spans="1:14">
      <c r="A3234" s="4" t="s">
        <v>6484</v>
      </c>
      <c r="B3234" s="4" t="s">
        <v>6485</v>
      </c>
      <c r="C3234" s="4" t="s">
        <v>19</v>
      </c>
      <c r="D3234" s="4" t="s">
        <v>13</v>
      </c>
      <c r="E3234" s="5">
        <v>81.684200000000004</v>
      </c>
      <c r="F3234" s="5"/>
      <c r="G3234" s="5">
        <v>81.785499999999999</v>
      </c>
      <c r="H3234" s="4">
        <v>0</v>
      </c>
      <c r="I3234" s="6">
        <v>268103</v>
      </c>
      <c r="J3234" s="7">
        <v>491.26</v>
      </c>
      <c r="K3234" s="9">
        <f>(PricingDataTable[[#This Row],[Current Price ($)]]-PricingDataTable[[#This Row],[Prior Price ($)]])/PricingDataTable[[#This Row],[Prior Price ($)]]</f>
        <v>-1</v>
      </c>
      <c r="L3234" s="9" t="e">
        <f>(PricingDataTable[[#This Row],[Vendor Price ($)]]-PricingDataTable[[#This Row],[Current Price ($)]])/PricingDataTable[[#This Row],[Current Price ($)]]</f>
        <v>#DIV/0!</v>
      </c>
      <c r="M3234" t="str">
        <f t="shared" si="100"/>
        <v>MISSING</v>
      </c>
      <c r="N3234" s="10" t="str">
        <f t="shared" si="101"/>
        <v>HIGH</v>
      </c>
    </row>
    <row r="3235" spans="1:14">
      <c r="A3235" s="4" t="s">
        <v>6486</v>
      </c>
      <c r="B3235" s="4" t="s">
        <v>6487</v>
      </c>
      <c r="C3235" s="4" t="s">
        <v>39</v>
      </c>
      <c r="D3235" s="4" t="s">
        <v>32</v>
      </c>
      <c r="E3235" s="5">
        <v>110.8193</v>
      </c>
      <c r="F3235" s="5">
        <v>112.4122</v>
      </c>
      <c r="G3235" s="5">
        <v>112.4633</v>
      </c>
      <c r="H3235" s="4">
        <v>0</v>
      </c>
      <c r="I3235" s="6">
        <v>1932359</v>
      </c>
      <c r="J3235" s="7">
        <v>731.35</v>
      </c>
      <c r="K3235" s="9">
        <f>(PricingDataTable[[#This Row],[Current Price ($)]]-PricingDataTable[[#This Row],[Prior Price ($)]])/PricingDataTable[[#This Row],[Prior Price ($)]]</f>
        <v>1.4373850042366269E-2</v>
      </c>
      <c r="L3235" s="9">
        <f>(PricingDataTable[[#This Row],[Vendor Price ($)]]-PricingDataTable[[#This Row],[Current Price ($)]])/PricingDataTable[[#This Row],[Current Price ($)]]</f>
        <v>4.5457699431205201E-4</v>
      </c>
      <c r="M3235" t="str">
        <f t="shared" si="100"/>
        <v>PASS</v>
      </c>
      <c r="N3235" s="10" t="str">
        <f t="shared" si="101"/>
        <v>NONE</v>
      </c>
    </row>
    <row r="3236" spans="1:14">
      <c r="A3236" s="4" t="s">
        <v>6488</v>
      </c>
      <c r="B3236" s="4" t="s">
        <v>6489</v>
      </c>
      <c r="C3236" s="4" t="s">
        <v>19</v>
      </c>
      <c r="D3236" s="4" t="s">
        <v>13</v>
      </c>
      <c r="E3236" s="5">
        <v>326.29199999999997</v>
      </c>
      <c r="F3236" s="5">
        <v>325.7971</v>
      </c>
      <c r="G3236" s="5">
        <v>324.45580000000001</v>
      </c>
      <c r="H3236" s="4">
        <v>2</v>
      </c>
      <c r="I3236" s="6">
        <v>2256613</v>
      </c>
      <c r="J3236" s="7">
        <v>695.38</v>
      </c>
      <c r="K3236" s="9">
        <f>(PricingDataTable[[#This Row],[Current Price ($)]]-PricingDataTable[[#This Row],[Prior Price ($)]])/PricingDataTable[[#This Row],[Prior Price ($)]]</f>
        <v>-1.5167396074680741E-3</v>
      </c>
      <c r="L3236" s="9">
        <f>(PricingDataTable[[#This Row],[Vendor Price ($)]]-PricingDataTable[[#This Row],[Current Price ($)]])/PricingDataTable[[#This Row],[Current Price ($)]]</f>
        <v>-4.1169795556804823E-3</v>
      </c>
      <c r="M3236" t="str">
        <f t="shared" si="100"/>
        <v>PASS</v>
      </c>
      <c r="N3236" s="10" t="str">
        <f t="shared" si="101"/>
        <v>NONE</v>
      </c>
    </row>
    <row r="3237" spans="1:14">
      <c r="A3237" s="4" t="s">
        <v>6490</v>
      </c>
      <c r="B3237" s="4" t="s">
        <v>6491</v>
      </c>
      <c r="C3237" s="4" t="s">
        <v>12</v>
      </c>
      <c r="D3237" s="4" t="s">
        <v>13</v>
      </c>
      <c r="E3237" s="5">
        <v>83.236999999999995</v>
      </c>
      <c r="F3237" s="5">
        <v>82.965199999999996</v>
      </c>
      <c r="G3237" s="5">
        <v>82.623599999999996</v>
      </c>
      <c r="H3237" s="4">
        <v>1</v>
      </c>
      <c r="I3237" s="6">
        <v>1550641</v>
      </c>
      <c r="J3237" s="7">
        <v>464.81</v>
      </c>
      <c r="K3237" s="9">
        <f>(PricingDataTable[[#This Row],[Current Price ($)]]-PricingDataTable[[#This Row],[Prior Price ($)]])/PricingDataTable[[#This Row],[Prior Price ($)]]</f>
        <v>-3.2653747732378502E-3</v>
      </c>
      <c r="L3237" s="9">
        <f>(PricingDataTable[[#This Row],[Vendor Price ($)]]-PricingDataTable[[#This Row],[Current Price ($)]])/PricingDataTable[[#This Row],[Current Price ($)]]</f>
        <v>-4.1173889775472086E-3</v>
      </c>
      <c r="M3237" t="str">
        <f t="shared" si="100"/>
        <v>PASS</v>
      </c>
      <c r="N3237" s="10" t="str">
        <f t="shared" si="101"/>
        <v>NONE</v>
      </c>
    </row>
    <row r="3238" spans="1:14">
      <c r="A3238" s="4" t="s">
        <v>6492</v>
      </c>
      <c r="B3238" s="4" t="s">
        <v>6493</v>
      </c>
      <c r="C3238" s="4" t="s">
        <v>39</v>
      </c>
      <c r="D3238" s="4" t="s">
        <v>13</v>
      </c>
      <c r="E3238" s="5">
        <v>210.17570000000001</v>
      </c>
      <c r="F3238" s="5">
        <v>213.0736</v>
      </c>
      <c r="G3238" s="5">
        <v>212.56659999999999</v>
      </c>
      <c r="H3238" s="4">
        <v>0</v>
      </c>
      <c r="I3238" s="6">
        <v>1247959</v>
      </c>
      <c r="J3238" s="7">
        <v>364.78</v>
      </c>
      <c r="K3238" s="9">
        <f>(PricingDataTable[[#This Row],[Current Price ($)]]-PricingDataTable[[#This Row],[Prior Price ($)]])/PricingDataTable[[#This Row],[Prior Price ($)]]</f>
        <v>1.3787987859681175E-2</v>
      </c>
      <c r="L3238" s="9">
        <f>(PricingDataTable[[#This Row],[Vendor Price ($)]]-PricingDataTable[[#This Row],[Current Price ($)]])/PricingDataTable[[#This Row],[Current Price ($)]]</f>
        <v>-2.37945949193145E-3</v>
      </c>
      <c r="M3238" t="str">
        <f t="shared" si="100"/>
        <v>PASS</v>
      </c>
      <c r="N3238" s="10" t="str">
        <f t="shared" si="101"/>
        <v>NONE</v>
      </c>
    </row>
    <row r="3239" spans="1:14">
      <c r="A3239" s="4" t="s">
        <v>6494</v>
      </c>
      <c r="B3239" s="4" t="s">
        <v>6495</v>
      </c>
      <c r="C3239" s="4" t="s">
        <v>16</v>
      </c>
      <c r="D3239" s="4" t="s">
        <v>13</v>
      </c>
      <c r="E3239" s="5">
        <v>110.49160000000001</v>
      </c>
      <c r="F3239" s="5">
        <v>108.6557</v>
      </c>
      <c r="G3239" s="5">
        <v>108.2024</v>
      </c>
      <c r="H3239" s="4">
        <v>0</v>
      </c>
      <c r="I3239" s="6">
        <v>588790</v>
      </c>
      <c r="J3239" s="7">
        <v>856.98</v>
      </c>
      <c r="K3239" s="9">
        <f>(PricingDataTable[[#This Row],[Current Price ($)]]-PricingDataTable[[#This Row],[Prior Price ($)]])/PricingDataTable[[#This Row],[Prior Price ($)]]</f>
        <v>-1.6615742735194432E-2</v>
      </c>
      <c r="L3239" s="9">
        <f>(PricingDataTable[[#This Row],[Vendor Price ($)]]-PricingDataTable[[#This Row],[Current Price ($)]])/PricingDataTable[[#This Row],[Current Price ($)]]</f>
        <v>-4.171893421145865E-3</v>
      </c>
      <c r="M3239" t="str">
        <f t="shared" si="100"/>
        <v>PASS</v>
      </c>
      <c r="N3239" s="10" t="str">
        <f t="shared" si="101"/>
        <v>NONE</v>
      </c>
    </row>
    <row r="3240" spans="1:14">
      <c r="A3240" s="4" t="s">
        <v>6496</v>
      </c>
      <c r="B3240" s="4" t="s">
        <v>6497</v>
      </c>
      <c r="C3240" s="4" t="s">
        <v>12</v>
      </c>
      <c r="D3240" s="4" t="s">
        <v>13</v>
      </c>
      <c r="E3240" s="5">
        <v>118.8984</v>
      </c>
      <c r="F3240" s="5">
        <v>135.47829999999999</v>
      </c>
      <c r="G3240" s="5">
        <v>135.7379</v>
      </c>
      <c r="H3240" s="4">
        <v>0</v>
      </c>
      <c r="I3240" s="6">
        <v>4259047</v>
      </c>
      <c r="J3240" s="7">
        <v>60.17</v>
      </c>
      <c r="K3240" s="9">
        <f>(PricingDataTable[[#This Row],[Current Price ($)]]-PricingDataTable[[#This Row],[Prior Price ($)]])/PricingDataTable[[#This Row],[Prior Price ($)]]</f>
        <v>0.13944594712796804</v>
      </c>
      <c r="L3240" s="9">
        <f>(PricingDataTable[[#This Row],[Vendor Price ($)]]-PricingDataTable[[#This Row],[Current Price ($)]])/PricingDataTable[[#This Row],[Current Price ($)]]</f>
        <v>1.916174029346442E-3</v>
      </c>
      <c r="M3240" t="str">
        <f t="shared" si="100"/>
        <v>LARGE MOVE</v>
      </c>
      <c r="N3240" s="10" t="str">
        <f t="shared" si="101"/>
        <v>HIGH</v>
      </c>
    </row>
    <row r="3241" spans="1:14">
      <c r="A3241" s="4" t="s">
        <v>6498</v>
      </c>
      <c r="B3241" s="4" t="s">
        <v>6499</v>
      </c>
      <c r="C3241" s="4" t="s">
        <v>16</v>
      </c>
      <c r="D3241" s="4" t="s">
        <v>36</v>
      </c>
      <c r="E3241" s="5">
        <v>87.572199999999995</v>
      </c>
      <c r="F3241" s="5">
        <v>88.932100000000005</v>
      </c>
      <c r="G3241" s="5">
        <v>89.0535</v>
      </c>
      <c r="H3241" s="4">
        <v>1</v>
      </c>
      <c r="I3241" s="6">
        <v>815428</v>
      </c>
      <c r="J3241" s="7">
        <v>894.03</v>
      </c>
      <c r="K3241" s="9">
        <f>(PricingDataTable[[#This Row],[Current Price ($)]]-PricingDataTable[[#This Row],[Prior Price ($)]])/PricingDataTable[[#This Row],[Prior Price ($)]]</f>
        <v>1.5528900724202549E-2</v>
      </c>
      <c r="L3241" s="9">
        <f>(PricingDataTable[[#This Row],[Vendor Price ($)]]-PricingDataTable[[#This Row],[Current Price ($)]])/PricingDataTable[[#This Row],[Current Price ($)]]</f>
        <v>1.3650863973750104E-3</v>
      </c>
      <c r="M3241" t="str">
        <f t="shared" si="100"/>
        <v>PASS</v>
      </c>
      <c r="N3241" s="10" t="str">
        <f t="shared" si="101"/>
        <v>NONE</v>
      </c>
    </row>
    <row r="3242" spans="1:14">
      <c r="A3242" s="4" t="s">
        <v>6500</v>
      </c>
      <c r="B3242" s="4" t="s">
        <v>6501</v>
      </c>
      <c r="C3242" s="4" t="s">
        <v>19</v>
      </c>
      <c r="D3242" s="4" t="s">
        <v>13</v>
      </c>
      <c r="E3242" s="5">
        <v>237.767</v>
      </c>
      <c r="F3242" s="5">
        <v>238.49189999999999</v>
      </c>
      <c r="G3242" s="5">
        <v>237.8099</v>
      </c>
      <c r="H3242" s="4">
        <v>0</v>
      </c>
      <c r="I3242" s="6">
        <v>1267927</v>
      </c>
      <c r="J3242" s="7">
        <v>530.75</v>
      </c>
      <c r="K3242" s="9">
        <f>(PricingDataTable[[#This Row],[Current Price ($)]]-PricingDataTable[[#This Row],[Prior Price ($)]])/PricingDataTable[[#This Row],[Prior Price ($)]]</f>
        <v>3.0487830523158849E-3</v>
      </c>
      <c r="L3242" s="9">
        <f>(PricingDataTable[[#This Row],[Vendor Price ($)]]-PricingDataTable[[#This Row],[Current Price ($)]])/PricingDataTable[[#This Row],[Current Price ($)]]</f>
        <v>-2.8596359037769753E-3</v>
      </c>
      <c r="M3242" t="str">
        <f t="shared" si="100"/>
        <v>PASS</v>
      </c>
      <c r="N3242" s="10" t="str">
        <f t="shared" si="101"/>
        <v>NONE</v>
      </c>
    </row>
    <row r="3243" spans="1:14">
      <c r="A3243" s="4" t="s">
        <v>6502</v>
      </c>
      <c r="B3243" s="4" t="s">
        <v>6503</v>
      </c>
      <c r="C3243" s="4" t="s">
        <v>12</v>
      </c>
      <c r="D3243" s="4" t="s">
        <v>13</v>
      </c>
      <c r="E3243" s="5">
        <v>117.1328</v>
      </c>
      <c r="F3243" s="5">
        <v>114.7711</v>
      </c>
      <c r="G3243" s="5">
        <v>115.185</v>
      </c>
      <c r="H3243" s="4">
        <v>4</v>
      </c>
      <c r="I3243" s="6">
        <v>734462</v>
      </c>
      <c r="J3243" s="7">
        <v>765.8</v>
      </c>
      <c r="K3243" s="9">
        <f>(PricingDataTable[[#This Row],[Current Price ($)]]-PricingDataTable[[#This Row],[Prior Price ($)]])/PricingDataTable[[#This Row],[Prior Price ($)]]</f>
        <v>-2.0162584690197785E-2</v>
      </c>
      <c r="L3243" s="9">
        <f>(PricingDataTable[[#This Row],[Vendor Price ($)]]-PricingDataTable[[#This Row],[Current Price ($)]])/PricingDataTable[[#This Row],[Current Price ($)]]</f>
        <v>3.6063085567708086E-3</v>
      </c>
      <c r="M3243" t="str">
        <f t="shared" si="100"/>
        <v>STALE</v>
      </c>
      <c r="N3243" s="10" t="str">
        <f t="shared" si="101"/>
        <v>LOW</v>
      </c>
    </row>
    <row r="3244" spans="1:14">
      <c r="A3244" s="4" t="s">
        <v>6504</v>
      </c>
      <c r="B3244" s="4" t="s">
        <v>6505</v>
      </c>
      <c r="C3244" s="4" t="s">
        <v>19</v>
      </c>
      <c r="D3244" s="4" t="s">
        <v>13</v>
      </c>
      <c r="E3244" s="5">
        <v>221.6764</v>
      </c>
      <c r="F3244" s="5">
        <v>221.5951</v>
      </c>
      <c r="G3244" s="5">
        <v>221.17609999999999</v>
      </c>
      <c r="H3244" s="4">
        <v>0</v>
      </c>
      <c r="I3244" s="6">
        <v>3457013</v>
      </c>
      <c r="J3244" s="7">
        <v>18.77</v>
      </c>
      <c r="K3244" s="9">
        <f>(PricingDataTable[[#This Row],[Current Price ($)]]-PricingDataTable[[#This Row],[Prior Price ($)]])/PricingDataTable[[#This Row],[Prior Price ($)]]</f>
        <v>-3.6675081334773942E-4</v>
      </c>
      <c r="L3244" s="9">
        <f>(PricingDataTable[[#This Row],[Vendor Price ($)]]-PricingDataTable[[#This Row],[Current Price ($)]])/PricingDataTable[[#This Row],[Current Price ($)]]</f>
        <v>-1.8908360338293182E-3</v>
      </c>
      <c r="M3244" t="str">
        <f t="shared" si="100"/>
        <v>PASS</v>
      </c>
      <c r="N3244" s="10" t="str">
        <f t="shared" si="101"/>
        <v>NONE</v>
      </c>
    </row>
    <row r="3245" spans="1:14">
      <c r="A3245" s="4" t="s">
        <v>6506</v>
      </c>
      <c r="B3245" s="4" t="s">
        <v>6507</v>
      </c>
      <c r="C3245" s="4" t="s">
        <v>19</v>
      </c>
      <c r="D3245" s="4" t="s">
        <v>32</v>
      </c>
      <c r="E3245" s="5">
        <v>82.742000000000004</v>
      </c>
      <c r="F3245" s="5">
        <v>81.498599999999996</v>
      </c>
      <c r="G3245" s="5">
        <v>81.322199999999995</v>
      </c>
      <c r="H3245" s="4">
        <v>1</v>
      </c>
      <c r="I3245" s="6">
        <v>73035</v>
      </c>
      <c r="J3245" s="7">
        <v>712.88</v>
      </c>
      <c r="K3245" s="9">
        <f>(PricingDataTable[[#This Row],[Current Price ($)]]-PricingDataTable[[#This Row],[Prior Price ($)]])/PricingDataTable[[#This Row],[Prior Price ($)]]</f>
        <v>-1.5027434676464288E-2</v>
      </c>
      <c r="L3245" s="9">
        <f>(PricingDataTable[[#This Row],[Vendor Price ($)]]-PricingDataTable[[#This Row],[Current Price ($)]])/PricingDataTable[[#This Row],[Current Price ($)]]</f>
        <v>-2.1644543587251929E-3</v>
      </c>
      <c r="M3245" t="str">
        <f t="shared" si="100"/>
        <v>PASS</v>
      </c>
      <c r="N3245" s="10" t="str">
        <f t="shared" si="101"/>
        <v>NONE</v>
      </c>
    </row>
    <row r="3246" spans="1:14">
      <c r="A3246" s="4" t="s">
        <v>6508</v>
      </c>
      <c r="B3246" s="4" t="s">
        <v>6509</v>
      </c>
      <c r="C3246" s="4" t="s">
        <v>19</v>
      </c>
      <c r="D3246" s="4" t="s">
        <v>13</v>
      </c>
      <c r="E3246" s="5">
        <v>229.82310000000001</v>
      </c>
      <c r="F3246" s="5">
        <v>226.49770000000001</v>
      </c>
      <c r="G3246" s="5">
        <v>227.79300000000001</v>
      </c>
      <c r="H3246" s="4">
        <v>0</v>
      </c>
      <c r="I3246" s="6">
        <v>3026830</v>
      </c>
      <c r="J3246" s="7">
        <v>43.35</v>
      </c>
      <c r="K3246" s="9">
        <f>(PricingDataTable[[#This Row],[Current Price ($)]]-PricingDataTable[[#This Row],[Prior Price ($)]])/PricingDataTable[[#This Row],[Prior Price ($)]]</f>
        <v>-1.4469389717569739E-2</v>
      </c>
      <c r="L3246" s="9">
        <f>(PricingDataTable[[#This Row],[Vendor Price ($)]]-PricingDataTable[[#This Row],[Current Price ($)]])/PricingDataTable[[#This Row],[Current Price ($)]]</f>
        <v>5.7188218688313279E-3</v>
      </c>
      <c r="M3246" t="str">
        <f t="shared" si="100"/>
        <v>PASS</v>
      </c>
      <c r="N3246" s="10" t="str">
        <f t="shared" si="101"/>
        <v>NONE</v>
      </c>
    </row>
    <row r="3247" spans="1:14">
      <c r="A3247" s="4" t="s">
        <v>6510</v>
      </c>
      <c r="B3247" s="4" t="s">
        <v>6511</v>
      </c>
      <c r="C3247" s="4" t="s">
        <v>39</v>
      </c>
      <c r="D3247" s="4" t="s">
        <v>64</v>
      </c>
      <c r="E3247" s="5">
        <v>128.20779999999999</v>
      </c>
      <c r="F3247" s="5">
        <v>129.672</v>
      </c>
      <c r="G3247" s="5">
        <v>129.61600000000001</v>
      </c>
      <c r="H3247" s="4">
        <v>1</v>
      </c>
      <c r="I3247" s="6">
        <v>567478</v>
      </c>
      <c r="J3247" s="7">
        <v>759.83</v>
      </c>
      <c r="K3247" s="9">
        <f>(PricingDataTable[[#This Row],[Current Price ($)]]-PricingDataTable[[#This Row],[Prior Price ($)]])/PricingDataTable[[#This Row],[Prior Price ($)]]</f>
        <v>1.1420521996321639E-2</v>
      </c>
      <c r="L3247" s="9">
        <f>(PricingDataTable[[#This Row],[Vendor Price ($)]]-PricingDataTable[[#This Row],[Current Price ($)]])/PricingDataTable[[#This Row],[Current Price ($)]]</f>
        <v>-4.3185884385205114E-4</v>
      </c>
      <c r="M3247" t="str">
        <f t="shared" si="100"/>
        <v>PASS</v>
      </c>
      <c r="N3247" s="10" t="str">
        <f t="shared" si="101"/>
        <v>NONE</v>
      </c>
    </row>
    <row r="3248" spans="1:14">
      <c r="A3248" s="4" t="s">
        <v>6512</v>
      </c>
      <c r="B3248" s="4" t="s">
        <v>6513</v>
      </c>
      <c r="C3248" s="4" t="s">
        <v>16</v>
      </c>
      <c r="D3248" s="4" t="s">
        <v>13</v>
      </c>
      <c r="E3248" s="5">
        <v>93.590100000000007</v>
      </c>
      <c r="F3248" s="5">
        <v>93.115200000000002</v>
      </c>
      <c r="G3248" s="5">
        <v>92.757999999999996</v>
      </c>
      <c r="H3248" s="4">
        <v>4</v>
      </c>
      <c r="I3248" s="6">
        <v>987925</v>
      </c>
      <c r="J3248" s="7">
        <v>686.14</v>
      </c>
      <c r="K3248" s="9">
        <f>(PricingDataTable[[#This Row],[Current Price ($)]]-PricingDataTable[[#This Row],[Prior Price ($)]])/PricingDataTable[[#This Row],[Prior Price ($)]]</f>
        <v>-5.0742546487289276E-3</v>
      </c>
      <c r="L3248" s="9">
        <f>(PricingDataTable[[#This Row],[Vendor Price ($)]]-PricingDataTable[[#This Row],[Current Price ($)]])/PricingDataTable[[#This Row],[Current Price ($)]]</f>
        <v>-3.8361083904669266E-3</v>
      </c>
      <c r="M3248" t="str">
        <f t="shared" si="100"/>
        <v>STALE</v>
      </c>
      <c r="N3248" s="10" t="str">
        <f t="shared" si="101"/>
        <v>LOW</v>
      </c>
    </row>
    <row r="3249" spans="1:14">
      <c r="A3249" s="4" t="s">
        <v>6514</v>
      </c>
      <c r="B3249" s="4" t="s">
        <v>6515</v>
      </c>
      <c r="C3249" s="4" t="s">
        <v>39</v>
      </c>
      <c r="D3249" s="4" t="s">
        <v>36</v>
      </c>
      <c r="E3249" s="5">
        <v>217.0642</v>
      </c>
      <c r="F3249" s="5">
        <v>214.4461</v>
      </c>
      <c r="G3249" s="5">
        <v>214.29470000000001</v>
      </c>
      <c r="H3249" s="4">
        <v>0</v>
      </c>
      <c r="I3249" s="6">
        <v>3712519</v>
      </c>
      <c r="J3249" s="7">
        <v>251.32</v>
      </c>
      <c r="K3249" s="9">
        <f>(PricingDataTable[[#This Row],[Current Price ($)]]-PricingDataTable[[#This Row],[Prior Price ($)]])/PricingDataTable[[#This Row],[Prior Price ($)]]</f>
        <v>-1.2061408560232403E-2</v>
      </c>
      <c r="L3249" s="9">
        <f>(PricingDataTable[[#This Row],[Vendor Price ($)]]-PricingDataTable[[#This Row],[Current Price ($)]])/PricingDataTable[[#This Row],[Current Price ($)]]</f>
        <v>-7.0600491219003432E-4</v>
      </c>
      <c r="M3249" t="str">
        <f t="shared" si="100"/>
        <v>PASS</v>
      </c>
      <c r="N3249" s="10" t="str">
        <f t="shared" si="101"/>
        <v>NONE</v>
      </c>
    </row>
    <row r="3250" spans="1:14">
      <c r="A3250" s="4" t="s">
        <v>6516</v>
      </c>
      <c r="B3250" s="4" t="s">
        <v>6517</v>
      </c>
      <c r="C3250" s="4" t="s">
        <v>35</v>
      </c>
      <c r="D3250" s="4" t="s">
        <v>32</v>
      </c>
      <c r="E3250" s="5">
        <v>79.5107</v>
      </c>
      <c r="F3250" s="5">
        <v>79.407700000000006</v>
      </c>
      <c r="G3250" s="5">
        <v>79.452600000000004</v>
      </c>
      <c r="H3250" s="4">
        <v>0</v>
      </c>
      <c r="I3250" s="6">
        <v>1670970</v>
      </c>
      <c r="J3250" s="7">
        <v>664.08</v>
      </c>
      <c r="K3250" s="9">
        <f>(PricingDataTable[[#This Row],[Current Price ($)]]-PricingDataTable[[#This Row],[Prior Price ($)]])/PricingDataTable[[#This Row],[Prior Price ($)]]</f>
        <v>-1.2954231317293702E-3</v>
      </c>
      <c r="L3250" s="9">
        <f>(PricingDataTable[[#This Row],[Vendor Price ($)]]-PricingDataTable[[#This Row],[Current Price ($)]])/PricingDataTable[[#This Row],[Current Price ($)]]</f>
        <v>5.6543634937164002E-4</v>
      </c>
      <c r="M3250" t="str">
        <f t="shared" si="100"/>
        <v>PASS</v>
      </c>
      <c r="N3250" s="10" t="str">
        <f t="shared" si="101"/>
        <v>NONE</v>
      </c>
    </row>
    <row r="3251" spans="1:14">
      <c r="A3251" s="4" t="s">
        <v>6518</v>
      </c>
      <c r="B3251" s="4" t="s">
        <v>6519</v>
      </c>
      <c r="C3251" s="4" t="s">
        <v>39</v>
      </c>
      <c r="D3251" s="4" t="s">
        <v>13</v>
      </c>
      <c r="E3251" s="5">
        <v>329.36189999999999</v>
      </c>
      <c r="F3251" s="5">
        <v>334.67649999999998</v>
      </c>
      <c r="G3251" s="5">
        <v>333.03769999999997</v>
      </c>
      <c r="H3251" s="4">
        <v>0</v>
      </c>
      <c r="I3251" s="6">
        <v>1660525</v>
      </c>
      <c r="J3251" s="7">
        <v>852.16</v>
      </c>
      <c r="K3251" s="9">
        <f>(PricingDataTable[[#This Row],[Current Price ($)]]-PricingDataTable[[#This Row],[Prior Price ($)]])/PricingDataTable[[#This Row],[Prior Price ($)]]</f>
        <v>1.6136049737386093E-2</v>
      </c>
      <c r="L3251" s="9">
        <f>(PricingDataTable[[#This Row],[Vendor Price ($)]]-PricingDataTable[[#This Row],[Current Price ($)]])/PricingDataTable[[#This Row],[Current Price ($)]]</f>
        <v>-4.8966688727771551E-3</v>
      </c>
      <c r="M3251" t="str">
        <f t="shared" si="100"/>
        <v>PASS</v>
      </c>
      <c r="N3251" s="10" t="str">
        <f t="shared" si="101"/>
        <v>NONE</v>
      </c>
    </row>
    <row r="3252" spans="1:14">
      <c r="A3252" s="4" t="s">
        <v>6520</v>
      </c>
      <c r="B3252" s="4" t="s">
        <v>6521</v>
      </c>
      <c r="C3252" s="4" t="s">
        <v>16</v>
      </c>
      <c r="D3252" s="4" t="s">
        <v>13</v>
      </c>
      <c r="E3252" s="5">
        <v>96.467399999999998</v>
      </c>
      <c r="F3252" s="5">
        <v>97.879400000000004</v>
      </c>
      <c r="G3252" s="5">
        <v>97.388499999999993</v>
      </c>
      <c r="H3252" s="4">
        <v>0</v>
      </c>
      <c r="I3252" s="6">
        <v>2647422</v>
      </c>
      <c r="J3252" s="7">
        <v>223.65</v>
      </c>
      <c r="K3252" s="9">
        <f>(PricingDataTable[[#This Row],[Current Price ($)]]-PricingDataTable[[#This Row],[Prior Price ($)]])/PricingDataTable[[#This Row],[Prior Price ($)]]</f>
        <v>1.4637069103137498E-2</v>
      </c>
      <c r="L3252" s="9">
        <f>(PricingDataTable[[#This Row],[Vendor Price ($)]]-PricingDataTable[[#This Row],[Current Price ($)]])/PricingDataTable[[#This Row],[Current Price ($)]]</f>
        <v>-5.0153556315221644E-3</v>
      </c>
      <c r="M3252" t="str">
        <f t="shared" si="100"/>
        <v>PASS</v>
      </c>
      <c r="N3252" s="10" t="str">
        <f t="shared" si="101"/>
        <v>NONE</v>
      </c>
    </row>
    <row r="3253" spans="1:14">
      <c r="A3253" s="4" t="s">
        <v>6522</v>
      </c>
      <c r="B3253" s="4" t="s">
        <v>6523</v>
      </c>
      <c r="C3253" s="4" t="s">
        <v>19</v>
      </c>
      <c r="D3253" s="4" t="s">
        <v>13</v>
      </c>
      <c r="E3253" s="5">
        <v>54.7273</v>
      </c>
      <c r="F3253" s="5">
        <v>55.036099999999998</v>
      </c>
      <c r="G3253" s="5">
        <v>55.0366</v>
      </c>
      <c r="H3253" s="4">
        <v>1</v>
      </c>
      <c r="I3253" s="6">
        <v>4528947</v>
      </c>
      <c r="J3253" s="7">
        <v>80.28</v>
      </c>
      <c r="K3253" s="9">
        <f>(PricingDataTable[[#This Row],[Current Price ($)]]-PricingDataTable[[#This Row],[Prior Price ($)]])/PricingDataTable[[#This Row],[Prior Price ($)]]</f>
        <v>5.642522105055392E-3</v>
      </c>
      <c r="L3253" s="9">
        <f>(PricingDataTable[[#This Row],[Vendor Price ($)]]-PricingDataTable[[#This Row],[Current Price ($)]])/PricingDataTable[[#This Row],[Current Price ($)]]</f>
        <v>9.0849460627186063E-6</v>
      </c>
      <c r="M3253" t="str">
        <f t="shared" si="100"/>
        <v>PASS</v>
      </c>
      <c r="N3253" s="10" t="str">
        <f t="shared" si="101"/>
        <v>NONE</v>
      </c>
    </row>
    <row r="3254" spans="1:14">
      <c r="A3254" s="4" t="s">
        <v>6524</v>
      </c>
      <c r="B3254" s="4" t="s">
        <v>6525</v>
      </c>
      <c r="C3254" s="4" t="s">
        <v>19</v>
      </c>
      <c r="D3254" s="4" t="s">
        <v>13</v>
      </c>
      <c r="E3254" s="5">
        <v>282.3535</v>
      </c>
      <c r="F3254" s="5">
        <v>284.2996</v>
      </c>
      <c r="G3254" s="5">
        <v>284.31659999999999</v>
      </c>
      <c r="H3254" s="4">
        <v>1</v>
      </c>
      <c r="I3254" s="6">
        <v>207256</v>
      </c>
      <c r="J3254" s="7">
        <v>519.21</v>
      </c>
      <c r="K3254" s="9">
        <f>(PricingDataTable[[#This Row],[Current Price ($)]]-PricingDataTable[[#This Row],[Prior Price ($)]])/PricingDataTable[[#This Row],[Prior Price ($)]]</f>
        <v>6.8924238587444505E-3</v>
      </c>
      <c r="L3254" s="9">
        <f>(PricingDataTable[[#This Row],[Vendor Price ($)]]-PricingDataTable[[#This Row],[Current Price ($)]])/PricingDataTable[[#This Row],[Current Price ($)]]</f>
        <v>5.9796074282186496E-5</v>
      </c>
      <c r="M3254" t="str">
        <f t="shared" si="100"/>
        <v>PASS</v>
      </c>
      <c r="N3254" s="10" t="str">
        <f t="shared" si="101"/>
        <v>NONE</v>
      </c>
    </row>
    <row r="3255" spans="1:14">
      <c r="A3255" s="4" t="s">
        <v>6526</v>
      </c>
      <c r="B3255" s="4" t="s">
        <v>6527</v>
      </c>
      <c r="C3255" s="4" t="s">
        <v>12</v>
      </c>
      <c r="D3255" s="4" t="s">
        <v>13</v>
      </c>
      <c r="E3255" s="5">
        <v>114.84139999999999</v>
      </c>
      <c r="F3255" s="5">
        <v>115.8942</v>
      </c>
      <c r="G3255" s="5">
        <v>121.89279999999999</v>
      </c>
      <c r="H3255" s="4">
        <v>0</v>
      </c>
      <c r="I3255" s="6">
        <v>4950116</v>
      </c>
      <c r="J3255" s="7">
        <v>260.18</v>
      </c>
      <c r="K3255" s="9">
        <f>(PricingDataTable[[#This Row],[Current Price ($)]]-PricingDataTable[[#This Row],[Prior Price ($)]])/PricingDataTable[[#This Row],[Prior Price ($)]]</f>
        <v>9.1674256844657496E-3</v>
      </c>
      <c r="L3255" s="9">
        <f>(PricingDataTable[[#This Row],[Vendor Price ($)]]-PricingDataTable[[#This Row],[Current Price ($)]])/PricingDataTable[[#This Row],[Current Price ($)]]</f>
        <v>5.1759276995742634E-2</v>
      </c>
      <c r="M3255" t="str">
        <f t="shared" si="100"/>
        <v>VENDOR DIFFERENCE</v>
      </c>
      <c r="N3255" s="10" t="str">
        <f t="shared" si="101"/>
        <v>HIGH</v>
      </c>
    </row>
    <row r="3256" spans="1:14">
      <c r="A3256" s="4" t="s">
        <v>6528</v>
      </c>
      <c r="B3256" s="4" t="s">
        <v>6529</v>
      </c>
      <c r="C3256" s="4" t="s">
        <v>12</v>
      </c>
      <c r="D3256" s="4" t="s">
        <v>13</v>
      </c>
      <c r="E3256" s="5">
        <v>107.3428</v>
      </c>
      <c r="F3256" s="5">
        <v>107.8964</v>
      </c>
      <c r="G3256" s="5">
        <v>108.03570000000001</v>
      </c>
      <c r="H3256" s="4">
        <v>0</v>
      </c>
      <c r="I3256" s="6">
        <v>2253906</v>
      </c>
      <c r="J3256" s="7">
        <v>702.51</v>
      </c>
      <c r="K3256" s="9">
        <f>(PricingDataTable[[#This Row],[Current Price ($)]]-PricingDataTable[[#This Row],[Prior Price ($)]])/PricingDataTable[[#This Row],[Prior Price ($)]]</f>
        <v>5.1573091068986745E-3</v>
      </c>
      <c r="L3256" s="9">
        <f>(PricingDataTable[[#This Row],[Vendor Price ($)]]-PricingDataTable[[#This Row],[Current Price ($)]])/PricingDataTable[[#This Row],[Current Price ($)]]</f>
        <v>1.2910532696179459E-3</v>
      </c>
      <c r="M3256" t="str">
        <f t="shared" si="100"/>
        <v>PASS</v>
      </c>
      <c r="N3256" s="10" t="str">
        <f t="shared" si="101"/>
        <v>NONE</v>
      </c>
    </row>
    <row r="3257" spans="1:14">
      <c r="A3257" s="4" t="s">
        <v>6530</v>
      </c>
      <c r="B3257" s="4" t="s">
        <v>6531</v>
      </c>
      <c r="C3257" s="4" t="s">
        <v>12</v>
      </c>
      <c r="D3257" s="4" t="s">
        <v>13</v>
      </c>
      <c r="E3257" s="5">
        <v>117.46599999999999</v>
      </c>
      <c r="F3257" s="5">
        <v>116.28270000000001</v>
      </c>
      <c r="G3257" s="5">
        <v>116.2397</v>
      </c>
      <c r="H3257" s="4">
        <v>0</v>
      </c>
      <c r="I3257" s="6">
        <v>4450328</v>
      </c>
      <c r="J3257" s="7">
        <v>529.05999999999995</v>
      </c>
      <c r="K3257" s="9">
        <f>(PricingDataTable[[#This Row],[Current Price ($)]]-PricingDataTable[[#This Row],[Prior Price ($)]])/PricingDataTable[[#This Row],[Prior Price ($)]]</f>
        <v>-1.0073553198372198E-2</v>
      </c>
      <c r="L3257" s="9">
        <f>(PricingDataTable[[#This Row],[Vendor Price ($)]]-PricingDataTable[[#This Row],[Current Price ($)]])/PricingDataTable[[#This Row],[Current Price ($)]]</f>
        <v>-3.6978845520448323E-4</v>
      </c>
      <c r="M3257" t="str">
        <f t="shared" si="100"/>
        <v>PASS</v>
      </c>
      <c r="N3257" s="10" t="str">
        <f t="shared" si="101"/>
        <v>NONE</v>
      </c>
    </row>
    <row r="3258" spans="1:14">
      <c r="A3258" s="4" t="s">
        <v>6532</v>
      </c>
      <c r="B3258" s="4" t="s">
        <v>6533</v>
      </c>
      <c r="C3258" s="4" t="s">
        <v>16</v>
      </c>
      <c r="D3258" s="4" t="s">
        <v>13</v>
      </c>
      <c r="E3258" s="5">
        <v>87.508799999999994</v>
      </c>
      <c r="F3258" s="5">
        <v>88.871399999999994</v>
      </c>
      <c r="G3258" s="5">
        <v>88.8232</v>
      </c>
      <c r="H3258" s="4">
        <v>0</v>
      </c>
      <c r="I3258" s="6">
        <v>532761</v>
      </c>
      <c r="J3258" s="7">
        <v>479.11</v>
      </c>
      <c r="K3258" s="9">
        <f>(PricingDataTable[[#This Row],[Current Price ($)]]-PricingDataTable[[#This Row],[Prior Price ($)]])/PricingDataTable[[#This Row],[Prior Price ($)]]</f>
        <v>1.5571005430311015E-2</v>
      </c>
      <c r="L3258" s="9">
        <f>(PricingDataTable[[#This Row],[Vendor Price ($)]]-PricingDataTable[[#This Row],[Current Price ($)]])/PricingDataTable[[#This Row],[Current Price ($)]]</f>
        <v>-5.4235670868236856E-4</v>
      </c>
      <c r="M3258" t="str">
        <f t="shared" si="100"/>
        <v>PASS</v>
      </c>
      <c r="N3258" s="10" t="str">
        <f t="shared" si="101"/>
        <v>NONE</v>
      </c>
    </row>
    <row r="3259" spans="1:14">
      <c r="A3259" s="4" t="s">
        <v>6534</v>
      </c>
      <c r="B3259" s="4" t="s">
        <v>6535</v>
      </c>
      <c r="C3259" s="4" t="s">
        <v>16</v>
      </c>
      <c r="D3259" s="4" t="s">
        <v>13</v>
      </c>
      <c r="E3259" s="5">
        <v>95.531000000000006</v>
      </c>
      <c r="F3259" s="5">
        <v>95.743099999999998</v>
      </c>
      <c r="G3259" s="5">
        <v>95.504599999999996</v>
      </c>
      <c r="H3259" s="4">
        <v>2</v>
      </c>
      <c r="I3259" s="6">
        <v>1945875</v>
      </c>
      <c r="J3259" s="7">
        <v>340.09</v>
      </c>
      <c r="K3259" s="9">
        <f>(PricingDataTable[[#This Row],[Current Price ($)]]-PricingDataTable[[#This Row],[Prior Price ($)]])/PricingDataTable[[#This Row],[Prior Price ($)]]</f>
        <v>2.220221708136546E-3</v>
      </c>
      <c r="L3259" s="9">
        <f>(PricingDataTable[[#This Row],[Vendor Price ($)]]-PricingDataTable[[#This Row],[Current Price ($)]])/PricingDataTable[[#This Row],[Current Price ($)]]</f>
        <v>-2.4910411298568976E-3</v>
      </c>
      <c r="M3259" t="str">
        <f t="shared" si="100"/>
        <v>PASS</v>
      </c>
      <c r="N3259" s="10" t="str">
        <f t="shared" si="101"/>
        <v>NONE</v>
      </c>
    </row>
    <row r="3260" spans="1:14">
      <c r="A3260" s="4" t="s">
        <v>6536</v>
      </c>
      <c r="B3260" s="4" t="s">
        <v>6537</v>
      </c>
      <c r="C3260" s="4" t="s">
        <v>12</v>
      </c>
      <c r="D3260" s="4" t="s">
        <v>64</v>
      </c>
      <c r="E3260" s="5">
        <v>100.6045</v>
      </c>
      <c r="F3260" s="5">
        <v>99.811000000000007</v>
      </c>
      <c r="G3260" s="5">
        <v>99.891300000000001</v>
      </c>
      <c r="H3260" s="4">
        <v>0</v>
      </c>
      <c r="I3260" s="6">
        <v>1828182</v>
      </c>
      <c r="J3260" s="7">
        <v>588.6</v>
      </c>
      <c r="K3260" s="9">
        <f>(PricingDataTable[[#This Row],[Current Price ($)]]-PricingDataTable[[#This Row],[Prior Price ($)]])/PricingDataTable[[#This Row],[Prior Price ($)]]</f>
        <v>-7.8873211436863606E-3</v>
      </c>
      <c r="L3260" s="9">
        <f>(PricingDataTable[[#This Row],[Vendor Price ($)]]-PricingDataTable[[#This Row],[Current Price ($)]])/PricingDataTable[[#This Row],[Current Price ($)]]</f>
        <v>8.0452054382777489E-4</v>
      </c>
      <c r="M3260" t="str">
        <f t="shared" si="100"/>
        <v>PASS</v>
      </c>
      <c r="N3260" s="10" t="str">
        <f t="shared" si="101"/>
        <v>NONE</v>
      </c>
    </row>
    <row r="3261" spans="1:14">
      <c r="A3261" s="4" t="s">
        <v>6538</v>
      </c>
      <c r="B3261" s="4" t="s">
        <v>6539</v>
      </c>
      <c r="C3261" s="4" t="s">
        <v>19</v>
      </c>
      <c r="D3261" s="4" t="s">
        <v>13</v>
      </c>
      <c r="E3261" s="5">
        <v>326.9101</v>
      </c>
      <c r="F3261" s="5">
        <v>329.19499999999999</v>
      </c>
      <c r="G3261" s="5">
        <v>330.18079999999998</v>
      </c>
      <c r="H3261" s="4">
        <v>2</v>
      </c>
      <c r="I3261" s="6">
        <v>658848</v>
      </c>
      <c r="J3261" s="7">
        <v>285.75</v>
      </c>
      <c r="K3261" s="9">
        <f>(PricingDataTable[[#This Row],[Current Price ($)]]-PricingDataTable[[#This Row],[Prior Price ($)]])/PricingDataTable[[#This Row],[Prior Price ($)]]</f>
        <v>6.9893833197566951E-3</v>
      </c>
      <c r="L3261" s="9">
        <f>(PricingDataTable[[#This Row],[Vendor Price ($)]]-PricingDataTable[[#This Row],[Current Price ($)]])/PricingDataTable[[#This Row],[Current Price ($)]]</f>
        <v>2.9945776819209993E-3</v>
      </c>
      <c r="M3261" t="str">
        <f t="shared" si="100"/>
        <v>PASS</v>
      </c>
      <c r="N3261" s="10" t="str">
        <f t="shared" si="101"/>
        <v>NONE</v>
      </c>
    </row>
    <row r="3262" spans="1:14">
      <c r="A3262" s="4" t="s">
        <v>6540</v>
      </c>
      <c r="B3262" s="4" t="s">
        <v>6541</v>
      </c>
      <c r="C3262" s="4" t="s">
        <v>39</v>
      </c>
      <c r="D3262" s="4" t="s">
        <v>13</v>
      </c>
      <c r="E3262" s="5">
        <v>145.90870000000001</v>
      </c>
      <c r="F3262" s="5">
        <v>148.0384</v>
      </c>
      <c r="G3262" s="5">
        <v>148.0538</v>
      </c>
      <c r="H3262" s="4">
        <v>0</v>
      </c>
      <c r="I3262" s="6">
        <v>2663062</v>
      </c>
      <c r="J3262" s="7">
        <v>455.21</v>
      </c>
      <c r="K3262" s="9">
        <f>(PricingDataTable[[#This Row],[Current Price ($)]]-PricingDataTable[[#This Row],[Prior Price ($)]])/PricingDataTable[[#This Row],[Prior Price ($)]]</f>
        <v>1.4596113871208401E-2</v>
      </c>
      <c r="L3262" s="9">
        <f>(PricingDataTable[[#This Row],[Vendor Price ($)]]-PricingDataTable[[#This Row],[Current Price ($)]])/PricingDataTable[[#This Row],[Current Price ($)]]</f>
        <v>1.0402706324845201E-4</v>
      </c>
      <c r="M3262" t="str">
        <f t="shared" si="100"/>
        <v>PASS</v>
      </c>
      <c r="N3262" s="10" t="str">
        <f t="shared" si="101"/>
        <v>NONE</v>
      </c>
    </row>
    <row r="3263" spans="1:14">
      <c r="A3263" s="4" t="s">
        <v>6542</v>
      </c>
      <c r="B3263" s="4" t="s">
        <v>6543</v>
      </c>
      <c r="C3263" s="4" t="s">
        <v>16</v>
      </c>
      <c r="D3263" s="4" t="s">
        <v>13</v>
      </c>
      <c r="E3263" s="5">
        <v>90.521699999999996</v>
      </c>
      <c r="F3263" s="5">
        <v>90.323999999999998</v>
      </c>
      <c r="G3263" s="5">
        <v>89.800799999999995</v>
      </c>
      <c r="H3263" s="4">
        <v>0</v>
      </c>
      <c r="I3263" s="6">
        <v>349171</v>
      </c>
      <c r="J3263" s="7">
        <v>565.23</v>
      </c>
      <c r="K3263" s="9">
        <f>(PricingDataTable[[#This Row],[Current Price ($)]]-PricingDataTable[[#This Row],[Prior Price ($)]])/PricingDataTable[[#This Row],[Prior Price ($)]]</f>
        <v>-2.1840067077838524E-3</v>
      </c>
      <c r="L3263" s="9">
        <f>(PricingDataTable[[#This Row],[Vendor Price ($)]]-PricingDataTable[[#This Row],[Current Price ($)]])/PricingDataTable[[#This Row],[Current Price ($)]]</f>
        <v>-5.7924804038793987E-3</v>
      </c>
      <c r="M3263" t="str">
        <f t="shared" si="100"/>
        <v>PASS</v>
      </c>
      <c r="N3263" s="10" t="str">
        <f t="shared" si="101"/>
        <v>NONE</v>
      </c>
    </row>
    <row r="3264" spans="1:14">
      <c r="A3264" s="4" t="s">
        <v>6544</v>
      </c>
      <c r="B3264" s="4" t="s">
        <v>6545</v>
      </c>
      <c r="C3264" s="4" t="s">
        <v>12</v>
      </c>
      <c r="D3264" s="4" t="s">
        <v>13</v>
      </c>
      <c r="E3264" s="5">
        <v>86.628100000000003</v>
      </c>
      <c r="F3264" s="5">
        <v>85.690600000000003</v>
      </c>
      <c r="G3264" s="5">
        <v>85.573800000000006</v>
      </c>
      <c r="H3264" s="4">
        <v>1</v>
      </c>
      <c r="I3264" s="6">
        <v>3273000</v>
      </c>
      <c r="J3264" s="7">
        <v>542.49</v>
      </c>
      <c r="K3264" s="9">
        <f>(PricingDataTable[[#This Row],[Current Price ($)]]-PricingDataTable[[#This Row],[Prior Price ($)]])/PricingDataTable[[#This Row],[Prior Price ($)]]</f>
        <v>-1.0822123537281783E-2</v>
      </c>
      <c r="L3264" s="9">
        <f>(PricingDataTable[[#This Row],[Vendor Price ($)]]-PricingDataTable[[#This Row],[Current Price ($)]])/PricingDataTable[[#This Row],[Current Price ($)]]</f>
        <v>-1.3630433209710026E-3</v>
      </c>
      <c r="M3264" t="str">
        <f t="shared" si="100"/>
        <v>PASS</v>
      </c>
      <c r="N3264" s="10" t="str">
        <f t="shared" si="101"/>
        <v>NONE</v>
      </c>
    </row>
    <row r="3265" spans="1:14">
      <c r="A3265" s="4" t="s">
        <v>6546</v>
      </c>
      <c r="B3265" s="4" t="s">
        <v>6547</v>
      </c>
      <c r="C3265" s="4" t="s">
        <v>19</v>
      </c>
      <c r="D3265" s="4" t="s">
        <v>13</v>
      </c>
      <c r="E3265" s="5">
        <v>215.64850000000001</v>
      </c>
      <c r="F3265" s="5">
        <v>215.04949999999999</v>
      </c>
      <c r="G3265" s="5">
        <v>215.17099999999999</v>
      </c>
      <c r="H3265" s="4">
        <v>0</v>
      </c>
      <c r="I3265" s="6">
        <v>1871099</v>
      </c>
      <c r="J3265" s="7">
        <v>779.24</v>
      </c>
      <c r="K3265" s="9">
        <f>(PricingDataTable[[#This Row],[Current Price ($)]]-PricingDataTable[[#This Row],[Prior Price ($)]])/PricingDataTable[[#This Row],[Prior Price ($)]]</f>
        <v>-2.7776682889054083E-3</v>
      </c>
      <c r="L3265" s="9">
        <f>(PricingDataTable[[#This Row],[Vendor Price ($)]]-PricingDataTable[[#This Row],[Current Price ($)]])/PricingDataTable[[#This Row],[Current Price ($)]]</f>
        <v>5.6498620085142031E-4</v>
      </c>
      <c r="M3265" t="str">
        <f t="shared" si="100"/>
        <v>PASS</v>
      </c>
      <c r="N3265" s="10" t="str">
        <f t="shared" si="101"/>
        <v>NONE</v>
      </c>
    </row>
    <row r="3266" spans="1:14">
      <c r="A3266" s="4" t="s">
        <v>6548</v>
      </c>
      <c r="B3266" s="4" t="s">
        <v>6549</v>
      </c>
      <c r="C3266" s="4" t="s">
        <v>19</v>
      </c>
      <c r="D3266" s="4" t="s">
        <v>13</v>
      </c>
      <c r="E3266" s="5">
        <v>313.07389999999998</v>
      </c>
      <c r="F3266" s="5">
        <v>313.59699999999998</v>
      </c>
      <c r="G3266" s="5">
        <v>313.17509999999999</v>
      </c>
      <c r="H3266" s="4">
        <v>0</v>
      </c>
      <c r="I3266" s="6">
        <v>192886</v>
      </c>
      <c r="J3266" s="7">
        <v>68.319999999999993</v>
      </c>
      <c r="K3266" s="9">
        <f>(PricingDataTable[[#This Row],[Current Price ($)]]-PricingDataTable[[#This Row],[Prior Price ($)]])/PricingDataTable[[#This Row],[Prior Price ($)]]</f>
        <v>1.6708515146104466E-3</v>
      </c>
      <c r="L3266" s="9">
        <f>(PricingDataTable[[#This Row],[Vendor Price ($)]]-PricingDataTable[[#This Row],[Current Price ($)]])/PricingDataTable[[#This Row],[Current Price ($)]]</f>
        <v>-1.3453572578819113E-3</v>
      </c>
      <c r="M3266" t="str">
        <f t="shared" ref="M3266:M3329" si="102">IF(OR(F3266="",F3266=0),"MISSING",IF(H3266&gt;=3,"STALE",IF(ABS(K3266)&gt;=5%,"LARGE MOVE",IF(ABS(L3266)&gt;=2%,"VENDOR DIFFERENCE","PASS"))))</f>
        <v>PASS</v>
      </c>
      <c r="N3266" s="10" t="str">
        <f t="shared" ref="N3266:N3329" si="103">IF(M3266="PASS","NONE",IF(M3266="MISSING","HIGH",IF(OR(ABS(K3266)&gt;=10%,ABS(L3266)&gt;=5%),"HIGH",IF(OR(ABS(K3266)&gt;=7%,ABS(L3266)&gt;=3%,H3266&gt;=5),"MEDIUM","LOW"))))</f>
        <v>NONE</v>
      </c>
    </row>
    <row r="3267" spans="1:14">
      <c r="A3267" s="4" t="s">
        <v>6550</v>
      </c>
      <c r="B3267" s="4" t="s">
        <v>6551</v>
      </c>
      <c r="C3267" s="4" t="s">
        <v>12</v>
      </c>
      <c r="D3267" s="4" t="s">
        <v>13</v>
      </c>
      <c r="E3267" s="5">
        <v>86.294600000000003</v>
      </c>
      <c r="F3267" s="5">
        <v>88.612300000000005</v>
      </c>
      <c r="G3267" s="5">
        <v>88.465100000000007</v>
      </c>
      <c r="H3267" s="4">
        <v>0</v>
      </c>
      <c r="I3267" s="6">
        <v>2110486</v>
      </c>
      <c r="J3267" s="7">
        <v>312.49</v>
      </c>
      <c r="K3267" s="9">
        <f>(PricingDataTable[[#This Row],[Current Price ($)]]-PricingDataTable[[#This Row],[Prior Price ($)]])/PricingDataTable[[#This Row],[Prior Price ($)]]</f>
        <v>2.685799574944437E-2</v>
      </c>
      <c r="L3267" s="9">
        <f>(PricingDataTable[[#This Row],[Vendor Price ($)]]-PricingDataTable[[#This Row],[Current Price ($)]])/PricingDataTable[[#This Row],[Current Price ($)]]</f>
        <v>-1.6611689347866829E-3</v>
      </c>
      <c r="M3267" t="str">
        <f t="shared" si="102"/>
        <v>PASS</v>
      </c>
      <c r="N3267" s="10" t="str">
        <f t="shared" si="103"/>
        <v>NONE</v>
      </c>
    </row>
    <row r="3268" spans="1:14">
      <c r="A3268" s="4" t="s">
        <v>6552</v>
      </c>
      <c r="B3268" s="4" t="s">
        <v>6553</v>
      </c>
      <c r="C3268" s="4" t="s">
        <v>19</v>
      </c>
      <c r="D3268" s="4" t="s">
        <v>32</v>
      </c>
      <c r="E3268" s="5">
        <v>199.54320000000001</v>
      </c>
      <c r="F3268" s="5">
        <v>202.2458</v>
      </c>
      <c r="G3268" s="5">
        <v>202.79830000000001</v>
      </c>
      <c r="H3268" s="4">
        <v>0</v>
      </c>
      <c r="I3268" s="6">
        <v>2588984</v>
      </c>
      <c r="J3268" s="7">
        <v>200.29</v>
      </c>
      <c r="K3268" s="9">
        <f>(PricingDataTable[[#This Row],[Current Price ($)]]-PricingDataTable[[#This Row],[Prior Price ($)]])/PricingDataTable[[#This Row],[Prior Price ($)]]</f>
        <v>1.3543934346046317E-2</v>
      </c>
      <c r="L3268" s="9">
        <f>(PricingDataTable[[#This Row],[Vendor Price ($)]]-PricingDataTable[[#This Row],[Current Price ($)]])/PricingDataTable[[#This Row],[Current Price ($)]]</f>
        <v>2.7318243444363695E-3</v>
      </c>
      <c r="M3268" t="str">
        <f t="shared" si="102"/>
        <v>PASS</v>
      </c>
      <c r="N3268" s="10" t="str">
        <f t="shared" si="103"/>
        <v>NONE</v>
      </c>
    </row>
    <row r="3269" spans="1:14">
      <c r="A3269" s="4" t="s">
        <v>6554</v>
      </c>
      <c r="B3269" s="4" t="s">
        <v>6555</v>
      </c>
      <c r="C3269" s="4" t="s">
        <v>39</v>
      </c>
      <c r="D3269" s="4" t="s">
        <v>13</v>
      </c>
      <c r="E3269" s="5">
        <v>290.51620000000003</v>
      </c>
      <c r="F3269" s="5">
        <v>295.62889999999999</v>
      </c>
      <c r="G3269" s="5">
        <v>296.13979999999998</v>
      </c>
      <c r="H3269" s="4">
        <v>0</v>
      </c>
      <c r="I3269" s="6">
        <v>290964</v>
      </c>
      <c r="J3269" s="7">
        <v>699.62</v>
      </c>
      <c r="K3269" s="9">
        <f>(PricingDataTable[[#This Row],[Current Price ($)]]-PricingDataTable[[#This Row],[Prior Price ($)]])/PricingDataTable[[#This Row],[Prior Price ($)]]</f>
        <v>1.7598674359639705E-2</v>
      </c>
      <c r="L3269" s="9">
        <f>(PricingDataTable[[#This Row],[Vendor Price ($)]]-PricingDataTable[[#This Row],[Current Price ($)]])/PricingDataTable[[#This Row],[Current Price ($)]]</f>
        <v>1.7281801610058839E-3</v>
      </c>
      <c r="M3269" t="str">
        <f t="shared" si="102"/>
        <v>PASS</v>
      </c>
      <c r="N3269" s="10" t="str">
        <f t="shared" si="103"/>
        <v>NONE</v>
      </c>
    </row>
    <row r="3270" spans="1:14">
      <c r="A3270" s="4" t="s">
        <v>6556</v>
      </c>
      <c r="B3270" s="4" t="s">
        <v>6557</v>
      </c>
      <c r="C3270" s="4" t="s">
        <v>16</v>
      </c>
      <c r="D3270" s="4" t="s">
        <v>36</v>
      </c>
      <c r="E3270" s="5">
        <v>106.8516</v>
      </c>
      <c r="F3270" s="5">
        <v>107.8374</v>
      </c>
      <c r="G3270" s="5">
        <v>107.6387</v>
      </c>
      <c r="H3270" s="4">
        <v>2</v>
      </c>
      <c r="I3270" s="6">
        <v>571107</v>
      </c>
      <c r="J3270" s="7">
        <v>242.36</v>
      </c>
      <c r="K3270" s="9">
        <f>(PricingDataTable[[#This Row],[Current Price ($)]]-PricingDataTable[[#This Row],[Prior Price ($)]])/PricingDataTable[[#This Row],[Prior Price ($)]]</f>
        <v>9.2258796311894022E-3</v>
      </c>
      <c r="L3270" s="9">
        <f>(PricingDataTable[[#This Row],[Vendor Price ($)]]-PricingDataTable[[#This Row],[Current Price ($)]])/PricingDataTable[[#This Row],[Current Price ($)]]</f>
        <v>-1.842588934822263E-3</v>
      </c>
      <c r="M3270" t="str">
        <f t="shared" si="102"/>
        <v>PASS</v>
      </c>
      <c r="N3270" s="10" t="str">
        <f t="shared" si="103"/>
        <v>NONE</v>
      </c>
    </row>
    <row r="3271" spans="1:14">
      <c r="A3271" s="4" t="s">
        <v>6558</v>
      </c>
      <c r="B3271" s="4" t="s">
        <v>6559</v>
      </c>
      <c r="C3271" s="4" t="s">
        <v>19</v>
      </c>
      <c r="D3271" s="4" t="s">
        <v>237</v>
      </c>
      <c r="E3271" s="5">
        <v>269.45249999999999</v>
      </c>
      <c r="F3271" s="5">
        <v>272.33049999999997</v>
      </c>
      <c r="G3271" s="5">
        <v>272.8125</v>
      </c>
      <c r="H3271" s="4">
        <v>0</v>
      </c>
      <c r="I3271" s="6">
        <v>4264967</v>
      </c>
      <c r="J3271" s="7">
        <v>792.9</v>
      </c>
      <c r="K3271" s="9">
        <f>(PricingDataTable[[#This Row],[Current Price ($)]]-PricingDataTable[[#This Row],[Prior Price ($)]])/PricingDataTable[[#This Row],[Prior Price ($)]]</f>
        <v>1.0680917786993946E-2</v>
      </c>
      <c r="L3271" s="9">
        <f>(PricingDataTable[[#This Row],[Vendor Price ($)]]-PricingDataTable[[#This Row],[Current Price ($)]])/PricingDataTable[[#This Row],[Current Price ($)]]</f>
        <v>1.7699082548595468E-3</v>
      </c>
      <c r="M3271" t="str">
        <f t="shared" si="102"/>
        <v>PASS</v>
      </c>
      <c r="N3271" s="10" t="str">
        <f t="shared" si="103"/>
        <v>NONE</v>
      </c>
    </row>
    <row r="3272" spans="1:14">
      <c r="A3272" s="4" t="s">
        <v>6560</v>
      </c>
      <c r="B3272" s="4" t="s">
        <v>6561</v>
      </c>
      <c r="C3272" s="4" t="s">
        <v>35</v>
      </c>
      <c r="D3272" s="4" t="s">
        <v>13</v>
      </c>
      <c r="E3272" s="5">
        <v>45.089700000000001</v>
      </c>
      <c r="F3272" s="5">
        <v>44.931600000000003</v>
      </c>
      <c r="G3272" s="5">
        <v>45.048499999999997</v>
      </c>
      <c r="H3272" s="4">
        <v>0</v>
      </c>
      <c r="I3272" s="6">
        <v>1703602</v>
      </c>
      <c r="J3272" s="7">
        <v>54.34</v>
      </c>
      <c r="K3272" s="9">
        <f>(PricingDataTable[[#This Row],[Current Price ($)]]-PricingDataTable[[#This Row],[Prior Price ($)]])/PricingDataTable[[#This Row],[Prior Price ($)]]</f>
        <v>-3.5063440209182465E-3</v>
      </c>
      <c r="L3272" s="9">
        <f>(PricingDataTable[[#This Row],[Vendor Price ($)]]-PricingDataTable[[#This Row],[Current Price ($)]])/PricingDataTable[[#This Row],[Current Price ($)]]</f>
        <v>2.6017324110424291E-3</v>
      </c>
      <c r="M3272" t="str">
        <f t="shared" si="102"/>
        <v>PASS</v>
      </c>
      <c r="N3272" s="10" t="str">
        <f t="shared" si="103"/>
        <v>NONE</v>
      </c>
    </row>
    <row r="3273" spans="1:14">
      <c r="A3273" s="4" t="s">
        <v>6562</v>
      </c>
      <c r="B3273" s="4" t="s">
        <v>6563</v>
      </c>
      <c r="C3273" s="4" t="s">
        <v>19</v>
      </c>
      <c r="D3273" s="4" t="s">
        <v>36</v>
      </c>
      <c r="E3273" s="5">
        <v>18.083100000000002</v>
      </c>
      <c r="F3273" s="5">
        <v>17.916799999999999</v>
      </c>
      <c r="G3273" s="5">
        <v>17.918700000000001</v>
      </c>
      <c r="H3273" s="4">
        <v>0</v>
      </c>
      <c r="I3273" s="6">
        <v>4934941</v>
      </c>
      <c r="J3273" s="7">
        <v>139.74</v>
      </c>
      <c r="K3273" s="9">
        <f>(PricingDataTable[[#This Row],[Current Price ($)]]-PricingDataTable[[#This Row],[Prior Price ($)]])/PricingDataTable[[#This Row],[Prior Price ($)]]</f>
        <v>-9.1964320276945438E-3</v>
      </c>
      <c r="L3273" s="9">
        <f>(PricingDataTable[[#This Row],[Vendor Price ($)]]-PricingDataTable[[#This Row],[Current Price ($)]])/PricingDataTable[[#This Row],[Current Price ($)]]</f>
        <v>1.0604572245058702E-4</v>
      </c>
      <c r="M3273" t="str">
        <f t="shared" si="102"/>
        <v>PASS</v>
      </c>
      <c r="N3273" s="10" t="str">
        <f t="shared" si="103"/>
        <v>NONE</v>
      </c>
    </row>
    <row r="3274" spans="1:14">
      <c r="A3274" s="4" t="s">
        <v>6564</v>
      </c>
      <c r="B3274" s="4" t="s">
        <v>6565</v>
      </c>
      <c r="C3274" s="4" t="s">
        <v>39</v>
      </c>
      <c r="D3274" s="4" t="s">
        <v>36</v>
      </c>
      <c r="E3274" s="5">
        <v>239.48570000000001</v>
      </c>
      <c r="F3274" s="5">
        <v>243.24639999999999</v>
      </c>
      <c r="G3274" s="5">
        <v>242.7764</v>
      </c>
      <c r="H3274" s="4">
        <v>0</v>
      </c>
      <c r="I3274" s="6">
        <v>3976092</v>
      </c>
      <c r="J3274" s="7">
        <v>429.93</v>
      </c>
      <c r="K3274" s="9">
        <f>(PricingDataTable[[#This Row],[Current Price ($)]]-PricingDataTable[[#This Row],[Prior Price ($)]])/PricingDataTable[[#This Row],[Prior Price ($)]]</f>
        <v>1.5703234055310968E-2</v>
      </c>
      <c r="L3274" s="9">
        <f>(PricingDataTable[[#This Row],[Vendor Price ($)]]-PricingDataTable[[#This Row],[Current Price ($)]])/PricingDataTable[[#This Row],[Current Price ($)]]</f>
        <v>-1.9321971465970263E-3</v>
      </c>
      <c r="M3274" t="str">
        <f t="shared" si="102"/>
        <v>PASS</v>
      </c>
      <c r="N3274" s="10" t="str">
        <f t="shared" si="103"/>
        <v>NONE</v>
      </c>
    </row>
    <row r="3275" spans="1:14">
      <c r="A3275" s="4" t="s">
        <v>6566</v>
      </c>
      <c r="B3275" s="4" t="s">
        <v>6567</v>
      </c>
      <c r="C3275" s="4" t="s">
        <v>19</v>
      </c>
      <c r="D3275" s="4" t="s">
        <v>13</v>
      </c>
      <c r="E3275" s="5">
        <v>109.8002</v>
      </c>
      <c r="F3275" s="5">
        <v>112.0321</v>
      </c>
      <c r="G3275" s="5">
        <v>112.02290000000001</v>
      </c>
      <c r="H3275" s="4">
        <v>0</v>
      </c>
      <c r="I3275" s="6">
        <v>1072357</v>
      </c>
      <c r="J3275" s="7">
        <v>478.63</v>
      </c>
      <c r="K3275" s="9">
        <f>(PricingDataTable[[#This Row],[Current Price ($)]]-PricingDataTable[[#This Row],[Prior Price ($)]])/PricingDataTable[[#This Row],[Prior Price ($)]]</f>
        <v>2.0326921080289433E-2</v>
      </c>
      <c r="L3275" s="9">
        <f>(PricingDataTable[[#This Row],[Vendor Price ($)]]-PricingDataTable[[#This Row],[Current Price ($)]])/PricingDataTable[[#This Row],[Current Price ($)]]</f>
        <v>-8.2119321158781905E-5</v>
      </c>
      <c r="M3275" t="str">
        <f t="shared" si="102"/>
        <v>PASS</v>
      </c>
      <c r="N3275" s="10" t="str">
        <f t="shared" si="103"/>
        <v>NONE</v>
      </c>
    </row>
    <row r="3276" spans="1:14">
      <c r="A3276" s="4" t="s">
        <v>6568</v>
      </c>
      <c r="B3276" s="4" t="s">
        <v>6569</v>
      </c>
      <c r="C3276" s="4" t="s">
        <v>39</v>
      </c>
      <c r="D3276" s="4" t="s">
        <v>32</v>
      </c>
      <c r="E3276" s="5">
        <v>228.54499999999999</v>
      </c>
      <c r="F3276" s="5">
        <v>226.26499999999999</v>
      </c>
      <c r="G3276" s="5">
        <v>226.5239</v>
      </c>
      <c r="H3276" s="4">
        <v>0</v>
      </c>
      <c r="I3276" s="6">
        <v>3103398</v>
      </c>
      <c r="J3276" s="7">
        <v>685.53</v>
      </c>
      <c r="K3276" s="9">
        <f>(PricingDataTable[[#This Row],[Current Price ($)]]-PricingDataTable[[#This Row],[Prior Price ($)]])/PricingDataTable[[#This Row],[Prior Price ($)]]</f>
        <v>-9.9761534927476046E-3</v>
      </c>
      <c r="L3276" s="9">
        <f>(PricingDataTable[[#This Row],[Vendor Price ($)]]-PricingDataTable[[#This Row],[Current Price ($)]])/PricingDataTable[[#This Row],[Current Price ($)]]</f>
        <v>1.1442335314786258E-3</v>
      </c>
      <c r="M3276" t="str">
        <f t="shared" si="102"/>
        <v>PASS</v>
      </c>
      <c r="N3276" s="10" t="str">
        <f t="shared" si="103"/>
        <v>NONE</v>
      </c>
    </row>
    <row r="3277" spans="1:14">
      <c r="A3277" s="4" t="s">
        <v>6570</v>
      </c>
      <c r="B3277" s="4" t="s">
        <v>6571</v>
      </c>
      <c r="C3277" s="4" t="s">
        <v>19</v>
      </c>
      <c r="D3277" s="4" t="s">
        <v>32</v>
      </c>
      <c r="E3277" s="5">
        <v>207.77799999999999</v>
      </c>
      <c r="F3277" s="5">
        <v>211.88480000000001</v>
      </c>
      <c r="G3277" s="5">
        <v>211.67580000000001</v>
      </c>
      <c r="H3277" s="4">
        <v>0</v>
      </c>
      <c r="I3277" s="6">
        <v>3350657</v>
      </c>
      <c r="J3277" s="7">
        <v>591.1</v>
      </c>
      <c r="K3277" s="9">
        <f>(PricingDataTable[[#This Row],[Current Price ($)]]-PricingDataTable[[#This Row],[Prior Price ($)]])/PricingDataTable[[#This Row],[Prior Price ($)]]</f>
        <v>1.9765326454196409E-2</v>
      </c>
      <c r="L3277" s="9">
        <f>(PricingDataTable[[#This Row],[Vendor Price ($)]]-PricingDataTable[[#This Row],[Current Price ($)]])/PricingDataTable[[#This Row],[Current Price ($)]]</f>
        <v>-9.8638505452020714E-4</v>
      </c>
      <c r="M3277" t="str">
        <f t="shared" si="102"/>
        <v>PASS</v>
      </c>
      <c r="N3277" s="10" t="str">
        <f t="shared" si="103"/>
        <v>NONE</v>
      </c>
    </row>
    <row r="3278" spans="1:14">
      <c r="A3278" s="4" t="s">
        <v>6572</v>
      </c>
      <c r="B3278" s="4" t="s">
        <v>6573</v>
      </c>
      <c r="C3278" s="4" t="s">
        <v>19</v>
      </c>
      <c r="D3278" s="4" t="s">
        <v>13</v>
      </c>
      <c r="E3278" s="5">
        <v>205.8065</v>
      </c>
      <c r="F3278" s="5">
        <v>203.7552</v>
      </c>
      <c r="G3278" s="5">
        <v>203.96350000000001</v>
      </c>
      <c r="H3278" s="4">
        <v>0</v>
      </c>
      <c r="I3278" s="6">
        <v>1686164</v>
      </c>
      <c r="J3278" s="7">
        <v>549.38</v>
      </c>
      <c r="K3278" s="9">
        <f>(PricingDataTable[[#This Row],[Current Price ($)]]-PricingDataTable[[#This Row],[Prior Price ($)]])/PricingDataTable[[#This Row],[Prior Price ($)]]</f>
        <v>-9.9671293180730331E-3</v>
      </c>
      <c r="L3278" s="9">
        <f>(PricingDataTable[[#This Row],[Vendor Price ($)]]-PricingDataTable[[#This Row],[Current Price ($)]])/PricingDataTable[[#This Row],[Current Price ($)]]</f>
        <v>1.0223051976097216E-3</v>
      </c>
      <c r="M3278" t="str">
        <f t="shared" si="102"/>
        <v>PASS</v>
      </c>
      <c r="N3278" s="10" t="str">
        <f t="shared" si="103"/>
        <v>NONE</v>
      </c>
    </row>
    <row r="3279" spans="1:14">
      <c r="A3279" s="4" t="s">
        <v>6574</v>
      </c>
      <c r="B3279" s="4" t="s">
        <v>6575</v>
      </c>
      <c r="C3279" s="4" t="s">
        <v>19</v>
      </c>
      <c r="D3279" s="4" t="s">
        <v>13</v>
      </c>
      <c r="E3279" s="5">
        <v>232.0299</v>
      </c>
      <c r="F3279" s="5">
        <v>228.82640000000001</v>
      </c>
      <c r="G3279" s="5">
        <v>229.52189999999999</v>
      </c>
      <c r="H3279" s="4">
        <v>0</v>
      </c>
      <c r="I3279" s="6">
        <v>2778983</v>
      </c>
      <c r="J3279" s="7">
        <v>814.25</v>
      </c>
      <c r="K3279" s="9">
        <f>(PricingDataTable[[#This Row],[Current Price ($)]]-PricingDataTable[[#This Row],[Prior Price ($)]])/PricingDataTable[[#This Row],[Prior Price ($)]]</f>
        <v>-1.3806410294535278E-2</v>
      </c>
      <c r="L3279" s="9">
        <f>(PricingDataTable[[#This Row],[Vendor Price ($)]]-PricingDataTable[[#This Row],[Current Price ($)]])/PricingDataTable[[#This Row],[Current Price ($)]]</f>
        <v>3.0394220247313307E-3</v>
      </c>
      <c r="M3279" t="str">
        <f t="shared" si="102"/>
        <v>PASS</v>
      </c>
      <c r="N3279" s="10" t="str">
        <f t="shared" si="103"/>
        <v>NONE</v>
      </c>
    </row>
    <row r="3280" spans="1:14">
      <c r="A3280" s="4" t="s">
        <v>6576</v>
      </c>
      <c r="B3280" s="4" t="s">
        <v>6577</v>
      </c>
      <c r="C3280" s="4" t="s">
        <v>16</v>
      </c>
      <c r="D3280" s="4" t="s">
        <v>64</v>
      </c>
      <c r="E3280" s="5">
        <v>92.659199999999998</v>
      </c>
      <c r="F3280" s="5">
        <v>92.358999999999995</v>
      </c>
      <c r="G3280" s="5">
        <v>92.171400000000006</v>
      </c>
      <c r="H3280" s="4">
        <v>0</v>
      </c>
      <c r="I3280" s="6">
        <v>3911336</v>
      </c>
      <c r="J3280" s="7">
        <v>808.75</v>
      </c>
      <c r="K3280" s="9">
        <f>(PricingDataTable[[#This Row],[Current Price ($)]]-PricingDataTable[[#This Row],[Prior Price ($)]])/PricingDataTable[[#This Row],[Prior Price ($)]]</f>
        <v>-3.2398293963255003E-3</v>
      </c>
      <c r="L3280" s="9">
        <f>(PricingDataTable[[#This Row],[Vendor Price ($)]]-PricingDataTable[[#This Row],[Current Price ($)]])/PricingDataTable[[#This Row],[Current Price ($)]]</f>
        <v>-2.0312043222640904E-3</v>
      </c>
      <c r="M3280" t="str">
        <f t="shared" si="102"/>
        <v>PASS</v>
      </c>
      <c r="N3280" s="10" t="str">
        <f t="shared" si="103"/>
        <v>NONE</v>
      </c>
    </row>
    <row r="3281" spans="1:14">
      <c r="A3281" s="4" t="s">
        <v>6578</v>
      </c>
      <c r="B3281" s="4" t="s">
        <v>6579</v>
      </c>
      <c r="C3281" s="4" t="s">
        <v>19</v>
      </c>
      <c r="D3281" s="4" t="s">
        <v>13</v>
      </c>
      <c r="E3281" s="5">
        <v>297.75959999999998</v>
      </c>
      <c r="F3281" s="5">
        <v>298.1739</v>
      </c>
      <c r="G3281" s="5">
        <v>297.87479999999999</v>
      </c>
      <c r="H3281" s="4">
        <v>0</v>
      </c>
      <c r="I3281" s="6">
        <v>2530528</v>
      </c>
      <c r="J3281" s="7">
        <v>629.04999999999995</v>
      </c>
      <c r="K3281" s="9">
        <f>(PricingDataTable[[#This Row],[Current Price ($)]]-PricingDataTable[[#This Row],[Prior Price ($)]])/PricingDataTable[[#This Row],[Prior Price ($)]]</f>
        <v>1.3913909072957704E-3</v>
      </c>
      <c r="L3281" s="9">
        <f>(PricingDataTable[[#This Row],[Vendor Price ($)]]-PricingDataTable[[#This Row],[Current Price ($)]])/PricingDataTable[[#This Row],[Current Price ($)]]</f>
        <v>-1.0031059056477107E-3</v>
      </c>
      <c r="M3281" t="str">
        <f t="shared" si="102"/>
        <v>PASS</v>
      </c>
      <c r="N3281" s="10" t="str">
        <f t="shared" si="103"/>
        <v>NONE</v>
      </c>
    </row>
    <row r="3282" spans="1:14">
      <c r="A3282" s="4" t="s">
        <v>6580</v>
      </c>
      <c r="B3282" s="4" t="s">
        <v>6581</v>
      </c>
      <c r="C3282" s="4" t="s">
        <v>16</v>
      </c>
      <c r="D3282" s="4" t="s">
        <v>32</v>
      </c>
      <c r="E3282" s="5">
        <v>106.3918</v>
      </c>
      <c r="F3282" s="5">
        <v>105.99850000000001</v>
      </c>
      <c r="G3282" s="5">
        <v>105.60420000000001</v>
      </c>
      <c r="H3282" s="4">
        <v>0</v>
      </c>
      <c r="I3282" s="6">
        <v>2139604</v>
      </c>
      <c r="J3282" s="7">
        <v>844.3</v>
      </c>
      <c r="K3282" s="9">
        <f>(PricingDataTable[[#This Row],[Current Price ($)]]-PricingDataTable[[#This Row],[Prior Price ($)]])/PricingDataTable[[#This Row],[Prior Price ($)]]</f>
        <v>-3.6967134685191565E-3</v>
      </c>
      <c r="L3282" s="9">
        <f>(PricingDataTable[[#This Row],[Vendor Price ($)]]-PricingDataTable[[#This Row],[Current Price ($)]])/PricingDataTable[[#This Row],[Current Price ($)]]</f>
        <v>-3.7198639603390725E-3</v>
      </c>
      <c r="M3282" t="str">
        <f t="shared" si="102"/>
        <v>PASS</v>
      </c>
      <c r="N3282" s="10" t="str">
        <f t="shared" si="103"/>
        <v>NONE</v>
      </c>
    </row>
    <row r="3283" spans="1:14">
      <c r="A3283" s="4" t="s">
        <v>6582</v>
      </c>
      <c r="B3283" s="4" t="s">
        <v>6583</v>
      </c>
      <c r="C3283" s="4" t="s">
        <v>19</v>
      </c>
      <c r="D3283" s="4" t="s">
        <v>13</v>
      </c>
      <c r="E3283" s="5">
        <v>167.1497</v>
      </c>
      <c r="F3283" s="5">
        <v>168.81530000000001</v>
      </c>
      <c r="G3283" s="5">
        <v>169.1696</v>
      </c>
      <c r="H3283" s="4">
        <v>3</v>
      </c>
      <c r="I3283" s="6">
        <v>1029392</v>
      </c>
      <c r="J3283" s="7">
        <v>755.04</v>
      </c>
      <c r="K3283" s="9">
        <f>(PricingDataTable[[#This Row],[Current Price ($)]]-PricingDataTable[[#This Row],[Prior Price ($)]])/PricingDataTable[[#This Row],[Prior Price ($)]]</f>
        <v>9.9647202477779612E-3</v>
      </c>
      <c r="L3283" s="9">
        <f>(PricingDataTable[[#This Row],[Vendor Price ($)]]-PricingDataTable[[#This Row],[Current Price ($)]])/PricingDataTable[[#This Row],[Current Price ($)]]</f>
        <v>2.0987434195833847E-3</v>
      </c>
      <c r="M3283" t="str">
        <f t="shared" si="102"/>
        <v>STALE</v>
      </c>
      <c r="N3283" s="10" t="str">
        <f t="shared" si="103"/>
        <v>LOW</v>
      </c>
    </row>
    <row r="3284" spans="1:14">
      <c r="A3284" s="4" t="s">
        <v>6584</v>
      </c>
      <c r="B3284" s="4" t="s">
        <v>6585</v>
      </c>
      <c r="C3284" s="4" t="s">
        <v>19</v>
      </c>
      <c r="D3284" s="4" t="s">
        <v>13</v>
      </c>
      <c r="E3284" s="5">
        <v>137.30539999999999</v>
      </c>
      <c r="F3284" s="5">
        <v>136.61689999999999</v>
      </c>
      <c r="G3284" s="5">
        <v>136.6455</v>
      </c>
      <c r="H3284" s="4">
        <v>0</v>
      </c>
      <c r="I3284" s="6">
        <v>1808749</v>
      </c>
      <c r="J3284" s="7">
        <v>815.24</v>
      </c>
      <c r="K3284" s="9">
        <f>(PricingDataTable[[#This Row],[Current Price ($)]]-PricingDataTable[[#This Row],[Prior Price ($)]])/PricingDataTable[[#This Row],[Prior Price ($)]]</f>
        <v>-5.0143694275680698E-3</v>
      </c>
      <c r="L3284" s="9">
        <f>(PricingDataTable[[#This Row],[Vendor Price ($)]]-PricingDataTable[[#This Row],[Current Price ($)]])/PricingDataTable[[#This Row],[Current Price ($)]]</f>
        <v>2.0934452472579532E-4</v>
      </c>
      <c r="M3284" t="str">
        <f t="shared" si="102"/>
        <v>PASS</v>
      </c>
      <c r="N3284" s="10" t="str">
        <f t="shared" si="103"/>
        <v>NONE</v>
      </c>
    </row>
    <row r="3285" spans="1:14">
      <c r="A3285" s="4" t="s">
        <v>6586</v>
      </c>
      <c r="B3285" s="4" t="s">
        <v>6587</v>
      </c>
      <c r="C3285" s="4" t="s">
        <v>16</v>
      </c>
      <c r="D3285" s="4" t="s">
        <v>13</v>
      </c>
      <c r="E3285" s="5">
        <v>113.739</v>
      </c>
      <c r="F3285" s="5">
        <v>114.3446</v>
      </c>
      <c r="G3285" s="5">
        <v>114.488</v>
      </c>
      <c r="H3285" s="4">
        <v>0</v>
      </c>
      <c r="I3285" s="6">
        <v>3621361</v>
      </c>
      <c r="J3285" s="7">
        <v>431.67</v>
      </c>
      <c r="K3285" s="9">
        <f>(PricingDataTable[[#This Row],[Current Price ($)]]-PricingDataTable[[#This Row],[Prior Price ($)]])/PricingDataTable[[#This Row],[Prior Price ($)]]</f>
        <v>5.3244709378488944E-3</v>
      </c>
      <c r="L3285" s="9">
        <f>(PricingDataTable[[#This Row],[Vendor Price ($)]]-PricingDataTable[[#This Row],[Current Price ($)]])/PricingDataTable[[#This Row],[Current Price ($)]]</f>
        <v>1.2541038230051945E-3</v>
      </c>
      <c r="M3285" t="str">
        <f t="shared" si="102"/>
        <v>PASS</v>
      </c>
      <c r="N3285" s="10" t="str">
        <f t="shared" si="103"/>
        <v>NONE</v>
      </c>
    </row>
    <row r="3286" spans="1:14">
      <c r="A3286" s="4" t="s">
        <v>6588</v>
      </c>
      <c r="B3286" s="4" t="s">
        <v>6589</v>
      </c>
      <c r="C3286" s="4" t="s">
        <v>35</v>
      </c>
      <c r="D3286" s="4" t="s">
        <v>13</v>
      </c>
      <c r="E3286" s="5">
        <v>26.6737</v>
      </c>
      <c r="F3286" s="5">
        <v>26.515799999999999</v>
      </c>
      <c r="G3286" s="5">
        <v>26.6113</v>
      </c>
      <c r="H3286" s="4">
        <v>0</v>
      </c>
      <c r="I3286" s="6">
        <v>4631910</v>
      </c>
      <c r="J3286" s="7">
        <v>381.36</v>
      </c>
      <c r="K3286" s="9">
        <f>(PricingDataTable[[#This Row],[Current Price ($)]]-PricingDataTable[[#This Row],[Prior Price ($)]])/PricingDataTable[[#This Row],[Prior Price ($)]]</f>
        <v>-5.919688682110149E-3</v>
      </c>
      <c r="L3286" s="9">
        <f>(PricingDataTable[[#This Row],[Vendor Price ($)]]-PricingDataTable[[#This Row],[Current Price ($)]])/PricingDataTable[[#This Row],[Current Price ($)]]</f>
        <v>3.6016262002278362E-3</v>
      </c>
      <c r="M3286" t="str">
        <f t="shared" si="102"/>
        <v>PASS</v>
      </c>
      <c r="N3286" s="10" t="str">
        <f t="shared" si="103"/>
        <v>NONE</v>
      </c>
    </row>
    <row r="3287" spans="1:14">
      <c r="A3287" s="4" t="s">
        <v>6590</v>
      </c>
      <c r="B3287" s="4" t="s">
        <v>6591</v>
      </c>
      <c r="C3287" s="4" t="s">
        <v>19</v>
      </c>
      <c r="D3287" s="4" t="s">
        <v>64</v>
      </c>
      <c r="E3287" s="5">
        <v>39.464799999999997</v>
      </c>
      <c r="F3287" s="5">
        <v>39.387099999999997</v>
      </c>
      <c r="G3287" s="5">
        <v>39.560899999999997</v>
      </c>
      <c r="H3287" s="4">
        <v>0</v>
      </c>
      <c r="I3287" s="6">
        <v>1613973</v>
      </c>
      <c r="J3287" s="7">
        <v>860.95</v>
      </c>
      <c r="K3287" s="9">
        <f>(PricingDataTable[[#This Row],[Current Price ($)]]-PricingDataTable[[#This Row],[Prior Price ($)]])/PricingDataTable[[#This Row],[Prior Price ($)]]</f>
        <v>-1.9688431209584265E-3</v>
      </c>
      <c r="L3287" s="9">
        <f>(PricingDataTable[[#This Row],[Vendor Price ($)]]-PricingDataTable[[#This Row],[Current Price ($)]])/PricingDataTable[[#This Row],[Current Price ($)]]</f>
        <v>4.4126122512193073E-3</v>
      </c>
      <c r="M3287" t="str">
        <f t="shared" si="102"/>
        <v>PASS</v>
      </c>
      <c r="N3287" s="10" t="str">
        <f t="shared" si="103"/>
        <v>NONE</v>
      </c>
    </row>
    <row r="3288" spans="1:14">
      <c r="A3288" s="4" t="s">
        <v>6592</v>
      </c>
      <c r="B3288" s="4" t="s">
        <v>6593</v>
      </c>
      <c r="C3288" s="4" t="s">
        <v>16</v>
      </c>
      <c r="D3288" s="4" t="s">
        <v>237</v>
      </c>
      <c r="E3288" s="5">
        <v>76.294600000000003</v>
      </c>
      <c r="F3288" s="5">
        <v>75.740399999999994</v>
      </c>
      <c r="G3288" s="5">
        <v>75.610900000000001</v>
      </c>
      <c r="H3288" s="4">
        <v>0</v>
      </c>
      <c r="I3288" s="6">
        <v>2399737</v>
      </c>
      <c r="J3288" s="7">
        <v>430.6</v>
      </c>
      <c r="K3288" s="9">
        <f>(PricingDataTable[[#This Row],[Current Price ($)]]-PricingDataTable[[#This Row],[Prior Price ($)]])/PricingDataTable[[#This Row],[Prior Price ($)]]</f>
        <v>-7.2639479071914485E-3</v>
      </c>
      <c r="L3288" s="9">
        <f>(PricingDataTable[[#This Row],[Vendor Price ($)]]-PricingDataTable[[#This Row],[Current Price ($)]])/PricingDataTable[[#This Row],[Current Price ($)]]</f>
        <v>-1.7097876430543419E-3</v>
      </c>
      <c r="M3288" t="str">
        <f t="shared" si="102"/>
        <v>PASS</v>
      </c>
      <c r="N3288" s="10" t="str">
        <f t="shared" si="103"/>
        <v>NONE</v>
      </c>
    </row>
    <row r="3289" spans="1:14">
      <c r="A3289" s="4" t="s">
        <v>6594</v>
      </c>
      <c r="B3289" s="4" t="s">
        <v>6595</v>
      </c>
      <c r="C3289" s="4" t="s">
        <v>19</v>
      </c>
      <c r="D3289" s="4" t="s">
        <v>13</v>
      </c>
      <c r="E3289" s="5">
        <v>347.22039999999998</v>
      </c>
      <c r="F3289" s="5">
        <v>353.56810000000002</v>
      </c>
      <c r="G3289" s="5">
        <v>351.55099999999999</v>
      </c>
      <c r="H3289" s="4">
        <v>0</v>
      </c>
      <c r="I3289" s="6">
        <v>17155</v>
      </c>
      <c r="J3289" s="7">
        <v>405.96</v>
      </c>
      <c r="K3289" s="9">
        <f>(PricingDataTable[[#This Row],[Current Price ($)]]-PricingDataTable[[#This Row],[Prior Price ($)]])/PricingDataTable[[#This Row],[Prior Price ($)]]</f>
        <v>1.8281471941164838E-2</v>
      </c>
      <c r="L3289" s="9">
        <f>(PricingDataTable[[#This Row],[Vendor Price ($)]]-PricingDataTable[[#This Row],[Current Price ($)]])/PricingDataTable[[#This Row],[Current Price ($)]]</f>
        <v>-5.7049830004461026E-3</v>
      </c>
      <c r="M3289" t="str">
        <f t="shared" si="102"/>
        <v>PASS</v>
      </c>
      <c r="N3289" s="10" t="str">
        <f t="shared" si="103"/>
        <v>NONE</v>
      </c>
    </row>
    <row r="3290" spans="1:14">
      <c r="A3290" s="4" t="s">
        <v>6596</v>
      </c>
      <c r="B3290" s="4" t="s">
        <v>6597</v>
      </c>
      <c r="C3290" s="4" t="s">
        <v>16</v>
      </c>
      <c r="D3290" s="4" t="s">
        <v>13</v>
      </c>
      <c r="E3290" s="5">
        <v>123.7572</v>
      </c>
      <c r="F3290" s="5">
        <v>121.56789999999999</v>
      </c>
      <c r="G3290" s="5">
        <v>121.1469</v>
      </c>
      <c r="H3290" s="4">
        <v>2</v>
      </c>
      <c r="I3290" s="6">
        <v>2046047</v>
      </c>
      <c r="J3290" s="7">
        <v>498.27</v>
      </c>
      <c r="K3290" s="9">
        <f>(PricingDataTable[[#This Row],[Current Price ($)]]-PricingDataTable[[#This Row],[Prior Price ($)]])/PricingDataTable[[#This Row],[Prior Price ($)]]</f>
        <v>-1.7690283878432956E-2</v>
      </c>
      <c r="L3290" s="9">
        <f>(PricingDataTable[[#This Row],[Vendor Price ($)]]-PricingDataTable[[#This Row],[Current Price ($)]])/PricingDataTable[[#This Row],[Current Price ($)]]</f>
        <v>-3.463085238784188E-3</v>
      </c>
      <c r="M3290" t="str">
        <f t="shared" si="102"/>
        <v>PASS</v>
      </c>
      <c r="N3290" s="10" t="str">
        <f t="shared" si="103"/>
        <v>NONE</v>
      </c>
    </row>
    <row r="3291" spans="1:14">
      <c r="A3291" s="4" t="s">
        <v>6598</v>
      </c>
      <c r="B3291" s="4" t="s">
        <v>6599</v>
      </c>
      <c r="C3291" s="4" t="s">
        <v>35</v>
      </c>
      <c r="D3291" s="4" t="s">
        <v>13</v>
      </c>
      <c r="E3291" s="5">
        <v>59.386099999999999</v>
      </c>
      <c r="F3291" s="5">
        <v>59.891599999999997</v>
      </c>
      <c r="G3291" s="5">
        <v>59.898099999999999</v>
      </c>
      <c r="H3291" s="4">
        <v>3</v>
      </c>
      <c r="I3291" s="6">
        <v>743777</v>
      </c>
      <c r="J3291" s="7">
        <v>29.95</v>
      </c>
      <c r="K3291" s="9">
        <f>(PricingDataTable[[#This Row],[Current Price ($)]]-PricingDataTable[[#This Row],[Prior Price ($)]])/PricingDataTable[[#This Row],[Prior Price ($)]]</f>
        <v>8.5120928971593995E-3</v>
      </c>
      <c r="L3291" s="9">
        <f>(PricingDataTable[[#This Row],[Vendor Price ($)]]-PricingDataTable[[#This Row],[Current Price ($)]])/PricingDataTable[[#This Row],[Current Price ($)]]</f>
        <v>1.0852940980041634E-4</v>
      </c>
      <c r="M3291" t="str">
        <f t="shared" si="102"/>
        <v>STALE</v>
      </c>
      <c r="N3291" s="10" t="str">
        <f t="shared" si="103"/>
        <v>LOW</v>
      </c>
    </row>
    <row r="3292" spans="1:14">
      <c r="A3292" s="4" t="s">
        <v>6600</v>
      </c>
      <c r="B3292" s="4" t="s">
        <v>6601</v>
      </c>
      <c r="C3292" s="4" t="s">
        <v>35</v>
      </c>
      <c r="D3292" s="4" t="s">
        <v>13</v>
      </c>
      <c r="E3292" s="5">
        <v>82.305300000000003</v>
      </c>
      <c r="F3292" s="5">
        <v>82.465900000000005</v>
      </c>
      <c r="G3292" s="5">
        <v>82.135300000000001</v>
      </c>
      <c r="H3292" s="4">
        <v>0</v>
      </c>
      <c r="I3292" s="6">
        <v>3767515</v>
      </c>
      <c r="J3292" s="7">
        <v>424.21</v>
      </c>
      <c r="K3292" s="9">
        <f>(PricingDataTable[[#This Row],[Current Price ($)]]-PricingDataTable[[#This Row],[Prior Price ($)]])/PricingDataTable[[#This Row],[Prior Price ($)]]</f>
        <v>1.9512716678027088E-3</v>
      </c>
      <c r="L3292" s="9">
        <f>(PricingDataTable[[#This Row],[Vendor Price ($)]]-PricingDataTable[[#This Row],[Current Price ($)]])/PricingDataTable[[#This Row],[Current Price ($)]]</f>
        <v>-4.0089297515700914E-3</v>
      </c>
      <c r="M3292" t="str">
        <f t="shared" si="102"/>
        <v>PASS</v>
      </c>
      <c r="N3292" s="10" t="str">
        <f t="shared" si="103"/>
        <v>NONE</v>
      </c>
    </row>
    <row r="3293" spans="1:14">
      <c r="A3293" s="4" t="s">
        <v>6602</v>
      </c>
      <c r="B3293" s="4" t="s">
        <v>6603</v>
      </c>
      <c r="C3293" s="4" t="s">
        <v>12</v>
      </c>
      <c r="D3293" s="4" t="s">
        <v>13</v>
      </c>
      <c r="E3293" s="5">
        <v>93.018799999999999</v>
      </c>
      <c r="F3293" s="5">
        <v>91.261899999999997</v>
      </c>
      <c r="G3293" s="5">
        <v>91.171599999999998</v>
      </c>
      <c r="H3293" s="4">
        <v>0</v>
      </c>
      <c r="I3293" s="6">
        <v>1816321</v>
      </c>
      <c r="J3293" s="7">
        <v>296.91000000000003</v>
      </c>
      <c r="K3293" s="9">
        <f>(PricingDataTable[[#This Row],[Current Price ($)]]-PricingDataTable[[#This Row],[Prior Price ($)]])/PricingDataTable[[#This Row],[Prior Price ($)]]</f>
        <v>-1.8887579715068371E-2</v>
      </c>
      <c r="L3293" s="9">
        <f>(PricingDataTable[[#This Row],[Vendor Price ($)]]-PricingDataTable[[#This Row],[Current Price ($)]])/PricingDataTable[[#This Row],[Current Price ($)]]</f>
        <v>-9.8946000466787519E-4</v>
      </c>
      <c r="M3293" t="str">
        <f t="shared" si="102"/>
        <v>PASS</v>
      </c>
      <c r="N3293" s="10" t="str">
        <f t="shared" si="103"/>
        <v>NONE</v>
      </c>
    </row>
    <row r="3294" spans="1:14">
      <c r="A3294" s="4" t="s">
        <v>6604</v>
      </c>
      <c r="B3294" s="4" t="s">
        <v>6605</v>
      </c>
      <c r="C3294" s="4" t="s">
        <v>39</v>
      </c>
      <c r="D3294" s="4" t="s">
        <v>64</v>
      </c>
      <c r="E3294" s="5">
        <v>276.67610000000002</v>
      </c>
      <c r="F3294" s="5">
        <v>279.9203</v>
      </c>
      <c r="G3294" s="5">
        <v>279.0976</v>
      </c>
      <c r="H3294" s="4">
        <v>4</v>
      </c>
      <c r="I3294" s="6">
        <v>3518818</v>
      </c>
      <c r="J3294" s="7">
        <v>569.51</v>
      </c>
      <c r="K3294" s="9">
        <f>(PricingDataTable[[#This Row],[Current Price ($)]]-PricingDataTable[[#This Row],[Prior Price ($)]])/PricingDataTable[[#This Row],[Prior Price ($)]]</f>
        <v>1.1725624294978778E-2</v>
      </c>
      <c r="L3294" s="9">
        <f>(PricingDataTable[[#This Row],[Vendor Price ($)]]-PricingDataTable[[#This Row],[Current Price ($)]])/PricingDataTable[[#This Row],[Current Price ($)]]</f>
        <v>-2.9390508655499355E-3</v>
      </c>
      <c r="M3294" t="str">
        <f t="shared" si="102"/>
        <v>STALE</v>
      </c>
      <c r="N3294" s="10" t="str">
        <f t="shared" si="103"/>
        <v>LOW</v>
      </c>
    </row>
    <row r="3295" spans="1:14">
      <c r="A3295" s="4" t="s">
        <v>6606</v>
      </c>
      <c r="B3295" s="4" t="s">
        <v>6607</v>
      </c>
      <c r="C3295" s="4" t="s">
        <v>12</v>
      </c>
      <c r="D3295" s="4" t="s">
        <v>36</v>
      </c>
      <c r="E3295" s="5">
        <v>100.38800000000001</v>
      </c>
      <c r="F3295" s="5">
        <v>101.703</v>
      </c>
      <c r="G3295" s="5">
        <v>102.0044</v>
      </c>
      <c r="H3295" s="4">
        <v>0</v>
      </c>
      <c r="I3295" s="6">
        <v>1619045</v>
      </c>
      <c r="J3295" s="7">
        <v>508.17</v>
      </c>
      <c r="K3295" s="9">
        <f>(PricingDataTable[[#This Row],[Current Price ($)]]-PricingDataTable[[#This Row],[Prior Price ($)]])/PricingDataTable[[#This Row],[Prior Price ($)]]</f>
        <v>1.3099175200223112E-2</v>
      </c>
      <c r="L3295" s="9">
        <f>(PricingDataTable[[#This Row],[Vendor Price ($)]]-PricingDataTable[[#This Row],[Current Price ($)]])/PricingDataTable[[#This Row],[Current Price ($)]]</f>
        <v>2.9635310659469338E-3</v>
      </c>
      <c r="M3295" t="str">
        <f t="shared" si="102"/>
        <v>PASS</v>
      </c>
      <c r="N3295" s="10" t="str">
        <f t="shared" si="103"/>
        <v>NONE</v>
      </c>
    </row>
    <row r="3296" spans="1:14">
      <c r="A3296" s="4" t="s">
        <v>6608</v>
      </c>
      <c r="B3296" s="4" t="s">
        <v>6609</v>
      </c>
      <c r="C3296" s="4" t="s">
        <v>16</v>
      </c>
      <c r="D3296" s="4" t="s">
        <v>13</v>
      </c>
      <c r="E3296" s="5">
        <v>76.150899999999993</v>
      </c>
      <c r="F3296" s="5">
        <v>77.958600000000004</v>
      </c>
      <c r="G3296" s="5">
        <v>78.522199999999998</v>
      </c>
      <c r="H3296" s="4">
        <v>2</v>
      </c>
      <c r="I3296" s="6">
        <v>1468333</v>
      </c>
      <c r="J3296" s="7">
        <v>239.87</v>
      </c>
      <c r="K3296" s="9">
        <f>(PricingDataTable[[#This Row],[Current Price ($)]]-PricingDataTable[[#This Row],[Prior Price ($)]])/PricingDataTable[[#This Row],[Prior Price ($)]]</f>
        <v>2.373839311157204E-2</v>
      </c>
      <c r="L3296" s="9">
        <f>(PricingDataTable[[#This Row],[Vendor Price ($)]]-PricingDataTable[[#This Row],[Current Price ($)]])/PricingDataTable[[#This Row],[Current Price ($)]]</f>
        <v>7.2294782102294529E-3</v>
      </c>
      <c r="M3296" t="str">
        <f t="shared" si="102"/>
        <v>PASS</v>
      </c>
      <c r="N3296" s="10" t="str">
        <f t="shared" si="103"/>
        <v>NONE</v>
      </c>
    </row>
    <row r="3297" spans="1:14">
      <c r="A3297" s="4" t="s">
        <v>6610</v>
      </c>
      <c r="B3297" s="4" t="s">
        <v>6611</v>
      </c>
      <c r="C3297" s="4" t="s">
        <v>12</v>
      </c>
      <c r="D3297" s="4" t="s">
        <v>32</v>
      </c>
      <c r="E3297" s="5">
        <v>92.059899999999999</v>
      </c>
      <c r="F3297" s="5">
        <v>90.580500000000001</v>
      </c>
      <c r="G3297" s="5">
        <v>90.749300000000005</v>
      </c>
      <c r="H3297" s="4">
        <v>0</v>
      </c>
      <c r="I3297" s="6">
        <v>1128346</v>
      </c>
      <c r="J3297" s="7">
        <v>787.39</v>
      </c>
      <c r="K3297" s="9">
        <f>(PricingDataTable[[#This Row],[Current Price ($)]]-PricingDataTable[[#This Row],[Prior Price ($)]])/PricingDataTable[[#This Row],[Prior Price ($)]]</f>
        <v>-1.6069971833556178E-2</v>
      </c>
      <c r="L3297" s="9">
        <f>(PricingDataTable[[#This Row],[Vendor Price ($)]]-PricingDataTable[[#This Row],[Current Price ($)]])/PricingDataTable[[#This Row],[Current Price ($)]]</f>
        <v>1.86353574996831E-3</v>
      </c>
      <c r="M3297" t="str">
        <f t="shared" si="102"/>
        <v>PASS</v>
      </c>
      <c r="N3297" s="10" t="str">
        <f t="shared" si="103"/>
        <v>NONE</v>
      </c>
    </row>
    <row r="3298" spans="1:14">
      <c r="A3298" s="4" t="s">
        <v>6612</v>
      </c>
      <c r="B3298" s="4" t="s">
        <v>6613</v>
      </c>
      <c r="C3298" s="4" t="s">
        <v>35</v>
      </c>
      <c r="D3298" s="4" t="s">
        <v>13</v>
      </c>
      <c r="E3298" s="5">
        <v>28.882300000000001</v>
      </c>
      <c r="F3298" s="5">
        <v>28.538</v>
      </c>
      <c r="G3298" s="5">
        <v>28.482500000000002</v>
      </c>
      <c r="H3298" s="4">
        <v>0</v>
      </c>
      <c r="I3298" s="6">
        <v>3097075</v>
      </c>
      <c r="J3298" s="7">
        <v>799.92</v>
      </c>
      <c r="K3298" s="9">
        <f>(PricingDataTable[[#This Row],[Current Price ($)]]-PricingDataTable[[#This Row],[Prior Price ($)]])/PricingDataTable[[#This Row],[Prior Price ($)]]</f>
        <v>-1.1920795781499413E-2</v>
      </c>
      <c r="L3298" s="9">
        <f>(PricingDataTable[[#This Row],[Vendor Price ($)]]-PricingDataTable[[#This Row],[Current Price ($)]])/PricingDataTable[[#This Row],[Current Price ($)]]</f>
        <v>-1.9447753872029766E-3</v>
      </c>
      <c r="M3298" t="str">
        <f t="shared" si="102"/>
        <v>PASS</v>
      </c>
      <c r="N3298" s="10" t="str">
        <f t="shared" si="103"/>
        <v>NONE</v>
      </c>
    </row>
    <row r="3299" spans="1:14">
      <c r="A3299" s="4" t="s">
        <v>6614</v>
      </c>
      <c r="B3299" s="4" t="s">
        <v>6615</v>
      </c>
      <c r="C3299" s="4" t="s">
        <v>12</v>
      </c>
      <c r="D3299" s="4" t="s">
        <v>36</v>
      </c>
      <c r="E3299" s="5">
        <v>99.503600000000006</v>
      </c>
      <c r="F3299" s="5">
        <v>98.364500000000007</v>
      </c>
      <c r="G3299" s="5">
        <v>98.506100000000004</v>
      </c>
      <c r="H3299" s="4">
        <v>0</v>
      </c>
      <c r="I3299" s="6">
        <v>1993160</v>
      </c>
      <c r="J3299" s="7">
        <v>34.5</v>
      </c>
      <c r="K3299" s="9">
        <f>(PricingDataTable[[#This Row],[Current Price ($)]]-PricingDataTable[[#This Row],[Prior Price ($)]])/PricingDataTable[[#This Row],[Prior Price ($)]]</f>
        <v>-1.1447827013293981E-2</v>
      </c>
      <c r="L3299" s="9">
        <f>(PricingDataTable[[#This Row],[Vendor Price ($)]]-PricingDataTable[[#This Row],[Current Price ($)]])/PricingDataTable[[#This Row],[Current Price ($)]]</f>
        <v>1.4395437378322141E-3</v>
      </c>
      <c r="M3299" t="str">
        <f t="shared" si="102"/>
        <v>PASS</v>
      </c>
      <c r="N3299" s="10" t="str">
        <f t="shared" si="103"/>
        <v>NONE</v>
      </c>
    </row>
    <row r="3300" spans="1:14">
      <c r="A3300" s="4" t="s">
        <v>6616</v>
      </c>
      <c r="B3300" s="4" t="s">
        <v>6617</v>
      </c>
      <c r="C3300" s="4" t="s">
        <v>19</v>
      </c>
      <c r="D3300" s="4" t="s">
        <v>237</v>
      </c>
      <c r="E3300" s="5">
        <v>241.2963</v>
      </c>
      <c r="F3300" s="5">
        <v>239.38319999999999</v>
      </c>
      <c r="G3300" s="5">
        <v>238.01179999999999</v>
      </c>
      <c r="H3300" s="4">
        <v>1</v>
      </c>
      <c r="I3300" s="6">
        <v>2301218</v>
      </c>
      <c r="J3300" s="7">
        <v>190.26</v>
      </c>
      <c r="K3300" s="9">
        <f>(PricingDataTable[[#This Row],[Current Price ($)]]-PricingDataTable[[#This Row],[Prior Price ($)]])/PricingDataTable[[#This Row],[Prior Price ($)]]</f>
        <v>-7.9284265859029517E-3</v>
      </c>
      <c r="L3300" s="9">
        <f>(PricingDataTable[[#This Row],[Vendor Price ($)]]-PricingDataTable[[#This Row],[Current Price ($)]])/PricingDataTable[[#This Row],[Current Price ($)]]</f>
        <v>-5.7288899137449669E-3</v>
      </c>
      <c r="M3300" t="str">
        <f t="shared" si="102"/>
        <v>PASS</v>
      </c>
      <c r="N3300" s="10" t="str">
        <f t="shared" si="103"/>
        <v>NONE</v>
      </c>
    </row>
    <row r="3301" spans="1:14">
      <c r="A3301" s="4" t="s">
        <v>6618</v>
      </c>
      <c r="B3301" s="4" t="s">
        <v>6619</v>
      </c>
      <c r="C3301" s="4" t="s">
        <v>19</v>
      </c>
      <c r="D3301" s="4" t="s">
        <v>13</v>
      </c>
      <c r="E3301" s="5">
        <v>97.6006</v>
      </c>
      <c r="F3301" s="5">
        <v>98.3506</v>
      </c>
      <c r="G3301" s="5">
        <v>98.793099999999995</v>
      </c>
      <c r="H3301" s="4">
        <v>0</v>
      </c>
      <c r="I3301" s="6">
        <v>1091961</v>
      </c>
      <c r="J3301" s="7">
        <v>520.22</v>
      </c>
      <c r="K3301" s="9">
        <f>(PricingDataTable[[#This Row],[Current Price ($)]]-PricingDataTable[[#This Row],[Prior Price ($)]])/PricingDataTable[[#This Row],[Prior Price ($)]]</f>
        <v>7.6843789894734255E-3</v>
      </c>
      <c r="L3301" s="9">
        <f>(PricingDataTable[[#This Row],[Vendor Price ($)]]-PricingDataTable[[#This Row],[Current Price ($)]])/PricingDataTable[[#This Row],[Current Price ($)]]</f>
        <v>4.4992099692324752E-3</v>
      </c>
      <c r="M3301" t="str">
        <f t="shared" si="102"/>
        <v>PASS</v>
      </c>
      <c r="N3301" s="10" t="str">
        <f t="shared" si="103"/>
        <v>NONE</v>
      </c>
    </row>
    <row r="3302" spans="1:14">
      <c r="A3302" s="4" t="s">
        <v>6620</v>
      </c>
      <c r="B3302" s="4" t="s">
        <v>6621</v>
      </c>
      <c r="C3302" s="4" t="s">
        <v>12</v>
      </c>
      <c r="D3302" s="4" t="s">
        <v>237</v>
      </c>
      <c r="E3302" s="5">
        <v>104.81570000000001</v>
      </c>
      <c r="F3302" s="5">
        <v>106.98569999999999</v>
      </c>
      <c r="G3302" s="5">
        <v>106.1422</v>
      </c>
      <c r="H3302" s="4">
        <v>0</v>
      </c>
      <c r="I3302" s="6">
        <v>552666</v>
      </c>
      <c r="J3302" s="7">
        <v>441.2</v>
      </c>
      <c r="K3302" s="9">
        <f>(PricingDataTable[[#This Row],[Current Price ($)]]-PricingDataTable[[#This Row],[Prior Price ($)]])/PricingDataTable[[#This Row],[Prior Price ($)]]</f>
        <v>2.0703005370378554E-2</v>
      </c>
      <c r="L3302" s="9">
        <f>(PricingDataTable[[#This Row],[Vendor Price ($)]]-PricingDataTable[[#This Row],[Current Price ($)]])/PricingDataTable[[#This Row],[Current Price ($)]]</f>
        <v>-7.8842312570744661E-3</v>
      </c>
      <c r="M3302" t="str">
        <f t="shared" si="102"/>
        <v>PASS</v>
      </c>
      <c r="N3302" s="10" t="str">
        <f t="shared" si="103"/>
        <v>NONE</v>
      </c>
    </row>
    <row r="3303" spans="1:14">
      <c r="A3303" s="4" t="s">
        <v>6622</v>
      </c>
      <c r="B3303" s="4" t="s">
        <v>6623</v>
      </c>
      <c r="C3303" s="4" t="s">
        <v>35</v>
      </c>
      <c r="D3303" s="4" t="s">
        <v>13</v>
      </c>
      <c r="E3303" s="5">
        <v>5.2161999999999997</v>
      </c>
      <c r="F3303" s="5">
        <v>5.2487000000000004</v>
      </c>
      <c r="G3303" s="5">
        <v>5.2359999999999998</v>
      </c>
      <c r="H3303" s="4">
        <v>0</v>
      </c>
      <c r="I3303" s="6">
        <v>229972</v>
      </c>
      <c r="J3303" s="7">
        <v>800.89</v>
      </c>
      <c r="K3303" s="9">
        <f>(PricingDataTable[[#This Row],[Current Price ($)]]-PricingDataTable[[#This Row],[Prior Price ($)]])/PricingDataTable[[#This Row],[Prior Price ($)]]</f>
        <v>6.2305893178943757E-3</v>
      </c>
      <c r="L3303" s="9">
        <f>(PricingDataTable[[#This Row],[Vendor Price ($)]]-PricingDataTable[[#This Row],[Current Price ($)]])/PricingDataTable[[#This Row],[Current Price ($)]]</f>
        <v>-2.4196467696764147E-3</v>
      </c>
      <c r="M3303" t="str">
        <f t="shared" si="102"/>
        <v>PASS</v>
      </c>
      <c r="N3303" s="10" t="str">
        <f t="shared" si="103"/>
        <v>NONE</v>
      </c>
    </row>
    <row r="3304" spans="1:14">
      <c r="A3304" s="4" t="s">
        <v>6624</v>
      </c>
      <c r="B3304" s="4" t="s">
        <v>6625</v>
      </c>
      <c r="C3304" s="4" t="s">
        <v>39</v>
      </c>
      <c r="D3304" s="4" t="s">
        <v>13</v>
      </c>
      <c r="E3304" s="5">
        <v>266.66219999999998</v>
      </c>
      <c r="F3304" s="5">
        <v>261.78129999999999</v>
      </c>
      <c r="G3304" s="5">
        <v>263.66030000000001</v>
      </c>
      <c r="H3304" s="4">
        <v>0</v>
      </c>
      <c r="I3304" s="6">
        <v>2512421</v>
      </c>
      <c r="J3304" s="7">
        <v>327.64999999999998</v>
      </c>
      <c r="K3304" s="9">
        <f>(PricingDataTable[[#This Row],[Current Price ($)]]-PricingDataTable[[#This Row],[Prior Price ($)]])/PricingDataTable[[#This Row],[Prior Price ($)]]</f>
        <v>-1.8303681586666565E-2</v>
      </c>
      <c r="L3304" s="9">
        <f>(PricingDataTable[[#This Row],[Vendor Price ($)]]-PricingDataTable[[#This Row],[Current Price ($)]])/PricingDataTable[[#This Row],[Current Price ($)]]</f>
        <v>7.1777472264062375E-3</v>
      </c>
      <c r="M3304" t="str">
        <f t="shared" si="102"/>
        <v>PASS</v>
      </c>
      <c r="N3304" s="10" t="str">
        <f t="shared" si="103"/>
        <v>NONE</v>
      </c>
    </row>
    <row r="3305" spans="1:14">
      <c r="A3305" s="4" t="s">
        <v>6626</v>
      </c>
      <c r="B3305" s="4" t="s">
        <v>6627</v>
      </c>
      <c r="C3305" s="4" t="s">
        <v>35</v>
      </c>
      <c r="D3305" s="4" t="s">
        <v>13</v>
      </c>
      <c r="E3305" s="5">
        <v>24.445599999999999</v>
      </c>
      <c r="F3305" s="5">
        <v>22.0671</v>
      </c>
      <c r="G3305" s="5">
        <v>22.0687</v>
      </c>
      <c r="H3305" s="4">
        <v>1</v>
      </c>
      <c r="I3305" s="6">
        <v>3010932</v>
      </c>
      <c r="J3305" s="7">
        <v>198.55</v>
      </c>
      <c r="K3305" s="9">
        <f>(PricingDataTable[[#This Row],[Current Price ($)]]-PricingDataTable[[#This Row],[Prior Price ($)]])/PricingDataTable[[#This Row],[Prior Price ($)]]</f>
        <v>-9.7297673200903198E-2</v>
      </c>
      <c r="L3305" s="9">
        <f>(PricingDataTable[[#This Row],[Vendor Price ($)]]-PricingDataTable[[#This Row],[Current Price ($)]])/PricingDataTable[[#This Row],[Current Price ($)]]</f>
        <v>7.2506129033711897E-5</v>
      </c>
      <c r="M3305" t="str">
        <f t="shared" si="102"/>
        <v>LARGE MOVE</v>
      </c>
      <c r="N3305" s="10" t="str">
        <f t="shared" si="103"/>
        <v>MEDIUM</v>
      </c>
    </row>
    <row r="3306" spans="1:14">
      <c r="A3306" s="4" t="s">
        <v>6628</v>
      </c>
      <c r="B3306" s="4" t="s">
        <v>6629</v>
      </c>
      <c r="C3306" s="4" t="s">
        <v>39</v>
      </c>
      <c r="D3306" s="4" t="s">
        <v>36</v>
      </c>
      <c r="E3306" s="5">
        <v>239.58840000000001</v>
      </c>
      <c r="F3306" s="5">
        <v>243.20500000000001</v>
      </c>
      <c r="G3306" s="5">
        <v>243.1909</v>
      </c>
      <c r="H3306" s="4">
        <v>1</v>
      </c>
      <c r="I3306" s="6">
        <v>2521201</v>
      </c>
      <c r="J3306" s="7">
        <v>894.9</v>
      </c>
      <c r="K3306" s="9">
        <f>(PricingDataTable[[#This Row],[Current Price ($)]]-PricingDataTable[[#This Row],[Prior Price ($)]])/PricingDataTable[[#This Row],[Prior Price ($)]]</f>
        <v>1.5095054685452238E-2</v>
      </c>
      <c r="L3306" s="9">
        <f>(PricingDataTable[[#This Row],[Vendor Price ($)]]-PricingDataTable[[#This Row],[Current Price ($)]])/PricingDataTable[[#This Row],[Current Price ($)]]</f>
        <v>-5.7975781747962926E-5</v>
      </c>
      <c r="M3306" t="str">
        <f t="shared" si="102"/>
        <v>PASS</v>
      </c>
      <c r="N3306" s="10" t="str">
        <f t="shared" si="103"/>
        <v>NONE</v>
      </c>
    </row>
    <row r="3307" spans="1:14">
      <c r="A3307" s="4" t="s">
        <v>6630</v>
      </c>
      <c r="B3307" s="4" t="s">
        <v>6631</v>
      </c>
      <c r="C3307" s="4" t="s">
        <v>19</v>
      </c>
      <c r="D3307" s="4" t="s">
        <v>13</v>
      </c>
      <c r="E3307" s="5">
        <v>310.1474</v>
      </c>
      <c r="F3307" s="5">
        <v>308.4556</v>
      </c>
      <c r="G3307" s="5">
        <v>309.21550000000002</v>
      </c>
      <c r="H3307" s="4">
        <v>0</v>
      </c>
      <c r="I3307" s="6">
        <v>265992</v>
      </c>
      <c r="J3307" s="7">
        <v>759.09</v>
      </c>
      <c r="K3307" s="9">
        <f>(PricingDataTable[[#This Row],[Current Price ($)]]-PricingDataTable[[#This Row],[Prior Price ($)]])/PricingDataTable[[#This Row],[Prior Price ($)]]</f>
        <v>-5.4548256732121587E-3</v>
      </c>
      <c r="L3307" s="9">
        <f>(PricingDataTable[[#This Row],[Vendor Price ($)]]-PricingDataTable[[#This Row],[Current Price ($)]])/PricingDataTable[[#This Row],[Current Price ($)]]</f>
        <v>2.463563637684049E-3</v>
      </c>
      <c r="M3307" t="str">
        <f t="shared" si="102"/>
        <v>PASS</v>
      </c>
      <c r="N3307" s="10" t="str">
        <f t="shared" si="103"/>
        <v>NONE</v>
      </c>
    </row>
    <row r="3308" spans="1:14">
      <c r="A3308" s="4" t="s">
        <v>6632</v>
      </c>
      <c r="B3308" s="4" t="s">
        <v>6633</v>
      </c>
      <c r="C3308" s="4" t="s">
        <v>39</v>
      </c>
      <c r="D3308" s="4" t="s">
        <v>13</v>
      </c>
      <c r="E3308" s="5">
        <v>275.3492</v>
      </c>
      <c r="F3308" s="5">
        <v>281.245</v>
      </c>
      <c r="G3308" s="5">
        <v>282.33510000000001</v>
      </c>
      <c r="H3308" s="4">
        <v>0</v>
      </c>
      <c r="I3308" s="6">
        <v>4859349</v>
      </c>
      <c r="J3308" s="7">
        <v>66.42</v>
      </c>
      <c r="K3308" s="9">
        <f>(PricingDataTable[[#This Row],[Current Price ($)]]-PricingDataTable[[#This Row],[Prior Price ($)]])/PricingDataTable[[#This Row],[Prior Price ($)]]</f>
        <v>2.141208327462004E-2</v>
      </c>
      <c r="L3308" s="9">
        <f>(PricingDataTable[[#This Row],[Vendor Price ($)]]-PricingDataTable[[#This Row],[Current Price ($)]])/PricingDataTable[[#This Row],[Current Price ($)]]</f>
        <v>3.8759800174225558E-3</v>
      </c>
      <c r="M3308" t="str">
        <f t="shared" si="102"/>
        <v>PASS</v>
      </c>
      <c r="N3308" s="10" t="str">
        <f t="shared" si="103"/>
        <v>NONE</v>
      </c>
    </row>
    <row r="3309" spans="1:14">
      <c r="A3309" s="4" t="s">
        <v>6634</v>
      </c>
      <c r="B3309" s="4" t="s">
        <v>6635</v>
      </c>
      <c r="C3309" s="4" t="s">
        <v>16</v>
      </c>
      <c r="D3309" s="4" t="s">
        <v>13</v>
      </c>
      <c r="E3309" s="5">
        <v>106.2235</v>
      </c>
      <c r="F3309" s="5">
        <v>105.69759999999999</v>
      </c>
      <c r="G3309" s="5">
        <v>105.42789999999999</v>
      </c>
      <c r="H3309" s="4">
        <v>1</v>
      </c>
      <c r="I3309" s="6">
        <v>3178031</v>
      </c>
      <c r="J3309" s="7">
        <v>477.67</v>
      </c>
      <c r="K3309" s="9">
        <f>(PricingDataTable[[#This Row],[Current Price ($)]]-PricingDataTable[[#This Row],[Prior Price ($)]])/PricingDataTable[[#This Row],[Prior Price ($)]]</f>
        <v>-4.9508818670068967E-3</v>
      </c>
      <c r="L3309" s="9">
        <f>(PricingDataTable[[#This Row],[Vendor Price ($)]]-PricingDataTable[[#This Row],[Current Price ($)]])/PricingDataTable[[#This Row],[Current Price ($)]]</f>
        <v>-2.5516189582355728E-3</v>
      </c>
      <c r="M3309" t="str">
        <f t="shared" si="102"/>
        <v>PASS</v>
      </c>
      <c r="N3309" s="10" t="str">
        <f t="shared" si="103"/>
        <v>NONE</v>
      </c>
    </row>
    <row r="3310" spans="1:14">
      <c r="A3310" s="4" t="s">
        <v>6636</v>
      </c>
      <c r="B3310" s="4" t="s">
        <v>6637</v>
      </c>
      <c r="C3310" s="4" t="s">
        <v>19</v>
      </c>
      <c r="D3310" s="4" t="s">
        <v>237</v>
      </c>
      <c r="E3310" s="5">
        <v>215.2886</v>
      </c>
      <c r="F3310" s="5">
        <v>215.55590000000001</v>
      </c>
      <c r="G3310" s="5">
        <v>215.64150000000001</v>
      </c>
      <c r="H3310" s="4">
        <v>0</v>
      </c>
      <c r="I3310" s="6">
        <v>4529419</v>
      </c>
      <c r="J3310" s="7">
        <v>745.63</v>
      </c>
      <c r="K3310" s="9">
        <f>(PricingDataTable[[#This Row],[Current Price ($)]]-PricingDataTable[[#This Row],[Prior Price ($)]])/PricingDataTable[[#This Row],[Prior Price ($)]]</f>
        <v>1.2415891970127813E-3</v>
      </c>
      <c r="L3310" s="9">
        <f>(PricingDataTable[[#This Row],[Vendor Price ($)]]-PricingDataTable[[#This Row],[Current Price ($)]])/PricingDataTable[[#This Row],[Current Price ($)]]</f>
        <v>3.9711276750021434E-4</v>
      </c>
      <c r="M3310" t="str">
        <f t="shared" si="102"/>
        <v>PASS</v>
      </c>
      <c r="N3310" s="10" t="str">
        <f t="shared" si="103"/>
        <v>NONE</v>
      </c>
    </row>
    <row r="3311" spans="1:14">
      <c r="A3311" s="4" t="s">
        <v>6638</v>
      </c>
      <c r="B3311" s="4" t="s">
        <v>6639</v>
      </c>
      <c r="C3311" s="4" t="s">
        <v>16</v>
      </c>
      <c r="D3311" s="4" t="s">
        <v>13</v>
      </c>
      <c r="E3311" s="5">
        <v>110.7527</v>
      </c>
      <c r="F3311" s="5">
        <v>111.14409999999999</v>
      </c>
      <c r="G3311" s="5">
        <v>111.11920000000001</v>
      </c>
      <c r="H3311" s="4">
        <v>0</v>
      </c>
      <c r="I3311" s="6">
        <v>3089867</v>
      </c>
      <c r="J3311" s="7">
        <v>870.45</v>
      </c>
      <c r="K3311" s="9">
        <f>(PricingDataTable[[#This Row],[Current Price ($)]]-PricingDataTable[[#This Row],[Prior Price ($)]])/PricingDataTable[[#This Row],[Prior Price ($)]]</f>
        <v>3.5339996225824759E-3</v>
      </c>
      <c r="L3311" s="9">
        <f>(PricingDataTable[[#This Row],[Vendor Price ($)]]-PricingDataTable[[#This Row],[Current Price ($)]])/PricingDataTable[[#This Row],[Current Price ($)]]</f>
        <v>-2.2403348445835771E-4</v>
      </c>
      <c r="M3311" t="str">
        <f t="shared" si="102"/>
        <v>PASS</v>
      </c>
      <c r="N3311" s="10" t="str">
        <f t="shared" si="103"/>
        <v>NONE</v>
      </c>
    </row>
    <row r="3312" spans="1:14">
      <c r="A3312" s="4" t="s">
        <v>6640</v>
      </c>
      <c r="B3312" s="4" t="s">
        <v>6641</v>
      </c>
      <c r="C3312" s="4" t="s">
        <v>16</v>
      </c>
      <c r="D3312" s="4" t="s">
        <v>13</v>
      </c>
      <c r="E3312" s="5">
        <v>100.96810000000001</v>
      </c>
      <c r="F3312" s="5">
        <v>101.0879</v>
      </c>
      <c r="G3312" s="5">
        <v>101.1918</v>
      </c>
      <c r="H3312" s="4">
        <v>0</v>
      </c>
      <c r="I3312" s="6">
        <v>189091</v>
      </c>
      <c r="J3312" s="7">
        <v>650.58000000000004</v>
      </c>
      <c r="K3312" s="9">
        <f>(PricingDataTable[[#This Row],[Current Price ($)]]-PricingDataTable[[#This Row],[Prior Price ($)]])/PricingDataTable[[#This Row],[Prior Price ($)]]</f>
        <v>1.1865133641219148E-3</v>
      </c>
      <c r="L3312" s="9">
        <f>(PricingDataTable[[#This Row],[Vendor Price ($)]]-PricingDataTable[[#This Row],[Current Price ($)]])/PricingDataTable[[#This Row],[Current Price ($)]]</f>
        <v>1.027818364017809E-3</v>
      </c>
      <c r="M3312" t="str">
        <f t="shared" si="102"/>
        <v>PASS</v>
      </c>
      <c r="N3312" s="10" t="str">
        <f t="shared" si="103"/>
        <v>NONE</v>
      </c>
    </row>
    <row r="3313" spans="1:14">
      <c r="A3313" s="4" t="s">
        <v>6642</v>
      </c>
      <c r="B3313" s="4" t="s">
        <v>6643</v>
      </c>
      <c r="C3313" s="4" t="s">
        <v>35</v>
      </c>
      <c r="D3313" s="4" t="s">
        <v>13</v>
      </c>
      <c r="E3313" s="5">
        <v>12.1983</v>
      </c>
      <c r="F3313" s="5">
        <v>12.2591</v>
      </c>
      <c r="G3313" s="5"/>
      <c r="H3313" s="4">
        <v>0</v>
      </c>
      <c r="I3313" s="6">
        <v>2317512</v>
      </c>
      <c r="J3313" s="7">
        <v>463.33</v>
      </c>
      <c r="K3313" s="9">
        <f>(PricingDataTable[[#This Row],[Current Price ($)]]-PricingDataTable[[#This Row],[Prior Price ($)]])/PricingDataTable[[#This Row],[Prior Price ($)]]</f>
        <v>4.9843010911356841E-3</v>
      </c>
      <c r="L3313" s="9">
        <f>(PricingDataTable[[#This Row],[Vendor Price ($)]]-PricingDataTable[[#This Row],[Current Price ($)]])/PricingDataTable[[#This Row],[Current Price ($)]]</f>
        <v>-1</v>
      </c>
      <c r="M3313" t="str">
        <f t="shared" si="102"/>
        <v>VENDOR DIFFERENCE</v>
      </c>
      <c r="N3313" s="10" t="str">
        <f t="shared" si="103"/>
        <v>HIGH</v>
      </c>
    </row>
    <row r="3314" spans="1:14">
      <c r="A3314" s="4" t="s">
        <v>6644</v>
      </c>
      <c r="B3314" s="4" t="s">
        <v>6645</v>
      </c>
      <c r="C3314" s="4" t="s">
        <v>12</v>
      </c>
      <c r="D3314" s="4" t="s">
        <v>13</v>
      </c>
      <c r="E3314" s="5">
        <v>117.51649999999999</v>
      </c>
      <c r="F3314" s="5">
        <v>0</v>
      </c>
      <c r="G3314" s="5">
        <v>118.2176</v>
      </c>
      <c r="H3314" s="4">
        <v>3</v>
      </c>
      <c r="I3314" s="6">
        <v>2386910</v>
      </c>
      <c r="J3314" s="7">
        <v>610.61</v>
      </c>
      <c r="K3314" s="9">
        <f>(PricingDataTable[[#This Row],[Current Price ($)]]-PricingDataTable[[#This Row],[Prior Price ($)]])/PricingDataTable[[#This Row],[Prior Price ($)]]</f>
        <v>-1</v>
      </c>
      <c r="L3314" s="9" t="e">
        <f>(PricingDataTable[[#This Row],[Vendor Price ($)]]-PricingDataTable[[#This Row],[Current Price ($)]])/PricingDataTable[[#This Row],[Current Price ($)]]</f>
        <v>#DIV/0!</v>
      </c>
      <c r="M3314" t="str">
        <f t="shared" si="102"/>
        <v>MISSING</v>
      </c>
      <c r="N3314" s="10" t="str">
        <f t="shared" si="103"/>
        <v>HIGH</v>
      </c>
    </row>
    <row r="3315" spans="1:14">
      <c r="A3315" s="4" t="s">
        <v>6646</v>
      </c>
      <c r="B3315" s="4" t="s">
        <v>6647</v>
      </c>
      <c r="C3315" s="4" t="s">
        <v>19</v>
      </c>
      <c r="D3315" s="4" t="s">
        <v>13</v>
      </c>
      <c r="E3315" s="5">
        <v>203.68729999999999</v>
      </c>
      <c r="F3315" s="5">
        <v>206.5386</v>
      </c>
      <c r="G3315" s="5">
        <v>207.48400000000001</v>
      </c>
      <c r="H3315" s="4">
        <v>0</v>
      </c>
      <c r="I3315" s="6">
        <v>4732028</v>
      </c>
      <c r="J3315" s="7">
        <v>487.96</v>
      </c>
      <c r="K3315" s="9">
        <f>(PricingDataTable[[#This Row],[Current Price ($)]]-PricingDataTable[[#This Row],[Prior Price ($)]])/PricingDataTable[[#This Row],[Prior Price ($)]]</f>
        <v>1.3998418163528158E-2</v>
      </c>
      <c r="L3315" s="9">
        <f>(PricingDataTable[[#This Row],[Vendor Price ($)]]-PricingDataTable[[#This Row],[Current Price ($)]])/PricingDataTable[[#This Row],[Current Price ($)]]</f>
        <v>4.5773526110858042E-3</v>
      </c>
      <c r="M3315" t="str">
        <f t="shared" si="102"/>
        <v>PASS</v>
      </c>
      <c r="N3315" s="10" t="str">
        <f t="shared" si="103"/>
        <v>NONE</v>
      </c>
    </row>
    <row r="3316" spans="1:14">
      <c r="A3316" s="4" t="s">
        <v>6648</v>
      </c>
      <c r="B3316" s="4" t="s">
        <v>6649</v>
      </c>
      <c r="C3316" s="4" t="s">
        <v>35</v>
      </c>
      <c r="D3316" s="4" t="s">
        <v>13</v>
      </c>
      <c r="E3316" s="5">
        <v>35.954599999999999</v>
      </c>
      <c r="F3316" s="5">
        <v>36.222000000000001</v>
      </c>
      <c r="G3316" s="5">
        <v>36.292999999999999</v>
      </c>
      <c r="H3316" s="4">
        <v>1</v>
      </c>
      <c r="I3316" s="6">
        <v>2583883</v>
      </c>
      <c r="J3316" s="7">
        <v>463.69</v>
      </c>
      <c r="K3316" s="9">
        <f>(PricingDataTable[[#This Row],[Current Price ($)]]-PricingDataTable[[#This Row],[Prior Price ($)]])/PricingDataTable[[#This Row],[Prior Price ($)]]</f>
        <v>7.4371568589277053E-3</v>
      </c>
      <c r="L3316" s="9">
        <f>(PricingDataTable[[#This Row],[Vendor Price ($)]]-PricingDataTable[[#This Row],[Current Price ($)]])/PricingDataTable[[#This Row],[Current Price ($)]]</f>
        <v>1.9601347247528559E-3</v>
      </c>
      <c r="M3316" t="str">
        <f t="shared" si="102"/>
        <v>PASS</v>
      </c>
      <c r="N3316" s="10" t="str">
        <f t="shared" si="103"/>
        <v>NONE</v>
      </c>
    </row>
    <row r="3317" spans="1:14">
      <c r="A3317" s="4" t="s">
        <v>6650</v>
      </c>
      <c r="B3317" s="4" t="s">
        <v>6651</v>
      </c>
      <c r="C3317" s="4" t="s">
        <v>19</v>
      </c>
      <c r="D3317" s="4" t="s">
        <v>13</v>
      </c>
      <c r="E3317" s="5">
        <v>212.8278</v>
      </c>
      <c r="F3317" s="5">
        <v>212.80779999999999</v>
      </c>
      <c r="G3317" s="5">
        <v>211.34299999999999</v>
      </c>
      <c r="H3317" s="4">
        <v>1</v>
      </c>
      <c r="I3317" s="6">
        <v>3464913</v>
      </c>
      <c r="J3317" s="7">
        <v>896.61</v>
      </c>
      <c r="K3317" s="9">
        <f>(PricingDataTable[[#This Row],[Current Price ($)]]-PricingDataTable[[#This Row],[Prior Price ($)]])/PricingDataTable[[#This Row],[Prior Price ($)]]</f>
        <v>-9.3972685899164642E-5</v>
      </c>
      <c r="L3317" s="9">
        <f>(PricingDataTable[[#This Row],[Vendor Price ($)]]-PricingDataTable[[#This Row],[Current Price ($)]])/PricingDataTable[[#This Row],[Current Price ($)]]</f>
        <v>-6.8832063486394621E-3</v>
      </c>
      <c r="M3317" t="str">
        <f t="shared" si="102"/>
        <v>PASS</v>
      </c>
      <c r="N3317" s="10" t="str">
        <f t="shared" si="103"/>
        <v>NONE</v>
      </c>
    </row>
    <row r="3318" spans="1:14">
      <c r="A3318" s="4" t="s">
        <v>6652</v>
      </c>
      <c r="B3318" s="4" t="s">
        <v>6653</v>
      </c>
      <c r="C3318" s="4" t="s">
        <v>16</v>
      </c>
      <c r="D3318" s="4" t="s">
        <v>36</v>
      </c>
      <c r="E3318" s="5">
        <v>117.2659</v>
      </c>
      <c r="F3318" s="5">
        <v>117.7893</v>
      </c>
      <c r="G3318" s="5">
        <v>117.8416</v>
      </c>
      <c r="H3318" s="4">
        <v>4</v>
      </c>
      <c r="I3318" s="6">
        <v>4863907</v>
      </c>
      <c r="J3318" s="7">
        <v>743.07</v>
      </c>
      <c r="K3318" s="9">
        <f>(PricingDataTable[[#This Row],[Current Price ($)]]-PricingDataTable[[#This Row],[Prior Price ($)]])/PricingDataTable[[#This Row],[Prior Price ($)]]</f>
        <v>4.4633606189011061E-3</v>
      </c>
      <c r="L3318" s="9">
        <f>(PricingDataTable[[#This Row],[Vendor Price ($)]]-PricingDataTable[[#This Row],[Current Price ($)]])/PricingDataTable[[#This Row],[Current Price ($)]]</f>
        <v>4.4401316588181148E-4</v>
      </c>
      <c r="M3318" t="str">
        <f t="shared" si="102"/>
        <v>STALE</v>
      </c>
      <c r="N3318" s="10" t="str">
        <f t="shared" si="103"/>
        <v>LOW</v>
      </c>
    </row>
    <row r="3319" spans="1:14">
      <c r="A3319" s="4" t="s">
        <v>6654</v>
      </c>
      <c r="B3319" s="4" t="s">
        <v>6655</v>
      </c>
      <c r="C3319" s="4" t="s">
        <v>12</v>
      </c>
      <c r="D3319" s="4" t="s">
        <v>13</v>
      </c>
      <c r="E3319" s="5">
        <v>98.234999999999999</v>
      </c>
      <c r="F3319" s="5">
        <v>98.257400000000004</v>
      </c>
      <c r="G3319" s="5">
        <v>98.465800000000002</v>
      </c>
      <c r="H3319" s="4">
        <v>5</v>
      </c>
      <c r="I3319" s="6">
        <v>2462479</v>
      </c>
      <c r="J3319" s="7">
        <v>216.91</v>
      </c>
      <c r="K3319" s="9">
        <f>(PricingDataTable[[#This Row],[Current Price ($)]]-PricingDataTable[[#This Row],[Prior Price ($)]])/PricingDataTable[[#This Row],[Prior Price ($)]]</f>
        <v>2.2802463480434303E-4</v>
      </c>
      <c r="L3319" s="9">
        <f>(PricingDataTable[[#This Row],[Vendor Price ($)]]-PricingDataTable[[#This Row],[Current Price ($)]])/PricingDataTable[[#This Row],[Current Price ($)]]</f>
        <v>2.120959846281272E-3</v>
      </c>
      <c r="M3319" t="str">
        <f t="shared" si="102"/>
        <v>STALE</v>
      </c>
      <c r="N3319" s="10" t="str">
        <f t="shared" si="103"/>
        <v>MEDIUM</v>
      </c>
    </row>
    <row r="3320" spans="1:14">
      <c r="A3320" s="4" t="s">
        <v>6656</v>
      </c>
      <c r="B3320" s="4" t="s">
        <v>6657</v>
      </c>
      <c r="C3320" s="4" t="s">
        <v>35</v>
      </c>
      <c r="D3320" s="4" t="s">
        <v>13</v>
      </c>
      <c r="E3320" s="5">
        <v>91.944599999999994</v>
      </c>
      <c r="F3320" s="5">
        <v>91.944400000000002</v>
      </c>
      <c r="G3320" s="5">
        <v>91.728499999999997</v>
      </c>
      <c r="H3320" s="4">
        <v>5</v>
      </c>
      <c r="I3320" s="6">
        <v>4794260</v>
      </c>
      <c r="J3320" s="7">
        <v>700.87</v>
      </c>
      <c r="K3320" s="9">
        <f>(PricingDataTable[[#This Row],[Current Price ($)]]-PricingDataTable[[#This Row],[Prior Price ($)]])/PricingDataTable[[#This Row],[Prior Price ($)]]</f>
        <v>-2.1752229058849401E-6</v>
      </c>
      <c r="L3320" s="9">
        <f>(PricingDataTable[[#This Row],[Vendor Price ($)]]-PricingDataTable[[#This Row],[Current Price ($)]])/PricingDataTable[[#This Row],[Current Price ($)]]</f>
        <v>-2.3481582347593204E-3</v>
      </c>
      <c r="M3320" t="str">
        <f t="shared" si="102"/>
        <v>STALE</v>
      </c>
      <c r="N3320" s="10" t="str">
        <f t="shared" si="103"/>
        <v>MEDIUM</v>
      </c>
    </row>
    <row r="3321" spans="1:14">
      <c r="A3321" s="4" t="s">
        <v>6658</v>
      </c>
      <c r="B3321" s="4" t="s">
        <v>6659</v>
      </c>
      <c r="C3321" s="4" t="s">
        <v>39</v>
      </c>
      <c r="D3321" s="4" t="s">
        <v>13</v>
      </c>
      <c r="E3321" s="5">
        <v>218.2482</v>
      </c>
      <c r="F3321" s="5">
        <v>221.7287</v>
      </c>
      <c r="G3321" s="5">
        <v>221.11619999999999</v>
      </c>
      <c r="H3321" s="4">
        <v>0</v>
      </c>
      <c r="I3321" s="6">
        <v>2780638</v>
      </c>
      <c r="J3321" s="7">
        <v>857.37</v>
      </c>
      <c r="K3321" s="9">
        <f>(PricingDataTable[[#This Row],[Current Price ($)]]-PricingDataTable[[#This Row],[Prior Price ($)]])/PricingDataTable[[#This Row],[Prior Price ($)]]</f>
        <v>1.5947439658150705E-2</v>
      </c>
      <c r="L3321" s="9">
        <f>(PricingDataTable[[#This Row],[Vendor Price ($)]]-PricingDataTable[[#This Row],[Current Price ($)]])/PricingDataTable[[#This Row],[Current Price ($)]]</f>
        <v>-2.7623848423772445E-3</v>
      </c>
      <c r="M3321" t="str">
        <f t="shared" si="102"/>
        <v>PASS</v>
      </c>
      <c r="N3321" s="10" t="str">
        <f t="shared" si="103"/>
        <v>NONE</v>
      </c>
    </row>
    <row r="3322" spans="1:14">
      <c r="A3322" s="4" t="s">
        <v>6660</v>
      </c>
      <c r="B3322" s="4" t="s">
        <v>6661</v>
      </c>
      <c r="C3322" s="4" t="s">
        <v>19</v>
      </c>
      <c r="D3322" s="4" t="s">
        <v>13</v>
      </c>
      <c r="E3322" s="5">
        <v>175.73769999999999</v>
      </c>
      <c r="F3322" s="5">
        <v>170.62649999999999</v>
      </c>
      <c r="G3322" s="5">
        <v>170.8886</v>
      </c>
      <c r="H3322" s="4">
        <v>3</v>
      </c>
      <c r="I3322" s="6">
        <v>2935557</v>
      </c>
      <c r="J3322" s="7">
        <v>667.09</v>
      </c>
      <c r="K3322" s="9">
        <f>(PricingDataTable[[#This Row],[Current Price ($)]]-PricingDataTable[[#This Row],[Prior Price ($)]])/PricingDataTable[[#This Row],[Prior Price ($)]]</f>
        <v>-2.90842545452683E-2</v>
      </c>
      <c r="L3322" s="9">
        <f>(PricingDataTable[[#This Row],[Vendor Price ($)]]-PricingDataTable[[#This Row],[Current Price ($)]])/PricingDataTable[[#This Row],[Current Price ($)]]</f>
        <v>1.536103711908782E-3</v>
      </c>
      <c r="M3322" t="str">
        <f t="shared" si="102"/>
        <v>STALE</v>
      </c>
      <c r="N3322" s="10" t="str">
        <f t="shared" si="103"/>
        <v>LOW</v>
      </c>
    </row>
    <row r="3323" spans="1:14">
      <c r="A3323" s="4" t="s">
        <v>6662</v>
      </c>
      <c r="B3323" s="4" t="s">
        <v>6663</v>
      </c>
      <c r="C3323" s="4" t="s">
        <v>39</v>
      </c>
      <c r="D3323" s="4" t="s">
        <v>32</v>
      </c>
      <c r="E3323" s="5">
        <v>36.754100000000001</v>
      </c>
      <c r="F3323" s="5">
        <v>36.651299999999999</v>
      </c>
      <c r="G3323" s="5">
        <v>36.691899999999997</v>
      </c>
      <c r="H3323" s="4">
        <v>4</v>
      </c>
      <c r="I3323" s="6">
        <v>2148361</v>
      </c>
      <c r="J3323" s="7">
        <v>222.29</v>
      </c>
      <c r="K3323" s="9">
        <f>(PricingDataTable[[#This Row],[Current Price ($)]]-PricingDataTable[[#This Row],[Prior Price ($)]])/PricingDataTable[[#This Row],[Prior Price ($)]]</f>
        <v>-2.796966869002424E-3</v>
      </c>
      <c r="L3323" s="9">
        <f>(PricingDataTable[[#This Row],[Vendor Price ($)]]-PricingDataTable[[#This Row],[Current Price ($)]])/PricingDataTable[[#This Row],[Current Price ($)]]</f>
        <v>1.1077369697663588E-3</v>
      </c>
      <c r="M3323" t="str">
        <f t="shared" si="102"/>
        <v>STALE</v>
      </c>
      <c r="N3323" s="10" t="str">
        <f t="shared" si="103"/>
        <v>LOW</v>
      </c>
    </row>
    <row r="3324" spans="1:14">
      <c r="A3324" s="4" t="s">
        <v>6664</v>
      </c>
      <c r="B3324" s="4" t="s">
        <v>6665</v>
      </c>
      <c r="C3324" s="4" t="s">
        <v>19</v>
      </c>
      <c r="D3324" s="4" t="s">
        <v>13</v>
      </c>
      <c r="E3324" s="5">
        <v>51.849499999999999</v>
      </c>
      <c r="F3324" s="5">
        <v>51.682899999999997</v>
      </c>
      <c r="G3324" s="5">
        <v>51.7971</v>
      </c>
      <c r="H3324" s="4">
        <v>0</v>
      </c>
      <c r="I3324" s="6">
        <v>1360824</v>
      </c>
      <c r="J3324" s="7">
        <v>20.440000000000001</v>
      </c>
      <c r="K3324" s="9">
        <f>(PricingDataTable[[#This Row],[Current Price ($)]]-PricingDataTable[[#This Row],[Prior Price ($)]])/PricingDataTable[[#This Row],[Prior Price ($)]]</f>
        <v>-3.2131457391103586E-3</v>
      </c>
      <c r="L3324" s="9">
        <f>(PricingDataTable[[#This Row],[Vendor Price ($)]]-PricingDataTable[[#This Row],[Current Price ($)]])/PricingDataTable[[#This Row],[Current Price ($)]]</f>
        <v>2.2096283296797175E-3</v>
      </c>
      <c r="M3324" t="str">
        <f t="shared" si="102"/>
        <v>PASS</v>
      </c>
      <c r="N3324" s="10" t="str">
        <f t="shared" si="103"/>
        <v>NONE</v>
      </c>
    </row>
    <row r="3325" spans="1:14">
      <c r="A3325" s="4" t="s">
        <v>6666</v>
      </c>
      <c r="B3325" s="4" t="s">
        <v>6667</v>
      </c>
      <c r="C3325" s="4" t="s">
        <v>19</v>
      </c>
      <c r="D3325" s="4" t="s">
        <v>36</v>
      </c>
      <c r="E3325" s="5">
        <v>346.2328</v>
      </c>
      <c r="F3325" s="5">
        <v>340.88150000000002</v>
      </c>
      <c r="G3325" s="5">
        <v>342.0582</v>
      </c>
      <c r="H3325" s="4">
        <v>0</v>
      </c>
      <c r="I3325" s="6">
        <v>4116798</v>
      </c>
      <c r="J3325" s="7">
        <v>464.22</v>
      </c>
      <c r="K3325" s="9">
        <f>(PricingDataTable[[#This Row],[Current Price ($)]]-PricingDataTable[[#This Row],[Prior Price ($)]])/PricingDataTable[[#This Row],[Prior Price ($)]]</f>
        <v>-1.5455785818096901E-2</v>
      </c>
      <c r="L3325" s="9">
        <f>(PricingDataTable[[#This Row],[Vendor Price ($)]]-PricingDataTable[[#This Row],[Current Price ($)]])/PricingDataTable[[#This Row],[Current Price ($)]]</f>
        <v>3.4519327097539249E-3</v>
      </c>
      <c r="M3325" t="str">
        <f t="shared" si="102"/>
        <v>PASS</v>
      </c>
      <c r="N3325" s="10" t="str">
        <f t="shared" si="103"/>
        <v>NONE</v>
      </c>
    </row>
    <row r="3326" spans="1:14">
      <c r="A3326" s="4" t="s">
        <v>6668</v>
      </c>
      <c r="B3326" s="4" t="s">
        <v>6669</v>
      </c>
      <c r="C3326" s="4" t="s">
        <v>19</v>
      </c>
      <c r="D3326" s="4" t="s">
        <v>13</v>
      </c>
      <c r="E3326" s="5">
        <v>268.61810000000003</v>
      </c>
      <c r="F3326" s="5">
        <v>264.86559999999997</v>
      </c>
      <c r="G3326" s="5">
        <v>265.7371</v>
      </c>
      <c r="H3326" s="4">
        <v>2</v>
      </c>
      <c r="I3326" s="6">
        <v>132388</v>
      </c>
      <c r="J3326" s="7">
        <v>13.88</v>
      </c>
      <c r="K3326" s="9">
        <f>(PricingDataTable[[#This Row],[Current Price ($)]]-PricingDataTable[[#This Row],[Prior Price ($)]])/PricingDataTable[[#This Row],[Prior Price ($)]]</f>
        <v>-1.3969646870408413E-2</v>
      </c>
      <c r="L3326" s="9">
        <f>(PricingDataTable[[#This Row],[Vendor Price ($)]]-PricingDataTable[[#This Row],[Current Price ($)]])/PricingDataTable[[#This Row],[Current Price ($)]]</f>
        <v>3.2903480104627628E-3</v>
      </c>
      <c r="M3326" t="str">
        <f t="shared" si="102"/>
        <v>PASS</v>
      </c>
      <c r="N3326" s="10" t="str">
        <f t="shared" si="103"/>
        <v>NONE</v>
      </c>
    </row>
    <row r="3327" spans="1:14">
      <c r="A3327" s="4" t="s">
        <v>6670</v>
      </c>
      <c r="B3327" s="4" t="s">
        <v>6671</v>
      </c>
      <c r="C3327" s="4" t="s">
        <v>19</v>
      </c>
      <c r="D3327" s="4" t="s">
        <v>13</v>
      </c>
      <c r="E3327" s="5">
        <v>292.8306</v>
      </c>
      <c r="F3327" s="5">
        <v>293.96800000000002</v>
      </c>
      <c r="G3327" s="5">
        <v>294.62670000000003</v>
      </c>
      <c r="H3327" s="4">
        <v>1</v>
      </c>
      <c r="I3327" s="6">
        <v>3115766</v>
      </c>
      <c r="J3327" s="7">
        <v>302.37</v>
      </c>
      <c r="K3327" s="9">
        <f>(PricingDataTable[[#This Row],[Current Price ($)]]-PricingDataTable[[#This Row],[Prior Price ($)]])/PricingDataTable[[#This Row],[Prior Price ($)]]</f>
        <v>3.8841569152951016E-3</v>
      </c>
      <c r="L3327" s="9">
        <f>(PricingDataTable[[#This Row],[Vendor Price ($)]]-PricingDataTable[[#This Row],[Current Price ($)]])/PricingDataTable[[#This Row],[Current Price ($)]]</f>
        <v>2.2407200783759124E-3</v>
      </c>
      <c r="M3327" t="str">
        <f t="shared" si="102"/>
        <v>PASS</v>
      </c>
      <c r="N3327" s="10" t="str">
        <f t="shared" si="103"/>
        <v>NONE</v>
      </c>
    </row>
    <row r="3328" spans="1:14">
      <c r="A3328" s="4" t="s">
        <v>6672</v>
      </c>
      <c r="B3328" s="4" t="s">
        <v>6673</v>
      </c>
      <c r="C3328" s="4" t="s">
        <v>39</v>
      </c>
      <c r="D3328" s="4" t="s">
        <v>36</v>
      </c>
      <c r="E3328" s="5">
        <v>338.29640000000001</v>
      </c>
      <c r="F3328" s="5">
        <v>344.19909999999999</v>
      </c>
      <c r="G3328" s="5">
        <v>344.42270000000002</v>
      </c>
      <c r="H3328" s="4">
        <v>0</v>
      </c>
      <c r="I3328" s="6">
        <v>3969084</v>
      </c>
      <c r="J3328" s="7">
        <v>551.4</v>
      </c>
      <c r="K3328" s="9">
        <f>(PricingDataTable[[#This Row],[Current Price ($)]]-PricingDataTable[[#This Row],[Prior Price ($)]])/PricingDataTable[[#This Row],[Prior Price ($)]]</f>
        <v>1.7448308642953284E-2</v>
      </c>
      <c r="L3328" s="9">
        <f>(PricingDataTable[[#This Row],[Vendor Price ($)]]-PricingDataTable[[#This Row],[Current Price ($)]])/PricingDataTable[[#This Row],[Current Price ($)]]</f>
        <v>6.4962401121918423E-4</v>
      </c>
      <c r="M3328" t="str">
        <f t="shared" si="102"/>
        <v>PASS</v>
      </c>
      <c r="N3328" s="10" t="str">
        <f t="shared" si="103"/>
        <v>NONE</v>
      </c>
    </row>
    <row r="3329" spans="1:14">
      <c r="A3329" s="4" t="s">
        <v>6674</v>
      </c>
      <c r="B3329" s="4" t="s">
        <v>6675</v>
      </c>
      <c r="C3329" s="4" t="s">
        <v>35</v>
      </c>
      <c r="D3329" s="4" t="s">
        <v>13</v>
      </c>
      <c r="E3329" s="5">
        <v>64.573599999999999</v>
      </c>
      <c r="F3329" s="5">
        <v>64.182500000000005</v>
      </c>
      <c r="G3329" s="5">
        <v>64.000799999999998</v>
      </c>
      <c r="H3329" s="4">
        <v>0</v>
      </c>
      <c r="I3329" s="6">
        <v>3645530</v>
      </c>
      <c r="J3329" s="7">
        <v>707.68</v>
      </c>
      <c r="K3329" s="9">
        <f>(PricingDataTable[[#This Row],[Current Price ($)]]-PricingDataTable[[#This Row],[Prior Price ($)]])/PricingDataTable[[#This Row],[Prior Price ($)]]</f>
        <v>-6.0566547319646797E-3</v>
      </c>
      <c r="L3329" s="9">
        <f>(PricingDataTable[[#This Row],[Vendor Price ($)]]-PricingDataTable[[#This Row],[Current Price ($)]])/PricingDataTable[[#This Row],[Current Price ($)]]</f>
        <v>-2.8309897557746489E-3</v>
      </c>
      <c r="M3329" t="str">
        <f t="shared" si="102"/>
        <v>PASS</v>
      </c>
      <c r="N3329" s="10" t="str">
        <f t="shared" si="103"/>
        <v>NONE</v>
      </c>
    </row>
    <row r="3330" spans="1:14">
      <c r="A3330" s="4" t="s">
        <v>6676</v>
      </c>
      <c r="B3330" s="4" t="s">
        <v>6677</v>
      </c>
      <c r="C3330" s="4" t="s">
        <v>16</v>
      </c>
      <c r="D3330" s="4" t="s">
        <v>13</v>
      </c>
      <c r="E3330" s="5">
        <v>97.361400000000003</v>
      </c>
      <c r="F3330" s="5">
        <v>96.690299999999993</v>
      </c>
      <c r="G3330" s="5">
        <v>96.806799999999996</v>
      </c>
      <c r="H3330" s="4">
        <v>0</v>
      </c>
      <c r="I3330" s="6">
        <v>2372279</v>
      </c>
      <c r="J3330" s="7">
        <v>449.29</v>
      </c>
      <c r="K3330" s="9">
        <f>(PricingDataTable[[#This Row],[Current Price ($)]]-PricingDataTable[[#This Row],[Prior Price ($)]])/PricingDataTable[[#This Row],[Prior Price ($)]]</f>
        <v>-6.8928754105837611E-3</v>
      </c>
      <c r="L3330" s="9">
        <f>(PricingDataTable[[#This Row],[Vendor Price ($)]]-PricingDataTable[[#This Row],[Current Price ($)]])/PricingDataTable[[#This Row],[Current Price ($)]]</f>
        <v>1.2048778419345276E-3</v>
      </c>
      <c r="M3330" t="str">
        <f t="shared" ref="M3330:M3393" si="104">IF(OR(F3330="",F3330=0),"MISSING",IF(H3330&gt;=3,"STALE",IF(ABS(K3330)&gt;=5%,"LARGE MOVE",IF(ABS(L3330)&gt;=2%,"VENDOR DIFFERENCE","PASS"))))</f>
        <v>PASS</v>
      </c>
      <c r="N3330" s="10" t="str">
        <f t="shared" ref="N3330:N3393" si="105">IF(M3330="PASS","NONE",IF(M3330="MISSING","HIGH",IF(OR(ABS(K3330)&gt;=10%,ABS(L3330)&gt;=5%),"HIGH",IF(OR(ABS(K3330)&gt;=7%,ABS(L3330)&gt;=3%,H3330&gt;=5),"MEDIUM","LOW"))))</f>
        <v>NONE</v>
      </c>
    </row>
    <row r="3331" spans="1:14">
      <c r="A3331" s="4" t="s">
        <v>6678</v>
      </c>
      <c r="B3331" s="4" t="s">
        <v>6679</v>
      </c>
      <c r="C3331" s="4" t="s">
        <v>12</v>
      </c>
      <c r="D3331" s="4" t="s">
        <v>13</v>
      </c>
      <c r="E3331" s="5">
        <v>79.757499999999993</v>
      </c>
      <c r="F3331" s="5">
        <v>80.895899999999997</v>
      </c>
      <c r="G3331" s="5">
        <v>81.263400000000004</v>
      </c>
      <c r="H3331" s="4">
        <v>4</v>
      </c>
      <c r="I3331" s="6">
        <v>3099235</v>
      </c>
      <c r="J3331" s="7">
        <v>838.76</v>
      </c>
      <c r="K3331" s="9">
        <f>(PricingDataTable[[#This Row],[Current Price ($)]]-PricingDataTable[[#This Row],[Prior Price ($)]])/PricingDataTable[[#This Row],[Prior Price ($)]]</f>
        <v>1.427326583706867E-2</v>
      </c>
      <c r="L3331" s="9">
        <f>(PricingDataTable[[#This Row],[Vendor Price ($)]]-PricingDataTable[[#This Row],[Current Price ($)]])/PricingDataTable[[#This Row],[Current Price ($)]]</f>
        <v>4.5428754732935398E-3</v>
      </c>
      <c r="M3331" t="str">
        <f t="shared" si="104"/>
        <v>STALE</v>
      </c>
      <c r="N3331" s="10" t="str">
        <f t="shared" si="105"/>
        <v>LOW</v>
      </c>
    </row>
    <row r="3332" spans="1:14">
      <c r="A3332" s="4" t="s">
        <v>6680</v>
      </c>
      <c r="B3332" s="4" t="s">
        <v>6681</v>
      </c>
      <c r="C3332" s="4" t="s">
        <v>19</v>
      </c>
      <c r="D3332" s="4" t="s">
        <v>13</v>
      </c>
      <c r="E3332" s="5">
        <v>55.300199999999997</v>
      </c>
      <c r="F3332" s="5">
        <v>55.324800000000003</v>
      </c>
      <c r="G3332" s="5">
        <v>55.254800000000003</v>
      </c>
      <c r="H3332" s="4">
        <v>0</v>
      </c>
      <c r="I3332" s="6">
        <v>3407760</v>
      </c>
      <c r="J3332" s="7">
        <v>664.84</v>
      </c>
      <c r="K3332" s="9">
        <f>(PricingDataTable[[#This Row],[Current Price ($)]]-PricingDataTable[[#This Row],[Prior Price ($)]])/PricingDataTable[[#This Row],[Prior Price ($)]]</f>
        <v>4.4484468410614463E-4</v>
      </c>
      <c r="L3332" s="9">
        <f>(PricingDataTable[[#This Row],[Vendor Price ($)]]-PricingDataTable[[#This Row],[Current Price ($)]])/PricingDataTable[[#This Row],[Current Price ($)]]</f>
        <v>-1.2652553646827513E-3</v>
      </c>
      <c r="M3332" t="str">
        <f t="shared" si="104"/>
        <v>PASS</v>
      </c>
      <c r="N3332" s="10" t="str">
        <f t="shared" si="105"/>
        <v>NONE</v>
      </c>
    </row>
    <row r="3333" spans="1:14">
      <c r="A3333" s="4" t="s">
        <v>6682</v>
      </c>
      <c r="B3333" s="4" t="s">
        <v>6683</v>
      </c>
      <c r="C3333" s="4" t="s">
        <v>19</v>
      </c>
      <c r="D3333" s="4" t="s">
        <v>13</v>
      </c>
      <c r="E3333" s="5">
        <v>308.15609999999998</v>
      </c>
      <c r="F3333" s="5">
        <v>307.24119999999999</v>
      </c>
      <c r="G3333" s="5">
        <v>307.11169999999998</v>
      </c>
      <c r="H3333" s="4">
        <v>0</v>
      </c>
      <c r="I3333" s="6">
        <v>570942</v>
      </c>
      <c r="J3333" s="7">
        <v>712.67</v>
      </c>
      <c r="K3333" s="9">
        <f>(PricingDataTable[[#This Row],[Current Price ($)]]-PricingDataTable[[#This Row],[Prior Price ($)]])/PricingDataTable[[#This Row],[Prior Price ($)]]</f>
        <v>-2.9689498277009241E-3</v>
      </c>
      <c r="L3333" s="9">
        <f>(PricingDataTable[[#This Row],[Vendor Price ($)]]-PricingDataTable[[#This Row],[Current Price ($)]])/PricingDataTable[[#This Row],[Current Price ($)]]</f>
        <v>-4.2149295081521382E-4</v>
      </c>
      <c r="M3333" t="str">
        <f t="shared" si="104"/>
        <v>PASS</v>
      </c>
      <c r="N3333" s="10" t="str">
        <f t="shared" si="105"/>
        <v>NONE</v>
      </c>
    </row>
    <row r="3334" spans="1:14">
      <c r="A3334" s="4" t="s">
        <v>6684</v>
      </c>
      <c r="B3334" s="4" t="s">
        <v>6685</v>
      </c>
      <c r="C3334" s="4" t="s">
        <v>16</v>
      </c>
      <c r="D3334" s="4" t="s">
        <v>36</v>
      </c>
      <c r="E3334" s="5">
        <v>81.4191</v>
      </c>
      <c r="F3334" s="5">
        <v>79.5441</v>
      </c>
      <c r="G3334" s="5">
        <v>79.281400000000005</v>
      </c>
      <c r="H3334" s="4">
        <v>0</v>
      </c>
      <c r="I3334" s="6">
        <v>1525779</v>
      </c>
      <c r="J3334" s="7">
        <v>362.23</v>
      </c>
      <c r="K3334" s="9">
        <f>(PricingDataTable[[#This Row],[Current Price ($)]]-PricingDataTable[[#This Row],[Prior Price ($)]])/PricingDataTable[[#This Row],[Prior Price ($)]]</f>
        <v>-2.3028994425141031E-2</v>
      </c>
      <c r="L3334" s="9">
        <f>(PricingDataTable[[#This Row],[Vendor Price ($)]]-PricingDataTable[[#This Row],[Current Price ($)]])/PricingDataTable[[#This Row],[Current Price ($)]]</f>
        <v>-3.302570523772288E-3</v>
      </c>
      <c r="M3334" t="str">
        <f t="shared" si="104"/>
        <v>PASS</v>
      </c>
      <c r="N3334" s="10" t="str">
        <f t="shared" si="105"/>
        <v>NONE</v>
      </c>
    </row>
    <row r="3335" spans="1:14">
      <c r="A3335" s="4" t="s">
        <v>6686</v>
      </c>
      <c r="B3335" s="4" t="s">
        <v>6687</v>
      </c>
      <c r="C3335" s="4" t="s">
        <v>16</v>
      </c>
      <c r="D3335" s="4" t="s">
        <v>13</v>
      </c>
      <c r="E3335" s="5">
        <v>117.02630000000001</v>
      </c>
      <c r="F3335" s="5">
        <v>116.1378</v>
      </c>
      <c r="G3335" s="5">
        <v>116.4905</v>
      </c>
      <c r="H3335" s="4">
        <v>0</v>
      </c>
      <c r="I3335" s="6">
        <v>581400</v>
      </c>
      <c r="J3335" s="7">
        <v>731.24</v>
      </c>
      <c r="K3335" s="9">
        <f>(PricingDataTable[[#This Row],[Current Price ($)]]-PricingDataTable[[#This Row],[Prior Price ($)]])/PricingDataTable[[#This Row],[Prior Price ($)]]</f>
        <v>-7.5923104464552631E-3</v>
      </c>
      <c r="L3335" s="9">
        <f>(PricingDataTable[[#This Row],[Vendor Price ($)]]-PricingDataTable[[#This Row],[Current Price ($)]])/PricingDataTable[[#This Row],[Current Price ($)]]</f>
        <v>3.0369096022139102E-3</v>
      </c>
      <c r="M3335" t="str">
        <f t="shared" si="104"/>
        <v>PASS</v>
      </c>
      <c r="N3335" s="10" t="str">
        <f t="shared" si="105"/>
        <v>NONE</v>
      </c>
    </row>
    <row r="3336" spans="1:14">
      <c r="A3336" s="4" t="s">
        <v>6688</v>
      </c>
      <c r="B3336" s="4" t="s">
        <v>6689</v>
      </c>
      <c r="C3336" s="4" t="s">
        <v>16</v>
      </c>
      <c r="D3336" s="4" t="s">
        <v>64</v>
      </c>
      <c r="E3336" s="5">
        <v>100.958</v>
      </c>
      <c r="F3336" s="5">
        <v>102.68600000000001</v>
      </c>
      <c r="G3336" s="5">
        <v>102.7501</v>
      </c>
      <c r="H3336" s="4">
        <v>2</v>
      </c>
      <c r="I3336" s="6">
        <v>2166680</v>
      </c>
      <c r="J3336" s="7">
        <v>568.99</v>
      </c>
      <c r="K3336" s="9">
        <f>(PricingDataTable[[#This Row],[Current Price ($)]]-PricingDataTable[[#This Row],[Prior Price ($)]])/PricingDataTable[[#This Row],[Prior Price ($)]]</f>
        <v>1.7116028447473293E-2</v>
      </c>
      <c r="L3336" s="9">
        <f>(PricingDataTable[[#This Row],[Vendor Price ($)]]-PricingDataTable[[#This Row],[Current Price ($)]])/PricingDataTable[[#This Row],[Current Price ($)]]</f>
        <v>6.2423309896184748E-4</v>
      </c>
      <c r="M3336" t="str">
        <f t="shared" si="104"/>
        <v>PASS</v>
      </c>
      <c r="N3336" s="10" t="str">
        <f t="shared" si="105"/>
        <v>NONE</v>
      </c>
    </row>
    <row r="3337" spans="1:14">
      <c r="A3337" s="4" t="s">
        <v>6690</v>
      </c>
      <c r="B3337" s="4" t="s">
        <v>6691</v>
      </c>
      <c r="C3337" s="4" t="s">
        <v>19</v>
      </c>
      <c r="D3337" s="4" t="s">
        <v>32</v>
      </c>
      <c r="E3337" s="5">
        <v>290.2525</v>
      </c>
      <c r="F3337" s="5">
        <v>290.95920000000001</v>
      </c>
      <c r="G3337" s="5">
        <v>289.78710000000001</v>
      </c>
      <c r="H3337" s="4">
        <v>0</v>
      </c>
      <c r="I3337" s="6">
        <v>3270295</v>
      </c>
      <c r="J3337" s="7">
        <v>385.1</v>
      </c>
      <c r="K3337" s="9">
        <f>(PricingDataTable[[#This Row],[Current Price ($)]]-PricingDataTable[[#This Row],[Prior Price ($)]])/PricingDataTable[[#This Row],[Prior Price ($)]]</f>
        <v>2.4347766169111793E-3</v>
      </c>
      <c r="L3337" s="9">
        <f>(PricingDataTable[[#This Row],[Vendor Price ($)]]-PricingDataTable[[#This Row],[Current Price ($)]])/PricingDataTable[[#This Row],[Current Price ($)]]</f>
        <v>-4.0283998581244389E-3</v>
      </c>
      <c r="M3337" t="str">
        <f t="shared" si="104"/>
        <v>PASS</v>
      </c>
      <c r="N3337" s="10" t="str">
        <f t="shared" si="105"/>
        <v>NONE</v>
      </c>
    </row>
    <row r="3338" spans="1:14">
      <c r="A3338" s="4" t="s">
        <v>6692</v>
      </c>
      <c r="B3338" s="4" t="s">
        <v>6693</v>
      </c>
      <c r="C3338" s="4" t="s">
        <v>19</v>
      </c>
      <c r="D3338" s="4" t="s">
        <v>32</v>
      </c>
      <c r="E3338" s="5">
        <v>276.74919999999997</v>
      </c>
      <c r="F3338" s="5">
        <v>276.58960000000002</v>
      </c>
      <c r="G3338" s="5">
        <v>276.17809999999997</v>
      </c>
      <c r="H3338" s="4">
        <v>0</v>
      </c>
      <c r="I3338" s="6">
        <v>3696438</v>
      </c>
      <c r="J3338" s="7">
        <v>580.23</v>
      </c>
      <c r="K3338" s="9">
        <f>(PricingDataTable[[#This Row],[Current Price ($)]]-PricingDataTable[[#This Row],[Prior Price ($)]])/PricingDataTable[[#This Row],[Prior Price ($)]]</f>
        <v>-5.766954339884448E-4</v>
      </c>
      <c r="L3338" s="9">
        <f>(PricingDataTable[[#This Row],[Vendor Price ($)]]-PricingDataTable[[#This Row],[Current Price ($)]])/PricingDataTable[[#This Row],[Current Price ($)]]</f>
        <v>-1.4877638204764255E-3</v>
      </c>
      <c r="M3338" t="str">
        <f t="shared" si="104"/>
        <v>PASS</v>
      </c>
      <c r="N3338" s="10" t="str">
        <f t="shared" si="105"/>
        <v>NONE</v>
      </c>
    </row>
    <row r="3339" spans="1:14">
      <c r="A3339" s="4" t="s">
        <v>6694</v>
      </c>
      <c r="B3339" s="4" t="s">
        <v>6695</v>
      </c>
      <c r="C3339" s="4" t="s">
        <v>16</v>
      </c>
      <c r="D3339" s="4" t="s">
        <v>13</v>
      </c>
      <c r="E3339" s="5">
        <v>96.907700000000006</v>
      </c>
      <c r="F3339" s="5">
        <v>95.947999999999993</v>
      </c>
      <c r="G3339" s="5">
        <v>95.921199999999999</v>
      </c>
      <c r="H3339" s="4">
        <v>0</v>
      </c>
      <c r="I3339" s="6">
        <v>859531</v>
      </c>
      <c r="J3339" s="7">
        <v>576.6</v>
      </c>
      <c r="K3339" s="9">
        <f>(PricingDataTable[[#This Row],[Current Price ($)]]-PricingDataTable[[#This Row],[Prior Price ($)]])/PricingDataTable[[#This Row],[Prior Price ($)]]</f>
        <v>-9.9032378232071557E-3</v>
      </c>
      <c r="L3339" s="9">
        <f>(PricingDataTable[[#This Row],[Vendor Price ($)]]-PricingDataTable[[#This Row],[Current Price ($)]])/PricingDataTable[[#This Row],[Current Price ($)]]</f>
        <v>-2.7931796389705241E-4</v>
      </c>
      <c r="M3339" t="str">
        <f t="shared" si="104"/>
        <v>PASS</v>
      </c>
      <c r="N3339" s="10" t="str">
        <f t="shared" si="105"/>
        <v>NONE</v>
      </c>
    </row>
    <row r="3340" spans="1:14">
      <c r="A3340" s="4" t="s">
        <v>6696</v>
      </c>
      <c r="B3340" s="4" t="s">
        <v>6697</v>
      </c>
      <c r="C3340" s="4" t="s">
        <v>19</v>
      </c>
      <c r="D3340" s="4" t="s">
        <v>13</v>
      </c>
      <c r="E3340" s="5">
        <v>300.39710000000002</v>
      </c>
      <c r="F3340" s="5">
        <v>302.20909999999998</v>
      </c>
      <c r="G3340" s="5">
        <v>302.64190000000002</v>
      </c>
      <c r="H3340" s="4">
        <v>2</v>
      </c>
      <c r="I3340" s="6">
        <v>3832682</v>
      </c>
      <c r="J3340" s="7">
        <v>573.16999999999996</v>
      </c>
      <c r="K3340" s="9">
        <f>(PricingDataTable[[#This Row],[Current Price ($)]]-PricingDataTable[[#This Row],[Prior Price ($)]])/PricingDataTable[[#This Row],[Prior Price ($)]]</f>
        <v>6.0320156219882109E-3</v>
      </c>
      <c r="L3340" s="9">
        <f>(PricingDataTable[[#This Row],[Vendor Price ($)]]-PricingDataTable[[#This Row],[Current Price ($)]])/PricingDataTable[[#This Row],[Current Price ($)]]</f>
        <v>1.4321210049599532E-3</v>
      </c>
      <c r="M3340" t="str">
        <f t="shared" si="104"/>
        <v>PASS</v>
      </c>
      <c r="N3340" s="10" t="str">
        <f t="shared" si="105"/>
        <v>NONE</v>
      </c>
    </row>
    <row r="3341" spans="1:14">
      <c r="A3341" s="4" t="s">
        <v>6698</v>
      </c>
      <c r="B3341" s="4" t="s">
        <v>6699</v>
      </c>
      <c r="C3341" s="4" t="s">
        <v>12</v>
      </c>
      <c r="D3341" s="4" t="s">
        <v>13</v>
      </c>
      <c r="E3341" s="5">
        <v>98.809299999999993</v>
      </c>
      <c r="F3341" s="5">
        <v>98.4358</v>
      </c>
      <c r="G3341" s="5">
        <v>98.471299999999999</v>
      </c>
      <c r="H3341" s="4">
        <v>0</v>
      </c>
      <c r="I3341" s="6">
        <v>598572</v>
      </c>
      <c r="J3341" s="7">
        <v>436.54</v>
      </c>
      <c r="K3341" s="9">
        <f>(PricingDataTable[[#This Row],[Current Price ($)]]-PricingDataTable[[#This Row],[Prior Price ($)]])/PricingDataTable[[#This Row],[Prior Price ($)]]</f>
        <v>-3.7800085619470319E-3</v>
      </c>
      <c r="L3341" s="9">
        <f>(PricingDataTable[[#This Row],[Vendor Price ($)]]-PricingDataTable[[#This Row],[Current Price ($)]])/PricingDataTable[[#This Row],[Current Price ($)]]</f>
        <v>3.6064114885030625E-4</v>
      </c>
      <c r="M3341" t="str">
        <f t="shared" si="104"/>
        <v>PASS</v>
      </c>
      <c r="N3341" s="10" t="str">
        <f t="shared" si="105"/>
        <v>NONE</v>
      </c>
    </row>
    <row r="3342" spans="1:14">
      <c r="A3342" s="4" t="s">
        <v>6700</v>
      </c>
      <c r="B3342" s="4" t="s">
        <v>6701</v>
      </c>
      <c r="C3342" s="4" t="s">
        <v>19</v>
      </c>
      <c r="D3342" s="4" t="s">
        <v>13</v>
      </c>
      <c r="E3342" s="5">
        <v>336.84620000000001</v>
      </c>
      <c r="F3342" s="5">
        <v>335.19639999999998</v>
      </c>
      <c r="G3342" s="5">
        <v>334.94400000000002</v>
      </c>
      <c r="H3342" s="4">
        <v>0</v>
      </c>
      <c r="I3342" s="6">
        <v>439440</v>
      </c>
      <c r="J3342" s="7">
        <v>330.18</v>
      </c>
      <c r="K3342" s="9">
        <f>(PricingDataTable[[#This Row],[Current Price ($)]]-PricingDataTable[[#This Row],[Prior Price ($)]])/PricingDataTable[[#This Row],[Prior Price ($)]]</f>
        <v>-4.8977842113107628E-3</v>
      </c>
      <c r="L3342" s="9">
        <f>(PricingDataTable[[#This Row],[Vendor Price ($)]]-PricingDataTable[[#This Row],[Current Price ($)]])/PricingDataTable[[#This Row],[Current Price ($)]]</f>
        <v>-7.5299138057558488E-4</v>
      </c>
      <c r="M3342" t="str">
        <f t="shared" si="104"/>
        <v>PASS</v>
      </c>
      <c r="N3342" s="10" t="str">
        <f t="shared" si="105"/>
        <v>NONE</v>
      </c>
    </row>
    <row r="3343" spans="1:14">
      <c r="A3343" s="4" t="s">
        <v>6702</v>
      </c>
      <c r="B3343" s="4" t="s">
        <v>6703</v>
      </c>
      <c r="C3343" s="4" t="s">
        <v>19</v>
      </c>
      <c r="D3343" s="4" t="s">
        <v>64</v>
      </c>
      <c r="E3343" s="5">
        <v>178.3391</v>
      </c>
      <c r="F3343" s="5">
        <v>177.70400000000001</v>
      </c>
      <c r="G3343" s="5">
        <v>178.3415</v>
      </c>
      <c r="H3343" s="4">
        <v>0</v>
      </c>
      <c r="I3343" s="6">
        <v>2263083</v>
      </c>
      <c r="J3343" s="7">
        <v>194.58</v>
      </c>
      <c r="K3343" s="9">
        <f>(PricingDataTable[[#This Row],[Current Price ($)]]-PricingDataTable[[#This Row],[Prior Price ($)]])/PricingDataTable[[#This Row],[Prior Price ($)]]</f>
        <v>-3.5611932548722867E-3</v>
      </c>
      <c r="L3343" s="9">
        <f>(PricingDataTable[[#This Row],[Vendor Price ($)]]-PricingDataTable[[#This Row],[Current Price ($)]])/PricingDataTable[[#This Row],[Current Price ($)]]</f>
        <v>3.5874262819069274E-3</v>
      </c>
      <c r="M3343" t="str">
        <f t="shared" si="104"/>
        <v>PASS</v>
      </c>
      <c r="N3343" s="10" t="str">
        <f t="shared" si="105"/>
        <v>NONE</v>
      </c>
    </row>
    <row r="3344" spans="1:14">
      <c r="A3344" s="4" t="s">
        <v>6704</v>
      </c>
      <c r="B3344" s="4" t="s">
        <v>6705</v>
      </c>
      <c r="C3344" s="4" t="s">
        <v>16</v>
      </c>
      <c r="D3344" s="4" t="s">
        <v>13</v>
      </c>
      <c r="E3344" s="5">
        <v>82.6965</v>
      </c>
      <c r="F3344" s="5">
        <v>82.824700000000007</v>
      </c>
      <c r="G3344" s="5">
        <v>82.898600000000002</v>
      </c>
      <c r="H3344" s="4">
        <v>2</v>
      </c>
      <c r="I3344" s="6">
        <v>3155043</v>
      </c>
      <c r="J3344" s="7">
        <v>306.54000000000002</v>
      </c>
      <c r="K3344" s="9">
        <f>(PricingDataTable[[#This Row],[Current Price ($)]]-PricingDataTable[[#This Row],[Prior Price ($)]])/PricingDataTable[[#This Row],[Prior Price ($)]]</f>
        <v>1.5502469874783909E-3</v>
      </c>
      <c r="L3344" s="9">
        <f>(PricingDataTable[[#This Row],[Vendor Price ($)]]-PricingDataTable[[#This Row],[Current Price ($)]])/PricingDataTable[[#This Row],[Current Price ($)]]</f>
        <v>8.922459121493316E-4</v>
      </c>
      <c r="M3344" t="str">
        <f t="shared" si="104"/>
        <v>PASS</v>
      </c>
      <c r="N3344" s="10" t="str">
        <f t="shared" si="105"/>
        <v>NONE</v>
      </c>
    </row>
    <row r="3345" spans="1:14">
      <c r="A3345" s="4" t="s">
        <v>6706</v>
      </c>
      <c r="B3345" s="4" t="s">
        <v>6707</v>
      </c>
      <c r="C3345" s="4" t="s">
        <v>35</v>
      </c>
      <c r="D3345" s="4" t="s">
        <v>64</v>
      </c>
      <c r="E3345" s="5">
        <v>21.02</v>
      </c>
      <c r="F3345" s="5">
        <v>20.969799999999999</v>
      </c>
      <c r="G3345" s="5">
        <v>21.038699999999999</v>
      </c>
      <c r="H3345" s="4">
        <v>4</v>
      </c>
      <c r="I3345" s="6">
        <v>461917</v>
      </c>
      <c r="J3345" s="7">
        <v>516.30999999999995</v>
      </c>
      <c r="K3345" s="9">
        <f>(PricingDataTable[[#This Row],[Current Price ($)]]-PricingDataTable[[#This Row],[Prior Price ($)]])/PricingDataTable[[#This Row],[Prior Price ($)]]</f>
        <v>-2.3882017126546262E-3</v>
      </c>
      <c r="L3345" s="9">
        <f>(PricingDataTable[[#This Row],[Vendor Price ($)]]-PricingDataTable[[#This Row],[Current Price ($)]])/PricingDataTable[[#This Row],[Current Price ($)]]</f>
        <v>3.285677498116305E-3</v>
      </c>
      <c r="M3345" t="str">
        <f t="shared" si="104"/>
        <v>STALE</v>
      </c>
      <c r="N3345" s="10" t="str">
        <f t="shared" si="105"/>
        <v>LOW</v>
      </c>
    </row>
    <row r="3346" spans="1:14">
      <c r="A3346" s="4" t="s">
        <v>6708</v>
      </c>
      <c r="B3346" s="4" t="s">
        <v>6709</v>
      </c>
      <c r="C3346" s="4" t="s">
        <v>39</v>
      </c>
      <c r="D3346" s="4" t="s">
        <v>13</v>
      </c>
      <c r="E3346" s="5">
        <v>254.4699</v>
      </c>
      <c r="F3346" s="5">
        <v>256.47800000000001</v>
      </c>
      <c r="G3346" s="5">
        <v>256.4461</v>
      </c>
      <c r="H3346" s="4">
        <v>0</v>
      </c>
      <c r="I3346" s="6">
        <v>4768468</v>
      </c>
      <c r="J3346" s="7">
        <v>349.56</v>
      </c>
      <c r="K3346" s="9">
        <f>(PricingDataTable[[#This Row],[Current Price ($)]]-PricingDataTable[[#This Row],[Prior Price ($)]])/PricingDataTable[[#This Row],[Prior Price ($)]]</f>
        <v>7.8913065946110451E-3</v>
      </c>
      <c r="L3346" s="9">
        <f>(PricingDataTable[[#This Row],[Vendor Price ($)]]-PricingDataTable[[#This Row],[Current Price ($)]])/PricingDataTable[[#This Row],[Current Price ($)]]</f>
        <v>-1.2437713955975704E-4</v>
      </c>
      <c r="M3346" t="str">
        <f t="shared" si="104"/>
        <v>PASS</v>
      </c>
      <c r="N3346" s="10" t="str">
        <f t="shared" si="105"/>
        <v>NONE</v>
      </c>
    </row>
    <row r="3347" spans="1:14">
      <c r="A3347" s="4" t="s">
        <v>6710</v>
      </c>
      <c r="B3347" s="4" t="s">
        <v>6711</v>
      </c>
      <c r="C3347" s="4" t="s">
        <v>12</v>
      </c>
      <c r="D3347" s="4" t="s">
        <v>32</v>
      </c>
      <c r="E3347" s="5">
        <v>91.790300000000002</v>
      </c>
      <c r="F3347" s="5">
        <v>90.975999999999999</v>
      </c>
      <c r="G3347" s="5">
        <v>90.922799999999995</v>
      </c>
      <c r="H3347" s="4">
        <v>0</v>
      </c>
      <c r="I3347" s="6">
        <v>869082</v>
      </c>
      <c r="J3347" s="7">
        <v>814.95</v>
      </c>
      <c r="K3347" s="9">
        <f>(PricingDataTable[[#This Row],[Current Price ($)]]-PricingDataTable[[#This Row],[Prior Price ($)]])/PricingDataTable[[#This Row],[Prior Price ($)]]</f>
        <v>-8.8713077525621221E-3</v>
      </c>
      <c r="L3347" s="9">
        <f>(PricingDataTable[[#This Row],[Vendor Price ($)]]-PricingDataTable[[#This Row],[Current Price ($)]])/PricingDataTable[[#This Row],[Current Price ($)]]</f>
        <v>-5.847696095674014E-4</v>
      </c>
      <c r="M3347" t="str">
        <f t="shared" si="104"/>
        <v>PASS</v>
      </c>
      <c r="N3347" s="10" t="str">
        <f t="shared" si="105"/>
        <v>NONE</v>
      </c>
    </row>
    <row r="3348" spans="1:14">
      <c r="A3348" s="4" t="s">
        <v>6712</v>
      </c>
      <c r="B3348" s="4" t="s">
        <v>6713</v>
      </c>
      <c r="C3348" s="4" t="s">
        <v>39</v>
      </c>
      <c r="D3348" s="4" t="s">
        <v>13</v>
      </c>
      <c r="E3348" s="5">
        <v>19.350100000000001</v>
      </c>
      <c r="F3348" s="5">
        <v>19.105499999999999</v>
      </c>
      <c r="G3348" s="5">
        <v>19.077200000000001</v>
      </c>
      <c r="H3348" s="4">
        <v>3</v>
      </c>
      <c r="I3348" s="6">
        <v>1565484</v>
      </c>
      <c r="J3348" s="7">
        <v>87.11</v>
      </c>
      <c r="K3348" s="9">
        <f>(PricingDataTable[[#This Row],[Current Price ($)]]-PricingDataTable[[#This Row],[Prior Price ($)]])/PricingDataTable[[#This Row],[Prior Price ($)]]</f>
        <v>-1.2640761546452056E-2</v>
      </c>
      <c r="L3348" s="9">
        <f>(PricingDataTable[[#This Row],[Vendor Price ($)]]-PricingDataTable[[#This Row],[Current Price ($)]])/PricingDataTable[[#This Row],[Current Price ($)]]</f>
        <v>-1.481248855041637E-3</v>
      </c>
      <c r="M3348" t="str">
        <f t="shared" si="104"/>
        <v>STALE</v>
      </c>
      <c r="N3348" s="10" t="str">
        <f t="shared" si="105"/>
        <v>LOW</v>
      </c>
    </row>
    <row r="3349" spans="1:14">
      <c r="A3349" s="4" t="s">
        <v>6714</v>
      </c>
      <c r="B3349" s="4" t="s">
        <v>6715</v>
      </c>
      <c r="C3349" s="4" t="s">
        <v>12</v>
      </c>
      <c r="D3349" s="4" t="s">
        <v>64</v>
      </c>
      <c r="E3349" s="5">
        <v>90.752300000000005</v>
      </c>
      <c r="F3349" s="5">
        <v>89.765900000000002</v>
      </c>
      <c r="G3349" s="5">
        <v>89.583299999999994</v>
      </c>
      <c r="H3349" s="4">
        <v>0</v>
      </c>
      <c r="I3349" s="6">
        <v>1966918</v>
      </c>
      <c r="J3349" s="7">
        <v>72.739999999999995</v>
      </c>
      <c r="K3349" s="9">
        <f>(PricingDataTable[[#This Row],[Current Price ($)]]-PricingDataTable[[#This Row],[Prior Price ($)]])/PricingDataTable[[#This Row],[Prior Price ($)]]</f>
        <v>-1.0869146016134063E-2</v>
      </c>
      <c r="L3349" s="9">
        <f>(PricingDataTable[[#This Row],[Vendor Price ($)]]-PricingDataTable[[#This Row],[Current Price ($)]])/PricingDataTable[[#This Row],[Current Price ($)]]</f>
        <v>-2.0341800171335424E-3</v>
      </c>
      <c r="M3349" t="str">
        <f t="shared" si="104"/>
        <v>PASS</v>
      </c>
      <c r="N3349" s="10" t="str">
        <f t="shared" si="105"/>
        <v>NONE</v>
      </c>
    </row>
    <row r="3350" spans="1:14">
      <c r="A3350" s="4" t="s">
        <v>6716</v>
      </c>
      <c r="B3350" s="4" t="s">
        <v>6717</v>
      </c>
      <c r="C3350" s="4" t="s">
        <v>19</v>
      </c>
      <c r="D3350" s="4" t="s">
        <v>13</v>
      </c>
      <c r="E3350" s="5">
        <v>19.2197</v>
      </c>
      <c r="F3350" s="5">
        <v>19.450500000000002</v>
      </c>
      <c r="G3350" s="5">
        <v>19.338999999999999</v>
      </c>
      <c r="H3350" s="4">
        <v>0</v>
      </c>
      <c r="I3350" s="6">
        <v>1203991</v>
      </c>
      <c r="J3350" s="7">
        <v>505.31</v>
      </c>
      <c r="K3350" s="9">
        <f>(PricingDataTable[[#This Row],[Current Price ($)]]-PricingDataTable[[#This Row],[Prior Price ($)]])/PricingDataTable[[#This Row],[Prior Price ($)]]</f>
        <v>1.2008512099564619E-2</v>
      </c>
      <c r="L3350" s="9">
        <f>(PricingDataTable[[#This Row],[Vendor Price ($)]]-PricingDataTable[[#This Row],[Current Price ($)]])/PricingDataTable[[#This Row],[Current Price ($)]]</f>
        <v>-5.7325004498600569E-3</v>
      </c>
      <c r="M3350" t="str">
        <f t="shared" si="104"/>
        <v>PASS</v>
      </c>
      <c r="N3350" s="10" t="str">
        <f t="shared" si="105"/>
        <v>NONE</v>
      </c>
    </row>
    <row r="3351" spans="1:14">
      <c r="A3351" s="4" t="s">
        <v>6718</v>
      </c>
      <c r="B3351" s="4" t="s">
        <v>6719</v>
      </c>
      <c r="C3351" s="4" t="s">
        <v>35</v>
      </c>
      <c r="D3351" s="4" t="s">
        <v>13</v>
      </c>
      <c r="E3351" s="5">
        <v>61.180399999999999</v>
      </c>
      <c r="F3351" s="5">
        <v>60.700699999999998</v>
      </c>
      <c r="G3351" s="5">
        <v>60.695700000000002</v>
      </c>
      <c r="H3351" s="4">
        <v>0</v>
      </c>
      <c r="I3351" s="6">
        <v>4079086</v>
      </c>
      <c r="J3351" s="7">
        <v>696.42</v>
      </c>
      <c r="K3351" s="9">
        <f>(PricingDataTable[[#This Row],[Current Price ($)]]-PricingDataTable[[#This Row],[Prior Price ($)]])/PricingDataTable[[#This Row],[Prior Price ($)]]</f>
        <v>-7.8407463828285059E-3</v>
      </c>
      <c r="L3351" s="9">
        <f>(PricingDataTable[[#This Row],[Vendor Price ($)]]-PricingDataTable[[#This Row],[Current Price ($)]])/PricingDataTable[[#This Row],[Current Price ($)]]</f>
        <v>-8.2371372982444234E-5</v>
      </c>
      <c r="M3351" t="str">
        <f t="shared" si="104"/>
        <v>PASS</v>
      </c>
      <c r="N3351" s="10" t="str">
        <f t="shared" si="105"/>
        <v>NONE</v>
      </c>
    </row>
    <row r="3352" spans="1:14">
      <c r="A3352" s="4" t="s">
        <v>6720</v>
      </c>
      <c r="B3352" s="4" t="s">
        <v>6721</v>
      </c>
      <c r="C3352" s="4" t="s">
        <v>12</v>
      </c>
      <c r="D3352" s="4" t="s">
        <v>13</v>
      </c>
      <c r="E3352" s="5">
        <v>122.771</v>
      </c>
      <c r="F3352" s="5">
        <v>124.84350000000001</v>
      </c>
      <c r="G3352" s="5">
        <v>124.4881</v>
      </c>
      <c r="H3352" s="4">
        <v>0</v>
      </c>
      <c r="I3352" s="6">
        <v>1444882</v>
      </c>
      <c r="J3352" s="7">
        <v>618.4</v>
      </c>
      <c r="K3352" s="9">
        <f>(PricingDataTable[[#This Row],[Current Price ($)]]-PricingDataTable[[#This Row],[Prior Price ($)]])/PricingDataTable[[#This Row],[Prior Price ($)]]</f>
        <v>1.6881022391281371E-2</v>
      </c>
      <c r="L3352" s="9">
        <f>(PricingDataTable[[#This Row],[Vendor Price ($)]]-PricingDataTable[[#This Row],[Current Price ($)]])/PricingDataTable[[#This Row],[Current Price ($)]]</f>
        <v>-2.8467641487142144E-3</v>
      </c>
      <c r="M3352" t="str">
        <f t="shared" si="104"/>
        <v>PASS</v>
      </c>
      <c r="N3352" s="10" t="str">
        <f t="shared" si="105"/>
        <v>NONE</v>
      </c>
    </row>
    <row r="3353" spans="1:14">
      <c r="A3353" s="4" t="s">
        <v>6722</v>
      </c>
      <c r="B3353" s="4" t="s">
        <v>6723</v>
      </c>
      <c r="C3353" s="4" t="s">
        <v>35</v>
      </c>
      <c r="D3353" s="4" t="s">
        <v>13</v>
      </c>
      <c r="E3353" s="5">
        <v>66.811599999999999</v>
      </c>
      <c r="F3353" s="5">
        <v>67.254300000000001</v>
      </c>
      <c r="G3353" s="5">
        <v>67.229500000000002</v>
      </c>
      <c r="H3353" s="4">
        <v>0</v>
      </c>
      <c r="I3353" s="6">
        <v>3335748</v>
      </c>
      <c r="J3353" s="7">
        <v>587.76</v>
      </c>
      <c r="K3353" s="9">
        <f>(PricingDataTable[[#This Row],[Current Price ($)]]-PricingDataTable[[#This Row],[Prior Price ($)]])/PricingDataTable[[#This Row],[Prior Price ($)]]</f>
        <v>6.6260948697531878E-3</v>
      </c>
      <c r="L3353" s="9">
        <f>(PricingDataTable[[#This Row],[Vendor Price ($)]]-PricingDataTable[[#This Row],[Current Price ($)]])/PricingDataTable[[#This Row],[Current Price ($)]]</f>
        <v>-3.6874965615580035E-4</v>
      </c>
      <c r="M3353" t="str">
        <f t="shared" si="104"/>
        <v>PASS</v>
      </c>
      <c r="N3353" s="10" t="str">
        <f t="shared" si="105"/>
        <v>NONE</v>
      </c>
    </row>
    <row r="3354" spans="1:14">
      <c r="A3354" s="4" t="s">
        <v>6724</v>
      </c>
      <c r="B3354" s="4" t="s">
        <v>6725</v>
      </c>
      <c r="C3354" s="4" t="s">
        <v>19</v>
      </c>
      <c r="D3354" s="4" t="s">
        <v>13</v>
      </c>
      <c r="E3354" s="5">
        <v>216.43530000000001</v>
      </c>
      <c r="F3354" s="5">
        <v>213.8931</v>
      </c>
      <c r="G3354" s="5">
        <v>213.69390000000001</v>
      </c>
      <c r="H3354" s="4">
        <v>3</v>
      </c>
      <c r="I3354" s="6">
        <v>3074837</v>
      </c>
      <c r="J3354" s="7">
        <v>292.52999999999997</v>
      </c>
      <c r="K3354" s="9">
        <f>(PricingDataTable[[#This Row],[Current Price ($)]]-PricingDataTable[[#This Row],[Prior Price ($)]])/PricingDataTable[[#This Row],[Prior Price ($)]]</f>
        <v>-1.174577344823145E-2</v>
      </c>
      <c r="L3354" s="9">
        <f>(PricingDataTable[[#This Row],[Vendor Price ($)]]-PricingDataTable[[#This Row],[Current Price ($)]])/PricingDataTable[[#This Row],[Current Price ($)]]</f>
        <v>-9.3130633947514203E-4</v>
      </c>
      <c r="M3354" t="str">
        <f t="shared" si="104"/>
        <v>STALE</v>
      </c>
      <c r="N3354" s="10" t="str">
        <f t="shared" si="105"/>
        <v>LOW</v>
      </c>
    </row>
    <row r="3355" spans="1:14">
      <c r="A3355" s="4" t="s">
        <v>6726</v>
      </c>
      <c r="B3355" s="4" t="s">
        <v>6727</v>
      </c>
      <c r="C3355" s="4" t="s">
        <v>16</v>
      </c>
      <c r="D3355" s="4" t="s">
        <v>13</v>
      </c>
      <c r="E3355" s="5">
        <v>107.9344</v>
      </c>
      <c r="F3355" s="5">
        <v>107.5386</v>
      </c>
      <c r="G3355" s="5">
        <v>107.49160000000001</v>
      </c>
      <c r="H3355" s="4">
        <v>1</v>
      </c>
      <c r="I3355" s="6">
        <v>292867</v>
      </c>
      <c r="J3355" s="7">
        <v>280.82</v>
      </c>
      <c r="K3355" s="9">
        <f>(PricingDataTable[[#This Row],[Current Price ($)]]-PricingDataTable[[#This Row],[Prior Price ($)]])/PricingDataTable[[#This Row],[Prior Price ($)]]</f>
        <v>-3.6670422034123891E-3</v>
      </c>
      <c r="L3355" s="9">
        <f>(PricingDataTable[[#This Row],[Vendor Price ($)]]-PricingDataTable[[#This Row],[Current Price ($)]])/PricingDataTable[[#This Row],[Current Price ($)]]</f>
        <v>-4.3705237003268635E-4</v>
      </c>
      <c r="M3355" t="str">
        <f t="shared" si="104"/>
        <v>PASS</v>
      </c>
      <c r="N3355" s="10" t="str">
        <f t="shared" si="105"/>
        <v>NONE</v>
      </c>
    </row>
    <row r="3356" spans="1:14">
      <c r="A3356" s="4" t="s">
        <v>6728</v>
      </c>
      <c r="B3356" s="4" t="s">
        <v>6729</v>
      </c>
      <c r="C3356" s="4" t="s">
        <v>19</v>
      </c>
      <c r="D3356" s="4" t="s">
        <v>13</v>
      </c>
      <c r="E3356" s="5">
        <v>216.86539999999999</v>
      </c>
      <c r="F3356" s="5">
        <v>212.9323</v>
      </c>
      <c r="G3356" s="5">
        <v>213.40700000000001</v>
      </c>
      <c r="H3356" s="4">
        <v>0</v>
      </c>
      <c r="I3356" s="6">
        <v>2225523</v>
      </c>
      <c r="J3356" s="7">
        <v>178.73</v>
      </c>
      <c r="K3356" s="9">
        <f>(PricingDataTable[[#This Row],[Current Price ($)]]-PricingDataTable[[#This Row],[Prior Price ($)]])/PricingDataTable[[#This Row],[Prior Price ($)]]</f>
        <v>-1.8136134210436503E-2</v>
      </c>
      <c r="L3356" s="9">
        <f>(PricingDataTable[[#This Row],[Vendor Price ($)]]-PricingDataTable[[#This Row],[Current Price ($)]])/PricingDataTable[[#This Row],[Current Price ($)]]</f>
        <v>2.2293470741640078E-3</v>
      </c>
      <c r="M3356" t="str">
        <f t="shared" si="104"/>
        <v>PASS</v>
      </c>
      <c r="N3356" s="10" t="str">
        <f t="shared" si="105"/>
        <v>NONE</v>
      </c>
    </row>
    <row r="3357" spans="1:14">
      <c r="A3357" s="4" t="s">
        <v>6730</v>
      </c>
      <c r="B3357" s="4" t="s">
        <v>6731</v>
      </c>
      <c r="C3357" s="4" t="s">
        <v>19</v>
      </c>
      <c r="D3357" s="4" t="s">
        <v>13</v>
      </c>
      <c r="E3357" s="5">
        <v>164.77350000000001</v>
      </c>
      <c r="F3357" s="5">
        <v>166.054</v>
      </c>
      <c r="G3357" s="5">
        <v>165.74610000000001</v>
      </c>
      <c r="H3357" s="4">
        <v>1</v>
      </c>
      <c r="I3357" s="6">
        <v>1568362</v>
      </c>
      <c r="J3357" s="7">
        <v>882.33</v>
      </c>
      <c r="K3357" s="9">
        <f>(PricingDataTable[[#This Row],[Current Price ($)]]-PricingDataTable[[#This Row],[Prior Price ($)]])/PricingDataTable[[#This Row],[Prior Price ($)]]</f>
        <v>7.7712739002326779E-3</v>
      </c>
      <c r="L3357" s="9">
        <f>(PricingDataTable[[#This Row],[Vendor Price ($)]]-PricingDataTable[[#This Row],[Current Price ($)]])/PricingDataTable[[#This Row],[Current Price ($)]]</f>
        <v>-1.8542160983775723E-3</v>
      </c>
      <c r="M3357" t="str">
        <f t="shared" si="104"/>
        <v>PASS</v>
      </c>
      <c r="N3357" s="10" t="str">
        <f t="shared" si="105"/>
        <v>NONE</v>
      </c>
    </row>
    <row r="3358" spans="1:14">
      <c r="A3358" s="4" t="s">
        <v>6732</v>
      </c>
      <c r="B3358" s="4" t="s">
        <v>6733</v>
      </c>
      <c r="C3358" s="4" t="s">
        <v>12</v>
      </c>
      <c r="D3358" s="4" t="s">
        <v>32</v>
      </c>
      <c r="E3358" s="5">
        <v>124.10809999999999</v>
      </c>
      <c r="F3358" s="5">
        <v>124.1825</v>
      </c>
      <c r="G3358" s="5">
        <v>124.13420000000001</v>
      </c>
      <c r="H3358" s="4">
        <v>0</v>
      </c>
      <c r="I3358" s="6">
        <v>264160</v>
      </c>
      <c r="J3358" s="7">
        <v>820.29</v>
      </c>
      <c r="K3358" s="9">
        <f>(PricingDataTable[[#This Row],[Current Price ($)]]-PricingDataTable[[#This Row],[Prior Price ($)]])/PricingDataTable[[#This Row],[Prior Price ($)]]</f>
        <v>5.9947739108093148E-4</v>
      </c>
      <c r="L3358" s="9">
        <f>(PricingDataTable[[#This Row],[Vendor Price ($)]]-PricingDataTable[[#This Row],[Current Price ($)]])/PricingDataTable[[#This Row],[Current Price ($)]]</f>
        <v>-3.8894369174398619E-4</v>
      </c>
      <c r="M3358" t="str">
        <f t="shared" si="104"/>
        <v>PASS</v>
      </c>
      <c r="N3358" s="10" t="str">
        <f t="shared" si="105"/>
        <v>NONE</v>
      </c>
    </row>
    <row r="3359" spans="1:14">
      <c r="A3359" s="4" t="s">
        <v>6734</v>
      </c>
      <c r="B3359" s="4" t="s">
        <v>6735</v>
      </c>
      <c r="C3359" s="4" t="s">
        <v>39</v>
      </c>
      <c r="D3359" s="4" t="s">
        <v>13</v>
      </c>
      <c r="E3359" s="5">
        <v>71.658299999999997</v>
      </c>
      <c r="F3359" s="5">
        <v>70.691800000000001</v>
      </c>
      <c r="G3359" s="5">
        <v>70.855400000000003</v>
      </c>
      <c r="H3359" s="4">
        <v>0</v>
      </c>
      <c r="I3359" s="6">
        <v>1438516</v>
      </c>
      <c r="J3359" s="7">
        <v>613.48</v>
      </c>
      <c r="K3359" s="9">
        <f>(PricingDataTable[[#This Row],[Current Price ($)]]-PricingDataTable[[#This Row],[Prior Price ($)]])/PricingDataTable[[#This Row],[Prior Price ($)]]</f>
        <v>-1.3487621112976396E-2</v>
      </c>
      <c r="L3359" s="9">
        <f>(PricingDataTable[[#This Row],[Vendor Price ($)]]-PricingDataTable[[#This Row],[Current Price ($)]])/PricingDataTable[[#This Row],[Current Price ($)]]</f>
        <v>2.3142712450383552E-3</v>
      </c>
      <c r="M3359" t="str">
        <f t="shared" si="104"/>
        <v>PASS</v>
      </c>
      <c r="N3359" s="10" t="str">
        <f t="shared" si="105"/>
        <v>NONE</v>
      </c>
    </row>
    <row r="3360" spans="1:14">
      <c r="A3360" s="4" t="s">
        <v>6736</v>
      </c>
      <c r="B3360" s="4" t="s">
        <v>6737</v>
      </c>
      <c r="C3360" s="4" t="s">
        <v>19</v>
      </c>
      <c r="D3360" s="4" t="s">
        <v>13</v>
      </c>
      <c r="E3360" s="5">
        <v>330.89350000000002</v>
      </c>
      <c r="F3360" s="5">
        <v>331.06189999999998</v>
      </c>
      <c r="G3360" s="5">
        <v>330.5378</v>
      </c>
      <c r="H3360" s="4">
        <v>0</v>
      </c>
      <c r="I3360" s="6">
        <v>3717824</v>
      </c>
      <c r="J3360" s="7">
        <v>297.45</v>
      </c>
      <c r="K3360" s="9">
        <f>(PricingDataTable[[#This Row],[Current Price ($)]]-PricingDataTable[[#This Row],[Prior Price ($)]])/PricingDataTable[[#This Row],[Prior Price ($)]]</f>
        <v>5.0892507710173453E-4</v>
      </c>
      <c r="L3360" s="9">
        <f>(PricingDataTable[[#This Row],[Vendor Price ($)]]-PricingDataTable[[#This Row],[Current Price ($)]])/PricingDataTable[[#This Row],[Current Price ($)]]</f>
        <v>-1.5830876340647349E-3</v>
      </c>
      <c r="M3360" t="str">
        <f t="shared" si="104"/>
        <v>PASS</v>
      </c>
      <c r="N3360" s="10" t="str">
        <f t="shared" si="105"/>
        <v>NONE</v>
      </c>
    </row>
    <row r="3361" spans="1:14">
      <c r="A3361" s="4" t="s">
        <v>6738</v>
      </c>
      <c r="B3361" s="4" t="s">
        <v>6739</v>
      </c>
      <c r="C3361" s="4" t="s">
        <v>19</v>
      </c>
      <c r="D3361" s="4" t="s">
        <v>13</v>
      </c>
      <c r="E3361" s="5">
        <v>240.43559999999999</v>
      </c>
      <c r="F3361" s="5">
        <v>242.6962</v>
      </c>
      <c r="G3361" s="5">
        <v>243.61799999999999</v>
      </c>
      <c r="H3361" s="4">
        <v>2</v>
      </c>
      <c r="I3361" s="6">
        <v>1976961</v>
      </c>
      <c r="J3361" s="7">
        <v>392.51</v>
      </c>
      <c r="K3361" s="9">
        <f>(PricingDataTable[[#This Row],[Current Price ($)]]-PricingDataTable[[#This Row],[Prior Price ($)]])/PricingDataTable[[#This Row],[Prior Price ($)]]</f>
        <v>9.4021018518056845E-3</v>
      </c>
      <c r="L3361" s="9">
        <f>(PricingDataTable[[#This Row],[Vendor Price ($)]]-PricingDataTable[[#This Row],[Current Price ($)]])/PricingDataTable[[#This Row],[Current Price ($)]]</f>
        <v>3.7981641245309586E-3</v>
      </c>
      <c r="M3361" t="str">
        <f t="shared" si="104"/>
        <v>PASS</v>
      </c>
      <c r="N3361" s="10" t="str">
        <f t="shared" si="105"/>
        <v>NONE</v>
      </c>
    </row>
    <row r="3362" spans="1:14">
      <c r="A3362" s="4" t="s">
        <v>6740</v>
      </c>
      <c r="B3362" s="4" t="s">
        <v>6741</v>
      </c>
      <c r="C3362" s="4" t="s">
        <v>12</v>
      </c>
      <c r="D3362" s="4" t="s">
        <v>13</v>
      </c>
      <c r="E3362" s="5">
        <v>124.854</v>
      </c>
      <c r="F3362" s="5">
        <v>124.4877</v>
      </c>
      <c r="G3362" s="5">
        <v>124.9268</v>
      </c>
      <c r="H3362" s="4">
        <v>0</v>
      </c>
      <c r="I3362" s="6">
        <v>943755</v>
      </c>
      <c r="J3362" s="7">
        <v>316.64</v>
      </c>
      <c r="K3362" s="9">
        <f>(PricingDataTable[[#This Row],[Current Price ($)]]-PricingDataTable[[#This Row],[Prior Price ($)]])/PricingDataTable[[#This Row],[Prior Price ($)]]</f>
        <v>-2.9338267095967725E-3</v>
      </c>
      <c r="L3362" s="9">
        <f>(PricingDataTable[[#This Row],[Vendor Price ($)]]-PricingDataTable[[#This Row],[Current Price ($)]])/PricingDataTable[[#This Row],[Current Price ($)]]</f>
        <v>3.5272561064265484E-3</v>
      </c>
      <c r="M3362" t="str">
        <f t="shared" si="104"/>
        <v>PASS</v>
      </c>
      <c r="N3362" s="10" t="str">
        <f t="shared" si="105"/>
        <v>NONE</v>
      </c>
    </row>
    <row r="3363" spans="1:14">
      <c r="A3363" s="4" t="s">
        <v>6742</v>
      </c>
      <c r="B3363" s="4" t="s">
        <v>6743</v>
      </c>
      <c r="C3363" s="4" t="s">
        <v>19</v>
      </c>
      <c r="D3363" s="4" t="s">
        <v>13</v>
      </c>
      <c r="E3363" s="5">
        <v>186.6773</v>
      </c>
      <c r="F3363" s="5">
        <v>184.67609999999999</v>
      </c>
      <c r="G3363" s="5">
        <v>197.06039999999999</v>
      </c>
      <c r="H3363" s="4">
        <v>0</v>
      </c>
      <c r="I3363" s="6">
        <v>1201580</v>
      </c>
      <c r="J3363" s="7">
        <v>436.19</v>
      </c>
      <c r="K3363" s="9">
        <f>(PricingDataTable[[#This Row],[Current Price ($)]]-PricingDataTable[[#This Row],[Prior Price ($)]])/PricingDataTable[[#This Row],[Prior Price ($)]]</f>
        <v>-1.0720103622668698E-2</v>
      </c>
      <c r="L3363" s="9">
        <f>(PricingDataTable[[#This Row],[Vendor Price ($)]]-PricingDataTable[[#This Row],[Current Price ($)]])/PricingDataTable[[#This Row],[Current Price ($)]]</f>
        <v>6.7059570783658512E-2</v>
      </c>
      <c r="M3363" t="str">
        <f t="shared" si="104"/>
        <v>VENDOR DIFFERENCE</v>
      </c>
      <c r="N3363" s="10" t="str">
        <f t="shared" si="105"/>
        <v>HIGH</v>
      </c>
    </row>
    <row r="3364" spans="1:14">
      <c r="A3364" s="4" t="s">
        <v>6744</v>
      </c>
      <c r="B3364" s="4" t="s">
        <v>6745</v>
      </c>
      <c r="C3364" s="4" t="s">
        <v>12</v>
      </c>
      <c r="D3364" s="4" t="s">
        <v>13</v>
      </c>
      <c r="E3364" s="5">
        <v>107.9507</v>
      </c>
      <c r="F3364" s="5">
        <v>93.723799999999997</v>
      </c>
      <c r="G3364" s="5">
        <v>93.755099999999999</v>
      </c>
      <c r="H3364" s="4">
        <v>0</v>
      </c>
      <c r="I3364" s="6">
        <v>936003</v>
      </c>
      <c r="J3364" s="7">
        <v>194.48</v>
      </c>
      <c r="K3364" s="9">
        <f>(PricingDataTable[[#This Row],[Current Price ($)]]-PricingDataTable[[#This Row],[Prior Price ($)]])/PricingDataTable[[#This Row],[Prior Price ($)]]</f>
        <v>-0.13179071557664748</v>
      </c>
      <c r="L3364" s="9">
        <f>(PricingDataTable[[#This Row],[Vendor Price ($)]]-PricingDataTable[[#This Row],[Current Price ($)]])/PricingDataTable[[#This Row],[Current Price ($)]]</f>
        <v>3.3395999735394492E-4</v>
      </c>
      <c r="M3364" t="str">
        <f t="shared" si="104"/>
        <v>LARGE MOVE</v>
      </c>
      <c r="N3364" s="10" t="str">
        <f t="shared" si="105"/>
        <v>HIGH</v>
      </c>
    </row>
    <row r="3365" spans="1:14">
      <c r="A3365" s="4" t="s">
        <v>6746</v>
      </c>
      <c r="B3365" s="4" t="s">
        <v>6747</v>
      </c>
      <c r="C3365" s="4" t="s">
        <v>16</v>
      </c>
      <c r="D3365" s="4" t="s">
        <v>13</v>
      </c>
      <c r="E3365" s="5">
        <v>116.3917</v>
      </c>
      <c r="F3365" s="5">
        <v>116.51300000000001</v>
      </c>
      <c r="G3365" s="5">
        <v>116.72790000000001</v>
      </c>
      <c r="H3365" s="4">
        <v>1</v>
      </c>
      <c r="I3365" s="6">
        <v>4787353</v>
      </c>
      <c r="J3365" s="7">
        <v>295.08999999999997</v>
      </c>
      <c r="K3365" s="9">
        <f>(PricingDataTable[[#This Row],[Current Price ($)]]-PricingDataTable[[#This Row],[Prior Price ($)]])/PricingDataTable[[#This Row],[Prior Price ($)]]</f>
        <v>1.0421705327785837E-3</v>
      </c>
      <c r="L3365" s="9">
        <f>(PricingDataTable[[#This Row],[Vendor Price ($)]]-PricingDataTable[[#This Row],[Current Price ($)]])/PricingDataTable[[#This Row],[Current Price ($)]]</f>
        <v>1.8444293769793935E-3</v>
      </c>
      <c r="M3365" t="str">
        <f t="shared" si="104"/>
        <v>PASS</v>
      </c>
      <c r="N3365" s="10" t="str">
        <f t="shared" si="105"/>
        <v>NONE</v>
      </c>
    </row>
    <row r="3366" spans="1:14">
      <c r="A3366" s="4" t="s">
        <v>6748</v>
      </c>
      <c r="B3366" s="4" t="s">
        <v>6749</v>
      </c>
      <c r="C3366" s="4" t="s">
        <v>39</v>
      </c>
      <c r="D3366" s="4" t="s">
        <v>32</v>
      </c>
      <c r="E3366" s="5">
        <v>51.078899999999997</v>
      </c>
      <c r="F3366" s="5">
        <v>51.101500000000001</v>
      </c>
      <c r="G3366" s="5">
        <v>51.3491</v>
      </c>
      <c r="H3366" s="4">
        <v>0</v>
      </c>
      <c r="I3366" s="6">
        <v>2596226</v>
      </c>
      <c r="J3366" s="7">
        <v>27</v>
      </c>
      <c r="K3366" s="9">
        <f>(PricingDataTable[[#This Row],[Current Price ($)]]-PricingDataTable[[#This Row],[Prior Price ($)]])/PricingDataTable[[#This Row],[Prior Price ($)]]</f>
        <v>4.4245275446425379E-4</v>
      </c>
      <c r="L3366" s="9">
        <f>(PricingDataTable[[#This Row],[Vendor Price ($)]]-PricingDataTable[[#This Row],[Current Price ($)]])/PricingDataTable[[#This Row],[Current Price ($)]]</f>
        <v>4.8452589454321005E-3</v>
      </c>
      <c r="M3366" t="str">
        <f t="shared" si="104"/>
        <v>PASS</v>
      </c>
      <c r="N3366" s="10" t="str">
        <f t="shared" si="105"/>
        <v>NONE</v>
      </c>
    </row>
    <row r="3367" spans="1:14">
      <c r="A3367" s="4" t="s">
        <v>6750</v>
      </c>
      <c r="B3367" s="4" t="s">
        <v>6751</v>
      </c>
      <c r="C3367" s="4" t="s">
        <v>39</v>
      </c>
      <c r="D3367" s="4" t="s">
        <v>13</v>
      </c>
      <c r="E3367" s="5">
        <v>275.43729999999999</v>
      </c>
      <c r="F3367" s="5">
        <v>273.18020000000001</v>
      </c>
      <c r="G3367" s="5">
        <v>272.67380000000003</v>
      </c>
      <c r="H3367" s="4">
        <v>0</v>
      </c>
      <c r="I3367" s="6">
        <v>214534</v>
      </c>
      <c r="J3367" s="7">
        <v>530.65</v>
      </c>
      <c r="K3367" s="9">
        <f>(PricingDataTable[[#This Row],[Current Price ($)]]-PricingDataTable[[#This Row],[Prior Price ($)]])/PricingDataTable[[#This Row],[Prior Price ($)]]</f>
        <v>-8.194605451040872E-3</v>
      </c>
      <c r="L3367" s="9">
        <f>(PricingDataTable[[#This Row],[Vendor Price ($)]]-PricingDataTable[[#This Row],[Current Price ($)]])/PricingDataTable[[#This Row],[Current Price ($)]]</f>
        <v>-1.8537214629756661E-3</v>
      </c>
      <c r="M3367" t="str">
        <f t="shared" si="104"/>
        <v>PASS</v>
      </c>
      <c r="N3367" s="10" t="str">
        <f t="shared" si="105"/>
        <v>NONE</v>
      </c>
    </row>
    <row r="3368" spans="1:14">
      <c r="A3368" s="4" t="s">
        <v>6752</v>
      </c>
      <c r="B3368" s="4" t="s">
        <v>6753</v>
      </c>
      <c r="C3368" s="4" t="s">
        <v>12</v>
      </c>
      <c r="D3368" s="4" t="s">
        <v>13</v>
      </c>
      <c r="E3368" s="5">
        <v>78.119900000000001</v>
      </c>
      <c r="F3368" s="5">
        <v>78.755099999999999</v>
      </c>
      <c r="G3368" s="5">
        <v>78.774699999999996</v>
      </c>
      <c r="H3368" s="4">
        <v>0</v>
      </c>
      <c r="I3368" s="6">
        <v>1066555</v>
      </c>
      <c r="J3368" s="7">
        <v>167.27</v>
      </c>
      <c r="K3368" s="9">
        <f>(PricingDataTable[[#This Row],[Current Price ($)]]-PricingDataTable[[#This Row],[Prior Price ($)]])/PricingDataTable[[#This Row],[Prior Price ($)]]</f>
        <v>8.131090797607236E-3</v>
      </c>
      <c r="L3368" s="9">
        <f>(PricingDataTable[[#This Row],[Vendor Price ($)]]-PricingDataTable[[#This Row],[Current Price ($)]])/PricingDataTable[[#This Row],[Current Price ($)]]</f>
        <v>2.4887277141413003E-4</v>
      </c>
      <c r="M3368" t="str">
        <f t="shared" si="104"/>
        <v>PASS</v>
      </c>
      <c r="N3368" s="10" t="str">
        <f t="shared" si="105"/>
        <v>NONE</v>
      </c>
    </row>
    <row r="3369" spans="1:14">
      <c r="A3369" s="4" t="s">
        <v>6754</v>
      </c>
      <c r="B3369" s="4" t="s">
        <v>6755</v>
      </c>
      <c r="C3369" s="4" t="s">
        <v>19</v>
      </c>
      <c r="D3369" s="4" t="s">
        <v>13</v>
      </c>
      <c r="E3369" s="5">
        <v>87.538700000000006</v>
      </c>
      <c r="F3369" s="5">
        <v>88.631100000000004</v>
      </c>
      <c r="G3369" s="5">
        <v>88.940299999999993</v>
      </c>
      <c r="H3369" s="4">
        <v>2</v>
      </c>
      <c r="I3369" s="6">
        <v>2922809</v>
      </c>
      <c r="J3369" s="7">
        <v>214.45</v>
      </c>
      <c r="K3369" s="9">
        <f>(PricingDataTable[[#This Row],[Current Price ($)]]-PricingDataTable[[#This Row],[Prior Price ($)]])/PricingDataTable[[#This Row],[Prior Price ($)]]</f>
        <v>1.2479052122089976E-2</v>
      </c>
      <c r="L3369" s="9">
        <f>(PricingDataTable[[#This Row],[Vendor Price ($)]]-PricingDataTable[[#This Row],[Current Price ($)]])/PricingDataTable[[#This Row],[Current Price ($)]]</f>
        <v>3.4886174266142464E-3</v>
      </c>
      <c r="M3369" t="str">
        <f t="shared" si="104"/>
        <v>PASS</v>
      </c>
      <c r="N3369" s="10" t="str">
        <f t="shared" si="105"/>
        <v>NONE</v>
      </c>
    </row>
    <row r="3370" spans="1:14">
      <c r="A3370" s="4" t="s">
        <v>6756</v>
      </c>
      <c r="B3370" s="4" t="s">
        <v>6757</v>
      </c>
      <c r="C3370" s="4" t="s">
        <v>39</v>
      </c>
      <c r="D3370" s="4" t="s">
        <v>13</v>
      </c>
      <c r="E3370" s="5">
        <v>303.86090000000002</v>
      </c>
      <c r="F3370" s="5">
        <v>306.69569999999999</v>
      </c>
      <c r="G3370" s="5">
        <v>308.4255</v>
      </c>
      <c r="H3370" s="4">
        <v>0</v>
      </c>
      <c r="I3370" s="6">
        <v>3311412</v>
      </c>
      <c r="J3370" s="7">
        <v>304.56</v>
      </c>
      <c r="K3370" s="9">
        <f>(PricingDataTable[[#This Row],[Current Price ($)]]-PricingDataTable[[#This Row],[Prior Price ($)]])/PricingDataTable[[#This Row],[Prior Price ($)]]</f>
        <v>9.3292687542226478E-3</v>
      </c>
      <c r="L3370" s="9">
        <f>(PricingDataTable[[#This Row],[Vendor Price ($)]]-PricingDataTable[[#This Row],[Current Price ($)]])/PricingDataTable[[#This Row],[Current Price ($)]]</f>
        <v>5.6401182018528846E-3</v>
      </c>
      <c r="M3370" t="str">
        <f t="shared" si="104"/>
        <v>PASS</v>
      </c>
      <c r="N3370" s="10" t="str">
        <f t="shared" si="105"/>
        <v>NONE</v>
      </c>
    </row>
    <row r="3371" spans="1:14">
      <c r="A3371" s="4" t="s">
        <v>6758</v>
      </c>
      <c r="B3371" s="4" t="s">
        <v>6759</v>
      </c>
      <c r="C3371" s="4" t="s">
        <v>16</v>
      </c>
      <c r="D3371" s="4" t="s">
        <v>13</v>
      </c>
      <c r="E3371" s="5">
        <v>83.674499999999995</v>
      </c>
      <c r="F3371" s="5">
        <v>85.512699999999995</v>
      </c>
      <c r="G3371" s="5">
        <v>85.389300000000006</v>
      </c>
      <c r="H3371" s="4">
        <v>0</v>
      </c>
      <c r="I3371" s="6">
        <v>40033</v>
      </c>
      <c r="J3371" s="7">
        <v>854.42</v>
      </c>
      <c r="K3371" s="9">
        <f>(PricingDataTable[[#This Row],[Current Price ($)]]-PricingDataTable[[#This Row],[Prior Price ($)]])/PricingDataTable[[#This Row],[Prior Price ($)]]</f>
        <v>2.1968461120174015E-2</v>
      </c>
      <c r="L3371" s="9">
        <f>(PricingDataTable[[#This Row],[Vendor Price ($)]]-PricingDataTable[[#This Row],[Current Price ($)]])/PricingDataTable[[#This Row],[Current Price ($)]]</f>
        <v>-1.4430605044629572E-3</v>
      </c>
      <c r="M3371" t="str">
        <f t="shared" si="104"/>
        <v>PASS</v>
      </c>
      <c r="N3371" s="10" t="str">
        <f t="shared" si="105"/>
        <v>NONE</v>
      </c>
    </row>
    <row r="3372" spans="1:14">
      <c r="A3372" s="4" t="s">
        <v>6760</v>
      </c>
      <c r="B3372" s="4" t="s">
        <v>6761</v>
      </c>
      <c r="C3372" s="4" t="s">
        <v>19</v>
      </c>
      <c r="D3372" s="4" t="s">
        <v>13</v>
      </c>
      <c r="E3372" s="5">
        <v>204.637</v>
      </c>
      <c r="F3372" s="5">
        <v>202.98150000000001</v>
      </c>
      <c r="G3372" s="5">
        <v>203.29939999999999</v>
      </c>
      <c r="H3372" s="4">
        <v>1</v>
      </c>
      <c r="I3372" s="6">
        <v>1130171</v>
      </c>
      <c r="J3372" s="7">
        <v>592.59</v>
      </c>
      <c r="K3372" s="9">
        <f>(PricingDataTable[[#This Row],[Current Price ($)]]-PricingDataTable[[#This Row],[Prior Price ($)]])/PricingDataTable[[#This Row],[Prior Price ($)]]</f>
        <v>-8.0899348602647084E-3</v>
      </c>
      <c r="L3372" s="9">
        <f>(PricingDataTable[[#This Row],[Vendor Price ($)]]-PricingDataTable[[#This Row],[Current Price ($)]])/PricingDataTable[[#This Row],[Current Price ($)]]</f>
        <v>1.566152580407477E-3</v>
      </c>
      <c r="M3372" t="str">
        <f t="shared" si="104"/>
        <v>PASS</v>
      </c>
      <c r="N3372" s="10" t="str">
        <f t="shared" si="105"/>
        <v>NONE</v>
      </c>
    </row>
    <row r="3373" spans="1:14">
      <c r="A3373" s="4" t="s">
        <v>6762</v>
      </c>
      <c r="B3373" s="4" t="s">
        <v>6763</v>
      </c>
      <c r="C3373" s="4" t="s">
        <v>19</v>
      </c>
      <c r="D3373" s="4" t="s">
        <v>13</v>
      </c>
      <c r="E3373" s="5">
        <v>207.36920000000001</v>
      </c>
      <c r="F3373" s="5">
        <v>209.02860000000001</v>
      </c>
      <c r="G3373" s="5">
        <v>209.2841</v>
      </c>
      <c r="H3373" s="4">
        <v>2</v>
      </c>
      <c r="I3373" s="6">
        <v>3630172</v>
      </c>
      <c r="J3373" s="7">
        <v>522.35</v>
      </c>
      <c r="K3373" s="9">
        <f>(PricingDataTable[[#This Row],[Current Price ($)]]-PricingDataTable[[#This Row],[Prior Price ($)]])/PricingDataTable[[#This Row],[Prior Price ($)]]</f>
        <v>8.0021526822691372E-3</v>
      </c>
      <c r="L3373" s="9">
        <f>(PricingDataTable[[#This Row],[Vendor Price ($)]]-PricingDataTable[[#This Row],[Current Price ($)]])/PricingDataTable[[#This Row],[Current Price ($)]]</f>
        <v>1.2223207733295042E-3</v>
      </c>
      <c r="M3373" t="str">
        <f t="shared" si="104"/>
        <v>PASS</v>
      </c>
      <c r="N3373" s="10" t="str">
        <f t="shared" si="105"/>
        <v>NONE</v>
      </c>
    </row>
    <row r="3374" spans="1:14">
      <c r="A3374" s="4" t="s">
        <v>6764</v>
      </c>
      <c r="B3374" s="4" t="s">
        <v>6765</v>
      </c>
      <c r="C3374" s="4" t="s">
        <v>19</v>
      </c>
      <c r="D3374" s="4" t="s">
        <v>36</v>
      </c>
      <c r="E3374" s="5">
        <v>29.666</v>
      </c>
      <c r="F3374" s="5">
        <v>29.134899999999998</v>
      </c>
      <c r="G3374" s="5">
        <v>29.260200000000001</v>
      </c>
      <c r="H3374" s="4">
        <v>0</v>
      </c>
      <c r="I3374" s="6">
        <v>4870265</v>
      </c>
      <c r="J3374" s="7">
        <v>67.89</v>
      </c>
      <c r="K3374" s="9">
        <f>(PricingDataTable[[#This Row],[Current Price ($)]]-PricingDataTable[[#This Row],[Prior Price ($)]])/PricingDataTable[[#This Row],[Prior Price ($)]]</f>
        <v>-1.7902649497741594E-2</v>
      </c>
      <c r="L3374" s="9">
        <f>(PricingDataTable[[#This Row],[Vendor Price ($)]]-PricingDataTable[[#This Row],[Current Price ($)]])/PricingDataTable[[#This Row],[Current Price ($)]]</f>
        <v>4.3006840593241393E-3</v>
      </c>
      <c r="M3374" t="str">
        <f t="shared" si="104"/>
        <v>PASS</v>
      </c>
      <c r="N3374" s="10" t="str">
        <f t="shared" si="105"/>
        <v>NONE</v>
      </c>
    </row>
    <row r="3375" spans="1:14">
      <c r="A3375" s="4" t="s">
        <v>6766</v>
      </c>
      <c r="B3375" s="4" t="s">
        <v>6767</v>
      </c>
      <c r="C3375" s="4" t="s">
        <v>35</v>
      </c>
      <c r="D3375" s="4" t="s">
        <v>13</v>
      </c>
      <c r="E3375" s="5">
        <v>80.821799999999996</v>
      </c>
      <c r="F3375" s="5">
        <v>81.394400000000005</v>
      </c>
      <c r="G3375" s="5">
        <v>81.453000000000003</v>
      </c>
      <c r="H3375" s="4">
        <v>0</v>
      </c>
      <c r="I3375" s="6">
        <v>2915706</v>
      </c>
      <c r="J3375" s="7">
        <v>617.72</v>
      </c>
      <c r="K3375" s="9">
        <f>(PricingDataTable[[#This Row],[Current Price ($)]]-PricingDataTable[[#This Row],[Prior Price ($)]])/PricingDataTable[[#This Row],[Prior Price ($)]]</f>
        <v>7.0847221912900783E-3</v>
      </c>
      <c r="L3375" s="9">
        <f>(PricingDataTable[[#This Row],[Vendor Price ($)]]-PricingDataTable[[#This Row],[Current Price ($)]])/PricingDataTable[[#This Row],[Current Price ($)]]</f>
        <v>7.1995124971740597E-4</v>
      </c>
      <c r="M3375" t="str">
        <f t="shared" si="104"/>
        <v>PASS</v>
      </c>
      <c r="N3375" s="10" t="str">
        <f t="shared" si="105"/>
        <v>NONE</v>
      </c>
    </row>
    <row r="3376" spans="1:14">
      <c r="A3376" s="4" t="s">
        <v>6768</v>
      </c>
      <c r="B3376" s="4" t="s">
        <v>6769</v>
      </c>
      <c r="C3376" s="4" t="s">
        <v>16</v>
      </c>
      <c r="D3376" s="4" t="s">
        <v>13</v>
      </c>
      <c r="E3376" s="5">
        <v>88.446299999999994</v>
      </c>
      <c r="F3376" s="5">
        <v>89.0608</v>
      </c>
      <c r="G3376" s="5">
        <v>88.928399999999996</v>
      </c>
      <c r="H3376" s="4">
        <v>2</v>
      </c>
      <c r="I3376" s="6">
        <v>4173924</v>
      </c>
      <c r="J3376" s="7">
        <v>421.23</v>
      </c>
      <c r="K3376" s="9">
        <f>(PricingDataTable[[#This Row],[Current Price ($)]]-PricingDataTable[[#This Row],[Prior Price ($)]])/PricingDataTable[[#This Row],[Prior Price ($)]]</f>
        <v>6.9477185591710084E-3</v>
      </c>
      <c r="L3376" s="9">
        <f>(PricingDataTable[[#This Row],[Vendor Price ($)]]-PricingDataTable[[#This Row],[Current Price ($)]])/PricingDataTable[[#This Row],[Current Price ($)]]</f>
        <v>-1.4866248675062886E-3</v>
      </c>
      <c r="M3376" t="str">
        <f t="shared" si="104"/>
        <v>PASS</v>
      </c>
      <c r="N3376" s="10" t="str">
        <f t="shared" si="105"/>
        <v>NONE</v>
      </c>
    </row>
    <row r="3377" spans="1:14">
      <c r="A3377" s="4" t="s">
        <v>6770</v>
      </c>
      <c r="B3377" s="4" t="s">
        <v>6771</v>
      </c>
      <c r="C3377" s="4" t="s">
        <v>19</v>
      </c>
      <c r="D3377" s="4" t="s">
        <v>13</v>
      </c>
      <c r="E3377" s="5">
        <v>301.38330000000002</v>
      </c>
      <c r="F3377" s="5">
        <v>300.56369999999998</v>
      </c>
      <c r="G3377" s="5">
        <v>300.13130000000001</v>
      </c>
      <c r="H3377" s="4">
        <v>1</v>
      </c>
      <c r="I3377" s="6">
        <v>4306150</v>
      </c>
      <c r="J3377" s="7">
        <v>83.56</v>
      </c>
      <c r="K3377" s="9">
        <f>(PricingDataTable[[#This Row],[Current Price ($)]]-PricingDataTable[[#This Row],[Prior Price ($)]])/PricingDataTable[[#This Row],[Prior Price ($)]]</f>
        <v>-2.7194605673241906E-3</v>
      </c>
      <c r="L3377" s="9">
        <f>(PricingDataTable[[#This Row],[Vendor Price ($)]]-PricingDataTable[[#This Row],[Current Price ($)]])/PricingDataTable[[#This Row],[Current Price ($)]]</f>
        <v>-1.4386301472864914E-3</v>
      </c>
      <c r="M3377" t="str">
        <f t="shared" si="104"/>
        <v>PASS</v>
      </c>
      <c r="N3377" s="10" t="str">
        <f t="shared" si="105"/>
        <v>NONE</v>
      </c>
    </row>
    <row r="3378" spans="1:14">
      <c r="A3378" s="4" t="s">
        <v>6772</v>
      </c>
      <c r="B3378" s="4" t="s">
        <v>6773</v>
      </c>
      <c r="C3378" s="4" t="s">
        <v>19</v>
      </c>
      <c r="D3378" s="4" t="s">
        <v>13</v>
      </c>
      <c r="E3378" s="5">
        <v>159.76490000000001</v>
      </c>
      <c r="F3378" s="5">
        <v>137.0813</v>
      </c>
      <c r="G3378" s="5">
        <v>137.30359999999999</v>
      </c>
      <c r="H3378" s="4">
        <v>0</v>
      </c>
      <c r="I3378" s="6">
        <v>1727285</v>
      </c>
      <c r="J3378" s="7">
        <v>211.79</v>
      </c>
      <c r="K3378" s="9">
        <f>(PricingDataTable[[#This Row],[Current Price ($)]]-PricingDataTable[[#This Row],[Prior Price ($)]])/PricingDataTable[[#This Row],[Prior Price ($)]]</f>
        <v>-0.14198112351336251</v>
      </c>
      <c r="L3378" s="9">
        <f>(PricingDataTable[[#This Row],[Vendor Price ($)]]-PricingDataTable[[#This Row],[Current Price ($)]])/PricingDataTable[[#This Row],[Current Price ($)]]</f>
        <v>1.6216653912677363E-3</v>
      </c>
      <c r="M3378" t="str">
        <f t="shared" si="104"/>
        <v>LARGE MOVE</v>
      </c>
      <c r="N3378" s="10" t="str">
        <f t="shared" si="105"/>
        <v>HIGH</v>
      </c>
    </row>
    <row r="3379" spans="1:14">
      <c r="A3379" s="4" t="s">
        <v>6774</v>
      </c>
      <c r="B3379" s="4" t="s">
        <v>6775</v>
      </c>
      <c r="C3379" s="4" t="s">
        <v>19</v>
      </c>
      <c r="D3379" s="4" t="s">
        <v>13</v>
      </c>
      <c r="E3379" s="5">
        <v>259.72809999999998</v>
      </c>
      <c r="F3379" s="5">
        <v>256.16789999999997</v>
      </c>
      <c r="G3379" s="5">
        <v>257.95620000000002</v>
      </c>
      <c r="H3379" s="4">
        <v>0</v>
      </c>
      <c r="I3379" s="6">
        <v>1889887</v>
      </c>
      <c r="J3379" s="7">
        <v>59.08</v>
      </c>
      <c r="K3379" s="9">
        <f>(PricingDataTable[[#This Row],[Current Price ($)]]-PricingDataTable[[#This Row],[Prior Price ($)]])/PricingDataTable[[#This Row],[Prior Price ($)]]</f>
        <v>-1.3707411712479354E-2</v>
      </c>
      <c r="L3379" s="9">
        <f>(PricingDataTable[[#This Row],[Vendor Price ($)]]-PricingDataTable[[#This Row],[Current Price ($)]])/PricingDataTable[[#This Row],[Current Price ($)]]</f>
        <v>6.9809683414668641E-3</v>
      </c>
      <c r="M3379" t="str">
        <f t="shared" si="104"/>
        <v>PASS</v>
      </c>
      <c r="N3379" s="10" t="str">
        <f t="shared" si="105"/>
        <v>NONE</v>
      </c>
    </row>
    <row r="3380" spans="1:14">
      <c r="A3380" s="4" t="s">
        <v>6776</v>
      </c>
      <c r="B3380" s="4" t="s">
        <v>6777</v>
      </c>
      <c r="C3380" s="4" t="s">
        <v>12</v>
      </c>
      <c r="D3380" s="4" t="s">
        <v>237</v>
      </c>
      <c r="E3380" s="5">
        <v>123.313</v>
      </c>
      <c r="F3380" s="5">
        <v>124.45099999999999</v>
      </c>
      <c r="G3380" s="5">
        <v>124.22490000000001</v>
      </c>
      <c r="H3380" s="4">
        <v>0</v>
      </c>
      <c r="I3380" s="6">
        <v>3008487</v>
      </c>
      <c r="J3380" s="7">
        <v>784.49</v>
      </c>
      <c r="K3380" s="9">
        <f>(PricingDataTable[[#This Row],[Current Price ($)]]-PricingDataTable[[#This Row],[Prior Price ($)]])/PricingDataTable[[#This Row],[Prior Price ($)]]</f>
        <v>9.2285484904267266E-3</v>
      </c>
      <c r="L3380" s="9">
        <f>(PricingDataTable[[#This Row],[Vendor Price ($)]]-PricingDataTable[[#This Row],[Current Price ($)]])/PricingDataTable[[#This Row],[Current Price ($)]]</f>
        <v>-1.8167792946620614E-3</v>
      </c>
      <c r="M3380" t="str">
        <f t="shared" si="104"/>
        <v>PASS</v>
      </c>
      <c r="N3380" s="10" t="str">
        <f t="shared" si="105"/>
        <v>NONE</v>
      </c>
    </row>
    <row r="3381" spans="1:14">
      <c r="A3381" s="4" t="s">
        <v>6778</v>
      </c>
      <c r="B3381" s="4" t="s">
        <v>6779</v>
      </c>
      <c r="C3381" s="4" t="s">
        <v>35</v>
      </c>
      <c r="D3381" s="4" t="s">
        <v>13</v>
      </c>
      <c r="E3381" s="5">
        <v>170.2124</v>
      </c>
      <c r="F3381" s="5">
        <v>171.08240000000001</v>
      </c>
      <c r="G3381" s="5">
        <v>171.45939999999999</v>
      </c>
      <c r="H3381" s="4">
        <v>0</v>
      </c>
      <c r="I3381" s="6">
        <v>274516</v>
      </c>
      <c r="J3381" s="7">
        <v>358.37</v>
      </c>
      <c r="K3381" s="9">
        <f>(PricingDataTable[[#This Row],[Current Price ($)]]-PricingDataTable[[#This Row],[Prior Price ($)]])/PricingDataTable[[#This Row],[Prior Price ($)]]</f>
        <v>5.1112609892111534E-3</v>
      </c>
      <c r="L3381" s="9">
        <f>(PricingDataTable[[#This Row],[Vendor Price ($)]]-PricingDataTable[[#This Row],[Current Price ($)]])/PricingDataTable[[#This Row],[Current Price ($)]]</f>
        <v>2.2036165029247958E-3</v>
      </c>
      <c r="M3381" t="str">
        <f t="shared" si="104"/>
        <v>PASS</v>
      </c>
      <c r="N3381" s="10" t="str">
        <f t="shared" si="105"/>
        <v>NONE</v>
      </c>
    </row>
    <row r="3382" spans="1:14">
      <c r="A3382" s="4" t="s">
        <v>6780</v>
      </c>
      <c r="B3382" s="4" t="s">
        <v>6781</v>
      </c>
      <c r="C3382" s="4" t="s">
        <v>16</v>
      </c>
      <c r="D3382" s="4" t="s">
        <v>13</v>
      </c>
      <c r="E3382" s="5">
        <v>120.1169</v>
      </c>
      <c r="F3382" s="5">
        <v>120.04349999999999</v>
      </c>
      <c r="G3382" s="5">
        <v>120.66289999999999</v>
      </c>
      <c r="H3382" s="4">
        <v>0</v>
      </c>
      <c r="I3382" s="6">
        <v>4670570</v>
      </c>
      <c r="J3382" s="7">
        <v>375.97</v>
      </c>
      <c r="K3382" s="9">
        <f>(PricingDataTable[[#This Row],[Current Price ($)]]-PricingDataTable[[#This Row],[Prior Price ($)]])/PricingDataTable[[#This Row],[Prior Price ($)]]</f>
        <v>-6.1107138129610876E-4</v>
      </c>
      <c r="L3382" s="9">
        <f>(PricingDataTable[[#This Row],[Vendor Price ($)]]-PricingDataTable[[#This Row],[Current Price ($)]])/PricingDataTable[[#This Row],[Current Price ($)]]</f>
        <v>5.1597962405294656E-3</v>
      </c>
      <c r="M3382" t="str">
        <f t="shared" si="104"/>
        <v>PASS</v>
      </c>
      <c r="N3382" s="10" t="str">
        <f t="shared" si="105"/>
        <v>NONE</v>
      </c>
    </row>
    <row r="3383" spans="1:14">
      <c r="A3383" s="4" t="s">
        <v>6782</v>
      </c>
      <c r="B3383" s="4" t="s">
        <v>6783</v>
      </c>
      <c r="C3383" s="4" t="s">
        <v>39</v>
      </c>
      <c r="D3383" s="4" t="s">
        <v>13</v>
      </c>
      <c r="E3383" s="5">
        <v>183.8655</v>
      </c>
      <c r="F3383" s="5">
        <v>186.99529999999999</v>
      </c>
      <c r="G3383" s="5">
        <v>187.46780000000001</v>
      </c>
      <c r="H3383" s="4">
        <v>0</v>
      </c>
      <c r="I3383" s="6">
        <v>2088141</v>
      </c>
      <c r="J3383" s="7">
        <v>656.74</v>
      </c>
      <c r="K3383" s="9">
        <f>(PricingDataTable[[#This Row],[Current Price ($)]]-PricingDataTable[[#This Row],[Prior Price ($)]])/PricingDataTable[[#This Row],[Prior Price ($)]]</f>
        <v>1.7022225485477094E-2</v>
      </c>
      <c r="L3383" s="9">
        <f>(PricingDataTable[[#This Row],[Vendor Price ($)]]-PricingDataTable[[#This Row],[Current Price ($)]])/PricingDataTable[[#This Row],[Current Price ($)]]</f>
        <v>2.5268014757591504E-3</v>
      </c>
      <c r="M3383" t="str">
        <f t="shared" si="104"/>
        <v>PASS</v>
      </c>
      <c r="N3383" s="10" t="str">
        <f t="shared" si="105"/>
        <v>NONE</v>
      </c>
    </row>
    <row r="3384" spans="1:14">
      <c r="A3384" s="4" t="s">
        <v>6784</v>
      </c>
      <c r="B3384" s="4" t="s">
        <v>6785</v>
      </c>
      <c r="C3384" s="4" t="s">
        <v>19</v>
      </c>
      <c r="D3384" s="4" t="s">
        <v>36</v>
      </c>
      <c r="E3384" s="5">
        <v>338.49189999999999</v>
      </c>
      <c r="F3384" s="5">
        <v>340.70400000000001</v>
      </c>
      <c r="G3384" s="5">
        <v>341.1703</v>
      </c>
      <c r="H3384" s="4">
        <v>0</v>
      </c>
      <c r="I3384" s="6">
        <v>91998</v>
      </c>
      <c r="J3384" s="7">
        <v>286.98</v>
      </c>
      <c r="K3384" s="9">
        <f>(PricingDataTable[[#This Row],[Current Price ($)]]-PricingDataTable[[#This Row],[Prior Price ($)]])/PricingDataTable[[#This Row],[Prior Price ($)]]</f>
        <v>6.5351637661049521E-3</v>
      </c>
      <c r="L3384" s="9">
        <f>(PricingDataTable[[#This Row],[Vendor Price ($)]]-PricingDataTable[[#This Row],[Current Price ($)]])/PricingDataTable[[#This Row],[Current Price ($)]]</f>
        <v>1.3686367051751365E-3</v>
      </c>
      <c r="M3384" t="str">
        <f t="shared" si="104"/>
        <v>PASS</v>
      </c>
      <c r="N3384" s="10" t="str">
        <f t="shared" si="105"/>
        <v>NONE</v>
      </c>
    </row>
    <row r="3385" spans="1:14">
      <c r="A3385" s="4" t="s">
        <v>6786</v>
      </c>
      <c r="B3385" s="4" t="s">
        <v>6787</v>
      </c>
      <c r="C3385" s="4" t="s">
        <v>16</v>
      </c>
      <c r="D3385" s="4" t="s">
        <v>13</v>
      </c>
      <c r="E3385" s="5">
        <v>112.617</v>
      </c>
      <c r="F3385" s="5">
        <v>113.3018</v>
      </c>
      <c r="G3385" s="5"/>
      <c r="H3385" s="4">
        <v>0</v>
      </c>
      <c r="I3385" s="6">
        <v>3145635</v>
      </c>
      <c r="J3385" s="7">
        <v>866.94</v>
      </c>
      <c r="K3385" s="9">
        <f>(PricingDataTable[[#This Row],[Current Price ($)]]-PricingDataTable[[#This Row],[Prior Price ($)]])/PricingDataTable[[#This Row],[Prior Price ($)]]</f>
        <v>6.0807870925348355E-3</v>
      </c>
      <c r="L3385" s="9">
        <f>(PricingDataTable[[#This Row],[Vendor Price ($)]]-PricingDataTable[[#This Row],[Current Price ($)]])/PricingDataTable[[#This Row],[Current Price ($)]]</f>
        <v>-1</v>
      </c>
      <c r="M3385" t="str">
        <f t="shared" si="104"/>
        <v>VENDOR DIFFERENCE</v>
      </c>
      <c r="N3385" s="10" t="str">
        <f t="shared" si="105"/>
        <v>HIGH</v>
      </c>
    </row>
    <row r="3386" spans="1:14">
      <c r="A3386" s="4" t="s">
        <v>6788</v>
      </c>
      <c r="B3386" s="4" t="s">
        <v>6789</v>
      </c>
      <c r="C3386" s="4" t="s">
        <v>19</v>
      </c>
      <c r="D3386" s="4" t="s">
        <v>32</v>
      </c>
      <c r="E3386" s="5">
        <v>286.83319999999998</v>
      </c>
      <c r="F3386" s="5">
        <v>281.22149999999999</v>
      </c>
      <c r="G3386" s="5">
        <v>280.28910000000002</v>
      </c>
      <c r="H3386" s="4">
        <v>1</v>
      </c>
      <c r="I3386" s="6">
        <v>3744872</v>
      </c>
      <c r="J3386" s="7">
        <v>887.36</v>
      </c>
      <c r="K3386" s="9">
        <f>(PricingDataTable[[#This Row],[Current Price ($)]]-PricingDataTable[[#This Row],[Prior Price ($)]])/PricingDataTable[[#This Row],[Prior Price ($)]]</f>
        <v>-1.9564332162385616E-2</v>
      </c>
      <c r="L3386" s="9">
        <f>(PricingDataTable[[#This Row],[Vendor Price ($)]]-PricingDataTable[[#This Row],[Current Price ($)]])/PricingDataTable[[#This Row],[Current Price ($)]]</f>
        <v>-3.3155359743119671E-3</v>
      </c>
      <c r="M3386" t="str">
        <f t="shared" si="104"/>
        <v>PASS</v>
      </c>
      <c r="N3386" s="10" t="str">
        <f t="shared" si="105"/>
        <v>NONE</v>
      </c>
    </row>
    <row r="3387" spans="1:14">
      <c r="A3387" s="4" t="s">
        <v>6790</v>
      </c>
      <c r="B3387" s="4" t="s">
        <v>6791</v>
      </c>
      <c r="C3387" s="4" t="s">
        <v>19</v>
      </c>
      <c r="D3387" s="4" t="s">
        <v>13</v>
      </c>
      <c r="E3387" s="5">
        <v>217.59710000000001</v>
      </c>
      <c r="F3387" s="5">
        <v>221.61969999999999</v>
      </c>
      <c r="G3387" s="5">
        <v>222.0643</v>
      </c>
      <c r="H3387" s="4">
        <v>0</v>
      </c>
      <c r="I3387" s="6">
        <v>2631010</v>
      </c>
      <c r="J3387" s="7">
        <v>669.1</v>
      </c>
      <c r="K3387" s="9">
        <f>(PricingDataTable[[#This Row],[Current Price ($)]]-PricingDataTable[[#This Row],[Prior Price ($)]])/PricingDataTable[[#This Row],[Prior Price ($)]]</f>
        <v>1.8486459608147272E-2</v>
      </c>
      <c r="L3387" s="9">
        <f>(PricingDataTable[[#This Row],[Vendor Price ($)]]-PricingDataTable[[#This Row],[Current Price ($)]])/PricingDataTable[[#This Row],[Current Price ($)]]</f>
        <v>2.0061393459155858E-3</v>
      </c>
      <c r="M3387" t="str">
        <f t="shared" si="104"/>
        <v>PASS</v>
      </c>
      <c r="N3387" s="10" t="str">
        <f t="shared" si="105"/>
        <v>NONE</v>
      </c>
    </row>
    <row r="3388" spans="1:14">
      <c r="A3388" s="4" t="s">
        <v>6792</v>
      </c>
      <c r="B3388" s="4" t="s">
        <v>6793</v>
      </c>
      <c r="C3388" s="4" t="s">
        <v>12</v>
      </c>
      <c r="D3388" s="4" t="s">
        <v>13</v>
      </c>
      <c r="E3388" s="5">
        <v>87.924400000000006</v>
      </c>
      <c r="F3388" s="5">
        <v>89.598200000000006</v>
      </c>
      <c r="G3388" s="5">
        <v>89.2393</v>
      </c>
      <c r="H3388" s="4">
        <v>0</v>
      </c>
      <c r="I3388" s="6">
        <v>2810130</v>
      </c>
      <c r="J3388" s="7">
        <v>293.72000000000003</v>
      </c>
      <c r="K3388" s="9">
        <f>(PricingDataTable[[#This Row],[Current Price ($)]]-PricingDataTable[[#This Row],[Prior Price ($)]])/PricingDataTable[[#This Row],[Prior Price ($)]]</f>
        <v>1.9036808894914267E-2</v>
      </c>
      <c r="L3388" s="9">
        <f>(PricingDataTable[[#This Row],[Vendor Price ($)]]-PricingDataTable[[#This Row],[Current Price ($)]])/PricingDataTable[[#This Row],[Current Price ($)]]</f>
        <v>-4.0056608280077668E-3</v>
      </c>
      <c r="M3388" t="str">
        <f t="shared" si="104"/>
        <v>PASS</v>
      </c>
      <c r="N3388" s="10" t="str">
        <f t="shared" si="105"/>
        <v>NONE</v>
      </c>
    </row>
    <row r="3389" spans="1:14">
      <c r="A3389" s="4" t="s">
        <v>6794</v>
      </c>
      <c r="B3389" s="4" t="s">
        <v>6795</v>
      </c>
      <c r="C3389" s="4" t="s">
        <v>16</v>
      </c>
      <c r="D3389" s="4" t="s">
        <v>13</v>
      </c>
      <c r="E3389" s="5">
        <v>80.609700000000004</v>
      </c>
      <c r="F3389" s="5">
        <v>80.28</v>
      </c>
      <c r="G3389" s="5">
        <v>79.990700000000004</v>
      </c>
      <c r="H3389" s="4">
        <v>0</v>
      </c>
      <c r="I3389" s="6">
        <v>3177234</v>
      </c>
      <c r="J3389" s="7">
        <v>429.19</v>
      </c>
      <c r="K3389" s="9">
        <f>(PricingDataTable[[#This Row],[Current Price ($)]]-PricingDataTable[[#This Row],[Prior Price ($)]])/PricingDataTable[[#This Row],[Prior Price ($)]]</f>
        <v>-4.0900784893133525E-3</v>
      </c>
      <c r="L3389" s="9">
        <f>(PricingDataTable[[#This Row],[Vendor Price ($)]]-PricingDataTable[[#This Row],[Current Price ($)]])/PricingDataTable[[#This Row],[Current Price ($)]]</f>
        <v>-3.6036372695565175E-3</v>
      </c>
      <c r="M3389" t="str">
        <f t="shared" si="104"/>
        <v>PASS</v>
      </c>
      <c r="N3389" s="10" t="str">
        <f t="shared" si="105"/>
        <v>NONE</v>
      </c>
    </row>
    <row r="3390" spans="1:14">
      <c r="A3390" s="4" t="s">
        <v>6796</v>
      </c>
      <c r="B3390" s="4" t="s">
        <v>6797</v>
      </c>
      <c r="C3390" s="4" t="s">
        <v>16</v>
      </c>
      <c r="D3390" s="4" t="s">
        <v>32</v>
      </c>
      <c r="E3390" s="5">
        <v>106.61279999999999</v>
      </c>
      <c r="F3390" s="5">
        <v>106.1319</v>
      </c>
      <c r="G3390" s="5">
        <v>106.0642</v>
      </c>
      <c r="H3390" s="4">
        <v>1</v>
      </c>
      <c r="I3390" s="6">
        <v>3429302</v>
      </c>
      <c r="J3390" s="7">
        <v>609.57000000000005</v>
      </c>
      <c r="K3390" s="9">
        <f>(PricingDataTable[[#This Row],[Current Price ($)]]-PricingDataTable[[#This Row],[Prior Price ($)]])/PricingDataTable[[#This Row],[Prior Price ($)]]</f>
        <v>-4.5107154112826158E-3</v>
      </c>
      <c r="L3390" s="9">
        <f>(PricingDataTable[[#This Row],[Vendor Price ($)]]-PricingDataTable[[#This Row],[Current Price ($)]])/PricingDataTable[[#This Row],[Current Price ($)]]</f>
        <v>-6.3788549908182267E-4</v>
      </c>
      <c r="M3390" t="str">
        <f t="shared" si="104"/>
        <v>PASS</v>
      </c>
      <c r="N3390" s="10" t="str">
        <f t="shared" si="105"/>
        <v>NONE</v>
      </c>
    </row>
    <row r="3391" spans="1:14">
      <c r="A3391" s="4" t="s">
        <v>6798</v>
      </c>
      <c r="B3391" s="4" t="s">
        <v>6799</v>
      </c>
      <c r="C3391" s="4" t="s">
        <v>16</v>
      </c>
      <c r="D3391" s="4" t="s">
        <v>13</v>
      </c>
      <c r="E3391" s="5">
        <v>83.023200000000003</v>
      </c>
      <c r="F3391" s="5">
        <v>83.046199999999999</v>
      </c>
      <c r="G3391" s="5">
        <v>82.886499999999998</v>
      </c>
      <c r="H3391" s="4">
        <v>0</v>
      </c>
      <c r="I3391" s="6">
        <v>1814502</v>
      </c>
      <c r="J3391" s="7">
        <v>804.66</v>
      </c>
      <c r="K3391" s="9">
        <f>(PricingDataTable[[#This Row],[Current Price ($)]]-PricingDataTable[[#This Row],[Prior Price ($)]])/PricingDataTable[[#This Row],[Prior Price ($)]]</f>
        <v>2.7703099856421016E-4</v>
      </c>
      <c r="L3391" s="9">
        <f>(PricingDataTable[[#This Row],[Vendor Price ($)]]-PricingDataTable[[#This Row],[Current Price ($)]])/PricingDataTable[[#This Row],[Current Price ($)]]</f>
        <v>-1.9230259783108781E-3</v>
      </c>
      <c r="M3391" t="str">
        <f t="shared" si="104"/>
        <v>PASS</v>
      </c>
      <c r="N3391" s="10" t="str">
        <f t="shared" si="105"/>
        <v>NONE</v>
      </c>
    </row>
    <row r="3392" spans="1:14">
      <c r="A3392" s="4" t="s">
        <v>6800</v>
      </c>
      <c r="B3392" s="4" t="s">
        <v>6801</v>
      </c>
      <c r="C3392" s="4" t="s">
        <v>35</v>
      </c>
      <c r="D3392" s="4" t="s">
        <v>13</v>
      </c>
      <c r="E3392" s="5">
        <v>123.5967</v>
      </c>
      <c r="F3392" s="5">
        <v>122.30880000000001</v>
      </c>
      <c r="G3392" s="5">
        <v>122.6713</v>
      </c>
      <c r="H3392" s="4">
        <v>1</v>
      </c>
      <c r="I3392" s="6">
        <v>4294408</v>
      </c>
      <c r="J3392" s="7">
        <v>838.07</v>
      </c>
      <c r="K3392" s="9">
        <f>(PricingDataTable[[#This Row],[Current Price ($)]]-PricingDataTable[[#This Row],[Prior Price ($)]])/PricingDataTable[[#This Row],[Prior Price ($)]]</f>
        <v>-1.0420181121340565E-2</v>
      </c>
      <c r="L3392" s="9">
        <f>(PricingDataTable[[#This Row],[Vendor Price ($)]]-PricingDataTable[[#This Row],[Current Price ($)]])/PricingDataTable[[#This Row],[Current Price ($)]]</f>
        <v>2.9638096359378648E-3</v>
      </c>
      <c r="M3392" t="str">
        <f t="shared" si="104"/>
        <v>PASS</v>
      </c>
      <c r="N3392" s="10" t="str">
        <f t="shared" si="105"/>
        <v>NONE</v>
      </c>
    </row>
    <row r="3393" spans="1:14">
      <c r="A3393" s="4" t="s">
        <v>6802</v>
      </c>
      <c r="B3393" s="4" t="s">
        <v>6803</v>
      </c>
      <c r="C3393" s="4" t="s">
        <v>19</v>
      </c>
      <c r="D3393" s="4" t="s">
        <v>13</v>
      </c>
      <c r="E3393" s="5">
        <v>229.32650000000001</v>
      </c>
      <c r="F3393" s="5">
        <v>231.2938</v>
      </c>
      <c r="G3393" s="5">
        <v>231.25720000000001</v>
      </c>
      <c r="H3393" s="4">
        <v>0</v>
      </c>
      <c r="I3393" s="6">
        <v>3871997</v>
      </c>
      <c r="J3393" s="7">
        <v>731.19</v>
      </c>
      <c r="K3393" s="9">
        <f>(PricingDataTable[[#This Row],[Current Price ($)]]-PricingDataTable[[#This Row],[Prior Price ($)]])/PricingDataTable[[#This Row],[Prior Price ($)]]</f>
        <v>8.5785986355697858E-3</v>
      </c>
      <c r="L3393" s="9">
        <f>(PricingDataTable[[#This Row],[Vendor Price ($)]]-PricingDataTable[[#This Row],[Current Price ($)]])/PricingDataTable[[#This Row],[Current Price ($)]]</f>
        <v>-1.5824029870231221E-4</v>
      </c>
      <c r="M3393" t="str">
        <f t="shared" si="104"/>
        <v>PASS</v>
      </c>
      <c r="N3393" s="10" t="str">
        <f t="shared" si="105"/>
        <v>NONE</v>
      </c>
    </row>
    <row r="3394" spans="1:14">
      <c r="A3394" s="4" t="s">
        <v>6804</v>
      </c>
      <c r="B3394" s="4" t="s">
        <v>6805</v>
      </c>
      <c r="C3394" s="4" t="s">
        <v>39</v>
      </c>
      <c r="D3394" s="4" t="s">
        <v>237</v>
      </c>
      <c r="E3394" s="5">
        <v>125.13249999999999</v>
      </c>
      <c r="F3394" s="5">
        <v>125.1968</v>
      </c>
      <c r="G3394" s="5">
        <v>124.8503</v>
      </c>
      <c r="H3394" s="4">
        <v>0</v>
      </c>
      <c r="I3394" s="6">
        <v>4374593</v>
      </c>
      <c r="J3394" s="7">
        <v>553.88</v>
      </c>
      <c r="K3394" s="9">
        <f>(PricingDataTable[[#This Row],[Current Price ($)]]-PricingDataTable[[#This Row],[Prior Price ($)]])/PricingDataTable[[#This Row],[Prior Price ($)]]</f>
        <v>5.1385531336785339E-4</v>
      </c>
      <c r="L3394" s="9">
        <f>(PricingDataTable[[#This Row],[Vendor Price ($)]]-PricingDataTable[[#This Row],[Current Price ($)]])/PricingDataTable[[#This Row],[Current Price ($)]]</f>
        <v>-2.7676426234535694E-3</v>
      </c>
      <c r="M3394" t="str">
        <f t="shared" ref="M3394:M3457" si="106">IF(OR(F3394="",F3394=0),"MISSING",IF(H3394&gt;=3,"STALE",IF(ABS(K3394)&gt;=5%,"LARGE MOVE",IF(ABS(L3394)&gt;=2%,"VENDOR DIFFERENCE","PASS"))))</f>
        <v>PASS</v>
      </c>
      <c r="N3394" s="10" t="str">
        <f t="shared" ref="N3394:N3457" si="107">IF(M3394="PASS","NONE",IF(M3394="MISSING","HIGH",IF(OR(ABS(K3394)&gt;=10%,ABS(L3394)&gt;=5%),"HIGH",IF(OR(ABS(K3394)&gt;=7%,ABS(L3394)&gt;=3%,H3394&gt;=5),"MEDIUM","LOW"))))</f>
        <v>NONE</v>
      </c>
    </row>
    <row r="3395" spans="1:14">
      <c r="A3395" s="4" t="s">
        <v>6806</v>
      </c>
      <c r="B3395" s="4" t="s">
        <v>6807</v>
      </c>
      <c r="C3395" s="4" t="s">
        <v>12</v>
      </c>
      <c r="D3395" s="4" t="s">
        <v>13</v>
      </c>
      <c r="E3395" s="5">
        <v>86.773600000000002</v>
      </c>
      <c r="F3395" s="5">
        <v>87.231200000000001</v>
      </c>
      <c r="G3395" s="5">
        <v>86.892600000000002</v>
      </c>
      <c r="H3395" s="4">
        <v>0</v>
      </c>
      <c r="I3395" s="6">
        <v>1019384</v>
      </c>
      <c r="J3395" s="7">
        <v>402.12</v>
      </c>
      <c r="K3395" s="9">
        <f>(PricingDataTable[[#This Row],[Current Price ($)]]-PricingDataTable[[#This Row],[Prior Price ($)]])/PricingDataTable[[#This Row],[Prior Price ($)]]</f>
        <v>5.2734933205490992E-3</v>
      </c>
      <c r="L3395" s="9">
        <f>(PricingDataTable[[#This Row],[Vendor Price ($)]]-PricingDataTable[[#This Row],[Current Price ($)]])/PricingDataTable[[#This Row],[Current Price ($)]]</f>
        <v>-3.8816386797384372E-3</v>
      </c>
      <c r="M3395" t="str">
        <f t="shared" si="106"/>
        <v>PASS</v>
      </c>
      <c r="N3395" s="10" t="str">
        <f t="shared" si="107"/>
        <v>NONE</v>
      </c>
    </row>
    <row r="3396" spans="1:14">
      <c r="A3396" s="4" t="s">
        <v>6808</v>
      </c>
      <c r="B3396" s="4" t="s">
        <v>6809</v>
      </c>
      <c r="C3396" s="4" t="s">
        <v>19</v>
      </c>
      <c r="D3396" s="4" t="s">
        <v>13</v>
      </c>
      <c r="E3396" s="5">
        <v>114.7833</v>
      </c>
      <c r="F3396" s="5">
        <v>114.1495</v>
      </c>
      <c r="G3396" s="5">
        <v>114.0801</v>
      </c>
      <c r="H3396" s="4">
        <v>0</v>
      </c>
      <c r="I3396" s="6">
        <v>279291</v>
      </c>
      <c r="J3396" s="7">
        <v>521.9</v>
      </c>
      <c r="K3396" s="9">
        <f>(PricingDataTable[[#This Row],[Current Price ($)]]-PricingDataTable[[#This Row],[Prior Price ($)]])/PricingDataTable[[#This Row],[Prior Price ($)]]</f>
        <v>-5.5217091684939684E-3</v>
      </c>
      <c r="L3396" s="9">
        <f>(PricingDataTable[[#This Row],[Vendor Price ($)]]-PricingDataTable[[#This Row],[Current Price ($)]])/PricingDataTable[[#This Row],[Current Price ($)]]</f>
        <v>-6.0797462976186207E-4</v>
      </c>
      <c r="M3396" t="str">
        <f t="shared" si="106"/>
        <v>PASS</v>
      </c>
      <c r="N3396" s="10" t="str">
        <f t="shared" si="107"/>
        <v>NONE</v>
      </c>
    </row>
    <row r="3397" spans="1:14">
      <c r="A3397" s="4" t="s">
        <v>6810</v>
      </c>
      <c r="B3397" s="4" t="s">
        <v>6811</v>
      </c>
      <c r="C3397" s="4" t="s">
        <v>19</v>
      </c>
      <c r="D3397" s="4" t="s">
        <v>36</v>
      </c>
      <c r="E3397" s="5">
        <v>196.1841</v>
      </c>
      <c r="F3397" s="5">
        <v>157.36859999999999</v>
      </c>
      <c r="G3397" s="5">
        <v>157.20500000000001</v>
      </c>
      <c r="H3397" s="4">
        <v>1</v>
      </c>
      <c r="I3397" s="6">
        <v>3903734</v>
      </c>
      <c r="J3397" s="7">
        <v>892.64</v>
      </c>
      <c r="K3397" s="9">
        <f>(PricingDataTable[[#This Row],[Current Price ($)]]-PricingDataTable[[#This Row],[Prior Price ($)]])/PricingDataTable[[#This Row],[Prior Price ($)]]</f>
        <v>-0.19785242534945499</v>
      </c>
      <c r="L3397" s="9">
        <f>(PricingDataTable[[#This Row],[Vendor Price ($)]]-PricingDataTable[[#This Row],[Current Price ($)]])/PricingDataTable[[#This Row],[Current Price ($)]]</f>
        <v>-1.039597480056212E-3</v>
      </c>
      <c r="M3397" t="str">
        <f t="shared" si="106"/>
        <v>LARGE MOVE</v>
      </c>
      <c r="N3397" s="10" t="str">
        <f t="shared" si="107"/>
        <v>HIGH</v>
      </c>
    </row>
    <row r="3398" spans="1:14">
      <c r="A3398" s="4" t="s">
        <v>6812</v>
      </c>
      <c r="B3398" s="4" t="s">
        <v>6813</v>
      </c>
      <c r="C3398" s="4" t="s">
        <v>16</v>
      </c>
      <c r="D3398" s="4" t="s">
        <v>36</v>
      </c>
      <c r="E3398" s="5">
        <v>96.550299999999993</v>
      </c>
      <c r="F3398" s="5">
        <v>98.451999999999998</v>
      </c>
      <c r="G3398" s="5">
        <v>98.238299999999995</v>
      </c>
      <c r="H3398" s="4">
        <v>1</v>
      </c>
      <c r="I3398" s="6">
        <v>4098849</v>
      </c>
      <c r="J3398" s="7">
        <v>288.56</v>
      </c>
      <c r="K3398" s="9">
        <f>(PricingDataTable[[#This Row],[Current Price ($)]]-PricingDataTable[[#This Row],[Prior Price ($)]])/PricingDataTable[[#This Row],[Prior Price ($)]]</f>
        <v>1.969646909434777E-2</v>
      </c>
      <c r="L3398" s="9">
        <f>(PricingDataTable[[#This Row],[Vendor Price ($)]]-PricingDataTable[[#This Row],[Current Price ($)]])/PricingDataTable[[#This Row],[Current Price ($)]]</f>
        <v>-2.1706009019624071E-3</v>
      </c>
      <c r="M3398" t="str">
        <f t="shared" si="106"/>
        <v>PASS</v>
      </c>
      <c r="N3398" s="10" t="str">
        <f t="shared" si="107"/>
        <v>NONE</v>
      </c>
    </row>
    <row r="3399" spans="1:14">
      <c r="A3399" s="4" t="s">
        <v>6814</v>
      </c>
      <c r="B3399" s="4" t="s">
        <v>6815</v>
      </c>
      <c r="C3399" s="4" t="s">
        <v>12</v>
      </c>
      <c r="D3399" s="4" t="s">
        <v>13</v>
      </c>
      <c r="E3399" s="5">
        <v>107.7795</v>
      </c>
      <c r="F3399" s="5">
        <v>108.129</v>
      </c>
      <c r="G3399" s="5">
        <v>107.2893</v>
      </c>
      <c r="H3399" s="4">
        <v>0</v>
      </c>
      <c r="I3399" s="6">
        <v>1917500</v>
      </c>
      <c r="J3399" s="7">
        <v>252.59</v>
      </c>
      <c r="K3399" s="9">
        <f>(PricingDataTable[[#This Row],[Current Price ($)]]-PricingDataTable[[#This Row],[Prior Price ($)]])/PricingDataTable[[#This Row],[Prior Price ($)]]</f>
        <v>3.2427316883081305E-3</v>
      </c>
      <c r="L3399" s="9">
        <f>(PricingDataTable[[#This Row],[Vendor Price ($)]]-PricingDataTable[[#This Row],[Current Price ($)]])/PricingDataTable[[#This Row],[Current Price ($)]]</f>
        <v>-7.7657242737841619E-3</v>
      </c>
      <c r="M3399" t="str">
        <f t="shared" si="106"/>
        <v>PASS</v>
      </c>
      <c r="N3399" s="10" t="str">
        <f t="shared" si="107"/>
        <v>NONE</v>
      </c>
    </row>
    <row r="3400" spans="1:14">
      <c r="A3400" s="4" t="s">
        <v>6816</v>
      </c>
      <c r="B3400" s="4" t="s">
        <v>6817</v>
      </c>
      <c r="C3400" s="4" t="s">
        <v>16</v>
      </c>
      <c r="D3400" s="4" t="s">
        <v>13</v>
      </c>
      <c r="E3400" s="5">
        <v>80.917199999999994</v>
      </c>
      <c r="F3400" s="5">
        <v>80.848600000000005</v>
      </c>
      <c r="G3400" s="5">
        <v>80.563900000000004</v>
      </c>
      <c r="H3400" s="4">
        <v>0</v>
      </c>
      <c r="I3400" s="6">
        <v>739539</v>
      </c>
      <c r="J3400" s="7">
        <v>681.41</v>
      </c>
      <c r="K3400" s="9">
        <f>(PricingDataTable[[#This Row],[Current Price ($)]]-PricingDataTable[[#This Row],[Prior Price ($)]])/PricingDataTable[[#This Row],[Prior Price ($)]]</f>
        <v>-8.4778020000678893E-4</v>
      </c>
      <c r="L3400" s="9">
        <f>(PricingDataTable[[#This Row],[Vendor Price ($)]]-PricingDataTable[[#This Row],[Current Price ($)]])/PricingDataTable[[#This Row],[Current Price ($)]]</f>
        <v>-3.5213967836177848E-3</v>
      </c>
      <c r="M3400" t="str">
        <f t="shared" si="106"/>
        <v>PASS</v>
      </c>
      <c r="N3400" s="10" t="str">
        <f t="shared" si="107"/>
        <v>NONE</v>
      </c>
    </row>
    <row r="3401" spans="1:14">
      <c r="A3401" s="4" t="s">
        <v>6818</v>
      </c>
      <c r="B3401" s="4" t="s">
        <v>6819</v>
      </c>
      <c r="C3401" s="4" t="s">
        <v>19</v>
      </c>
      <c r="D3401" s="4" t="s">
        <v>13</v>
      </c>
      <c r="E3401" s="5">
        <v>243.3835</v>
      </c>
      <c r="F3401" s="5">
        <v>248.28870000000001</v>
      </c>
      <c r="G3401" s="5">
        <v>248.65010000000001</v>
      </c>
      <c r="H3401" s="4">
        <v>2</v>
      </c>
      <c r="I3401" s="6">
        <v>4800877</v>
      </c>
      <c r="J3401" s="7">
        <v>49.52</v>
      </c>
      <c r="K3401" s="9">
        <f>(PricingDataTable[[#This Row],[Current Price ($)]]-PricingDataTable[[#This Row],[Prior Price ($)]])/PricingDataTable[[#This Row],[Prior Price ($)]]</f>
        <v>2.0154201085940533E-2</v>
      </c>
      <c r="L3401" s="9">
        <f>(PricingDataTable[[#This Row],[Vendor Price ($)]]-PricingDataTable[[#This Row],[Current Price ($)]])/PricingDataTable[[#This Row],[Current Price ($)]]</f>
        <v>1.4555636241198383E-3</v>
      </c>
      <c r="M3401" t="str">
        <f t="shared" si="106"/>
        <v>PASS</v>
      </c>
      <c r="N3401" s="10" t="str">
        <f t="shared" si="107"/>
        <v>NONE</v>
      </c>
    </row>
    <row r="3402" spans="1:14">
      <c r="A3402" s="4" t="s">
        <v>6820</v>
      </c>
      <c r="B3402" s="4" t="s">
        <v>6821</v>
      </c>
      <c r="C3402" s="4" t="s">
        <v>19</v>
      </c>
      <c r="D3402" s="4" t="s">
        <v>13</v>
      </c>
      <c r="E3402" s="5">
        <v>180.3742</v>
      </c>
      <c r="F3402" s="5">
        <v>180.19739999999999</v>
      </c>
      <c r="G3402" s="5">
        <v>180.07660000000001</v>
      </c>
      <c r="H3402" s="4">
        <v>0</v>
      </c>
      <c r="I3402" s="6">
        <v>3161353</v>
      </c>
      <c r="J3402" s="7">
        <v>835.45</v>
      </c>
      <c r="K3402" s="9">
        <f>(PricingDataTable[[#This Row],[Current Price ($)]]-PricingDataTable[[#This Row],[Prior Price ($)]])/PricingDataTable[[#This Row],[Prior Price ($)]]</f>
        <v>-9.8018452749902302E-4</v>
      </c>
      <c r="L3402" s="9">
        <f>(PricingDataTable[[#This Row],[Vendor Price ($)]]-PricingDataTable[[#This Row],[Current Price ($)]])/PricingDataTable[[#This Row],[Current Price ($)]]</f>
        <v>-6.7037593217201955E-4</v>
      </c>
      <c r="M3402" t="str">
        <f t="shared" si="106"/>
        <v>PASS</v>
      </c>
      <c r="N3402" s="10" t="str">
        <f t="shared" si="107"/>
        <v>NONE</v>
      </c>
    </row>
    <row r="3403" spans="1:14">
      <c r="A3403" s="4" t="s">
        <v>6822</v>
      </c>
      <c r="B3403" s="4" t="s">
        <v>6823</v>
      </c>
      <c r="C3403" s="4" t="s">
        <v>19</v>
      </c>
      <c r="D3403" s="4" t="s">
        <v>13</v>
      </c>
      <c r="E3403" s="5">
        <v>74.888400000000004</v>
      </c>
      <c r="F3403" s="5">
        <v>75.188500000000005</v>
      </c>
      <c r="G3403" s="5">
        <v>75.036799999999999</v>
      </c>
      <c r="H3403" s="4">
        <v>0</v>
      </c>
      <c r="I3403" s="6">
        <v>3477054</v>
      </c>
      <c r="J3403" s="7">
        <v>308.52</v>
      </c>
      <c r="K3403" s="9">
        <f>(PricingDataTable[[#This Row],[Current Price ($)]]-PricingDataTable[[#This Row],[Prior Price ($)]])/PricingDataTable[[#This Row],[Prior Price ($)]]</f>
        <v>4.007296190064155E-3</v>
      </c>
      <c r="L3403" s="9">
        <f>(PricingDataTable[[#This Row],[Vendor Price ($)]]-PricingDataTable[[#This Row],[Current Price ($)]])/PricingDataTable[[#This Row],[Current Price ($)]]</f>
        <v>-2.0175957759498496E-3</v>
      </c>
      <c r="M3403" t="str">
        <f t="shared" si="106"/>
        <v>PASS</v>
      </c>
      <c r="N3403" s="10" t="str">
        <f t="shared" si="107"/>
        <v>NONE</v>
      </c>
    </row>
    <row r="3404" spans="1:14">
      <c r="A3404" s="4" t="s">
        <v>6824</v>
      </c>
      <c r="B3404" s="4" t="s">
        <v>6825</v>
      </c>
      <c r="C3404" s="4" t="s">
        <v>19</v>
      </c>
      <c r="D3404" s="4" t="s">
        <v>13</v>
      </c>
      <c r="E3404" s="5">
        <v>76.341999999999999</v>
      </c>
      <c r="F3404" s="5">
        <v>76.813500000000005</v>
      </c>
      <c r="G3404" s="5">
        <v>76.854600000000005</v>
      </c>
      <c r="H3404" s="4">
        <v>0</v>
      </c>
      <c r="I3404" s="6">
        <v>2137392</v>
      </c>
      <c r="J3404" s="7">
        <v>595.4</v>
      </c>
      <c r="K3404" s="9">
        <f>(PricingDataTable[[#This Row],[Current Price ($)]]-PricingDataTable[[#This Row],[Prior Price ($)]])/PricingDataTable[[#This Row],[Prior Price ($)]]</f>
        <v>6.1761546723953526E-3</v>
      </c>
      <c r="L3404" s="9">
        <f>(PricingDataTable[[#This Row],[Vendor Price ($)]]-PricingDataTable[[#This Row],[Current Price ($)]])/PricingDataTable[[#This Row],[Current Price ($)]]</f>
        <v>5.3506219609834383E-4</v>
      </c>
      <c r="M3404" t="str">
        <f t="shared" si="106"/>
        <v>PASS</v>
      </c>
      <c r="N3404" s="10" t="str">
        <f t="shared" si="107"/>
        <v>NONE</v>
      </c>
    </row>
    <row r="3405" spans="1:14">
      <c r="A3405" s="4" t="s">
        <v>6826</v>
      </c>
      <c r="B3405" s="4" t="s">
        <v>6827</v>
      </c>
      <c r="C3405" s="4" t="s">
        <v>39</v>
      </c>
      <c r="D3405" s="4" t="s">
        <v>13</v>
      </c>
      <c r="E3405" s="5">
        <v>133.22</v>
      </c>
      <c r="F3405" s="5">
        <v>133.1771</v>
      </c>
      <c r="G3405" s="5">
        <v>132.87909999999999</v>
      </c>
      <c r="H3405" s="4">
        <v>0</v>
      </c>
      <c r="I3405" s="6">
        <v>1632183</v>
      </c>
      <c r="J3405" s="7">
        <v>183.66</v>
      </c>
      <c r="K3405" s="9">
        <f>(PricingDataTable[[#This Row],[Current Price ($)]]-PricingDataTable[[#This Row],[Prior Price ($)]])/PricingDataTable[[#This Row],[Prior Price ($)]]</f>
        <v>-3.220237201621607E-4</v>
      </c>
      <c r="L3405" s="9">
        <f>(PricingDataTable[[#This Row],[Vendor Price ($)]]-PricingDataTable[[#This Row],[Current Price ($)]])/PricingDataTable[[#This Row],[Current Price ($)]]</f>
        <v>-2.2376219335005932E-3</v>
      </c>
      <c r="M3405" t="str">
        <f t="shared" si="106"/>
        <v>PASS</v>
      </c>
      <c r="N3405" s="10" t="str">
        <f t="shared" si="107"/>
        <v>NONE</v>
      </c>
    </row>
    <row r="3406" spans="1:14">
      <c r="A3406" s="4" t="s">
        <v>6828</v>
      </c>
      <c r="B3406" s="4" t="s">
        <v>6829</v>
      </c>
      <c r="C3406" s="4" t="s">
        <v>35</v>
      </c>
      <c r="D3406" s="4" t="s">
        <v>13</v>
      </c>
      <c r="E3406" s="5">
        <v>9.56</v>
      </c>
      <c r="F3406" s="5">
        <v>9.5710999999999995</v>
      </c>
      <c r="G3406" s="5">
        <v>9.5167000000000002</v>
      </c>
      <c r="H3406" s="4">
        <v>1</v>
      </c>
      <c r="I3406" s="6">
        <v>4458014</v>
      </c>
      <c r="J3406" s="7">
        <v>143.81</v>
      </c>
      <c r="K3406" s="9">
        <f>(PricingDataTable[[#This Row],[Current Price ($)]]-PricingDataTable[[#This Row],[Prior Price ($)]])/PricingDataTable[[#This Row],[Prior Price ($)]]</f>
        <v>1.1610878661086818E-3</v>
      </c>
      <c r="L3406" s="9">
        <f>(PricingDataTable[[#This Row],[Vendor Price ($)]]-PricingDataTable[[#This Row],[Current Price ($)]])/PricingDataTable[[#This Row],[Current Price ($)]]</f>
        <v>-5.6837772042920192E-3</v>
      </c>
      <c r="M3406" t="str">
        <f t="shared" si="106"/>
        <v>PASS</v>
      </c>
      <c r="N3406" s="10" t="str">
        <f t="shared" si="107"/>
        <v>NONE</v>
      </c>
    </row>
    <row r="3407" spans="1:14">
      <c r="A3407" s="4" t="s">
        <v>6830</v>
      </c>
      <c r="B3407" s="4" t="s">
        <v>6831</v>
      </c>
      <c r="C3407" s="4" t="s">
        <v>35</v>
      </c>
      <c r="D3407" s="4" t="s">
        <v>13</v>
      </c>
      <c r="E3407" s="5">
        <v>103.2779</v>
      </c>
      <c r="F3407" s="5">
        <v>103.72620000000001</v>
      </c>
      <c r="G3407" s="5">
        <v>103.6985</v>
      </c>
      <c r="H3407" s="4">
        <v>0</v>
      </c>
      <c r="I3407" s="6">
        <v>229783</v>
      </c>
      <c r="J3407" s="7">
        <v>489.72</v>
      </c>
      <c r="K3407" s="9">
        <f>(PricingDataTable[[#This Row],[Current Price ($)]]-PricingDataTable[[#This Row],[Prior Price ($)]])/PricingDataTable[[#This Row],[Prior Price ($)]]</f>
        <v>4.3407156807022916E-3</v>
      </c>
      <c r="L3407" s="9">
        <f>(PricingDataTable[[#This Row],[Vendor Price ($)]]-PricingDataTable[[#This Row],[Current Price ($)]])/PricingDataTable[[#This Row],[Current Price ($)]]</f>
        <v>-2.6704921225312458E-4</v>
      </c>
      <c r="M3407" t="str">
        <f t="shared" si="106"/>
        <v>PASS</v>
      </c>
      <c r="N3407" s="10" t="str">
        <f t="shared" si="107"/>
        <v>NONE</v>
      </c>
    </row>
    <row r="3408" spans="1:14">
      <c r="A3408" s="4" t="s">
        <v>6832</v>
      </c>
      <c r="B3408" s="4" t="s">
        <v>6833</v>
      </c>
      <c r="C3408" s="4" t="s">
        <v>35</v>
      </c>
      <c r="D3408" s="4" t="s">
        <v>13</v>
      </c>
      <c r="E3408" s="5">
        <v>98.416700000000006</v>
      </c>
      <c r="F3408" s="5">
        <v>98.484099999999998</v>
      </c>
      <c r="G3408" s="5">
        <v>98.781899999999993</v>
      </c>
      <c r="H3408" s="4">
        <v>0</v>
      </c>
      <c r="I3408" s="6">
        <v>2986322</v>
      </c>
      <c r="J3408" s="7">
        <v>404.87</v>
      </c>
      <c r="K3408" s="9">
        <f>(PricingDataTable[[#This Row],[Current Price ($)]]-PricingDataTable[[#This Row],[Prior Price ($)]])/PricingDataTable[[#This Row],[Prior Price ($)]]</f>
        <v>6.8484312113688153E-4</v>
      </c>
      <c r="L3408" s="9">
        <f>(PricingDataTable[[#This Row],[Vendor Price ($)]]-PricingDataTable[[#This Row],[Current Price ($)]])/PricingDataTable[[#This Row],[Current Price ($)]]</f>
        <v>3.0238383657869156E-3</v>
      </c>
      <c r="M3408" t="str">
        <f t="shared" si="106"/>
        <v>PASS</v>
      </c>
      <c r="N3408" s="10" t="str">
        <f t="shared" si="107"/>
        <v>NONE</v>
      </c>
    </row>
    <row r="3409" spans="1:14">
      <c r="A3409" s="4" t="s">
        <v>6834</v>
      </c>
      <c r="B3409" s="4" t="s">
        <v>6835</v>
      </c>
      <c r="C3409" s="4" t="s">
        <v>39</v>
      </c>
      <c r="D3409" s="4" t="s">
        <v>13</v>
      </c>
      <c r="E3409" s="5">
        <v>100.4877</v>
      </c>
      <c r="F3409" s="5">
        <v>100.9091</v>
      </c>
      <c r="G3409" s="5">
        <v>100.95399999999999</v>
      </c>
      <c r="H3409" s="4">
        <v>0</v>
      </c>
      <c r="I3409" s="6">
        <v>4391348</v>
      </c>
      <c r="J3409" s="7">
        <v>351.74</v>
      </c>
      <c r="K3409" s="9">
        <f>(PricingDataTable[[#This Row],[Current Price ($)]]-PricingDataTable[[#This Row],[Prior Price ($)]])/PricingDataTable[[#This Row],[Prior Price ($)]]</f>
        <v>4.1935480660816333E-3</v>
      </c>
      <c r="L3409" s="9">
        <f>(PricingDataTable[[#This Row],[Vendor Price ($)]]-PricingDataTable[[#This Row],[Current Price ($)]])/PricingDataTable[[#This Row],[Current Price ($)]]</f>
        <v>4.4495491486891062E-4</v>
      </c>
      <c r="M3409" t="str">
        <f t="shared" si="106"/>
        <v>PASS</v>
      </c>
      <c r="N3409" s="10" t="str">
        <f t="shared" si="107"/>
        <v>NONE</v>
      </c>
    </row>
    <row r="3410" spans="1:14">
      <c r="A3410" s="4" t="s">
        <v>6836</v>
      </c>
      <c r="B3410" s="4" t="s">
        <v>6837</v>
      </c>
      <c r="C3410" s="4" t="s">
        <v>12</v>
      </c>
      <c r="D3410" s="4" t="s">
        <v>13</v>
      </c>
      <c r="E3410" s="5">
        <v>115.3626</v>
      </c>
      <c r="F3410" s="5">
        <v>114.8434</v>
      </c>
      <c r="G3410" s="5">
        <v>114.6293</v>
      </c>
      <c r="H3410" s="4">
        <v>0</v>
      </c>
      <c r="I3410" s="6">
        <v>2895103</v>
      </c>
      <c r="J3410" s="7">
        <v>560.80999999999995</v>
      </c>
      <c r="K3410" s="9">
        <f>(PricingDataTable[[#This Row],[Current Price ($)]]-PricingDataTable[[#This Row],[Prior Price ($)]])/PricingDataTable[[#This Row],[Prior Price ($)]]</f>
        <v>-4.5005920462957479E-3</v>
      </c>
      <c r="L3410" s="9">
        <f>(PricingDataTable[[#This Row],[Vendor Price ($)]]-PricingDataTable[[#This Row],[Current Price ($)]])/PricingDataTable[[#This Row],[Current Price ($)]]</f>
        <v>-1.8642777904520585E-3</v>
      </c>
      <c r="M3410" t="str">
        <f t="shared" si="106"/>
        <v>PASS</v>
      </c>
      <c r="N3410" s="10" t="str">
        <f t="shared" si="107"/>
        <v>NONE</v>
      </c>
    </row>
    <row r="3411" spans="1:14">
      <c r="A3411" s="4" t="s">
        <v>6838</v>
      </c>
      <c r="B3411" s="4" t="s">
        <v>6839</v>
      </c>
      <c r="C3411" s="4" t="s">
        <v>19</v>
      </c>
      <c r="D3411" s="4" t="s">
        <v>13</v>
      </c>
      <c r="E3411" s="5">
        <v>227.80410000000001</v>
      </c>
      <c r="F3411" s="5">
        <v>225.6584</v>
      </c>
      <c r="G3411" s="5">
        <v>224.8777</v>
      </c>
      <c r="H3411" s="4">
        <v>0</v>
      </c>
      <c r="I3411" s="6">
        <v>2853052</v>
      </c>
      <c r="J3411" s="7">
        <v>212.15</v>
      </c>
      <c r="K3411" s="9">
        <f>(PricingDataTable[[#This Row],[Current Price ($)]]-PricingDataTable[[#This Row],[Prior Price ($)]])/PricingDataTable[[#This Row],[Prior Price ($)]]</f>
        <v>-9.4190578659471228E-3</v>
      </c>
      <c r="L3411" s="9">
        <f>(PricingDataTable[[#This Row],[Vendor Price ($)]]-PricingDataTable[[#This Row],[Current Price ($)]])/PricingDataTable[[#This Row],[Current Price ($)]]</f>
        <v>-3.4596540611827255E-3</v>
      </c>
      <c r="M3411" t="str">
        <f t="shared" si="106"/>
        <v>PASS</v>
      </c>
      <c r="N3411" s="10" t="str">
        <f t="shared" si="107"/>
        <v>NONE</v>
      </c>
    </row>
    <row r="3412" spans="1:14">
      <c r="A3412" s="4" t="s">
        <v>6840</v>
      </c>
      <c r="B3412" s="4" t="s">
        <v>6841</v>
      </c>
      <c r="C3412" s="4" t="s">
        <v>19</v>
      </c>
      <c r="D3412" s="4" t="s">
        <v>64</v>
      </c>
      <c r="E3412" s="5">
        <v>172.44380000000001</v>
      </c>
      <c r="F3412" s="5">
        <v>173.30950000000001</v>
      </c>
      <c r="G3412" s="5">
        <v>174.45670000000001</v>
      </c>
      <c r="H3412" s="4">
        <v>5</v>
      </c>
      <c r="I3412" s="6">
        <v>2479727</v>
      </c>
      <c r="J3412" s="7">
        <v>486.31</v>
      </c>
      <c r="K3412" s="9">
        <f>(PricingDataTable[[#This Row],[Current Price ($)]]-PricingDataTable[[#This Row],[Prior Price ($)]])/PricingDataTable[[#This Row],[Prior Price ($)]]</f>
        <v>5.0201862867786714E-3</v>
      </c>
      <c r="L3412" s="9">
        <f>(PricingDataTable[[#This Row],[Vendor Price ($)]]-PricingDataTable[[#This Row],[Current Price ($)]])/PricingDataTable[[#This Row],[Current Price ($)]]</f>
        <v>6.6193717020705612E-3</v>
      </c>
      <c r="M3412" t="str">
        <f t="shared" si="106"/>
        <v>STALE</v>
      </c>
      <c r="N3412" s="10" t="str">
        <f t="shared" si="107"/>
        <v>MEDIUM</v>
      </c>
    </row>
    <row r="3413" spans="1:14">
      <c r="A3413" s="4" t="s">
        <v>6842</v>
      </c>
      <c r="B3413" s="4" t="s">
        <v>6843</v>
      </c>
      <c r="C3413" s="4" t="s">
        <v>12</v>
      </c>
      <c r="D3413" s="4" t="s">
        <v>13</v>
      </c>
      <c r="E3413" s="5">
        <v>94.560500000000005</v>
      </c>
      <c r="F3413" s="5">
        <v>93.237200000000001</v>
      </c>
      <c r="G3413" s="5">
        <v>92.946899999999999</v>
      </c>
      <c r="H3413" s="4">
        <v>0</v>
      </c>
      <c r="I3413" s="6">
        <v>229327</v>
      </c>
      <c r="J3413" s="7">
        <v>66.27</v>
      </c>
      <c r="K3413" s="9">
        <f>(PricingDataTable[[#This Row],[Current Price ($)]]-PricingDataTable[[#This Row],[Prior Price ($)]])/PricingDataTable[[#This Row],[Prior Price ($)]]</f>
        <v>-1.3994215343616025E-2</v>
      </c>
      <c r="L3413" s="9">
        <f>(PricingDataTable[[#This Row],[Vendor Price ($)]]-PricingDataTable[[#This Row],[Current Price ($)]])/PricingDataTable[[#This Row],[Current Price ($)]]</f>
        <v>-3.1135641138944755E-3</v>
      </c>
      <c r="M3413" t="str">
        <f t="shared" si="106"/>
        <v>PASS</v>
      </c>
      <c r="N3413" s="10" t="str">
        <f t="shared" si="107"/>
        <v>NONE</v>
      </c>
    </row>
    <row r="3414" spans="1:14">
      <c r="A3414" s="4" t="s">
        <v>6844</v>
      </c>
      <c r="B3414" s="4" t="s">
        <v>6845</v>
      </c>
      <c r="C3414" s="4" t="s">
        <v>35</v>
      </c>
      <c r="D3414" s="4" t="s">
        <v>13</v>
      </c>
      <c r="E3414" s="5">
        <v>162.8176</v>
      </c>
      <c r="F3414" s="5">
        <v>165.44220000000001</v>
      </c>
      <c r="G3414" s="5">
        <v>165.1009</v>
      </c>
      <c r="H3414" s="4">
        <v>0</v>
      </c>
      <c r="I3414" s="6">
        <v>1185507</v>
      </c>
      <c r="J3414" s="7">
        <v>3.72</v>
      </c>
      <c r="K3414" s="9">
        <f>(PricingDataTable[[#This Row],[Current Price ($)]]-PricingDataTable[[#This Row],[Prior Price ($)]])/PricingDataTable[[#This Row],[Prior Price ($)]]</f>
        <v>1.6119878932007444E-2</v>
      </c>
      <c r="L3414" s="9">
        <f>(PricingDataTable[[#This Row],[Vendor Price ($)]]-PricingDataTable[[#This Row],[Current Price ($)]])/PricingDataTable[[#This Row],[Current Price ($)]]</f>
        <v>-2.0629561260670985E-3</v>
      </c>
      <c r="M3414" t="str">
        <f t="shared" si="106"/>
        <v>PASS</v>
      </c>
      <c r="N3414" s="10" t="str">
        <f t="shared" si="107"/>
        <v>NONE</v>
      </c>
    </row>
    <row r="3415" spans="1:14">
      <c r="A3415" s="4" t="s">
        <v>6846</v>
      </c>
      <c r="B3415" s="4" t="s">
        <v>6847</v>
      </c>
      <c r="C3415" s="4" t="s">
        <v>16</v>
      </c>
      <c r="D3415" s="4" t="s">
        <v>32</v>
      </c>
      <c r="E3415" s="5">
        <v>116.1815</v>
      </c>
      <c r="F3415" s="5">
        <v>93.445300000000003</v>
      </c>
      <c r="G3415" s="5">
        <v>93.218100000000007</v>
      </c>
      <c r="H3415" s="4">
        <v>1</v>
      </c>
      <c r="I3415" s="6">
        <v>459448</v>
      </c>
      <c r="J3415" s="7">
        <v>120.73</v>
      </c>
      <c r="K3415" s="9">
        <f>(PricingDataTable[[#This Row],[Current Price ($)]]-PricingDataTable[[#This Row],[Prior Price ($)]])/PricingDataTable[[#This Row],[Prior Price ($)]]</f>
        <v>-0.19569552811764349</v>
      </c>
      <c r="L3415" s="9">
        <f>(PricingDataTable[[#This Row],[Vendor Price ($)]]-PricingDataTable[[#This Row],[Current Price ($)]])/PricingDataTable[[#This Row],[Current Price ($)]]</f>
        <v>-2.4313689399038398E-3</v>
      </c>
      <c r="M3415" t="str">
        <f t="shared" si="106"/>
        <v>LARGE MOVE</v>
      </c>
      <c r="N3415" s="10" t="str">
        <f t="shared" si="107"/>
        <v>HIGH</v>
      </c>
    </row>
    <row r="3416" spans="1:14">
      <c r="A3416" s="4" t="s">
        <v>6848</v>
      </c>
      <c r="B3416" s="4" t="s">
        <v>6849</v>
      </c>
      <c r="C3416" s="4" t="s">
        <v>35</v>
      </c>
      <c r="D3416" s="4" t="s">
        <v>13</v>
      </c>
      <c r="E3416" s="5">
        <v>104.2024</v>
      </c>
      <c r="F3416" s="5">
        <v>107.77549999999999</v>
      </c>
      <c r="G3416" s="5">
        <v>107.9281</v>
      </c>
      <c r="H3416" s="4">
        <v>0</v>
      </c>
      <c r="I3416" s="6">
        <v>1101926</v>
      </c>
      <c r="J3416" s="7">
        <v>457.48</v>
      </c>
      <c r="K3416" s="9">
        <f>(PricingDataTable[[#This Row],[Current Price ($)]]-PricingDataTable[[#This Row],[Prior Price ($)]])/PricingDataTable[[#This Row],[Prior Price ($)]]</f>
        <v>3.4289997159374419E-2</v>
      </c>
      <c r="L3416" s="9">
        <f>(PricingDataTable[[#This Row],[Vendor Price ($)]]-PricingDataTable[[#This Row],[Current Price ($)]])/PricingDataTable[[#This Row],[Current Price ($)]]</f>
        <v>1.4159062124509442E-3</v>
      </c>
      <c r="M3416" t="str">
        <f t="shared" si="106"/>
        <v>PASS</v>
      </c>
      <c r="N3416" s="10" t="str">
        <f t="shared" si="107"/>
        <v>NONE</v>
      </c>
    </row>
    <row r="3417" spans="1:14">
      <c r="A3417" s="4" t="s">
        <v>6850</v>
      </c>
      <c r="B3417" s="4" t="s">
        <v>6851</v>
      </c>
      <c r="C3417" s="4" t="s">
        <v>35</v>
      </c>
      <c r="D3417" s="4" t="s">
        <v>36</v>
      </c>
      <c r="E3417" s="5">
        <v>158.87799999999999</v>
      </c>
      <c r="F3417" s="5">
        <v>156.41999999999999</v>
      </c>
      <c r="G3417" s="5">
        <v>156.60040000000001</v>
      </c>
      <c r="H3417" s="4">
        <v>5</v>
      </c>
      <c r="I3417" s="6">
        <v>3619160</v>
      </c>
      <c r="J3417" s="7">
        <v>193.3</v>
      </c>
      <c r="K3417" s="9">
        <f>(PricingDataTable[[#This Row],[Current Price ($)]]-PricingDataTable[[#This Row],[Prior Price ($)]])/PricingDataTable[[#This Row],[Prior Price ($)]]</f>
        <v>-1.5470990319616301E-2</v>
      </c>
      <c r="L3417" s="9">
        <f>(PricingDataTable[[#This Row],[Vendor Price ($)]]-PricingDataTable[[#This Row],[Current Price ($)]])/PricingDataTable[[#This Row],[Current Price ($)]]</f>
        <v>1.153305203938244E-3</v>
      </c>
      <c r="M3417" t="str">
        <f t="shared" si="106"/>
        <v>STALE</v>
      </c>
      <c r="N3417" s="10" t="str">
        <f t="shared" si="107"/>
        <v>MEDIUM</v>
      </c>
    </row>
    <row r="3418" spans="1:14">
      <c r="A3418" s="4" t="s">
        <v>6852</v>
      </c>
      <c r="B3418" s="4" t="s">
        <v>6853</v>
      </c>
      <c r="C3418" s="4" t="s">
        <v>16</v>
      </c>
      <c r="D3418" s="4" t="s">
        <v>13</v>
      </c>
      <c r="E3418" s="5">
        <v>113.50620000000001</v>
      </c>
      <c r="F3418" s="5">
        <v>115.5539</v>
      </c>
      <c r="G3418" s="5">
        <v>110.6889</v>
      </c>
      <c r="H3418" s="4">
        <v>0</v>
      </c>
      <c r="I3418" s="6">
        <v>4468245</v>
      </c>
      <c r="J3418" s="7">
        <v>560.77</v>
      </c>
      <c r="K3418" s="9">
        <f>(PricingDataTable[[#This Row],[Current Price ($)]]-PricingDataTable[[#This Row],[Prior Price ($)]])/PricingDataTable[[#This Row],[Prior Price ($)]]</f>
        <v>1.8040424223522519E-2</v>
      </c>
      <c r="L3418" s="9">
        <f>(PricingDataTable[[#This Row],[Vendor Price ($)]]-PricingDataTable[[#This Row],[Current Price ($)]])/PricingDataTable[[#This Row],[Current Price ($)]]</f>
        <v>-4.210156472434072E-2</v>
      </c>
      <c r="M3418" t="str">
        <f t="shared" si="106"/>
        <v>VENDOR DIFFERENCE</v>
      </c>
      <c r="N3418" s="10" t="str">
        <f t="shared" si="107"/>
        <v>MEDIUM</v>
      </c>
    </row>
    <row r="3419" spans="1:14">
      <c r="A3419" s="4" t="s">
        <v>6854</v>
      </c>
      <c r="B3419" s="4" t="s">
        <v>6855</v>
      </c>
      <c r="C3419" s="4" t="s">
        <v>35</v>
      </c>
      <c r="D3419" s="4" t="s">
        <v>13</v>
      </c>
      <c r="E3419" s="5">
        <v>76.385000000000005</v>
      </c>
      <c r="F3419" s="5">
        <v>76.894400000000005</v>
      </c>
      <c r="G3419" s="5">
        <v>76.985900000000001</v>
      </c>
      <c r="H3419" s="4">
        <v>1</v>
      </c>
      <c r="I3419" s="6">
        <v>3084034</v>
      </c>
      <c r="J3419" s="7">
        <v>865.77</v>
      </c>
      <c r="K3419" s="9">
        <f>(PricingDataTable[[#This Row],[Current Price ($)]]-PricingDataTable[[#This Row],[Prior Price ($)]])/PricingDataTable[[#This Row],[Prior Price ($)]]</f>
        <v>6.6688485959285121E-3</v>
      </c>
      <c r="L3419" s="9">
        <f>(PricingDataTable[[#This Row],[Vendor Price ($)]]-PricingDataTable[[#This Row],[Current Price ($)]])/PricingDataTable[[#This Row],[Current Price ($)]]</f>
        <v>1.1899436109781252E-3</v>
      </c>
      <c r="M3419" t="str">
        <f t="shared" si="106"/>
        <v>PASS</v>
      </c>
      <c r="N3419" s="10" t="str">
        <f t="shared" si="107"/>
        <v>NONE</v>
      </c>
    </row>
    <row r="3420" spans="1:14">
      <c r="A3420" s="4" t="s">
        <v>6856</v>
      </c>
      <c r="B3420" s="4" t="s">
        <v>6857</v>
      </c>
      <c r="C3420" s="4" t="s">
        <v>19</v>
      </c>
      <c r="D3420" s="4" t="s">
        <v>13</v>
      </c>
      <c r="E3420" s="5">
        <v>66.5154</v>
      </c>
      <c r="F3420" s="5">
        <v>67.166300000000007</v>
      </c>
      <c r="G3420" s="5">
        <v>67.095200000000006</v>
      </c>
      <c r="H3420" s="4">
        <v>1</v>
      </c>
      <c r="I3420" s="6">
        <v>2505432</v>
      </c>
      <c r="J3420" s="7">
        <v>448.71</v>
      </c>
      <c r="K3420" s="9">
        <f>(PricingDataTable[[#This Row],[Current Price ($)]]-PricingDataTable[[#This Row],[Prior Price ($)]])/PricingDataTable[[#This Row],[Prior Price ($)]]</f>
        <v>9.7857037618357123E-3</v>
      </c>
      <c r="L3420" s="9">
        <f>(PricingDataTable[[#This Row],[Vendor Price ($)]]-PricingDataTable[[#This Row],[Current Price ($)]])/PricingDataTable[[#This Row],[Current Price ($)]]</f>
        <v>-1.0585665728200194E-3</v>
      </c>
      <c r="M3420" t="str">
        <f t="shared" si="106"/>
        <v>PASS</v>
      </c>
      <c r="N3420" s="10" t="str">
        <f t="shared" si="107"/>
        <v>NONE</v>
      </c>
    </row>
    <row r="3421" spans="1:14">
      <c r="A3421" s="4" t="s">
        <v>6858</v>
      </c>
      <c r="B3421" s="4" t="s">
        <v>6859</v>
      </c>
      <c r="C3421" s="4" t="s">
        <v>16</v>
      </c>
      <c r="D3421" s="4" t="s">
        <v>13</v>
      </c>
      <c r="E3421" s="5">
        <v>97.592600000000004</v>
      </c>
      <c r="F3421" s="5">
        <v>95.861500000000007</v>
      </c>
      <c r="G3421" s="5">
        <v>95.706500000000005</v>
      </c>
      <c r="H3421" s="4">
        <v>0</v>
      </c>
      <c r="I3421" s="6">
        <v>4559349</v>
      </c>
      <c r="J3421" s="7">
        <v>385.68</v>
      </c>
      <c r="K3421" s="9">
        <f>(PricingDataTable[[#This Row],[Current Price ($)]]-PricingDataTable[[#This Row],[Prior Price ($)]])/PricingDataTable[[#This Row],[Prior Price ($)]]</f>
        <v>-1.7738025219125198E-2</v>
      </c>
      <c r="L3421" s="9">
        <f>(PricingDataTable[[#This Row],[Vendor Price ($)]]-PricingDataTable[[#This Row],[Current Price ($)]])/PricingDataTable[[#This Row],[Current Price ($)]]</f>
        <v>-1.6169160716241779E-3</v>
      </c>
      <c r="M3421" t="str">
        <f t="shared" si="106"/>
        <v>PASS</v>
      </c>
      <c r="N3421" s="10" t="str">
        <f t="shared" si="107"/>
        <v>NONE</v>
      </c>
    </row>
    <row r="3422" spans="1:14">
      <c r="A3422" s="4" t="s">
        <v>6860</v>
      </c>
      <c r="B3422" s="4" t="s">
        <v>6861</v>
      </c>
      <c r="C3422" s="4" t="s">
        <v>16</v>
      </c>
      <c r="D3422" s="4" t="s">
        <v>13</v>
      </c>
      <c r="E3422" s="5">
        <v>119.9327</v>
      </c>
      <c r="F3422" s="5">
        <v>119.1836</v>
      </c>
      <c r="G3422" s="5">
        <v>119.55889999999999</v>
      </c>
      <c r="H3422" s="4">
        <v>0</v>
      </c>
      <c r="I3422" s="6">
        <v>439363</v>
      </c>
      <c r="J3422" s="7">
        <v>356.8</v>
      </c>
      <c r="K3422" s="9">
        <f>(PricingDataTable[[#This Row],[Current Price ($)]]-PricingDataTable[[#This Row],[Prior Price ($)]])/PricingDataTable[[#This Row],[Prior Price ($)]]</f>
        <v>-6.246002966663792E-3</v>
      </c>
      <c r="L3422" s="9">
        <f>(PricingDataTable[[#This Row],[Vendor Price ($)]]-PricingDataTable[[#This Row],[Current Price ($)]])/PricingDataTable[[#This Row],[Current Price ($)]]</f>
        <v>3.1489231739937019E-3</v>
      </c>
      <c r="M3422" t="str">
        <f t="shared" si="106"/>
        <v>PASS</v>
      </c>
      <c r="N3422" s="10" t="str">
        <f t="shared" si="107"/>
        <v>NONE</v>
      </c>
    </row>
    <row r="3423" spans="1:14">
      <c r="A3423" s="4" t="s">
        <v>6862</v>
      </c>
      <c r="B3423" s="4" t="s">
        <v>6863</v>
      </c>
      <c r="C3423" s="4" t="s">
        <v>16</v>
      </c>
      <c r="D3423" s="4" t="s">
        <v>13</v>
      </c>
      <c r="E3423" s="5">
        <v>91.855500000000006</v>
      </c>
      <c r="F3423" s="5">
        <v>74.809700000000007</v>
      </c>
      <c r="G3423" s="5">
        <v>74.983999999999995</v>
      </c>
      <c r="H3423" s="4">
        <v>0</v>
      </c>
      <c r="I3423" s="6">
        <v>1390922</v>
      </c>
      <c r="J3423" s="7">
        <v>382.39</v>
      </c>
      <c r="K3423" s="9">
        <f>(PricingDataTable[[#This Row],[Current Price ($)]]-PricingDataTable[[#This Row],[Prior Price ($)]])/PricingDataTable[[#This Row],[Prior Price ($)]]</f>
        <v>-0.18557190369656687</v>
      </c>
      <c r="L3423" s="9">
        <f>(PricingDataTable[[#This Row],[Vendor Price ($)]]-PricingDataTable[[#This Row],[Current Price ($)]])/PricingDataTable[[#This Row],[Current Price ($)]]</f>
        <v>2.3299117627792669E-3</v>
      </c>
      <c r="M3423" t="str">
        <f t="shared" si="106"/>
        <v>LARGE MOVE</v>
      </c>
      <c r="N3423" s="10" t="str">
        <f t="shared" si="107"/>
        <v>HIGH</v>
      </c>
    </row>
    <row r="3424" spans="1:14">
      <c r="A3424" s="4" t="s">
        <v>6864</v>
      </c>
      <c r="B3424" s="4" t="s">
        <v>6865</v>
      </c>
      <c r="C3424" s="4" t="s">
        <v>16</v>
      </c>
      <c r="D3424" s="4" t="s">
        <v>13</v>
      </c>
      <c r="E3424" s="5">
        <v>117.40389999999999</v>
      </c>
      <c r="F3424" s="5">
        <v>115.03319999999999</v>
      </c>
      <c r="G3424" s="5">
        <v>114.8627</v>
      </c>
      <c r="H3424" s="4">
        <v>1</v>
      </c>
      <c r="I3424" s="6">
        <v>1849614</v>
      </c>
      <c r="J3424" s="7">
        <v>456.59</v>
      </c>
      <c r="K3424" s="9">
        <f>(PricingDataTable[[#This Row],[Current Price ($)]]-PricingDataTable[[#This Row],[Prior Price ($)]])/PricingDataTable[[#This Row],[Prior Price ($)]]</f>
        <v>-2.0192685251512084E-2</v>
      </c>
      <c r="L3424" s="9">
        <f>(PricingDataTable[[#This Row],[Vendor Price ($)]]-PricingDataTable[[#This Row],[Current Price ($)]])/PricingDataTable[[#This Row],[Current Price ($)]]</f>
        <v>-1.4821807965004006E-3</v>
      </c>
      <c r="M3424" t="str">
        <f t="shared" si="106"/>
        <v>PASS</v>
      </c>
      <c r="N3424" s="10" t="str">
        <f t="shared" si="107"/>
        <v>NONE</v>
      </c>
    </row>
    <row r="3425" spans="1:14">
      <c r="A3425" s="4" t="s">
        <v>6866</v>
      </c>
      <c r="B3425" s="4" t="s">
        <v>6867</v>
      </c>
      <c r="C3425" s="4" t="s">
        <v>16</v>
      </c>
      <c r="D3425" s="4" t="s">
        <v>13</v>
      </c>
      <c r="E3425" s="5">
        <v>80.110500000000002</v>
      </c>
      <c r="F3425" s="5">
        <v>76.402500000000003</v>
      </c>
      <c r="G3425" s="5">
        <v>76.602199999999996</v>
      </c>
      <c r="H3425" s="4">
        <v>0</v>
      </c>
      <c r="I3425" s="6">
        <v>1881835</v>
      </c>
      <c r="J3425" s="7">
        <v>505.06</v>
      </c>
      <c r="K3425" s="9">
        <f>(PricingDataTable[[#This Row],[Current Price ($)]]-PricingDataTable[[#This Row],[Prior Price ($)]])/PricingDataTable[[#This Row],[Prior Price ($)]]</f>
        <v>-4.6286067369445932E-2</v>
      </c>
      <c r="L3425" s="9">
        <f>(PricingDataTable[[#This Row],[Vendor Price ($)]]-PricingDataTable[[#This Row],[Current Price ($)]])/PricingDataTable[[#This Row],[Current Price ($)]]</f>
        <v>2.6137888158109077E-3</v>
      </c>
      <c r="M3425" t="str">
        <f t="shared" si="106"/>
        <v>PASS</v>
      </c>
      <c r="N3425" s="10" t="str">
        <f t="shared" si="107"/>
        <v>NONE</v>
      </c>
    </row>
    <row r="3426" spans="1:14">
      <c r="A3426" s="4" t="s">
        <v>6868</v>
      </c>
      <c r="B3426" s="4" t="s">
        <v>6869</v>
      </c>
      <c r="C3426" s="4" t="s">
        <v>39</v>
      </c>
      <c r="D3426" s="4" t="s">
        <v>32</v>
      </c>
      <c r="E3426" s="5">
        <v>98.785399999999996</v>
      </c>
      <c r="F3426" s="5">
        <v>100.191</v>
      </c>
      <c r="G3426" s="5">
        <v>99.435000000000002</v>
      </c>
      <c r="H3426" s="4">
        <v>0</v>
      </c>
      <c r="I3426" s="6">
        <v>805668</v>
      </c>
      <c r="J3426" s="7">
        <v>798.2</v>
      </c>
      <c r="K3426" s="9">
        <f>(PricingDataTable[[#This Row],[Current Price ($)]]-PricingDataTable[[#This Row],[Prior Price ($)]])/PricingDataTable[[#This Row],[Prior Price ($)]]</f>
        <v>1.4228823287651888E-2</v>
      </c>
      <c r="L3426" s="9">
        <f>(PricingDataTable[[#This Row],[Vendor Price ($)]]-PricingDataTable[[#This Row],[Current Price ($)]])/PricingDataTable[[#This Row],[Current Price ($)]]</f>
        <v>-7.5455879270593185E-3</v>
      </c>
      <c r="M3426" t="str">
        <f t="shared" si="106"/>
        <v>PASS</v>
      </c>
      <c r="N3426" s="10" t="str">
        <f t="shared" si="107"/>
        <v>NONE</v>
      </c>
    </row>
    <row r="3427" spans="1:14">
      <c r="A3427" s="4" t="s">
        <v>6870</v>
      </c>
      <c r="B3427" s="4" t="s">
        <v>6871</v>
      </c>
      <c r="C3427" s="4" t="s">
        <v>16</v>
      </c>
      <c r="D3427" s="4" t="s">
        <v>13</v>
      </c>
      <c r="E3427" s="5">
        <v>98.564599999999999</v>
      </c>
      <c r="F3427" s="5">
        <v>100.0428</v>
      </c>
      <c r="G3427" s="5">
        <v>100.28619999999999</v>
      </c>
      <c r="H3427" s="4">
        <v>0</v>
      </c>
      <c r="I3427" s="6">
        <v>2017616</v>
      </c>
      <c r="J3427" s="7">
        <v>657.17</v>
      </c>
      <c r="K3427" s="9">
        <f>(PricingDataTable[[#This Row],[Current Price ($)]]-PricingDataTable[[#This Row],[Prior Price ($)]])/PricingDataTable[[#This Row],[Prior Price ($)]]</f>
        <v>1.4997270825428207E-2</v>
      </c>
      <c r="L3427" s="9">
        <f>(PricingDataTable[[#This Row],[Vendor Price ($)]]-PricingDataTable[[#This Row],[Current Price ($)]])/PricingDataTable[[#This Row],[Current Price ($)]]</f>
        <v>2.4329586936790459E-3</v>
      </c>
      <c r="M3427" t="str">
        <f t="shared" si="106"/>
        <v>PASS</v>
      </c>
      <c r="N3427" s="10" t="str">
        <f t="shared" si="107"/>
        <v>NONE</v>
      </c>
    </row>
    <row r="3428" spans="1:14">
      <c r="A3428" s="4" t="s">
        <v>6872</v>
      </c>
      <c r="B3428" s="4" t="s">
        <v>6873</v>
      </c>
      <c r="C3428" s="4" t="s">
        <v>19</v>
      </c>
      <c r="D3428" s="4" t="s">
        <v>13</v>
      </c>
      <c r="E3428" s="5">
        <v>304.06619999999998</v>
      </c>
      <c r="F3428" s="5">
        <v>300.49689999999998</v>
      </c>
      <c r="G3428" s="5">
        <v>302.06580000000002</v>
      </c>
      <c r="H3428" s="4">
        <v>1</v>
      </c>
      <c r="I3428" s="6">
        <v>559184</v>
      </c>
      <c r="J3428" s="7">
        <v>390.04</v>
      </c>
      <c r="K3428" s="9">
        <f>(PricingDataTable[[#This Row],[Current Price ($)]]-PricingDataTable[[#This Row],[Prior Price ($)]])/PricingDataTable[[#This Row],[Prior Price ($)]]</f>
        <v>-1.1738562194679969E-2</v>
      </c>
      <c r="L3428" s="9">
        <f>(PricingDataTable[[#This Row],[Vendor Price ($)]]-PricingDataTable[[#This Row],[Current Price ($)]])/PricingDataTable[[#This Row],[Current Price ($)]]</f>
        <v>5.221018918997308E-3</v>
      </c>
      <c r="M3428" t="str">
        <f t="shared" si="106"/>
        <v>PASS</v>
      </c>
      <c r="N3428" s="10" t="str">
        <f t="shared" si="107"/>
        <v>NONE</v>
      </c>
    </row>
    <row r="3429" spans="1:14">
      <c r="A3429" s="4" t="s">
        <v>6874</v>
      </c>
      <c r="B3429" s="4" t="s">
        <v>6875</v>
      </c>
      <c r="C3429" s="4" t="s">
        <v>35</v>
      </c>
      <c r="D3429" s="4" t="s">
        <v>36</v>
      </c>
      <c r="E3429" s="5">
        <v>116.8329</v>
      </c>
      <c r="F3429" s="5">
        <v>115.7996</v>
      </c>
      <c r="G3429" s="5">
        <v>115.6135</v>
      </c>
      <c r="H3429" s="4">
        <v>0</v>
      </c>
      <c r="I3429" s="6">
        <v>59840</v>
      </c>
      <c r="J3429" s="7">
        <v>514.29</v>
      </c>
      <c r="K3429" s="9">
        <f>(PricingDataTable[[#This Row],[Current Price ($)]]-PricingDataTable[[#This Row],[Prior Price ($)]])/PricingDataTable[[#This Row],[Prior Price ($)]]</f>
        <v>-8.8442553424591622E-3</v>
      </c>
      <c r="L3429" s="9">
        <f>(PricingDataTable[[#This Row],[Vendor Price ($)]]-PricingDataTable[[#This Row],[Current Price ($)]])/PricingDataTable[[#This Row],[Current Price ($)]]</f>
        <v>-1.6070867256881385E-3</v>
      </c>
      <c r="M3429" t="str">
        <f t="shared" si="106"/>
        <v>PASS</v>
      </c>
      <c r="N3429" s="10" t="str">
        <f t="shared" si="107"/>
        <v>NONE</v>
      </c>
    </row>
    <row r="3430" spans="1:14">
      <c r="A3430" s="4" t="s">
        <v>6876</v>
      </c>
      <c r="B3430" s="4" t="s">
        <v>6877</v>
      </c>
      <c r="C3430" s="4" t="s">
        <v>16</v>
      </c>
      <c r="D3430" s="4" t="s">
        <v>13</v>
      </c>
      <c r="E3430" s="5">
        <v>90.096400000000003</v>
      </c>
      <c r="F3430" s="5">
        <v>89.367099999999994</v>
      </c>
      <c r="G3430" s="5">
        <v>89.274699999999996</v>
      </c>
      <c r="H3430" s="4">
        <v>2</v>
      </c>
      <c r="I3430" s="6">
        <v>214537</v>
      </c>
      <c r="J3430" s="7">
        <v>508.17</v>
      </c>
      <c r="K3430" s="9">
        <f>(PricingDataTable[[#This Row],[Current Price ($)]]-PricingDataTable[[#This Row],[Prior Price ($)]])/PricingDataTable[[#This Row],[Prior Price ($)]]</f>
        <v>-8.0946630498000931E-3</v>
      </c>
      <c r="L3430" s="9">
        <f>(PricingDataTable[[#This Row],[Vendor Price ($)]]-PricingDataTable[[#This Row],[Current Price ($)]])/PricingDataTable[[#This Row],[Current Price ($)]]</f>
        <v>-1.0339375452487305E-3</v>
      </c>
      <c r="M3430" t="str">
        <f t="shared" si="106"/>
        <v>PASS</v>
      </c>
      <c r="N3430" s="10" t="str">
        <f t="shared" si="107"/>
        <v>NONE</v>
      </c>
    </row>
    <row r="3431" spans="1:14">
      <c r="A3431" s="4" t="s">
        <v>6878</v>
      </c>
      <c r="B3431" s="4" t="s">
        <v>6879</v>
      </c>
      <c r="C3431" s="4" t="s">
        <v>35</v>
      </c>
      <c r="D3431" s="4" t="s">
        <v>13</v>
      </c>
      <c r="E3431" s="5">
        <v>121.1622</v>
      </c>
      <c r="F3431" s="5">
        <v>120.2165</v>
      </c>
      <c r="G3431" s="5">
        <v>121.3737</v>
      </c>
      <c r="H3431" s="4">
        <v>0</v>
      </c>
      <c r="I3431" s="6">
        <v>2259136</v>
      </c>
      <c r="J3431" s="7">
        <v>55.62</v>
      </c>
      <c r="K3431" s="9">
        <f>(PricingDataTable[[#This Row],[Current Price ($)]]-PricingDataTable[[#This Row],[Prior Price ($)]])/PricingDataTable[[#This Row],[Prior Price ($)]]</f>
        <v>-7.805239587924305E-3</v>
      </c>
      <c r="L3431" s="9">
        <f>(PricingDataTable[[#This Row],[Vendor Price ($)]]-PricingDataTable[[#This Row],[Current Price ($)]])/PricingDataTable[[#This Row],[Current Price ($)]]</f>
        <v>9.6259664854658322E-3</v>
      </c>
      <c r="M3431" t="str">
        <f t="shared" si="106"/>
        <v>PASS</v>
      </c>
      <c r="N3431" s="10" t="str">
        <f t="shared" si="107"/>
        <v>NONE</v>
      </c>
    </row>
    <row r="3432" spans="1:14">
      <c r="A3432" s="4" t="s">
        <v>6880</v>
      </c>
      <c r="B3432" s="4" t="s">
        <v>6881</v>
      </c>
      <c r="C3432" s="4" t="s">
        <v>12</v>
      </c>
      <c r="D3432" s="4" t="s">
        <v>13</v>
      </c>
      <c r="E3432" s="5">
        <v>100.9911</v>
      </c>
      <c r="F3432" s="5">
        <v>100.8579</v>
      </c>
      <c r="G3432" s="5">
        <v>101.3087</v>
      </c>
      <c r="H3432" s="4">
        <v>0</v>
      </c>
      <c r="I3432" s="6">
        <v>1367584</v>
      </c>
      <c r="J3432" s="7">
        <v>15.22</v>
      </c>
      <c r="K3432" s="9">
        <f>(PricingDataTable[[#This Row],[Current Price ($)]]-PricingDataTable[[#This Row],[Prior Price ($)]])/PricingDataTable[[#This Row],[Prior Price ($)]]</f>
        <v>-1.3189281035655834E-3</v>
      </c>
      <c r="L3432" s="9">
        <f>(PricingDataTable[[#This Row],[Vendor Price ($)]]-PricingDataTable[[#This Row],[Current Price ($)]])/PricingDataTable[[#This Row],[Current Price ($)]]</f>
        <v>4.4696548312031185E-3</v>
      </c>
      <c r="M3432" t="str">
        <f t="shared" si="106"/>
        <v>PASS</v>
      </c>
      <c r="N3432" s="10" t="str">
        <f t="shared" si="107"/>
        <v>NONE</v>
      </c>
    </row>
    <row r="3433" spans="1:14">
      <c r="A3433" s="4" t="s">
        <v>6882</v>
      </c>
      <c r="B3433" s="4" t="s">
        <v>6883</v>
      </c>
      <c r="C3433" s="4" t="s">
        <v>39</v>
      </c>
      <c r="D3433" s="4" t="s">
        <v>64</v>
      </c>
      <c r="E3433" s="5">
        <v>71.942700000000002</v>
      </c>
      <c r="F3433" s="5">
        <v>70.472899999999996</v>
      </c>
      <c r="G3433" s="5">
        <v>70.102900000000005</v>
      </c>
      <c r="H3433" s="4">
        <v>1</v>
      </c>
      <c r="I3433" s="6">
        <v>2760433</v>
      </c>
      <c r="J3433" s="7">
        <v>31.54</v>
      </c>
      <c r="K3433" s="9">
        <f>(PricingDataTable[[#This Row],[Current Price ($)]]-PricingDataTable[[#This Row],[Prior Price ($)]])/PricingDataTable[[#This Row],[Prior Price ($)]]</f>
        <v>-2.0430147881578067E-2</v>
      </c>
      <c r="L3433" s="9">
        <f>(PricingDataTable[[#This Row],[Vendor Price ($)]]-PricingDataTable[[#This Row],[Current Price ($)]])/PricingDataTable[[#This Row],[Current Price ($)]]</f>
        <v>-5.2502451296880127E-3</v>
      </c>
      <c r="M3433" t="str">
        <f t="shared" si="106"/>
        <v>PASS</v>
      </c>
      <c r="N3433" s="10" t="str">
        <f t="shared" si="107"/>
        <v>NONE</v>
      </c>
    </row>
    <row r="3434" spans="1:14">
      <c r="A3434" s="4" t="s">
        <v>6884</v>
      </c>
      <c r="B3434" s="4" t="s">
        <v>6885</v>
      </c>
      <c r="C3434" s="4" t="s">
        <v>19</v>
      </c>
      <c r="D3434" s="4" t="s">
        <v>237</v>
      </c>
      <c r="E3434" s="5">
        <v>49.3127</v>
      </c>
      <c r="F3434" s="5"/>
      <c r="G3434" s="5">
        <v>49.7254</v>
      </c>
      <c r="H3434" s="4">
        <v>0</v>
      </c>
      <c r="I3434" s="6">
        <v>3715574</v>
      </c>
      <c r="J3434" s="7">
        <v>745.59</v>
      </c>
      <c r="K3434" s="9">
        <f>(PricingDataTable[[#This Row],[Current Price ($)]]-PricingDataTable[[#This Row],[Prior Price ($)]])/PricingDataTable[[#This Row],[Prior Price ($)]]</f>
        <v>-1</v>
      </c>
      <c r="L3434" s="9" t="e">
        <f>(PricingDataTable[[#This Row],[Vendor Price ($)]]-PricingDataTable[[#This Row],[Current Price ($)]])/PricingDataTable[[#This Row],[Current Price ($)]]</f>
        <v>#DIV/0!</v>
      </c>
      <c r="M3434" t="str">
        <f t="shared" si="106"/>
        <v>MISSING</v>
      </c>
      <c r="N3434" s="10" t="str">
        <f t="shared" si="107"/>
        <v>HIGH</v>
      </c>
    </row>
    <row r="3435" spans="1:14">
      <c r="A3435" s="4" t="s">
        <v>6886</v>
      </c>
      <c r="B3435" s="4" t="s">
        <v>6887</v>
      </c>
      <c r="C3435" s="4" t="s">
        <v>12</v>
      </c>
      <c r="D3435" s="4" t="s">
        <v>13</v>
      </c>
      <c r="E3435" s="5">
        <v>117.88079999999999</v>
      </c>
      <c r="F3435" s="5">
        <v>115.358</v>
      </c>
      <c r="G3435" s="5">
        <v>115.79510000000001</v>
      </c>
      <c r="H3435" s="4">
        <v>0</v>
      </c>
      <c r="I3435" s="6">
        <v>4547417</v>
      </c>
      <c r="J3435" s="7">
        <v>236.45</v>
      </c>
      <c r="K3435" s="9">
        <f>(PricingDataTable[[#This Row],[Current Price ($)]]-PricingDataTable[[#This Row],[Prior Price ($)]])/PricingDataTable[[#This Row],[Prior Price ($)]]</f>
        <v>-2.1401279937021039E-2</v>
      </c>
      <c r="L3435" s="9">
        <f>(PricingDataTable[[#This Row],[Vendor Price ($)]]-PricingDataTable[[#This Row],[Current Price ($)]])/PricingDataTable[[#This Row],[Current Price ($)]]</f>
        <v>3.7890740130723565E-3</v>
      </c>
      <c r="M3435" t="str">
        <f t="shared" si="106"/>
        <v>PASS</v>
      </c>
      <c r="N3435" s="10" t="str">
        <f t="shared" si="107"/>
        <v>NONE</v>
      </c>
    </row>
    <row r="3436" spans="1:14">
      <c r="A3436" s="4" t="s">
        <v>6888</v>
      </c>
      <c r="B3436" s="4" t="s">
        <v>6889</v>
      </c>
      <c r="C3436" s="4" t="s">
        <v>16</v>
      </c>
      <c r="D3436" s="4" t="s">
        <v>13</v>
      </c>
      <c r="E3436" s="5">
        <v>123.91330000000001</v>
      </c>
      <c r="F3436" s="5">
        <v>124.34310000000001</v>
      </c>
      <c r="G3436" s="5">
        <v>123.8582</v>
      </c>
      <c r="H3436" s="4">
        <v>0</v>
      </c>
      <c r="I3436" s="6">
        <v>4891778</v>
      </c>
      <c r="J3436" s="7">
        <v>557.52</v>
      </c>
      <c r="K3436" s="9">
        <f>(PricingDataTable[[#This Row],[Current Price ($)]]-PricingDataTable[[#This Row],[Prior Price ($)]])/PricingDataTable[[#This Row],[Prior Price ($)]]</f>
        <v>3.4685542229930134E-3</v>
      </c>
      <c r="L3436" s="9">
        <f>(PricingDataTable[[#This Row],[Vendor Price ($)]]-PricingDataTable[[#This Row],[Current Price ($)]])/PricingDataTable[[#This Row],[Current Price ($)]]</f>
        <v>-3.8996936701755892E-3</v>
      </c>
      <c r="M3436" t="str">
        <f t="shared" si="106"/>
        <v>PASS</v>
      </c>
      <c r="N3436" s="10" t="str">
        <f t="shared" si="107"/>
        <v>NONE</v>
      </c>
    </row>
    <row r="3437" spans="1:14">
      <c r="A3437" s="4" t="s">
        <v>6890</v>
      </c>
      <c r="B3437" s="4" t="s">
        <v>6891</v>
      </c>
      <c r="C3437" s="4" t="s">
        <v>16</v>
      </c>
      <c r="D3437" s="4" t="s">
        <v>64</v>
      </c>
      <c r="E3437" s="5">
        <v>80.521000000000001</v>
      </c>
      <c r="F3437" s="5">
        <v>79.643699999999995</v>
      </c>
      <c r="G3437" s="5">
        <v>79.861699999999999</v>
      </c>
      <c r="H3437" s="4">
        <v>0</v>
      </c>
      <c r="I3437" s="6">
        <v>1495015</v>
      </c>
      <c r="J3437" s="7">
        <v>447.7</v>
      </c>
      <c r="K3437" s="9">
        <f>(PricingDataTable[[#This Row],[Current Price ($)]]-PricingDataTable[[#This Row],[Prior Price ($)]])/PricingDataTable[[#This Row],[Prior Price ($)]]</f>
        <v>-1.0895294395250993E-2</v>
      </c>
      <c r="L3437" s="9">
        <f>(PricingDataTable[[#This Row],[Vendor Price ($)]]-PricingDataTable[[#This Row],[Current Price ($)]])/PricingDataTable[[#This Row],[Current Price ($)]]</f>
        <v>2.7371907633623694E-3</v>
      </c>
      <c r="M3437" t="str">
        <f t="shared" si="106"/>
        <v>PASS</v>
      </c>
      <c r="N3437" s="10" t="str">
        <f t="shared" si="107"/>
        <v>NONE</v>
      </c>
    </row>
    <row r="3438" spans="1:14">
      <c r="A3438" s="4" t="s">
        <v>6892</v>
      </c>
      <c r="B3438" s="4" t="s">
        <v>6893</v>
      </c>
      <c r="C3438" s="4" t="s">
        <v>19</v>
      </c>
      <c r="D3438" s="4" t="s">
        <v>13</v>
      </c>
      <c r="E3438" s="5">
        <v>129.10839999999999</v>
      </c>
      <c r="F3438" s="5">
        <v>129.8545</v>
      </c>
      <c r="G3438" s="5">
        <v>129.953</v>
      </c>
      <c r="H3438" s="4">
        <v>0</v>
      </c>
      <c r="I3438" s="6">
        <v>3220047</v>
      </c>
      <c r="J3438" s="7">
        <v>525.27</v>
      </c>
      <c r="K3438" s="9">
        <f>(PricingDataTable[[#This Row],[Current Price ($)]]-PricingDataTable[[#This Row],[Prior Price ($)]])/PricingDataTable[[#This Row],[Prior Price ($)]]</f>
        <v>5.7788648918274312E-3</v>
      </c>
      <c r="L3438" s="9">
        <f>(PricingDataTable[[#This Row],[Vendor Price ($)]]-PricingDataTable[[#This Row],[Current Price ($)]])/PricingDataTable[[#This Row],[Current Price ($)]]</f>
        <v>7.5854129044431546E-4</v>
      </c>
      <c r="M3438" t="str">
        <f t="shared" si="106"/>
        <v>PASS</v>
      </c>
      <c r="N3438" s="10" t="str">
        <f t="shared" si="107"/>
        <v>NONE</v>
      </c>
    </row>
    <row r="3439" spans="1:14">
      <c r="A3439" s="4" t="s">
        <v>6894</v>
      </c>
      <c r="B3439" s="4" t="s">
        <v>6895</v>
      </c>
      <c r="C3439" s="4" t="s">
        <v>19</v>
      </c>
      <c r="D3439" s="4" t="s">
        <v>13</v>
      </c>
      <c r="E3439" s="5">
        <v>97.383099999999999</v>
      </c>
      <c r="F3439" s="5">
        <v>97.75</v>
      </c>
      <c r="G3439" s="5">
        <v>98.004099999999994</v>
      </c>
      <c r="H3439" s="4">
        <v>0</v>
      </c>
      <c r="I3439" s="6">
        <v>2253941</v>
      </c>
      <c r="J3439" s="7">
        <v>533.11</v>
      </c>
      <c r="K3439" s="9">
        <f>(PricingDataTable[[#This Row],[Current Price ($)]]-PricingDataTable[[#This Row],[Prior Price ($)]])/PricingDataTable[[#This Row],[Prior Price ($)]]</f>
        <v>3.7675941718840447E-3</v>
      </c>
      <c r="L3439" s="9">
        <f>(PricingDataTable[[#This Row],[Vendor Price ($)]]-PricingDataTable[[#This Row],[Current Price ($)]])/PricingDataTable[[#This Row],[Current Price ($)]]</f>
        <v>2.5994884910485318E-3</v>
      </c>
      <c r="M3439" t="str">
        <f t="shared" si="106"/>
        <v>PASS</v>
      </c>
      <c r="N3439" s="10" t="str">
        <f t="shared" si="107"/>
        <v>NONE</v>
      </c>
    </row>
    <row r="3440" spans="1:14">
      <c r="A3440" s="4" t="s">
        <v>6896</v>
      </c>
      <c r="B3440" s="4" t="s">
        <v>6897</v>
      </c>
      <c r="C3440" s="4" t="s">
        <v>39</v>
      </c>
      <c r="D3440" s="4" t="s">
        <v>32</v>
      </c>
      <c r="E3440" s="5">
        <v>312.58499999999998</v>
      </c>
      <c r="F3440" s="5">
        <v>305.12119999999999</v>
      </c>
      <c r="G3440" s="5">
        <v>304.78859999999997</v>
      </c>
      <c r="H3440" s="4">
        <v>0</v>
      </c>
      <c r="I3440" s="6">
        <v>734217</v>
      </c>
      <c r="J3440" s="7">
        <v>108.16</v>
      </c>
      <c r="K3440" s="9">
        <f>(PricingDataTable[[#This Row],[Current Price ($)]]-PricingDataTable[[#This Row],[Prior Price ($)]])/PricingDataTable[[#This Row],[Prior Price ($)]]</f>
        <v>-2.3877665275045163E-2</v>
      </c>
      <c r="L3440" s="9">
        <f>(PricingDataTable[[#This Row],[Vendor Price ($)]]-PricingDataTable[[#This Row],[Current Price ($)]])/PricingDataTable[[#This Row],[Current Price ($)]]</f>
        <v>-1.0900586389933364E-3</v>
      </c>
      <c r="M3440" t="str">
        <f t="shared" si="106"/>
        <v>PASS</v>
      </c>
      <c r="N3440" s="10" t="str">
        <f t="shared" si="107"/>
        <v>NONE</v>
      </c>
    </row>
    <row r="3441" spans="1:14">
      <c r="A3441" s="4" t="s">
        <v>6898</v>
      </c>
      <c r="B3441" s="4" t="s">
        <v>6899</v>
      </c>
      <c r="C3441" s="4" t="s">
        <v>39</v>
      </c>
      <c r="D3441" s="4" t="s">
        <v>13</v>
      </c>
      <c r="E3441" s="5">
        <v>308.07510000000002</v>
      </c>
      <c r="F3441" s="5">
        <v>310.40280000000001</v>
      </c>
      <c r="G3441" s="5">
        <v>310.15440000000001</v>
      </c>
      <c r="H3441" s="4">
        <v>0</v>
      </c>
      <c r="I3441" s="6">
        <v>3904316</v>
      </c>
      <c r="J3441" s="7">
        <v>790.49</v>
      </c>
      <c r="K3441" s="9">
        <f>(PricingDataTable[[#This Row],[Current Price ($)]]-PricingDataTable[[#This Row],[Prior Price ($)]])/PricingDataTable[[#This Row],[Prior Price ($)]]</f>
        <v>7.5556252355350783E-3</v>
      </c>
      <c r="L3441" s="9">
        <f>(PricingDataTable[[#This Row],[Vendor Price ($)]]-PricingDataTable[[#This Row],[Current Price ($)]])/PricingDataTable[[#This Row],[Current Price ($)]]</f>
        <v>-8.0025051320414548E-4</v>
      </c>
      <c r="M3441" t="str">
        <f t="shared" si="106"/>
        <v>PASS</v>
      </c>
      <c r="N3441" s="10" t="str">
        <f t="shared" si="107"/>
        <v>NONE</v>
      </c>
    </row>
    <row r="3442" spans="1:14">
      <c r="A3442" s="4" t="s">
        <v>6900</v>
      </c>
      <c r="B3442" s="4" t="s">
        <v>6901</v>
      </c>
      <c r="C3442" s="4" t="s">
        <v>16</v>
      </c>
      <c r="D3442" s="4" t="s">
        <v>13</v>
      </c>
      <c r="E3442" s="5">
        <v>105.08459999999999</v>
      </c>
      <c r="F3442" s="5">
        <v>105.2158</v>
      </c>
      <c r="G3442" s="5">
        <v>105.7371</v>
      </c>
      <c r="H3442" s="4">
        <v>0</v>
      </c>
      <c r="I3442" s="6">
        <v>1611461</v>
      </c>
      <c r="J3442" s="7">
        <v>607.62</v>
      </c>
      <c r="K3442" s="9">
        <f>(PricingDataTable[[#This Row],[Current Price ($)]]-PricingDataTable[[#This Row],[Prior Price ($)]])/PricingDataTable[[#This Row],[Prior Price ($)]]</f>
        <v>1.2485178608474207E-3</v>
      </c>
      <c r="L3442" s="9">
        <f>(PricingDataTable[[#This Row],[Vendor Price ($)]]-PricingDataTable[[#This Row],[Current Price ($)]])/PricingDataTable[[#This Row],[Current Price ($)]]</f>
        <v>4.9545790651213655E-3</v>
      </c>
      <c r="M3442" t="str">
        <f t="shared" si="106"/>
        <v>PASS</v>
      </c>
      <c r="N3442" s="10" t="str">
        <f t="shared" si="107"/>
        <v>NONE</v>
      </c>
    </row>
    <row r="3443" spans="1:14">
      <c r="A3443" s="4" t="s">
        <v>6902</v>
      </c>
      <c r="B3443" s="4" t="s">
        <v>6903</v>
      </c>
      <c r="C3443" s="4" t="s">
        <v>39</v>
      </c>
      <c r="D3443" s="4" t="s">
        <v>64</v>
      </c>
      <c r="E3443" s="5">
        <v>328.87619999999998</v>
      </c>
      <c r="F3443" s="5">
        <v>329.42919999999998</v>
      </c>
      <c r="G3443" s="5">
        <v>329.72859999999997</v>
      </c>
      <c r="H3443" s="4">
        <v>1</v>
      </c>
      <c r="I3443" s="6">
        <v>4118200</v>
      </c>
      <c r="J3443" s="7">
        <v>463.51</v>
      </c>
      <c r="K3443" s="9">
        <f>(PricingDataTable[[#This Row],[Current Price ($)]]-PricingDataTable[[#This Row],[Prior Price ($)]])/PricingDataTable[[#This Row],[Prior Price ($)]]</f>
        <v>1.6814837923814412E-3</v>
      </c>
      <c r="L3443" s="9">
        <f>(PricingDataTable[[#This Row],[Vendor Price ($)]]-PricingDataTable[[#This Row],[Current Price ($)]])/PricingDataTable[[#This Row],[Current Price ($)]]</f>
        <v>9.0884475328838936E-4</v>
      </c>
      <c r="M3443" t="str">
        <f t="shared" si="106"/>
        <v>PASS</v>
      </c>
      <c r="N3443" s="10" t="str">
        <f t="shared" si="107"/>
        <v>NONE</v>
      </c>
    </row>
    <row r="3444" spans="1:14">
      <c r="A3444" s="4" t="s">
        <v>6904</v>
      </c>
      <c r="B3444" s="4" t="s">
        <v>6905</v>
      </c>
      <c r="C3444" s="4" t="s">
        <v>16</v>
      </c>
      <c r="D3444" s="4" t="s">
        <v>13</v>
      </c>
      <c r="E3444" s="5">
        <v>92.662899999999993</v>
      </c>
      <c r="F3444" s="5">
        <v>94.097399999999993</v>
      </c>
      <c r="G3444" s="5">
        <v>94.4041</v>
      </c>
      <c r="H3444" s="4">
        <v>0</v>
      </c>
      <c r="I3444" s="6">
        <v>144087</v>
      </c>
      <c r="J3444" s="7">
        <v>13.57</v>
      </c>
      <c r="K3444" s="9">
        <f>(PricingDataTable[[#This Row],[Current Price ($)]]-PricingDataTable[[#This Row],[Prior Price ($)]])/PricingDataTable[[#This Row],[Prior Price ($)]]</f>
        <v>1.5480845084710277E-2</v>
      </c>
      <c r="L3444" s="9">
        <f>(PricingDataTable[[#This Row],[Vendor Price ($)]]-PricingDataTable[[#This Row],[Current Price ($)]])/PricingDataTable[[#This Row],[Current Price ($)]]</f>
        <v>3.2593886759889907E-3</v>
      </c>
      <c r="M3444" t="str">
        <f t="shared" si="106"/>
        <v>PASS</v>
      </c>
      <c r="N3444" s="10" t="str">
        <f t="shared" si="107"/>
        <v>NONE</v>
      </c>
    </row>
    <row r="3445" spans="1:14">
      <c r="A3445" s="4" t="s">
        <v>6906</v>
      </c>
      <c r="B3445" s="4" t="s">
        <v>6907</v>
      </c>
      <c r="C3445" s="4" t="s">
        <v>16</v>
      </c>
      <c r="D3445" s="4" t="s">
        <v>13</v>
      </c>
      <c r="E3445" s="5">
        <v>88.749700000000004</v>
      </c>
      <c r="F3445" s="5">
        <v>89.010199999999998</v>
      </c>
      <c r="G3445" s="5">
        <v>89.056100000000001</v>
      </c>
      <c r="H3445" s="4">
        <v>0</v>
      </c>
      <c r="I3445" s="6">
        <v>803605</v>
      </c>
      <c r="J3445" s="7">
        <v>214.85</v>
      </c>
      <c r="K3445" s="9">
        <f>(PricingDataTable[[#This Row],[Current Price ($)]]-PricingDataTable[[#This Row],[Prior Price ($)]])/PricingDataTable[[#This Row],[Prior Price ($)]]</f>
        <v>2.9352211894800016E-3</v>
      </c>
      <c r="L3445" s="9">
        <f>(PricingDataTable[[#This Row],[Vendor Price ($)]]-PricingDataTable[[#This Row],[Current Price ($)]])/PricingDataTable[[#This Row],[Current Price ($)]]</f>
        <v>5.1567123767841394E-4</v>
      </c>
      <c r="M3445" t="str">
        <f t="shared" si="106"/>
        <v>PASS</v>
      </c>
      <c r="N3445" s="10" t="str">
        <f t="shared" si="107"/>
        <v>NONE</v>
      </c>
    </row>
    <row r="3446" spans="1:14">
      <c r="A3446" s="4" t="s">
        <v>6908</v>
      </c>
      <c r="B3446" s="4" t="s">
        <v>6909</v>
      </c>
      <c r="C3446" s="4" t="s">
        <v>19</v>
      </c>
      <c r="D3446" s="4" t="s">
        <v>13</v>
      </c>
      <c r="E3446" s="5">
        <v>345.541</v>
      </c>
      <c r="F3446" s="5">
        <v>352.1712</v>
      </c>
      <c r="G3446" s="5">
        <v>351.06119999999999</v>
      </c>
      <c r="H3446" s="4">
        <v>0</v>
      </c>
      <c r="I3446" s="6">
        <v>4178654</v>
      </c>
      <c r="J3446" s="7">
        <v>201.06</v>
      </c>
      <c r="K3446" s="9">
        <f>(PricingDataTable[[#This Row],[Current Price ($)]]-PricingDataTable[[#This Row],[Prior Price ($)]])/PricingDataTable[[#This Row],[Prior Price ($)]]</f>
        <v>1.9187882190536007E-2</v>
      </c>
      <c r="L3446" s="9">
        <f>(PricingDataTable[[#This Row],[Vendor Price ($)]]-PricingDataTable[[#This Row],[Current Price ($)]])/PricingDataTable[[#This Row],[Current Price ($)]]</f>
        <v>-3.1518761329717296E-3</v>
      </c>
      <c r="M3446" t="str">
        <f t="shared" si="106"/>
        <v>PASS</v>
      </c>
      <c r="N3446" s="10" t="str">
        <f t="shared" si="107"/>
        <v>NONE</v>
      </c>
    </row>
    <row r="3447" spans="1:14">
      <c r="A3447" s="4" t="s">
        <v>6910</v>
      </c>
      <c r="B3447" s="4" t="s">
        <v>6911</v>
      </c>
      <c r="C3447" s="4" t="s">
        <v>16</v>
      </c>
      <c r="D3447" s="4" t="s">
        <v>13</v>
      </c>
      <c r="E3447" s="5">
        <v>100.04170000000001</v>
      </c>
      <c r="F3447" s="5">
        <v>100.0652</v>
      </c>
      <c r="G3447" s="5">
        <v>99.972300000000004</v>
      </c>
      <c r="H3447" s="4">
        <v>0</v>
      </c>
      <c r="I3447" s="6">
        <v>3511263</v>
      </c>
      <c r="J3447" s="7">
        <v>497.82</v>
      </c>
      <c r="K3447" s="9">
        <f>(PricingDataTable[[#This Row],[Current Price ($)]]-PricingDataTable[[#This Row],[Prior Price ($)]])/PricingDataTable[[#This Row],[Prior Price ($)]]</f>
        <v>2.3490204584686707E-4</v>
      </c>
      <c r="L3447" s="9">
        <f>(PricingDataTable[[#This Row],[Vendor Price ($)]]-PricingDataTable[[#This Row],[Current Price ($)]])/PricingDataTable[[#This Row],[Current Price ($)]]</f>
        <v>-9.2839468666429685E-4</v>
      </c>
      <c r="M3447" t="str">
        <f t="shared" si="106"/>
        <v>PASS</v>
      </c>
      <c r="N3447" s="10" t="str">
        <f t="shared" si="107"/>
        <v>NONE</v>
      </c>
    </row>
    <row r="3448" spans="1:14">
      <c r="A3448" s="4" t="s">
        <v>6912</v>
      </c>
      <c r="B3448" s="4" t="s">
        <v>6913</v>
      </c>
      <c r="C3448" s="4" t="s">
        <v>19</v>
      </c>
      <c r="D3448" s="4" t="s">
        <v>13</v>
      </c>
      <c r="E3448" s="5">
        <v>333.94929999999999</v>
      </c>
      <c r="F3448" s="5">
        <v>335.27679999999998</v>
      </c>
      <c r="G3448" s="5">
        <v>335.29500000000002</v>
      </c>
      <c r="H3448" s="4">
        <v>3</v>
      </c>
      <c r="I3448" s="6">
        <v>3835108</v>
      </c>
      <c r="J3448" s="7">
        <v>755.82</v>
      </c>
      <c r="K3448" s="9">
        <f>(PricingDataTable[[#This Row],[Current Price ($)]]-PricingDataTable[[#This Row],[Prior Price ($)]])/PricingDataTable[[#This Row],[Prior Price ($)]]</f>
        <v>3.9751543123461748E-3</v>
      </c>
      <c r="L3448" s="9">
        <f>(PricingDataTable[[#This Row],[Vendor Price ($)]]-PricingDataTable[[#This Row],[Current Price ($)]])/PricingDataTable[[#This Row],[Current Price ($)]]</f>
        <v>5.4283505449931952E-5</v>
      </c>
      <c r="M3448" t="str">
        <f t="shared" si="106"/>
        <v>STALE</v>
      </c>
      <c r="N3448" s="10" t="str">
        <f t="shared" si="107"/>
        <v>LOW</v>
      </c>
    </row>
    <row r="3449" spans="1:14">
      <c r="A3449" s="4" t="s">
        <v>6914</v>
      </c>
      <c r="B3449" s="4" t="s">
        <v>6915</v>
      </c>
      <c r="C3449" s="4" t="s">
        <v>16</v>
      </c>
      <c r="D3449" s="4" t="s">
        <v>13</v>
      </c>
      <c r="E3449" s="5">
        <v>106.8068</v>
      </c>
      <c r="F3449" s="5">
        <v>106.3687</v>
      </c>
      <c r="G3449" s="5">
        <v>106.17659999999999</v>
      </c>
      <c r="H3449" s="4">
        <v>0</v>
      </c>
      <c r="I3449" s="6">
        <v>2791850</v>
      </c>
      <c r="J3449" s="7">
        <v>39.64</v>
      </c>
      <c r="K3449" s="9">
        <f>(PricingDataTable[[#This Row],[Current Price ($)]]-PricingDataTable[[#This Row],[Prior Price ($)]])/PricingDataTable[[#This Row],[Prior Price ($)]]</f>
        <v>-4.1017987618765048E-3</v>
      </c>
      <c r="L3449" s="9">
        <f>(PricingDataTable[[#This Row],[Vendor Price ($)]]-PricingDataTable[[#This Row],[Current Price ($)]])/PricingDataTable[[#This Row],[Current Price ($)]]</f>
        <v>-1.8059823989576877E-3</v>
      </c>
      <c r="M3449" t="str">
        <f t="shared" si="106"/>
        <v>PASS</v>
      </c>
      <c r="N3449" s="10" t="str">
        <f t="shared" si="107"/>
        <v>NONE</v>
      </c>
    </row>
    <row r="3450" spans="1:14">
      <c r="A3450" s="4" t="s">
        <v>6916</v>
      </c>
      <c r="B3450" s="4" t="s">
        <v>6917</v>
      </c>
      <c r="C3450" s="4" t="s">
        <v>19</v>
      </c>
      <c r="D3450" s="4" t="s">
        <v>13</v>
      </c>
      <c r="E3450" s="5">
        <v>215.16370000000001</v>
      </c>
      <c r="F3450" s="5">
        <v>211.35419999999999</v>
      </c>
      <c r="G3450" s="5">
        <v>211.10290000000001</v>
      </c>
      <c r="H3450" s="4">
        <v>0</v>
      </c>
      <c r="I3450" s="6">
        <v>694063</v>
      </c>
      <c r="J3450" s="7">
        <v>757.7</v>
      </c>
      <c r="K3450" s="9">
        <f>(PricingDataTable[[#This Row],[Current Price ($)]]-PricingDataTable[[#This Row],[Prior Price ($)]])/PricingDataTable[[#This Row],[Prior Price ($)]]</f>
        <v>-1.7705124052059033E-2</v>
      </c>
      <c r="L3450" s="9">
        <f>(PricingDataTable[[#This Row],[Vendor Price ($)]]-PricingDataTable[[#This Row],[Current Price ($)]])/PricingDataTable[[#This Row],[Current Price ($)]]</f>
        <v>-1.1889993196254739E-3</v>
      </c>
      <c r="M3450" t="str">
        <f t="shared" si="106"/>
        <v>PASS</v>
      </c>
      <c r="N3450" s="10" t="str">
        <f t="shared" si="107"/>
        <v>NONE</v>
      </c>
    </row>
    <row r="3451" spans="1:14">
      <c r="A3451" s="4" t="s">
        <v>6918</v>
      </c>
      <c r="B3451" s="4" t="s">
        <v>6919</v>
      </c>
      <c r="C3451" s="4" t="s">
        <v>16</v>
      </c>
      <c r="D3451" s="4" t="s">
        <v>13</v>
      </c>
      <c r="E3451" s="5">
        <v>104.6738</v>
      </c>
      <c r="F3451" s="5">
        <v>103.5206</v>
      </c>
      <c r="G3451" s="5">
        <v>103.8836</v>
      </c>
      <c r="H3451" s="4">
        <v>0</v>
      </c>
      <c r="I3451" s="6">
        <v>1231837</v>
      </c>
      <c r="J3451" s="7">
        <v>592.91</v>
      </c>
      <c r="K3451" s="9">
        <f>(PricingDataTable[[#This Row],[Current Price ($)]]-PricingDataTable[[#This Row],[Prior Price ($)]])/PricingDataTable[[#This Row],[Prior Price ($)]]</f>
        <v>-1.1017083549082944E-2</v>
      </c>
      <c r="L3451" s="9">
        <f>(PricingDataTable[[#This Row],[Vendor Price ($)]]-PricingDataTable[[#This Row],[Current Price ($)]])/PricingDataTable[[#This Row],[Current Price ($)]]</f>
        <v>3.5065484550900936E-3</v>
      </c>
      <c r="M3451" t="str">
        <f t="shared" si="106"/>
        <v>PASS</v>
      </c>
      <c r="N3451" s="10" t="str">
        <f t="shared" si="107"/>
        <v>NONE</v>
      </c>
    </row>
    <row r="3452" spans="1:14">
      <c r="A3452" s="4" t="s">
        <v>6920</v>
      </c>
      <c r="B3452" s="4" t="s">
        <v>6921</v>
      </c>
      <c r="C3452" s="4" t="s">
        <v>16</v>
      </c>
      <c r="D3452" s="4" t="s">
        <v>32</v>
      </c>
      <c r="E3452" s="5">
        <v>90.331699999999998</v>
      </c>
      <c r="F3452" s="5">
        <v>90.6965</v>
      </c>
      <c r="G3452" s="5">
        <v>90.788700000000006</v>
      </c>
      <c r="H3452" s="4">
        <v>0</v>
      </c>
      <c r="I3452" s="6">
        <v>3224529</v>
      </c>
      <c r="J3452" s="7">
        <v>293.14</v>
      </c>
      <c r="K3452" s="9">
        <f>(PricingDataTable[[#This Row],[Current Price ($)]]-PricingDataTable[[#This Row],[Prior Price ($)]])/PricingDataTable[[#This Row],[Prior Price ($)]]</f>
        <v>4.0384494036977327E-3</v>
      </c>
      <c r="L3452" s="9">
        <f>(PricingDataTable[[#This Row],[Vendor Price ($)]]-PricingDataTable[[#This Row],[Current Price ($)]])/PricingDataTable[[#This Row],[Current Price ($)]]</f>
        <v>1.0165772659364517E-3</v>
      </c>
      <c r="M3452" t="str">
        <f t="shared" si="106"/>
        <v>PASS</v>
      </c>
      <c r="N3452" s="10" t="str">
        <f t="shared" si="107"/>
        <v>NONE</v>
      </c>
    </row>
    <row r="3453" spans="1:14">
      <c r="A3453" s="4" t="s">
        <v>6922</v>
      </c>
      <c r="B3453" s="4" t="s">
        <v>6923</v>
      </c>
      <c r="C3453" s="4" t="s">
        <v>19</v>
      </c>
      <c r="D3453" s="4" t="s">
        <v>13</v>
      </c>
      <c r="E3453" s="5">
        <v>281.92950000000002</v>
      </c>
      <c r="F3453" s="5">
        <v>277.86720000000003</v>
      </c>
      <c r="G3453" s="5">
        <v>277.96190000000001</v>
      </c>
      <c r="H3453" s="4">
        <v>0</v>
      </c>
      <c r="I3453" s="6">
        <v>4285962</v>
      </c>
      <c r="J3453" s="7">
        <v>480.82</v>
      </c>
      <c r="K3453" s="9">
        <f>(PricingDataTable[[#This Row],[Current Price ($)]]-PricingDataTable[[#This Row],[Prior Price ($)]])/PricingDataTable[[#This Row],[Prior Price ($)]]</f>
        <v>-1.4408921379280966E-2</v>
      </c>
      <c r="L3453" s="9">
        <f>(PricingDataTable[[#This Row],[Vendor Price ($)]]-PricingDataTable[[#This Row],[Current Price ($)]])/PricingDataTable[[#This Row],[Current Price ($)]]</f>
        <v>3.4081028635257738E-4</v>
      </c>
      <c r="M3453" t="str">
        <f t="shared" si="106"/>
        <v>PASS</v>
      </c>
      <c r="N3453" s="10" t="str">
        <f t="shared" si="107"/>
        <v>NONE</v>
      </c>
    </row>
    <row r="3454" spans="1:14">
      <c r="A3454" s="4" t="s">
        <v>6924</v>
      </c>
      <c r="B3454" s="4" t="s">
        <v>6925</v>
      </c>
      <c r="C3454" s="4" t="s">
        <v>16</v>
      </c>
      <c r="D3454" s="4" t="s">
        <v>64</v>
      </c>
      <c r="E3454" s="5">
        <v>119.2389</v>
      </c>
      <c r="F3454" s="5">
        <v>116.9025</v>
      </c>
      <c r="G3454" s="5">
        <v>116.4264</v>
      </c>
      <c r="H3454" s="4">
        <v>0</v>
      </c>
      <c r="I3454" s="6">
        <v>1994095</v>
      </c>
      <c r="J3454" s="7">
        <v>845.23</v>
      </c>
      <c r="K3454" s="9">
        <f>(PricingDataTable[[#This Row],[Current Price ($)]]-PricingDataTable[[#This Row],[Prior Price ($)]])/PricingDataTable[[#This Row],[Prior Price ($)]]</f>
        <v>-1.9594276699969538E-2</v>
      </c>
      <c r="L3454" s="9">
        <f>(PricingDataTable[[#This Row],[Vendor Price ($)]]-PricingDataTable[[#This Row],[Current Price ($)]])/PricingDataTable[[#This Row],[Current Price ($)]]</f>
        <v>-4.0726246230833596E-3</v>
      </c>
      <c r="M3454" t="str">
        <f t="shared" si="106"/>
        <v>PASS</v>
      </c>
      <c r="N3454" s="10" t="str">
        <f t="shared" si="107"/>
        <v>NONE</v>
      </c>
    </row>
    <row r="3455" spans="1:14">
      <c r="A3455" s="4" t="s">
        <v>6926</v>
      </c>
      <c r="B3455" s="4" t="s">
        <v>6927</v>
      </c>
      <c r="C3455" s="4" t="s">
        <v>39</v>
      </c>
      <c r="D3455" s="4" t="s">
        <v>13</v>
      </c>
      <c r="E3455" s="5">
        <v>219.16929999999999</v>
      </c>
      <c r="F3455" s="5">
        <v>217.12549999999999</v>
      </c>
      <c r="G3455" s="5">
        <v>217.12790000000001</v>
      </c>
      <c r="H3455" s="4">
        <v>0</v>
      </c>
      <c r="I3455" s="6">
        <v>3702880</v>
      </c>
      <c r="J3455" s="7">
        <v>664.08</v>
      </c>
      <c r="K3455" s="9">
        <f>(PricingDataTable[[#This Row],[Current Price ($)]]-PricingDataTable[[#This Row],[Prior Price ($)]])/PricingDataTable[[#This Row],[Prior Price ($)]]</f>
        <v>-9.3252111495542699E-3</v>
      </c>
      <c r="L3455" s="9">
        <f>(PricingDataTable[[#This Row],[Vendor Price ($)]]-PricingDataTable[[#This Row],[Current Price ($)]])/PricingDataTable[[#This Row],[Current Price ($)]]</f>
        <v>1.1053515133058201E-5</v>
      </c>
      <c r="M3455" t="str">
        <f t="shared" si="106"/>
        <v>PASS</v>
      </c>
      <c r="N3455" s="10" t="str">
        <f t="shared" si="107"/>
        <v>NONE</v>
      </c>
    </row>
    <row r="3456" spans="1:14">
      <c r="A3456" s="4" t="s">
        <v>6928</v>
      </c>
      <c r="B3456" s="4" t="s">
        <v>6929</v>
      </c>
      <c r="C3456" s="4" t="s">
        <v>39</v>
      </c>
      <c r="D3456" s="4" t="s">
        <v>13</v>
      </c>
      <c r="E3456" s="5">
        <v>47.530299999999997</v>
      </c>
      <c r="F3456" s="5">
        <v>49.045099999999998</v>
      </c>
      <c r="G3456" s="5">
        <v>43.839199999999998</v>
      </c>
      <c r="H3456" s="4">
        <v>1</v>
      </c>
      <c r="I3456" s="6">
        <v>2416683</v>
      </c>
      <c r="J3456" s="7">
        <v>427.43</v>
      </c>
      <c r="K3456" s="9">
        <f>(PricingDataTable[[#This Row],[Current Price ($)]]-PricingDataTable[[#This Row],[Prior Price ($)]])/PricingDataTable[[#This Row],[Prior Price ($)]]</f>
        <v>3.1870196485189468E-2</v>
      </c>
      <c r="L3456" s="9">
        <f>(PricingDataTable[[#This Row],[Vendor Price ($)]]-PricingDataTable[[#This Row],[Current Price ($)]])/PricingDataTable[[#This Row],[Current Price ($)]]</f>
        <v>-0.10614516027085275</v>
      </c>
      <c r="M3456" t="str">
        <f t="shared" si="106"/>
        <v>VENDOR DIFFERENCE</v>
      </c>
      <c r="N3456" s="10" t="str">
        <f t="shared" si="107"/>
        <v>HIGH</v>
      </c>
    </row>
    <row r="3457" spans="1:14">
      <c r="A3457" s="4" t="s">
        <v>6930</v>
      </c>
      <c r="B3457" s="4" t="s">
        <v>6931</v>
      </c>
      <c r="C3457" s="4" t="s">
        <v>35</v>
      </c>
      <c r="D3457" s="4" t="s">
        <v>64</v>
      </c>
      <c r="E3457" s="5">
        <v>164.64840000000001</v>
      </c>
      <c r="F3457" s="5">
        <v>166.24700000000001</v>
      </c>
      <c r="G3457" s="5">
        <v>166.3603</v>
      </c>
      <c r="H3457" s="4">
        <v>0</v>
      </c>
      <c r="I3457" s="6">
        <v>436853</v>
      </c>
      <c r="J3457" s="7">
        <v>770.34</v>
      </c>
      <c r="K3457" s="9">
        <f>(PricingDataTable[[#This Row],[Current Price ($)]]-PricingDataTable[[#This Row],[Prior Price ($)]])/PricingDataTable[[#This Row],[Prior Price ($)]]</f>
        <v>9.7091742160871561E-3</v>
      </c>
      <c r="L3457" s="9">
        <f>(PricingDataTable[[#This Row],[Vendor Price ($)]]-PricingDataTable[[#This Row],[Current Price ($)]])/PricingDataTable[[#This Row],[Current Price ($)]]</f>
        <v>6.8151605743250153E-4</v>
      </c>
      <c r="M3457" t="str">
        <f t="shared" si="106"/>
        <v>PASS</v>
      </c>
      <c r="N3457" s="10" t="str">
        <f t="shared" si="107"/>
        <v>NONE</v>
      </c>
    </row>
    <row r="3458" spans="1:14">
      <c r="A3458" s="4" t="s">
        <v>6932</v>
      </c>
      <c r="B3458" s="4" t="s">
        <v>6933</v>
      </c>
      <c r="C3458" s="4" t="s">
        <v>19</v>
      </c>
      <c r="D3458" s="4" t="s">
        <v>36</v>
      </c>
      <c r="E3458" s="5">
        <v>214.61279999999999</v>
      </c>
      <c r="F3458" s="5">
        <v>212.9264</v>
      </c>
      <c r="G3458" s="5">
        <v>212.2287</v>
      </c>
      <c r="H3458" s="4">
        <v>0</v>
      </c>
      <c r="I3458" s="6">
        <v>6394</v>
      </c>
      <c r="J3458" s="7">
        <v>477.97</v>
      </c>
      <c r="K3458" s="9">
        <f>(PricingDataTable[[#This Row],[Current Price ($)]]-PricingDataTable[[#This Row],[Prior Price ($)]])/PricingDataTable[[#This Row],[Prior Price ($)]]</f>
        <v>-7.8578724102196691E-3</v>
      </c>
      <c r="L3458" s="9">
        <f>(PricingDataTable[[#This Row],[Vendor Price ($)]]-PricingDataTable[[#This Row],[Current Price ($)]])/PricingDataTable[[#This Row],[Current Price ($)]]</f>
        <v>-3.2767190916673438E-3</v>
      </c>
      <c r="M3458" t="str">
        <f t="shared" ref="M3458:M3521" si="108">IF(OR(F3458="",F3458=0),"MISSING",IF(H3458&gt;=3,"STALE",IF(ABS(K3458)&gt;=5%,"LARGE MOVE",IF(ABS(L3458)&gt;=2%,"VENDOR DIFFERENCE","PASS"))))</f>
        <v>PASS</v>
      </c>
      <c r="N3458" s="10" t="str">
        <f t="shared" ref="N3458:N3521" si="109">IF(M3458="PASS","NONE",IF(M3458="MISSING","HIGH",IF(OR(ABS(K3458)&gt;=10%,ABS(L3458)&gt;=5%),"HIGH",IF(OR(ABS(K3458)&gt;=7%,ABS(L3458)&gt;=3%,H3458&gt;=5),"MEDIUM","LOW"))))</f>
        <v>NONE</v>
      </c>
    </row>
    <row r="3459" spans="1:14">
      <c r="A3459" s="4" t="s">
        <v>6934</v>
      </c>
      <c r="B3459" s="4" t="s">
        <v>6935</v>
      </c>
      <c r="C3459" s="4" t="s">
        <v>35</v>
      </c>
      <c r="D3459" s="4" t="s">
        <v>13</v>
      </c>
      <c r="E3459" s="5">
        <v>65.435299999999998</v>
      </c>
      <c r="F3459" s="5">
        <v>66.930800000000005</v>
      </c>
      <c r="G3459" s="5">
        <v>66.747500000000002</v>
      </c>
      <c r="H3459" s="4">
        <v>3</v>
      </c>
      <c r="I3459" s="6">
        <v>2359433</v>
      </c>
      <c r="J3459" s="7">
        <v>720.13</v>
      </c>
      <c r="K3459" s="9">
        <f>(PricingDataTable[[#This Row],[Current Price ($)]]-PricingDataTable[[#This Row],[Prior Price ($)]])/PricingDataTable[[#This Row],[Prior Price ($)]]</f>
        <v>2.28546365646678E-2</v>
      </c>
      <c r="L3459" s="9">
        <f>(PricingDataTable[[#This Row],[Vendor Price ($)]]-PricingDataTable[[#This Row],[Current Price ($)]])/PricingDataTable[[#This Row],[Current Price ($)]]</f>
        <v>-2.7386494707967433E-3</v>
      </c>
      <c r="M3459" t="str">
        <f t="shared" si="108"/>
        <v>STALE</v>
      </c>
      <c r="N3459" s="10" t="str">
        <f t="shared" si="109"/>
        <v>LOW</v>
      </c>
    </row>
    <row r="3460" spans="1:14">
      <c r="A3460" s="4" t="s">
        <v>6936</v>
      </c>
      <c r="B3460" s="4" t="s">
        <v>6937</v>
      </c>
      <c r="C3460" s="4" t="s">
        <v>12</v>
      </c>
      <c r="D3460" s="4" t="s">
        <v>13</v>
      </c>
      <c r="E3460" s="5">
        <v>92.333299999999994</v>
      </c>
      <c r="F3460" s="5">
        <v>90.601799999999997</v>
      </c>
      <c r="G3460" s="5">
        <v>90.582099999999997</v>
      </c>
      <c r="H3460" s="4">
        <v>0</v>
      </c>
      <c r="I3460" s="6">
        <v>2268178</v>
      </c>
      <c r="J3460" s="7">
        <v>163.37</v>
      </c>
      <c r="K3460" s="9">
        <f>(PricingDataTable[[#This Row],[Current Price ($)]]-PricingDataTable[[#This Row],[Prior Price ($)]])/PricingDataTable[[#This Row],[Prior Price ($)]]</f>
        <v>-1.8752714351160382E-2</v>
      </c>
      <c r="L3460" s="9">
        <f>(PricingDataTable[[#This Row],[Vendor Price ($)]]-PricingDataTable[[#This Row],[Current Price ($)]])/PricingDataTable[[#This Row],[Current Price ($)]]</f>
        <v>-2.1743497369809732E-4</v>
      </c>
      <c r="M3460" t="str">
        <f t="shared" si="108"/>
        <v>PASS</v>
      </c>
      <c r="N3460" s="10" t="str">
        <f t="shared" si="109"/>
        <v>NONE</v>
      </c>
    </row>
    <row r="3461" spans="1:14">
      <c r="A3461" s="4" t="s">
        <v>6938</v>
      </c>
      <c r="B3461" s="4" t="s">
        <v>6939</v>
      </c>
      <c r="C3461" s="4" t="s">
        <v>39</v>
      </c>
      <c r="D3461" s="4" t="s">
        <v>13</v>
      </c>
      <c r="E3461" s="5">
        <v>88.420699999999997</v>
      </c>
      <c r="F3461" s="5">
        <v>89.427899999999994</v>
      </c>
      <c r="G3461" s="5">
        <v>89.716399999999993</v>
      </c>
      <c r="H3461" s="4">
        <v>0</v>
      </c>
      <c r="I3461" s="6">
        <v>2678303</v>
      </c>
      <c r="J3461" s="7">
        <v>305.58999999999997</v>
      </c>
      <c r="K3461" s="9">
        <f>(PricingDataTable[[#This Row],[Current Price ($)]]-PricingDataTable[[#This Row],[Prior Price ($)]])/PricingDataTable[[#This Row],[Prior Price ($)]]</f>
        <v>1.1390997809336473E-2</v>
      </c>
      <c r="L3461" s="9">
        <f>(PricingDataTable[[#This Row],[Vendor Price ($)]]-PricingDataTable[[#This Row],[Current Price ($)]])/PricingDataTable[[#This Row],[Current Price ($)]]</f>
        <v>3.226062559894609E-3</v>
      </c>
      <c r="M3461" t="str">
        <f t="shared" si="108"/>
        <v>PASS</v>
      </c>
      <c r="N3461" s="10" t="str">
        <f t="shared" si="109"/>
        <v>NONE</v>
      </c>
    </row>
    <row r="3462" spans="1:14">
      <c r="A3462" s="4" t="s">
        <v>6940</v>
      </c>
      <c r="B3462" s="4" t="s">
        <v>6941</v>
      </c>
      <c r="C3462" s="4" t="s">
        <v>19</v>
      </c>
      <c r="D3462" s="4" t="s">
        <v>13</v>
      </c>
      <c r="E3462" s="5">
        <v>163.18020000000001</v>
      </c>
      <c r="F3462" s="5">
        <v>165.32419999999999</v>
      </c>
      <c r="G3462" s="5">
        <v>148.56479999999999</v>
      </c>
      <c r="H3462" s="4">
        <v>2</v>
      </c>
      <c r="I3462" s="6">
        <v>2442425</v>
      </c>
      <c r="J3462" s="7">
        <v>133.66</v>
      </c>
      <c r="K3462" s="9">
        <f>(PricingDataTable[[#This Row],[Current Price ($)]]-PricingDataTable[[#This Row],[Prior Price ($)]])/PricingDataTable[[#This Row],[Prior Price ($)]]</f>
        <v>1.3138848953488087E-2</v>
      </c>
      <c r="L3462" s="9">
        <f>(PricingDataTable[[#This Row],[Vendor Price ($)]]-PricingDataTable[[#This Row],[Current Price ($)]])/PricingDataTable[[#This Row],[Current Price ($)]]</f>
        <v>-0.1013729387470195</v>
      </c>
      <c r="M3462" t="str">
        <f t="shared" si="108"/>
        <v>VENDOR DIFFERENCE</v>
      </c>
      <c r="N3462" s="10" t="str">
        <f t="shared" si="109"/>
        <v>HIGH</v>
      </c>
    </row>
    <row r="3463" spans="1:14">
      <c r="A3463" s="4" t="s">
        <v>6942</v>
      </c>
      <c r="B3463" s="4" t="s">
        <v>6943</v>
      </c>
      <c r="C3463" s="4" t="s">
        <v>39</v>
      </c>
      <c r="D3463" s="4" t="s">
        <v>13</v>
      </c>
      <c r="E3463" s="5">
        <v>35.718400000000003</v>
      </c>
      <c r="F3463" s="5">
        <v>35.674900000000001</v>
      </c>
      <c r="G3463" s="5">
        <v>35.493600000000001</v>
      </c>
      <c r="H3463" s="4">
        <v>0</v>
      </c>
      <c r="I3463" s="6">
        <v>4327599</v>
      </c>
      <c r="J3463" s="7">
        <v>589.87</v>
      </c>
      <c r="K3463" s="9">
        <f>(PricingDataTable[[#This Row],[Current Price ($)]]-PricingDataTable[[#This Row],[Prior Price ($)]])/PricingDataTable[[#This Row],[Prior Price ($)]]</f>
        <v>-1.2178597025623108E-3</v>
      </c>
      <c r="L3463" s="9">
        <f>(PricingDataTable[[#This Row],[Vendor Price ($)]]-PricingDataTable[[#This Row],[Current Price ($)]])/PricingDataTable[[#This Row],[Current Price ($)]]</f>
        <v>-5.0820044344903623E-3</v>
      </c>
      <c r="M3463" t="str">
        <f t="shared" si="108"/>
        <v>PASS</v>
      </c>
      <c r="N3463" s="10" t="str">
        <f t="shared" si="109"/>
        <v>NONE</v>
      </c>
    </row>
    <row r="3464" spans="1:14">
      <c r="A3464" s="4" t="s">
        <v>6944</v>
      </c>
      <c r="B3464" s="4" t="s">
        <v>6945</v>
      </c>
      <c r="C3464" s="4" t="s">
        <v>39</v>
      </c>
      <c r="D3464" s="4" t="s">
        <v>13</v>
      </c>
      <c r="E3464" s="5">
        <v>95.036299999999997</v>
      </c>
      <c r="F3464" s="5">
        <v>92.856999999999999</v>
      </c>
      <c r="G3464" s="5">
        <v>92.847899999999996</v>
      </c>
      <c r="H3464" s="4">
        <v>0</v>
      </c>
      <c r="I3464" s="6">
        <v>1402034</v>
      </c>
      <c r="J3464" s="7">
        <v>329.35</v>
      </c>
      <c r="K3464" s="9">
        <f>(PricingDataTable[[#This Row],[Current Price ($)]]-PricingDataTable[[#This Row],[Prior Price ($)]])/PricingDataTable[[#This Row],[Prior Price ($)]]</f>
        <v>-2.2931237853325497E-2</v>
      </c>
      <c r="L3464" s="9">
        <f>(PricingDataTable[[#This Row],[Vendor Price ($)]]-PricingDataTable[[#This Row],[Current Price ($)]])/PricingDataTable[[#This Row],[Current Price ($)]]</f>
        <v>-9.8000150769502145E-5</v>
      </c>
      <c r="M3464" t="str">
        <f t="shared" si="108"/>
        <v>PASS</v>
      </c>
      <c r="N3464" s="10" t="str">
        <f t="shared" si="109"/>
        <v>NONE</v>
      </c>
    </row>
    <row r="3465" spans="1:14">
      <c r="A3465" s="4" t="s">
        <v>6946</v>
      </c>
      <c r="B3465" s="4" t="s">
        <v>6947</v>
      </c>
      <c r="C3465" s="4" t="s">
        <v>35</v>
      </c>
      <c r="D3465" s="4" t="s">
        <v>13</v>
      </c>
      <c r="E3465" s="5">
        <v>108.82389999999999</v>
      </c>
      <c r="F3465" s="5">
        <v>109.4722</v>
      </c>
      <c r="G3465" s="5">
        <v>109.55929999999999</v>
      </c>
      <c r="H3465" s="4">
        <v>0</v>
      </c>
      <c r="I3465" s="6">
        <v>1366953</v>
      </c>
      <c r="J3465" s="7">
        <v>896.75</v>
      </c>
      <c r="K3465" s="9">
        <f>(PricingDataTable[[#This Row],[Current Price ($)]]-PricingDataTable[[#This Row],[Prior Price ($)]])/PricingDataTable[[#This Row],[Prior Price ($)]]</f>
        <v>5.957331064224E-3</v>
      </c>
      <c r="L3465" s="9">
        <f>(PricingDataTable[[#This Row],[Vendor Price ($)]]-PricingDataTable[[#This Row],[Current Price ($)]])/PricingDataTable[[#This Row],[Current Price ($)]]</f>
        <v>7.9563578698511959E-4</v>
      </c>
      <c r="M3465" t="str">
        <f t="shared" si="108"/>
        <v>PASS</v>
      </c>
      <c r="N3465" s="10" t="str">
        <f t="shared" si="109"/>
        <v>NONE</v>
      </c>
    </row>
    <row r="3466" spans="1:14">
      <c r="A3466" s="4" t="s">
        <v>6948</v>
      </c>
      <c r="B3466" s="4" t="s">
        <v>6949</v>
      </c>
      <c r="C3466" s="4" t="s">
        <v>16</v>
      </c>
      <c r="D3466" s="4" t="s">
        <v>237</v>
      </c>
      <c r="E3466" s="5">
        <v>97.032700000000006</v>
      </c>
      <c r="F3466" s="5">
        <v>95.552400000000006</v>
      </c>
      <c r="G3466" s="5">
        <v>95.379400000000004</v>
      </c>
      <c r="H3466" s="4">
        <v>2</v>
      </c>
      <c r="I3466" s="6">
        <v>4744545</v>
      </c>
      <c r="J3466" s="7">
        <v>417.27</v>
      </c>
      <c r="K3466" s="9">
        <f>(PricingDataTable[[#This Row],[Current Price ($)]]-PricingDataTable[[#This Row],[Prior Price ($)]])/PricingDataTable[[#This Row],[Prior Price ($)]]</f>
        <v>-1.5255681847459667E-2</v>
      </c>
      <c r="L3466" s="9">
        <f>(PricingDataTable[[#This Row],[Vendor Price ($)]]-PricingDataTable[[#This Row],[Current Price ($)]])/PricingDataTable[[#This Row],[Current Price ($)]]</f>
        <v>-1.8105249057062073E-3</v>
      </c>
      <c r="M3466" t="str">
        <f t="shared" si="108"/>
        <v>PASS</v>
      </c>
      <c r="N3466" s="10" t="str">
        <f t="shared" si="109"/>
        <v>NONE</v>
      </c>
    </row>
    <row r="3467" spans="1:14">
      <c r="A3467" s="4" t="s">
        <v>6950</v>
      </c>
      <c r="B3467" s="4" t="s">
        <v>6951</v>
      </c>
      <c r="C3467" s="4" t="s">
        <v>16</v>
      </c>
      <c r="D3467" s="4" t="s">
        <v>13</v>
      </c>
      <c r="E3467" s="5">
        <v>92.913899999999998</v>
      </c>
      <c r="F3467" s="5">
        <v>95.127300000000005</v>
      </c>
      <c r="G3467" s="5">
        <v>94.787999999999997</v>
      </c>
      <c r="H3467" s="4">
        <v>0</v>
      </c>
      <c r="I3467" s="6">
        <v>1208346</v>
      </c>
      <c r="J3467" s="7">
        <v>420.2</v>
      </c>
      <c r="K3467" s="9">
        <f>(PricingDataTable[[#This Row],[Current Price ($)]]-PricingDataTable[[#This Row],[Prior Price ($)]])/PricingDataTable[[#This Row],[Prior Price ($)]]</f>
        <v>2.3822054611850402E-2</v>
      </c>
      <c r="L3467" s="9">
        <f>(PricingDataTable[[#This Row],[Vendor Price ($)]]-PricingDataTable[[#This Row],[Current Price ($)]])/PricingDataTable[[#This Row],[Current Price ($)]]</f>
        <v>-3.566799436124105E-3</v>
      </c>
      <c r="M3467" t="str">
        <f t="shared" si="108"/>
        <v>PASS</v>
      </c>
      <c r="N3467" s="10" t="str">
        <f t="shared" si="109"/>
        <v>NONE</v>
      </c>
    </row>
    <row r="3468" spans="1:14">
      <c r="A3468" s="4" t="s">
        <v>6952</v>
      </c>
      <c r="B3468" s="4" t="s">
        <v>6953</v>
      </c>
      <c r="C3468" s="4" t="s">
        <v>19</v>
      </c>
      <c r="D3468" s="4" t="s">
        <v>64</v>
      </c>
      <c r="E3468" s="5">
        <v>84.016999999999996</v>
      </c>
      <c r="F3468" s="5">
        <v>83.313299999999998</v>
      </c>
      <c r="G3468" s="5">
        <v>83.459599999999995</v>
      </c>
      <c r="H3468" s="4">
        <v>5</v>
      </c>
      <c r="I3468" s="6">
        <v>3448734</v>
      </c>
      <c r="J3468" s="7">
        <v>675.41</v>
      </c>
      <c r="K3468" s="9">
        <f>(PricingDataTable[[#This Row],[Current Price ($)]]-PricingDataTable[[#This Row],[Prior Price ($)]])/PricingDataTable[[#This Row],[Prior Price ($)]]</f>
        <v>-8.375685873097085E-3</v>
      </c>
      <c r="L3468" s="9">
        <f>(PricingDataTable[[#This Row],[Vendor Price ($)]]-PricingDataTable[[#This Row],[Current Price ($)]])/PricingDataTable[[#This Row],[Current Price ($)]]</f>
        <v>1.7560221477242715E-3</v>
      </c>
      <c r="M3468" t="str">
        <f t="shared" si="108"/>
        <v>STALE</v>
      </c>
      <c r="N3468" s="10" t="str">
        <f t="shared" si="109"/>
        <v>MEDIUM</v>
      </c>
    </row>
    <row r="3469" spans="1:14">
      <c r="A3469" s="4" t="s">
        <v>6954</v>
      </c>
      <c r="B3469" s="4" t="s">
        <v>6955</v>
      </c>
      <c r="C3469" s="4" t="s">
        <v>39</v>
      </c>
      <c r="D3469" s="4" t="s">
        <v>13</v>
      </c>
      <c r="E3469" s="5">
        <v>274.32490000000001</v>
      </c>
      <c r="F3469" s="5">
        <v>284.76749999999998</v>
      </c>
      <c r="G3469" s="5">
        <v>284.5256</v>
      </c>
      <c r="H3469" s="4">
        <v>1</v>
      </c>
      <c r="I3469" s="6">
        <v>765018</v>
      </c>
      <c r="J3469" s="7">
        <v>670.63</v>
      </c>
      <c r="K3469" s="9">
        <f>(PricingDataTable[[#This Row],[Current Price ($)]]-PricingDataTable[[#This Row],[Prior Price ($)]])/PricingDataTable[[#This Row],[Prior Price ($)]]</f>
        <v>3.8066540806175338E-2</v>
      </c>
      <c r="L3469" s="9">
        <f>(PricingDataTable[[#This Row],[Vendor Price ($)]]-PricingDataTable[[#This Row],[Current Price ($)]])/PricingDataTable[[#This Row],[Current Price ($)]]</f>
        <v>-8.4946491435991436E-4</v>
      </c>
      <c r="M3469" t="str">
        <f t="shared" si="108"/>
        <v>PASS</v>
      </c>
      <c r="N3469" s="10" t="str">
        <f t="shared" si="109"/>
        <v>NONE</v>
      </c>
    </row>
    <row r="3470" spans="1:14">
      <c r="A3470" s="4" t="s">
        <v>6956</v>
      </c>
      <c r="B3470" s="4" t="s">
        <v>6957</v>
      </c>
      <c r="C3470" s="4" t="s">
        <v>39</v>
      </c>
      <c r="D3470" s="4" t="s">
        <v>13</v>
      </c>
      <c r="E3470" s="5">
        <v>33.489800000000002</v>
      </c>
      <c r="F3470" s="5">
        <v>32.879800000000003</v>
      </c>
      <c r="G3470" s="5">
        <v>33.0062</v>
      </c>
      <c r="H3470" s="4">
        <v>0</v>
      </c>
      <c r="I3470" s="6">
        <v>3415563</v>
      </c>
      <c r="J3470" s="7">
        <v>174.49</v>
      </c>
      <c r="K3470" s="9">
        <f>(PricingDataTable[[#This Row],[Current Price ($)]]-PricingDataTable[[#This Row],[Prior Price ($)]])/PricingDataTable[[#This Row],[Prior Price ($)]]</f>
        <v>-1.8214501131687839E-2</v>
      </c>
      <c r="L3470" s="9">
        <f>(PricingDataTable[[#This Row],[Vendor Price ($)]]-PricingDataTable[[#This Row],[Current Price ($)]])/PricingDataTable[[#This Row],[Current Price ($)]]</f>
        <v>3.844305622296873E-3</v>
      </c>
      <c r="M3470" t="str">
        <f t="shared" si="108"/>
        <v>PASS</v>
      </c>
      <c r="N3470" s="10" t="str">
        <f t="shared" si="109"/>
        <v>NONE</v>
      </c>
    </row>
    <row r="3471" spans="1:14">
      <c r="A3471" s="4" t="s">
        <v>6958</v>
      </c>
      <c r="B3471" s="4" t="s">
        <v>6959</v>
      </c>
      <c r="C3471" s="4" t="s">
        <v>19</v>
      </c>
      <c r="D3471" s="4" t="s">
        <v>13</v>
      </c>
      <c r="E3471" s="5">
        <v>55.656399999999998</v>
      </c>
      <c r="F3471" s="5">
        <v>54.852899999999998</v>
      </c>
      <c r="G3471" s="5">
        <v>54.523899999999998</v>
      </c>
      <c r="H3471" s="4">
        <v>1</v>
      </c>
      <c r="I3471" s="6">
        <v>1283494</v>
      </c>
      <c r="J3471" s="7">
        <v>209.38</v>
      </c>
      <c r="K3471" s="9">
        <f>(PricingDataTable[[#This Row],[Current Price ($)]]-PricingDataTable[[#This Row],[Prior Price ($)]])/PricingDataTable[[#This Row],[Prior Price ($)]]</f>
        <v>-1.4436794330930489E-2</v>
      </c>
      <c r="L3471" s="9">
        <f>(PricingDataTable[[#This Row],[Vendor Price ($)]]-PricingDataTable[[#This Row],[Current Price ($)]])/PricingDataTable[[#This Row],[Current Price ($)]]</f>
        <v>-5.9978597302968598E-3</v>
      </c>
      <c r="M3471" t="str">
        <f t="shared" si="108"/>
        <v>PASS</v>
      </c>
      <c r="N3471" s="10" t="str">
        <f t="shared" si="109"/>
        <v>NONE</v>
      </c>
    </row>
    <row r="3472" spans="1:14">
      <c r="A3472" s="4" t="s">
        <v>6960</v>
      </c>
      <c r="B3472" s="4" t="s">
        <v>6961</v>
      </c>
      <c r="C3472" s="4" t="s">
        <v>19</v>
      </c>
      <c r="D3472" s="4" t="s">
        <v>32</v>
      </c>
      <c r="E3472" s="5">
        <v>238.30170000000001</v>
      </c>
      <c r="F3472" s="5">
        <v>232.08009999999999</v>
      </c>
      <c r="G3472" s="5">
        <v>231.51320000000001</v>
      </c>
      <c r="H3472" s="4">
        <v>5</v>
      </c>
      <c r="I3472" s="6">
        <v>3300367</v>
      </c>
      <c r="J3472" s="7">
        <v>303.13</v>
      </c>
      <c r="K3472" s="9">
        <f>(PricingDataTable[[#This Row],[Current Price ($)]]-PricingDataTable[[#This Row],[Prior Price ($)]])/PricingDataTable[[#This Row],[Prior Price ($)]]</f>
        <v>-2.6108080638954836E-2</v>
      </c>
      <c r="L3472" s="9">
        <f>(PricingDataTable[[#This Row],[Vendor Price ($)]]-PricingDataTable[[#This Row],[Current Price ($)]])/PricingDataTable[[#This Row],[Current Price ($)]]</f>
        <v>-2.442691122590759E-3</v>
      </c>
      <c r="M3472" t="str">
        <f t="shared" si="108"/>
        <v>STALE</v>
      </c>
      <c r="N3472" s="10" t="str">
        <f t="shared" si="109"/>
        <v>MEDIUM</v>
      </c>
    </row>
    <row r="3473" spans="1:14">
      <c r="A3473" s="4" t="s">
        <v>6962</v>
      </c>
      <c r="B3473" s="4" t="s">
        <v>6963</v>
      </c>
      <c r="C3473" s="4" t="s">
        <v>16</v>
      </c>
      <c r="D3473" s="4" t="s">
        <v>13</v>
      </c>
      <c r="E3473" s="5">
        <v>78.843599999999995</v>
      </c>
      <c r="F3473" s="5">
        <v>78.206800000000001</v>
      </c>
      <c r="G3473" s="5">
        <v>78.089100000000002</v>
      </c>
      <c r="H3473" s="4">
        <v>2</v>
      </c>
      <c r="I3473" s="6">
        <v>2978952</v>
      </c>
      <c r="J3473" s="7">
        <v>899.13</v>
      </c>
      <c r="K3473" s="9">
        <f>(PricingDataTable[[#This Row],[Current Price ($)]]-PricingDataTable[[#This Row],[Prior Price ($)]])/PricingDataTable[[#This Row],[Prior Price ($)]]</f>
        <v>-8.0767494127613887E-3</v>
      </c>
      <c r="L3473" s="9">
        <f>(PricingDataTable[[#This Row],[Vendor Price ($)]]-PricingDataTable[[#This Row],[Current Price ($)]])/PricingDataTable[[#This Row],[Current Price ($)]]</f>
        <v>-1.5049842213208985E-3</v>
      </c>
      <c r="M3473" t="str">
        <f t="shared" si="108"/>
        <v>PASS</v>
      </c>
      <c r="N3473" s="10" t="str">
        <f t="shared" si="109"/>
        <v>NONE</v>
      </c>
    </row>
    <row r="3474" spans="1:14">
      <c r="A3474" s="4" t="s">
        <v>6964</v>
      </c>
      <c r="B3474" s="4" t="s">
        <v>6965</v>
      </c>
      <c r="C3474" s="4" t="s">
        <v>39</v>
      </c>
      <c r="D3474" s="4" t="s">
        <v>13</v>
      </c>
      <c r="E3474" s="5">
        <v>62.448900000000002</v>
      </c>
      <c r="F3474" s="5">
        <v>63.244100000000003</v>
      </c>
      <c r="G3474" s="5">
        <v>63.215499999999999</v>
      </c>
      <c r="H3474" s="4">
        <v>2</v>
      </c>
      <c r="I3474" s="6">
        <v>4042936</v>
      </c>
      <c r="J3474" s="7">
        <v>350.98</v>
      </c>
      <c r="K3474" s="9">
        <f>(PricingDataTable[[#This Row],[Current Price ($)]]-PricingDataTable[[#This Row],[Prior Price ($)]])/PricingDataTable[[#This Row],[Prior Price ($)]]</f>
        <v>1.2733611000353908E-2</v>
      </c>
      <c r="L3474" s="9">
        <f>(PricingDataTable[[#This Row],[Vendor Price ($)]]-PricingDataTable[[#This Row],[Current Price ($)]])/PricingDataTable[[#This Row],[Current Price ($)]]</f>
        <v>-4.5221609604697351E-4</v>
      </c>
      <c r="M3474" t="str">
        <f t="shared" si="108"/>
        <v>PASS</v>
      </c>
      <c r="N3474" s="10" t="str">
        <f t="shared" si="109"/>
        <v>NONE</v>
      </c>
    </row>
    <row r="3475" spans="1:14">
      <c r="A3475" s="4" t="s">
        <v>6966</v>
      </c>
      <c r="B3475" s="4" t="s">
        <v>6967</v>
      </c>
      <c r="C3475" s="4" t="s">
        <v>12</v>
      </c>
      <c r="D3475" s="4" t="s">
        <v>13</v>
      </c>
      <c r="E3475" s="5">
        <v>88.874700000000004</v>
      </c>
      <c r="F3475" s="5">
        <v>87.777900000000002</v>
      </c>
      <c r="G3475" s="5">
        <v>88.124099999999999</v>
      </c>
      <c r="H3475" s="4">
        <v>0</v>
      </c>
      <c r="I3475" s="6">
        <v>3021080</v>
      </c>
      <c r="J3475" s="7">
        <v>537.72</v>
      </c>
      <c r="K3475" s="9">
        <f>(PricingDataTable[[#This Row],[Current Price ($)]]-PricingDataTable[[#This Row],[Prior Price ($)]])/PricingDataTable[[#This Row],[Prior Price ($)]]</f>
        <v>-1.2340969927324669E-2</v>
      </c>
      <c r="L3475" s="9">
        <f>(PricingDataTable[[#This Row],[Vendor Price ($)]]-PricingDataTable[[#This Row],[Current Price ($)]])/PricingDataTable[[#This Row],[Current Price ($)]]</f>
        <v>3.9440451412029228E-3</v>
      </c>
      <c r="M3475" t="str">
        <f t="shared" si="108"/>
        <v>PASS</v>
      </c>
      <c r="N3475" s="10" t="str">
        <f t="shared" si="109"/>
        <v>NONE</v>
      </c>
    </row>
    <row r="3476" spans="1:14">
      <c r="A3476" s="4" t="s">
        <v>6968</v>
      </c>
      <c r="B3476" s="4" t="s">
        <v>6969</v>
      </c>
      <c r="C3476" s="4" t="s">
        <v>35</v>
      </c>
      <c r="D3476" s="4" t="s">
        <v>13</v>
      </c>
      <c r="E3476" s="5">
        <v>53.4375</v>
      </c>
      <c r="F3476" s="5">
        <v>53.237000000000002</v>
      </c>
      <c r="G3476" s="5">
        <v>53.253300000000003</v>
      </c>
      <c r="H3476" s="4">
        <v>0</v>
      </c>
      <c r="I3476" s="6">
        <v>3341004</v>
      </c>
      <c r="J3476" s="7">
        <v>36.19</v>
      </c>
      <c r="K3476" s="9">
        <f>(PricingDataTable[[#This Row],[Current Price ($)]]-PricingDataTable[[#This Row],[Prior Price ($)]])/PricingDataTable[[#This Row],[Prior Price ($)]]</f>
        <v>-3.7520467836256958E-3</v>
      </c>
      <c r="L3476" s="9">
        <f>(PricingDataTable[[#This Row],[Vendor Price ($)]]-PricingDataTable[[#This Row],[Current Price ($)]])/PricingDataTable[[#This Row],[Current Price ($)]]</f>
        <v>3.0617803407406675E-4</v>
      </c>
      <c r="M3476" t="str">
        <f t="shared" si="108"/>
        <v>PASS</v>
      </c>
      <c r="N3476" s="10" t="str">
        <f t="shared" si="109"/>
        <v>NONE</v>
      </c>
    </row>
    <row r="3477" spans="1:14">
      <c r="A3477" s="4" t="s">
        <v>6970</v>
      </c>
      <c r="B3477" s="4" t="s">
        <v>6971</v>
      </c>
      <c r="C3477" s="4" t="s">
        <v>19</v>
      </c>
      <c r="D3477" s="4" t="s">
        <v>32</v>
      </c>
      <c r="E3477" s="5">
        <v>182.95930000000001</v>
      </c>
      <c r="F3477" s="5">
        <v>177.6841</v>
      </c>
      <c r="G3477" s="5">
        <v>177.79859999999999</v>
      </c>
      <c r="H3477" s="4">
        <v>0</v>
      </c>
      <c r="I3477" s="6">
        <v>4750233</v>
      </c>
      <c r="J3477" s="7">
        <v>542.76</v>
      </c>
      <c r="K3477" s="9">
        <f>(PricingDataTable[[#This Row],[Current Price ($)]]-PricingDataTable[[#This Row],[Prior Price ($)]])/PricingDataTable[[#This Row],[Prior Price ($)]]</f>
        <v>-2.8832642013824999E-2</v>
      </c>
      <c r="L3477" s="9">
        <f>(PricingDataTable[[#This Row],[Vendor Price ($)]]-PricingDataTable[[#This Row],[Current Price ($)]])/PricingDataTable[[#This Row],[Current Price ($)]]</f>
        <v>6.4440205961024369E-4</v>
      </c>
      <c r="M3477" t="str">
        <f t="shared" si="108"/>
        <v>PASS</v>
      </c>
      <c r="N3477" s="10" t="str">
        <f t="shared" si="109"/>
        <v>NONE</v>
      </c>
    </row>
    <row r="3478" spans="1:14">
      <c r="A3478" s="4" t="s">
        <v>6972</v>
      </c>
      <c r="B3478" s="4" t="s">
        <v>6973</v>
      </c>
      <c r="C3478" s="4" t="s">
        <v>19</v>
      </c>
      <c r="D3478" s="4" t="s">
        <v>32</v>
      </c>
      <c r="E3478" s="5">
        <v>258.01639999999998</v>
      </c>
      <c r="F3478" s="5">
        <v>256.9744</v>
      </c>
      <c r="G3478" s="5">
        <v>263.3897</v>
      </c>
      <c r="H3478" s="4">
        <v>1</v>
      </c>
      <c r="I3478" s="6">
        <v>511073</v>
      </c>
      <c r="J3478" s="7">
        <v>633.42999999999995</v>
      </c>
      <c r="K3478" s="9">
        <f>(PricingDataTable[[#This Row],[Current Price ($)]]-PricingDataTable[[#This Row],[Prior Price ($)]])/PricingDataTable[[#This Row],[Prior Price ($)]]</f>
        <v>-4.0385029788803086E-3</v>
      </c>
      <c r="L3478" s="9">
        <f>(PricingDataTable[[#This Row],[Vendor Price ($)]]-PricingDataTable[[#This Row],[Current Price ($)]])/PricingDataTable[[#This Row],[Current Price ($)]]</f>
        <v>2.4964743569787503E-2</v>
      </c>
      <c r="M3478" t="str">
        <f t="shared" si="108"/>
        <v>VENDOR DIFFERENCE</v>
      </c>
      <c r="N3478" s="10" t="str">
        <f t="shared" si="109"/>
        <v>LOW</v>
      </c>
    </row>
    <row r="3479" spans="1:14">
      <c r="A3479" s="4" t="s">
        <v>6974</v>
      </c>
      <c r="B3479" s="4" t="s">
        <v>6975</v>
      </c>
      <c r="C3479" s="4" t="s">
        <v>19</v>
      </c>
      <c r="D3479" s="4" t="s">
        <v>32</v>
      </c>
      <c r="E3479" s="5">
        <v>90.408799999999999</v>
      </c>
      <c r="F3479" s="5">
        <v>88.633099999999999</v>
      </c>
      <c r="G3479" s="5">
        <v>88.557699999999997</v>
      </c>
      <c r="H3479" s="4">
        <v>0</v>
      </c>
      <c r="I3479" s="6">
        <v>2691113</v>
      </c>
      <c r="J3479" s="7">
        <v>236.77</v>
      </c>
      <c r="K3479" s="9">
        <f>(PricingDataTable[[#This Row],[Current Price ($)]]-PricingDataTable[[#This Row],[Prior Price ($)]])/PricingDataTable[[#This Row],[Prior Price ($)]]</f>
        <v>-1.9640787180009032E-2</v>
      </c>
      <c r="L3479" s="9">
        <f>(PricingDataTable[[#This Row],[Vendor Price ($)]]-PricingDataTable[[#This Row],[Current Price ($)]])/PricingDataTable[[#This Row],[Current Price ($)]]</f>
        <v>-8.5069798980292818E-4</v>
      </c>
      <c r="M3479" t="str">
        <f t="shared" si="108"/>
        <v>PASS</v>
      </c>
      <c r="N3479" s="10" t="str">
        <f t="shared" si="109"/>
        <v>NONE</v>
      </c>
    </row>
    <row r="3480" spans="1:14">
      <c r="A3480" s="4" t="s">
        <v>6976</v>
      </c>
      <c r="B3480" s="4" t="s">
        <v>6977</v>
      </c>
      <c r="C3480" s="4" t="s">
        <v>16</v>
      </c>
      <c r="D3480" s="4" t="s">
        <v>13</v>
      </c>
      <c r="E3480" s="5">
        <v>103.723</v>
      </c>
      <c r="F3480" s="5">
        <v>103.9927</v>
      </c>
      <c r="G3480" s="5">
        <v>103.5056</v>
      </c>
      <c r="H3480" s="4">
        <v>0</v>
      </c>
      <c r="I3480" s="6">
        <v>486082</v>
      </c>
      <c r="J3480" s="7">
        <v>658.15</v>
      </c>
      <c r="K3480" s="9">
        <f>(PricingDataTable[[#This Row],[Current Price ($)]]-PricingDataTable[[#This Row],[Prior Price ($)]])/PricingDataTable[[#This Row],[Prior Price ($)]]</f>
        <v>2.600194749476975E-3</v>
      </c>
      <c r="L3480" s="9">
        <f>(PricingDataTable[[#This Row],[Vendor Price ($)]]-PricingDataTable[[#This Row],[Current Price ($)]])/PricingDataTable[[#This Row],[Current Price ($)]]</f>
        <v>-4.6839826257035165E-3</v>
      </c>
      <c r="M3480" t="str">
        <f t="shared" si="108"/>
        <v>PASS</v>
      </c>
      <c r="N3480" s="10" t="str">
        <f t="shared" si="109"/>
        <v>NONE</v>
      </c>
    </row>
    <row r="3481" spans="1:14">
      <c r="A3481" s="4" t="s">
        <v>6978</v>
      </c>
      <c r="B3481" s="4" t="s">
        <v>6979</v>
      </c>
      <c r="C3481" s="4" t="s">
        <v>16</v>
      </c>
      <c r="D3481" s="4" t="s">
        <v>13</v>
      </c>
      <c r="E3481" s="5">
        <v>98.871700000000004</v>
      </c>
      <c r="F3481" s="5">
        <v>98.121899999999997</v>
      </c>
      <c r="G3481" s="5">
        <v>98.250799999999998</v>
      </c>
      <c r="H3481" s="4">
        <v>0</v>
      </c>
      <c r="I3481" s="6">
        <v>3802079</v>
      </c>
      <c r="J3481" s="7">
        <v>470.34</v>
      </c>
      <c r="K3481" s="9">
        <f>(PricingDataTable[[#This Row],[Current Price ($)]]-PricingDataTable[[#This Row],[Prior Price ($)]])/PricingDataTable[[#This Row],[Prior Price ($)]]</f>
        <v>-7.5835653680477585E-3</v>
      </c>
      <c r="L3481" s="9">
        <f>(PricingDataTable[[#This Row],[Vendor Price ($)]]-PricingDataTable[[#This Row],[Current Price ($)]])/PricingDataTable[[#This Row],[Current Price ($)]]</f>
        <v>1.3136720752451958E-3</v>
      </c>
      <c r="M3481" t="str">
        <f t="shared" si="108"/>
        <v>PASS</v>
      </c>
      <c r="N3481" s="10" t="str">
        <f t="shared" si="109"/>
        <v>NONE</v>
      </c>
    </row>
    <row r="3482" spans="1:14">
      <c r="A3482" s="4" t="s">
        <v>6980</v>
      </c>
      <c r="B3482" s="4" t="s">
        <v>6981</v>
      </c>
      <c r="C3482" s="4" t="s">
        <v>35</v>
      </c>
      <c r="D3482" s="4" t="s">
        <v>13</v>
      </c>
      <c r="E3482" s="5">
        <v>34.273600000000002</v>
      </c>
      <c r="F3482" s="5">
        <v>34.215800000000002</v>
      </c>
      <c r="G3482" s="5">
        <v>34.247799999999998</v>
      </c>
      <c r="H3482" s="4">
        <v>0</v>
      </c>
      <c r="I3482" s="6">
        <v>4383531</v>
      </c>
      <c r="J3482" s="7">
        <v>607.26</v>
      </c>
      <c r="K3482" s="9">
        <f>(PricingDataTable[[#This Row],[Current Price ($)]]-PricingDataTable[[#This Row],[Prior Price ($)]])/PricingDataTable[[#This Row],[Prior Price ($)]]</f>
        <v>-1.6864292049857703E-3</v>
      </c>
      <c r="L3482" s="9">
        <f>(PricingDataTable[[#This Row],[Vendor Price ($)]]-PricingDataTable[[#This Row],[Current Price ($)]])/PricingDataTable[[#This Row],[Current Price ($)]]</f>
        <v>9.3524044447291816E-4</v>
      </c>
      <c r="M3482" t="str">
        <f t="shared" si="108"/>
        <v>PASS</v>
      </c>
      <c r="N3482" s="10" t="str">
        <f t="shared" si="109"/>
        <v>NONE</v>
      </c>
    </row>
    <row r="3483" spans="1:14">
      <c r="A3483" s="4" t="s">
        <v>6982</v>
      </c>
      <c r="B3483" s="4" t="s">
        <v>6983</v>
      </c>
      <c r="C3483" s="4" t="s">
        <v>16</v>
      </c>
      <c r="D3483" s="4" t="s">
        <v>13</v>
      </c>
      <c r="E3483" s="5">
        <v>122.70950000000001</v>
      </c>
      <c r="F3483" s="5">
        <v>121.87390000000001</v>
      </c>
      <c r="G3483" s="5">
        <v>121.7183</v>
      </c>
      <c r="H3483" s="4">
        <v>0</v>
      </c>
      <c r="I3483" s="6">
        <v>4721140</v>
      </c>
      <c r="J3483" s="7">
        <v>555.29999999999995</v>
      </c>
      <c r="K3483" s="9">
        <f>(PricingDataTable[[#This Row],[Current Price ($)]]-PricingDataTable[[#This Row],[Prior Price ($)]])/PricingDataTable[[#This Row],[Prior Price ($)]]</f>
        <v>-6.8095787204739602E-3</v>
      </c>
      <c r="L3483" s="9">
        <f>(PricingDataTable[[#This Row],[Vendor Price ($)]]-PricingDataTable[[#This Row],[Current Price ($)]])/PricingDataTable[[#This Row],[Current Price ($)]]</f>
        <v>-1.2767294720199061E-3</v>
      </c>
      <c r="M3483" t="str">
        <f t="shared" si="108"/>
        <v>PASS</v>
      </c>
      <c r="N3483" s="10" t="str">
        <f t="shared" si="109"/>
        <v>NONE</v>
      </c>
    </row>
    <row r="3484" spans="1:14">
      <c r="A3484" s="4" t="s">
        <v>6984</v>
      </c>
      <c r="B3484" s="4" t="s">
        <v>6985</v>
      </c>
      <c r="C3484" s="4" t="s">
        <v>19</v>
      </c>
      <c r="D3484" s="4" t="s">
        <v>13</v>
      </c>
      <c r="E3484" s="5">
        <v>315.71280000000002</v>
      </c>
      <c r="F3484" s="5">
        <v>316.2022</v>
      </c>
      <c r="G3484" s="5">
        <v>316.21789999999999</v>
      </c>
      <c r="H3484" s="4">
        <v>4</v>
      </c>
      <c r="I3484" s="6">
        <v>3236078</v>
      </c>
      <c r="J3484" s="7">
        <v>171.64</v>
      </c>
      <c r="K3484" s="9">
        <f>(PricingDataTable[[#This Row],[Current Price ($)]]-PricingDataTable[[#This Row],[Prior Price ($)]])/PricingDataTable[[#This Row],[Prior Price ($)]]</f>
        <v>1.5501430413970836E-3</v>
      </c>
      <c r="L3484" s="9">
        <f>(PricingDataTable[[#This Row],[Vendor Price ($)]]-PricingDataTable[[#This Row],[Current Price ($)]])/PricingDataTable[[#This Row],[Current Price ($)]]</f>
        <v>4.96517734537621E-5</v>
      </c>
      <c r="M3484" t="str">
        <f t="shared" si="108"/>
        <v>STALE</v>
      </c>
      <c r="N3484" s="10" t="str">
        <f t="shared" si="109"/>
        <v>LOW</v>
      </c>
    </row>
    <row r="3485" spans="1:14">
      <c r="A3485" s="4" t="s">
        <v>6986</v>
      </c>
      <c r="B3485" s="4" t="s">
        <v>6987</v>
      </c>
      <c r="C3485" s="4" t="s">
        <v>39</v>
      </c>
      <c r="D3485" s="4" t="s">
        <v>13</v>
      </c>
      <c r="E3485" s="5">
        <v>27.011099999999999</v>
      </c>
      <c r="F3485" s="5">
        <v>27.069600000000001</v>
      </c>
      <c r="G3485" s="5">
        <v>27.1188</v>
      </c>
      <c r="H3485" s="4">
        <v>0</v>
      </c>
      <c r="I3485" s="6">
        <v>2421203</v>
      </c>
      <c r="J3485" s="7">
        <v>280.73</v>
      </c>
      <c r="K3485" s="9">
        <f>(PricingDataTable[[#This Row],[Current Price ($)]]-PricingDataTable[[#This Row],[Prior Price ($)]])/PricingDataTable[[#This Row],[Prior Price ($)]]</f>
        <v>2.1657762919689394E-3</v>
      </c>
      <c r="L3485" s="9">
        <f>(PricingDataTable[[#This Row],[Vendor Price ($)]]-PricingDataTable[[#This Row],[Current Price ($)]])/PricingDataTable[[#This Row],[Current Price ($)]]</f>
        <v>1.8175370156928443E-3</v>
      </c>
      <c r="M3485" t="str">
        <f t="shared" si="108"/>
        <v>PASS</v>
      </c>
      <c r="N3485" s="10" t="str">
        <f t="shared" si="109"/>
        <v>NONE</v>
      </c>
    </row>
    <row r="3486" spans="1:14">
      <c r="A3486" s="4" t="s">
        <v>6988</v>
      </c>
      <c r="B3486" s="4" t="s">
        <v>6989</v>
      </c>
      <c r="C3486" s="4" t="s">
        <v>39</v>
      </c>
      <c r="D3486" s="4" t="s">
        <v>13</v>
      </c>
      <c r="E3486" s="5">
        <v>335.56529999999998</v>
      </c>
      <c r="F3486" s="5">
        <v>338.40960000000001</v>
      </c>
      <c r="G3486" s="5">
        <v>339.50450000000001</v>
      </c>
      <c r="H3486" s="4">
        <v>0</v>
      </c>
      <c r="I3486" s="6">
        <v>4451879</v>
      </c>
      <c r="J3486" s="7">
        <v>857.67</v>
      </c>
      <c r="K3486" s="9">
        <f>(PricingDataTable[[#This Row],[Current Price ($)]]-PricingDataTable[[#This Row],[Prior Price ($)]])/PricingDataTable[[#This Row],[Prior Price ($)]]</f>
        <v>8.4761445834835511E-3</v>
      </c>
      <c r="L3486" s="9">
        <f>(PricingDataTable[[#This Row],[Vendor Price ($)]]-PricingDataTable[[#This Row],[Current Price ($)]])/PricingDataTable[[#This Row],[Current Price ($)]]</f>
        <v>3.2354283093623689E-3</v>
      </c>
      <c r="M3486" t="str">
        <f t="shared" si="108"/>
        <v>PASS</v>
      </c>
      <c r="N3486" s="10" t="str">
        <f t="shared" si="109"/>
        <v>NONE</v>
      </c>
    </row>
    <row r="3487" spans="1:14">
      <c r="A3487" s="4" t="s">
        <v>6990</v>
      </c>
      <c r="B3487" s="4" t="s">
        <v>6991</v>
      </c>
      <c r="C3487" s="4" t="s">
        <v>39</v>
      </c>
      <c r="D3487" s="4" t="s">
        <v>13</v>
      </c>
      <c r="E3487" s="5">
        <v>250.53270000000001</v>
      </c>
      <c r="F3487" s="5">
        <v>251.19720000000001</v>
      </c>
      <c r="G3487" s="5">
        <v>250.00110000000001</v>
      </c>
      <c r="H3487" s="4">
        <v>0</v>
      </c>
      <c r="I3487" s="6">
        <v>1591465</v>
      </c>
      <c r="J3487" s="7">
        <v>796.21</v>
      </c>
      <c r="K3487" s="9">
        <f>(PricingDataTable[[#This Row],[Current Price ($)]]-PricingDataTable[[#This Row],[Prior Price ($)]])/PricingDataTable[[#This Row],[Prior Price ($)]]</f>
        <v>2.6523483760802634E-3</v>
      </c>
      <c r="L3487" s="9">
        <f>(PricingDataTable[[#This Row],[Vendor Price ($)]]-PricingDataTable[[#This Row],[Current Price ($)]])/PricingDataTable[[#This Row],[Current Price ($)]]</f>
        <v>-4.7615976611204312E-3</v>
      </c>
      <c r="M3487" t="str">
        <f t="shared" si="108"/>
        <v>PASS</v>
      </c>
      <c r="N3487" s="10" t="str">
        <f t="shared" si="109"/>
        <v>NONE</v>
      </c>
    </row>
    <row r="3488" spans="1:14">
      <c r="A3488" s="4" t="s">
        <v>6992</v>
      </c>
      <c r="B3488" s="4" t="s">
        <v>6993</v>
      </c>
      <c r="C3488" s="4" t="s">
        <v>19</v>
      </c>
      <c r="D3488" s="4" t="s">
        <v>13</v>
      </c>
      <c r="E3488" s="5">
        <v>188.9272</v>
      </c>
      <c r="F3488" s="5">
        <v>186.78819999999999</v>
      </c>
      <c r="G3488" s="5">
        <v>187.114</v>
      </c>
      <c r="H3488" s="4">
        <v>1</v>
      </c>
      <c r="I3488" s="6">
        <v>886653</v>
      </c>
      <c r="J3488" s="7">
        <v>877.24</v>
      </c>
      <c r="K3488" s="9">
        <f>(PricingDataTable[[#This Row],[Current Price ($)]]-PricingDataTable[[#This Row],[Prior Price ($)]])/PricingDataTable[[#This Row],[Prior Price ($)]]</f>
        <v>-1.1321821315300337E-2</v>
      </c>
      <c r="L3488" s="9">
        <f>(PricingDataTable[[#This Row],[Vendor Price ($)]]-PricingDataTable[[#This Row],[Current Price ($)]])/PricingDataTable[[#This Row],[Current Price ($)]]</f>
        <v>1.744221530053907E-3</v>
      </c>
      <c r="M3488" t="str">
        <f t="shared" si="108"/>
        <v>PASS</v>
      </c>
      <c r="N3488" s="10" t="str">
        <f t="shared" si="109"/>
        <v>NONE</v>
      </c>
    </row>
    <row r="3489" spans="1:14">
      <c r="A3489" s="4" t="s">
        <v>6994</v>
      </c>
      <c r="B3489" s="4" t="s">
        <v>6995</v>
      </c>
      <c r="C3489" s="4" t="s">
        <v>16</v>
      </c>
      <c r="D3489" s="4" t="s">
        <v>13</v>
      </c>
      <c r="E3489" s="5">
        <v>99.516900000000007</v>
      </c>
      <c r="F3489" s="5">
        <v>99.198400000000007</v>
      </c>
      <c r="G3489" s="5">
        <v>99.246099999999998</v>
      </c>
      <c r="H3489" s="4">
        <v>0</v>
      </c>
      <c r="I3489" s="6">
        <v>3949087</v>
      </c>
      <c r="J3489" s="7">
        <v>262.99</v>
      </c>
      <c r="K3489" s="9">
        <f>(PricingDataTable[[#This Row],[Current Price ($)]]-PricingDataTable[[#This Row],[Prior Price ($)]])/PricingDataTable[[#This Row],[Prior Price ($)]]</f>
        <v>-3.2004614291642947E-3</v>
      </c>
      <c r="L3489" s="9">
        <f>(PricingDataTable[[#This Row],[Vendor Price ($)]]-PricingDataTable[[#This Row],[Current Price ($)]])/PricingDataTable[[#This Row],[Current Price ($)]]</f>
        <v>4.8085452991169066E-4</v>
      </c>
      <c r="M3489" t="str">
        <f t="shared" si="108"/>
        <v>PASS</v>
      </c>
      <c r="N3489" s="10" t="str">
        <f t="shared" si="109"/>
        <v>NONE</v>
      </c>
    </row>
    <row r="3490" spans="1:14">
      <c r="A3490" s="4" t="s">
        <v>6996</v>
      </c>
      <c r="B3490" s="4" t="s">
        <v>6997</v>
      </c>
      <c r="C3490" s="4" t="s">
        <v>12</v>
      </c>
      <c r="D3490" s="4" t="s">
        <v>13</v>
      </c>
      <c r="E3490" s="5">
        <v>100.68170000000001</v>
      </c>
      <c r="F3490" s="5">
        <v>101.8297</v>
      </c>
      <c r="G3490" s="5">
        <v>102.1478</v>
      </c>
      <c r="H3490" s="4">
        <v>1</v>
      </c>
      <c r="I3490" s="6">
        <v>787442</v>
      </c>
      <c r="J3490" s="7">
        <v>3.11</v>
      </c>
      <c r="K3490" s="9">
        <f>(PricingDataTable[[#This Row],[Current Price ($)]]-PricingDataTable[[#This Row],[Prior Price ($)]])/PricingDataTable[[#This Row],[Prior Price ($)]]</f>
        <v>1.1402270720498323E-2</v>
      </c>
      <c r="L3490" s="9">
        <f>(PricingDataTable[[#This Row],[Vendor Price ($)]]-PricingDataTable[[#This Row],[Current Price ($)]])/PricingDataTable[[#This Row],[Current Price ($)]]</f>
        <v>3.1238430438271072E-3</v>
      </c>
      <c r="M3490" t="str">
        <f t="shared" si="108"/>
        <v>PASS</v>
      </c>
      <c r="N3490" s="10" t="str">
        <f t="shared" si="109"/>
        <v>NONE</v>
      </c>
    </row>
    <row r="3491" spans="1:14">
      <c r="A3491" s="4" t="s">
        <v>6998</v>
      </c>
      <c r="B3491" s="4" t="s">
        <v>6999</v>
      </c>
      <c r="C3491" s="4" t="s">
        <v>39</v>
      </c>
      <c r="D3491" s="4" t="s">
        <v>13</v>
      </c>
      <c r="E3491" s="5">
        <v>178.8725</v>
      </c>
      <c r="F3491" s="5">
        <v>179.3442</v>
      </c>
      <c r="G3491" s="5">
        <v>179.12710000000001</v>
      </c>
      <c r="H3491" s="4">
        <v>0</v>
      </c>
      <c r="I3491" s="6">
        <v>4695289</v>
      </c>
      <c r="J3491" s="7">
        <v>745.92</v>
      </c>
      <c r="K3491" s="9">
        <f>(PricingDataTable[[#This Row],[Current Price ($)]]-PricingDataTable[[#This Row],[Prior Price ($)]])/PricingDataTable[[#This Row],[Prior Price ($)]]</f>
        <v>2.6370738934156923E-3</v>
      </c>
      <c r="L3491" s="9">
        <f>(PricingDataTable[[#This Row],[Vendor Price ($)]]-PricingDataTable[[#This Row],[Current Price ($)]])/PricingDataTable[[#This Row],[Current Price ($)]]</f>
        <v>-1.2105214442395564E-3</v>
      </c>
      <c r="M3491" t="str">
        <f t="shared" si="108"/>
        <v>PASS</v>
      </c>
      <c r="N3491" s="10" t="str">
        <f t="shared" si="109"/>
        <v>NONE</v>
      </c>
    </row>
    <row r="3492" spans="1:14">
      <c r="A3492" s="4" t="s">
        <v>7000</v>
      </c>
      <c r="B3492" s="4" t="s">
        <v>7001</v>
      </c>
      <c r="C3492" s="4" t="s">
        <v>19</v>
      </c>
      <c r="D3492" s="4" t="s">
        <v>64</v>
      </c>
      <c r="E3492" s="5">
        <v>20.229399999999998</v>
      </c>
      <c r="F3492" s="5">
        <v>20.635100000000001</v>
      </c>
      <c r="G3492" s="5">
        <v>20.580500000000001</v>
      </c>
      <c r="H3492" s="4">
        <v>2</v>
      </c>
      <c r="I3492" s="6">
        <v>2254254</v>
      </c>
      <c r="J3492" s="7">
        <v>653.71</v>
      </c>
      <c r="K3492" s="9">
        <f>(PricingDataTable[[#This Row],[Current Price ($)]]-PricingDataTable[[#This Row],[Prior Price ($)]])/PricingDataTable[[#This Row],[Prior Price ($)]]</f>
        <v>2.0054969499837025E-2</v>
      </c>
      <c r="L3492" s="9">
        <f>(PricingDataTable[[#This Row],[Vendor Price ($)]]-PricingDataTable[[#This Row],[Current Price ($)]])/PricingDataTable[[#This Row],[Current Price ($)]]</f>
        <v>-2.6459770003537976E-3</v>
      </c>
      <c r="M3492" t="str">
        <f t="shared" si="108"/>
        <v>PASS</v>
      </c>
      <c r="N3492" s="10" t="str">
        <f t="shared" si="109"/>
        <v>NONE</v>
      </c>
    </row>
    <row r="3493" spans="1:14">
      <c r="A3493" s="4" t="s">
        <v>7002</v>
      </c>
      <c r="B3493" s="4" t="s">
        <v>7003</v>
      </c>
      <c r="C3493" s="4" t="s">
        <v>39</v>
      </c>
      <c r="D3493" s="4" t="s">
        <v>36</v>
      </c>
      <c r="E3493" s="5">
        <v>157.23859999999999</v>
      </c>
      <c r="F3493" s="5">
        <v>155.10470000000001</v>
      </c>
      <c r="G3493" s="5">
        <v>155.0444</v>
      </c>
      <c r="H3493" s="4">
        <v>0</v>
      </c>
      <c r="I3493" s="6">
        <v>3570737</v>
      </c>
      <c r="J3493" s="7">
        <v>206.59</v>
      </c>
      <c r="K3493" s="9">
        <f>(PricingDataTable[[#This Row],[Current Price ($)]]-PricingDataTable[[#This Row],[Prior Price ($)]])/PricingDataTable[[#This Row],[Prior Price ($)]]</f>
        <v>-1.3571095138216589E-2</v>
      </c>
      <c r="L3493" s="9">
        <f>(PricingDataTable[[#This Row],[Vendor Price ($)]]-PricingDataTable[[#This Row],[Current Price ($)]])/PricingDataTable[[#This Row],[Current Price ($)]]</f>
        <v>-3.8876965043620361E-4</v>
      </c>
      <c r="M3493" t="str">
        <f t="shared" si="108"/>
        <v>PASS</v>
      </c>
      <c r="N3493" s="10" t="str">
        <f t="shared" si="109"/>
        <v>NONE</v>
      </c>
    </row>
    <row r="3494" spans="1:14">
      <c r="A3494" s="4" t="s">
        <v>7004</v>
      </c>
      <c r="B3494" s="4" t="s">
        <v>7005</v>
      </c>
      <c r="C3494" s="4" t="s">
        <v>19</v>
      </c>
      <c r="D3494" s="4" t="s">
        <v>13</v>
      </c>
      <c r="E3494" s="5">
        <v>46.3292</v>
      </c>
      <c r="F3494" s="5">
        <v>45.626600000000003</v>
      </c>
      <c r="G3494" s="5">
        <v>45.786799999999999</v>
      </c>
      <c r="H3494" s="4">
        <v>3</v>
      </c>
      <c r="I3494" s="6">
        <v>3630217</v>
      </c>
      <c r="J3494" s="7">
        <v>401.57</v>
      </c>
      <c r="K3494" s="9">
        <f>(PricingDataTable[[#This Row],[Current Price ($)]]-PricingDataTable[[#This Row],[Prior Price ($)]])/PricingDataTable[[#This Row],[Prior Price ($)]]</f>
        <v>-1.5165381659946573E-2</v>
      </c>
      <c r="L3494" s="9">
        <f>(PricingDataTable[[#This Row],[Vendor Price ($)]]-PricingDataTable[[#This Row],[Current Price ($)]])/PricingDataTable[[#This Row],[Current Price ($)]]</f>
        <v>3.5111097473841161E-3</v>
      </c>
      <c r="M3494" t="str">
        <f t="shared" si="108"/>
        <v>STALE</v>
      </c>
      <c r="N3494" s="10" t="str">
        <f t="shared" si="109"/>
        <v>LOW</v>
      </c>
    </row>
    <row r="3495" spans="1:14">
      <c r="A3495" s="4" t="s">
        <v>7006</v>
      </c>
      <c r="B3495" s="4" t="s">
        <v>7007</v>
      </c>
      <c r="C3495" s="4" t="s">
        <v>35</v>
      </c>
      <c r="D3495" s="4" t="s">
        <v>13</v>
      </c>
      <c r="E3495" s="5">
        <v>156.4383</v>
      </c>
      <c r="F3495" s="5">
        <v>157.36879999999999</v>
      </c>
      <c r="G3495" s="5">
        <v>157.7175</v>
      </c>
      <c r="H3495" s="4">
        <v>0</v>
      </c>
      <c r="I3495" s="6">
        <v>1318421</v>
      </c>
      <c r="J3495" s="7">
        <v>635.55999999999995</v>
      </c>
      <c r="K3495" s="9">
        <f>(PricingDataTable[[#This Row],[Current Price ($)]]-PricingDataTable[[#This Row],[Prior Price ($)]])/PricingDataTable[[#This Row],[Prior Price ($)]]</f>
        <v>5.9480319077872554E-3</v>
      </c>
      <c r="L3495" s="9">
        <f>(PricingDataTable[[#This Row],[Vendor Price ($)]]-PricingDataTable[[#This Row],[Current Price ($)]])/PricingDataTable[[#This Row],[Current Price ($)]]</f>
        <v>2.2158140622538141E-3</v>
      </c>
      <c r="M3495" t="str">
        <f t="shared" si="108"/>
        <v>PASS</v>
      </c>
      <c r="N3495" s="10" t="str">
        <f t="shared" si="109"/>
        <v>NONE</v>
      </c>
    </row>
    <row r="3496" spans="1:14">
      <c r="A3496" s="4" t="s">
        <v>7008</v>
      </c>
      <c r="B3496" s="4" t="s">
        <v>7009</v>
      </c>
      <c r="C3496" s="4" t="s">
        <v>35</v>
      </c>
      <c r="D3496" s="4" t="s">
        <v>13</v>
      </c>
      <c r="E3496" s="5">
        <v>94.249499999999998</v>
      </c>
      <c r="F3496" s="5">
        <v>94.8596</v>
      </c>
      <c r="G3496" s="5">
        <v>94.824700000000007</v>
      </c>
      <c r="H3496" s="4">
        <v>0</v>
      </c>
      <c r="I3496" s="6">
        <v>2897507</v>
      </c>
      <c r="J3496" s="7">
        <v>556</v>
      </c>
      <c r="K3496" s="9">
        <f>(PricingDataTable[[#This Row],[Current Price ($)]]-PricingDataTable[[#This Row],[Prior Price ($)]])/PricingDataTable[[#This Row],[Prior Price ($)]]</f>
        <v>6.4732438898880392E-3</v>
      </c>
      <c r="L3496" s="9">
        <f>(PricingDataTable[[#This Row],[Vendor Price ($)]]-PricingDataTable[[#This Row],[Current Price ($)]])/PricingDataTable[[#This Row],[Current Price ($)]]</f>
        <v>-3.6791215649226085E-4</v>
      </c>
      <c r="M3496" t="str">
        <f t="shared" si="108"/>
        <v>PASS</v>
      </c>
      <c r="N3496" s="10" t="str">
        <f t="shared" si="109"/>
        <v>NONE</v>
      </c>
    </row>
    <row r="3497" spans="1:14">
      <c r="A3497" s="4" t="s">
        <v>7010</v>
      </c>
      <c r="B3497" s="4" t="s">
        <v>7011</v>
      </c>
      <c r="C3497" s="4" t="s">
        <v>35</v>
      </c>
      <c r="D3497" s="4" t="s">
        <v>13</v>
      </c>
      <c r="E3497" s="5">
        <v>27.213899999999999</v>
      </c>
      <c r="F3497" s="5">
        <v>27.2074</v>
      </c>
      <c r="G3497" s="5">
        <v>27.346800000000002</v>
      </c>
      <c r="H3497" s="4">
        <v>0</v>
      </c>
      <c r="I3497" s="6">
        <v>2688246</v>
      </c>
      <c r="J3497" s="7">
        <v>258.88</v>
      </c>
      <c r="K3497" s="9">
        <f>(PricingDataTable[[#This Row],[Current Price ($)]]-PricingDataTable[[#This Row],[Prior Price ($)]])/PricingDataTable[[#This Row],[Prior Price ($)]]</f>
        <v>-2.3884852961167133E-4</v>
      </c>
      <c r="L3497" s="9">
        <f>(PricingDataTable[[#This Row],[Vendor Price ($)]]-PricingDataTable[[#This Row],[Current Price ($)]])/PricingDataTable[[#This Row],[Current Price ($)]]</f>
        <v>5.1236060777583295E-3</v>
      </c>
      <c r="M3497" t="str">
        <f t="shared" si="108"/>
        <v>PASS</v>
      </c>
      <c r="N3497" s="10" t="str">
        <f t="shared" si="109"/>
        <v>NONE</v>
      </c>
    </row>
    <row r="3498" spans="1:14">
      <c r="A3498" s="4" t="s">
        <v>7012</v>
      </c>
      <c r="B3498" s="4" t="s">
        <v>7013</v>
      </c>
      <c r="C3498" s="4" t="s">
        <v>35</v>
      </c>
      <c r="D3498" s="4" t="s">
        <v>64</v>
      </c>
      <c r="E3498" s="5">
        <v>173.18100000000001</v>
      </c>
      <c r="F3498" s="5">
        <v>173.8665</v>
      </c>
      <c r="G3498" s="5">
        <v>174.11500000000001</v>
      </c>
      <c r="H3498" s="4">
        <v>0</v>
      </c>
      <c r="I3498" s="6">
        <v>889074</v>
      </c>
      <c r="J3498" s="7">
        <v>700.38</v>
      </c>
      <c r="K3498" s="9">
        <f>(PricingDataTable[[#This Row],[Current Price ($)]]-PricingDataTable[[#This Row],[Prior Price ($)]])/PricingDataTable[[#This Row],[Prior Price ($)]]</f>
        <v>3.958286417101128E-3</v>
      </c>
      <c r="L3498" s="9">
        <f>(PricingDataTable[[#This Row],[Vendor Price ($)]]-PricingDataTable[[#This Row],[Current Price ($)]])/PricingDataTable[[#This Row],[Current Price ($)]]</f>
        <v>1.4292575050398268E-3</v>
      </c>
      <c r="M3498" t="str">
        <f t="shared" si="108"/>
        <v>PASS</v>
      </c>
      <c r="N3498" s="10" t="str">
        <f t="shared" si="109"/>
        <v>NONE</v>
      </c>
    </row>
    <row r="3499" spans="1:14">
      <c r="A3499" s="4" t="s">
        <v>7014</v>
      </c>
      <c r="B3499" s="4" t="s">
        <v>7015</v>
      </c>
      <c r="C3499" s="4" t="s">
        <v>16</v>
      </c>
      <c r="D3499" s="4" t="s">
        <v>32</v>
      </c>
      <c r="E3499" s="5">
        <v>115.8317</v>
      </c>
      <c r="F3499" s="5">
        <v>0</v>
      </c>
      <c r="G3499" s="5">
        <v>115.92749999999999</v>
      </c>
      <c r="H3499" s="4">
        <v>0</v>
      </c>
      <c r="I3499" s="6">
        <v>519257</v>
      </c>
      <c r="J3499" s="7">
        <v>39.700000000000003</v>
      </c>
      <c r="K3499" s="9">
        <f>(PricingDataTable[[#This Row],[Current Price ($)]]-PricingDataTable[[#This Row],[Prior Price ($)]])/PricingDataTable[[#This Row],[Prior Price ($)]]</f>
        <v>-1</v>
      </c>
      <c r="L3499" s="9" t="e">
        <f>(PricingDataTable[[#This Row],[Vendor Price ($)]]-PricingDataTable[[#This Row],[Current Price ($)]])/PricingDataTable[[#This Row],[Current Price ($)]]</f>
        <v>#DIV/0!</v>
      </c>
      <c r="M3499" t="str">
        <f t="shared" si="108"/>
        <v>MISSING</v>
      </c>
      <c r="N3499" s="10" t="str">
        <f t="shared" si="109"/>
        <v>HIGH</v>
      </c>
    </row>
    <row r="3500" spans="1:14">
      <c r="A3500" s="4" t="s">
        <v>7016</v>
      </c>
      <c r="B3500" s="4" t="s">
        <v>7017</v>
      </c>
      <c r="C3500" s="4" t="s">
        <v>16</v>
      </c>
      <c r="D3500" s="4" t="s">
        <v>13</v>
      </c>
      <c r="E3500" s="5">
        <v>103.93049999999999</v>
      </c>
      <c r="F3500" s="5">
        <v>102.98950000000001</v>
      </c>
      <c r="G3500" s="5">
        <v>103.1906</v>
      </c>
      <c r="H3500" s="4">
        <v>0</v>
      </c>
      <c r="I3500" s="6">
        <v>3643004</v>
      </c>
      <c r="J3500" s="7">
        <v>850.94</v>
      </c>
      <c r="K3500" s="9">
        <f>(PricingDataTable[[#This Row],[Current Price ($)]]-PricingDataTable[[#This Row],[Prior Price ($)]])/PricingDataTable[[#This Row],[Prior Price ($)]]</f>
        <v>-9.0541275179084908E-3</v>
      </c>
      <c r="L3500" s="9">
        <f>(PricingDataTable[[#This Row],[Vendor Price ($)]]-PricingDataTable[[#This Row],[Current Price ($)]])/PricingDataTable[[#This Row],[Current Price ($)]]</f>
        <v>1.9526262385971065E-3</v>
      </c>
      <c r="M3500" t="str">
        <f t="shared" si="108"/>
        <v>PASS</v>
      </c>
      <c r="N3500" s="10" t="str">
        <f t="shared" si="109"/>
        <v>NONE</v>
      </c>
    </row>
    <row r="3501" spans="1:14">
      <c r="A3501" s="4" t="s">
        <v>7018</v>
      </c>
      <c r="B3501" s="4" t="s">
        <v>7019</v>
      </c>
      <c r="C3501" s="4" t="s">
        <v>12</v>
      </c>
      <c r="D3501" s="4" t="s">
        <v>36</v>
      </c>
      <c r="E3501" s="5">
        <v>106.87179999999999</v>
      </c>
      <c r="F3501" s="5">
        <v>106.78230000000001</v>
      </c>
      <c r="G3501" s="5">
        <v>107.28919999999999</v>
      </c>
      <c r="H3501" s="4">
        <v>1</v>
      </c>
      <c r="I3501" s="6">
        <v>2691444</v>
      </c>
      <c r="J3501" s="7">
        <v>574.23</v>
      </c>
      <c r="K3501" s="9">
        <f>(PricingDataTable[[#This Row],[Current Price ($)]]-PricingDataTable[[#This Row],[Prior Price ($)]])/PricingDataTable[[#This Row],[Prior Price ($)]]</f>
        <v>-8.3745197517012739E-4</v>
      </c>
      <c r="L3501" s="9">
        <f>(PricingDataTable[[#This Row],[Vendor Price ($)]]-PricingDataTable[[#This Row],[Current Price ($)]])/PricingDataTable[[#This Row],[Current Price ($)]]</f>
        <v>4.7470414104208982E-3</v>
      </c>
      <c r="M3501" t="str">
        <f t="shared" si="108"/>
        <v>PASS</v>
      </c>
      <c r="N3501" s="10" t="str">
        <f t="shared" si="109"/>
        <v>NONE</v>
      </c>
    </row>
    <row r="3502" spans="1:14">
      <c r="A3502" s="4" t="s">
        <v>7020</v>
      </c>
      <c r="B3502" s="4" t="s">
        <v>7021</v>
      </c>
      <c r="C3502" s="4" t="s">
        <v>35</v>
      </c>
      <c r="D3502" s="4" t="s">
        <v>13</v>
      </c>
      <c r="E3502" s="5">
        <v>84.203400000000002</v>
      </c>
      <c r="F3502" s="5">
        <v>84.918899999999994</v>
      </c>
      <c r="G3502" s="5">
        <v>84.855999999999995</v>
      </c>
      <c r="H3502" s="4">
        <v>0</v>
      </c>
      <c r="I3502" s="6">
        <v>4211958</v>
      </c>
      <c r="J3502" s="7">
        <v>671.79</v>
      </c>
      <c r="K3502" s="9">
        <f>(PricingDataTable[[#This Row],[Current Price ($)]]-PricingDataTable[[#This Row],[Prior Price ($)]])/PricingDataTable[[#This Row],[Prior Price ($)]]</f>
        <v>8.497281582453815E-3</v>
      </c>
      <c r="L3502" s="9">
        <f>(PricingDataTable[[#This Row],[Vendor Price ($)]]-PricingDataTable[[#This Row],[Current Price ($)]])/PricingDataTable[[#This Row],[Current Price ($)]]</f>
        <v>-7.4070672135412817E-4</v>
      </c>
      <c r="M3502" t="str">
        <f t="shared" si="108"/>
        <v>PASS</v>
      </c>
      <c r="N3502" s="10" t="str">
        <f t="shared" si="109"/>
        <v>NONE</v>
      </c>
    </row>
    <row r="3503" spans="1:14">
      <c r="A3503" s="4" t="s">
        <v>7022</v>
      </c>
      <c r="B3503" s="4" t="s">
        <v>7023</v>
      </c>
      <c r="C3503" s="4" t="s">
        <v>16</v>
      </c>
      <c r="D3503" s="4" t="s">
        <v>64</v>
      </c>
      <c r="E3503" s="5">
        <v>113.4877</v>
      </c>
      <c r="F3503" s="5">
        <v>114.9346</v>
      </c>
      <c r="G3503" s="5">
        <v>115.4132</v>
      </c>
      <c r="H3503" s="4">
        <v>0</v>
      </c>
      <c r="I3503" s="6">
        <v>4482990</v>
      </c>
      <c r="J3503" s="7">
        <v>568.49</v>
      </c>
      <c r="K3503" s="9">
        <f>(PricingDataTable[[#This Row],[Current Price ($)]]-PricingDataTable[[#This Row],[Prior Price ($)]])/PricingDataTable[[#This Row],[Prior Price ($)]]</f>
        <v>1.2749399274106352E-2</v>
      </c>
      <c r="L3503" s="9">
        <f>(PricingDataTable[[#This Row],[Vendor Price ($)]]-PricingDataTable[[#This Row],[Current Price ($)]])/PricingDataTable[[#This Row],[Current Price ($)]]</f>
        <v>4.1641072401174244E-3</v>
      </c>
      <c r="M3503" t="str">
        <f t="shared" si="108"/>
        <v>PASS</v>
      </c>
      <c r="N3503" s="10" t="str">
        <f t="shared" si="109"/>
        <v>NONE</v>
      </c>
    </row>
    <row r="3504" spans="1:14">
      <c r="A3504" s="4" t="s">
        <v>7024</v>
      </c>
      <c r="B3504" s="4" t="s">
        <v>7025</v>
      </c>
      <c r="C3504" s="4" t="s">
        <v>39</v>
      </c>
      <c r="D3504" s="4" t="s">
        <v>32</v>
      </c>
      <c r="E3504" s="5">
        <v>271.49189999999999</v>
      </c>
      <c r="F3504" s="5">
        <v>270.64249999999998</v>
      </c>
      <c r="G3504" s="5">
        <v>271.47469999999998</v>
      </c>
      <c r="H3504" s="4">
        <v>0</v>
      </c>
      <c r="I3504" s="6">
        <v>235160</v>
      </c>
      <c r="J3504" s="7">
        <v>139.96</v>
      </c>
      <c r="K3504" s="9">
        <f>(PricingDataTable[[#This Row],[Current Price ($)]]-PricingDataTable[[#This Row],[Prior Price ($)]])/PricingDataTable[[#This Row],[Prior Price ($)]]</f>
        <v>-3.1286384603002996E-3</v>
      </c>
      <c r="L3504" s="9">
        <f>(PricingDataTable[[#This Row],[Vendor Price ($)]]-PricingDataTable[[#This Row],[Current Price ($)]])/PricingDataTable[[#This Row],[Current Price ($)]]</f>
        <v>3.074905086968973E-3</v>
      </c>
      <c r="M3504" t="str">
        <f t="shared" si="108"/>
        <v>PASS</v>
      </c>
      <c r="N3504" s="10" t="str">
        <f t="shared" si="109"/>
        <v>NONE</v>
      </c>
    </row>
    <row r="3505" spans="1:14">
      <c r="A3505" s="4" t="s">
        <v>7026</v>
      </c>
      <c r="B3505" s="4" t="s">
        <v>7027</v>
      </c>
      <c r="C3505" s="4" t="s">
        <v>19</v>
      </c>
      <c r="D3505" s="4" t="s">
        <v>13</v>
      </c>
      <c r="E3505" s="5">
        <v>266.82769999999999</v>
      </c>
      <c r="F3505" s="5">
        <v>270.04480000000001</v>
      </c>
      <c r="G3505" s="5">
        <v>269.39260000000002</v>
      </c>
      <c r="H3505" s="4">
        <v>0</v>
      </c>
      <c r="I3505" s="6">
        <v>1805212</v>
      </c>
      <c r="J3505" s="7">
        <v>122.98</v>
      </c>
      <c r="K3505" s="9">
        <f>(PricingDataTable[[#This Row],[Current Price ($)]]-PricingDataTable[[#This Row],[Prior Price ($)]])/PricingDataTable[[#This Row],[Prior Price ($)]]</f>
        <v>1.2056844173224956E-2</v>
      </c>
      <c r="L3505" s="9">
        <f>(PricingDataTable[[#This Row],[Vendor Price ($)]]-PricingDataTable[[#This Row],[Current Price ($)]])/PricingDataTable[[#This Row],[Current Price ($)]]</f>
        <v>-2.4151548187559746E-3</v>
      </c>
      <c r="M3505" t="str">
        <f t="shared" si="108"/>
        <v>PASS</v>
      </c>
      <c r="N3505" s="10" t="str">
        <f t="shared" si="109"/>
        <v>NONE</v>
      </c>
    </row>
    <row r="3506" spans="1:14">
      <c r="A3506" s="4" t="s">
        <v>7028</v>
      </c>
      <c r="B3506" s="4" t="s">
        <v>7029</v>
      </c>
      <c r="C3506" s="4" t="s">
        <v>39</v>
      </c>
      <c r="D3506" s="4" t="s">
        <v>13</v>
      </c>
      <c r="E3506" s="5">
        <v>91.686099999999996</v>
      </c>
      <c r="F3506" s="5">
        <v>91.019199999999998</v>
      </c>
      <c r="G3506" s="5">
        <v>91.249700000000004</v>
      </c>
      <c r="H3506" s="4">
        <v>1</v>
      </c>
      <c r="I3506" s="6">
        <v>3485569</v>
      </c>
      <c r="J3506" s="7">
        <v>734.41</v>
      </c>
      <c r="K3506" s="9">
        <f>(PricingDataTable[[#This Row],[Current Price ($)]]-PricingDataTable[[#This Row],[Prior Price ($)]])/PricingDataTable[[#This Row],[Prior Price ($)]]</f>
        <v>-7.2737306963650793E-3</v>
      </c>
      <c r="L3506" s="9">
        <f>(PricingDataTable[[#This Row],[Vendor Price ($)]]-PricingDataTable[[#This Row],[Current Price ($)]])/PricingDataTable[[#This Row],[Current Price ($)]]</f>
        <v>2.5324327174926428E-3</v>
      </c>
      <c r="M3506" t="str">
        <f t="shared" si="108"/>
        <v>PASS</v>
      </c>
      <c r="N3506" s="10" t="str">
        <f t="shared" si="109"/>
        <v>NONE</v>
      </c>
    </row>
    <row r="3507" spans="1:14">
      <c r="A3507" s="4" t="s">
        <v>7030</v>
      </c>
      <c r="B3507" s="4" t="s">
        <v>7031</v>
      </c>
      <c r="C3507" s="4" t="s">
        <v>19</v>
      </c>
      <c r="D3507" s="4" t="s">
        <v>36</v>
      </c>
      <c r="E3507" s="5">
        <v>58.875599999999999</v>
      </c>
      <c r="F3507" s="5">
        <v>60.117800000000003</v>
      </c>
      <c r="G3507" s="5">
        <v>60.128399999999999</v>
      </c>
      <c r="H3507" s="4">
        <v>0</v>
      </c>
      <c r="I3507" s="6">
        <v>3916182</v>
      </c>
      <c r="J3507" s="7">
        <v>575.02</v>
      </c>
      <c r="K3507" s="9">
        <f>(PricingDataTable[[#This Row],[Current Price ($)]]-PricingDataTable[[#This Row],[Prior Price ($)]])/PricingDataTable[[#This Row],[Prior Price ($)]]</f>
        <v>2.1098723410037504E-2</v>
      </c>
      <c r="L3507" s="9">
        <f>(PricingDataTable[[#This Row],[Vendor Price ($)]]-PricingDataTable[[#This Row],[Current Price ($)]])/PricingDataTable[[#This Row],[Current Price ($)]]</f>
        <v>1.763204907697323E-4</v>
      </c>
      <c r="M3507" t="str">
        <f t="shared" si="108"/>
        <v>PASS</v>
      </c>
      <c r="N3507" s="10" t="str">
        <f t="shared" si="109"/>
        <v>NONE</v>
      </c>
    </row>
    <row r="3508" spans="1:14">
      <c r="A3508" s="4" t="s">
        <v>7032</v>
      </c>
      <c r="B3508" s="4" t="s">
        <v>7033</v>
      </c>
      <c r="C3508" s="4" t="s">
        <v>19</v>
      </c>
      <c r="D3508" s="4" t="s">
        <v>13</v>
      </c>
      <c r="E3508" s="5">
        <v>164.27090000000001</v>
      </c>
      <c r="F3508" s="5">
        <v>165.1574</v>
      </c>
      <c r="G3508" s="5">
        <v>165.11600000000001</v>
      </c>
      <c r="H3508" s="4">
        <v>3</v>
      </c>
      <c r="I3508" s="6">
        <v>906594</v>
      </c>
      <c r="J3508" s="7">
        <v>573.11</v>
      </c>
      <c r="K3508" s="9">
        <f>(PricingDataTable[[#This Row],[Current Price ($)]]-PricingDataTable[[#This Row],[Prior Price ($)]])/PricingDataTable[[#This Row],[Prior Price ($)]]</f>
        <v>5.3965735866789788E-3</v>
      </c>
      <c r="L3508" s="9">
        <f>(PricingDataTable[[#This Row],[Vendor Price ($)]]-PricingDataTable[[#This Row],[Current Price ($)]])/PricingDataTable[[#This Row],[Current Price ($)]]</f>
        <v>-2.5066996695262623E-4</v>
      </c>
      <c r="M3508" t="str">
        <f t="shared" si="108"/>
        <v>STALE</v>
      </c>
      <c r="N3508" s="10" t="str">
        <f t="shared" si="109"/>
        <v>LOW</v>
      </c>
    </row>
    <row r="3509" spans="1:14">
      <c r="A3509" s="4" t="s">
        <v>7034</v>
      </c>
      <c r="B3509" s="4" t="s">
        <v>7035</v>
      </c>
      <c r="C3509" s="4" t="s">
        <v>19</v>
      </c>
      <c r="D3509" s="4" t="s">
        <v>13</v>
      </c>
      <c r="E3509" s="5">
        <v>101.4777</v>
      </c>
      <c r="F3509" s="5">
        <v>100.9088</v>
      </c>
      <c r="G3509" s="5">
        <v>100.864</v>
      </c>
      <c r="H3509" s="4">
        <v>3</v>
      </c>
      <c r="I3509" s="6">
        <v>539593</v>
      </c>
      <c r="J3509" s="7">
        <v>338.86</v>
      </c>
      <c r="K3509" s="9">
        <f>(PricingDataTable[[#This Row],[Current Price ($)]]-PricingDataTable[[#This Row],[Prior Price ($)]])/PricingDataTable[[#This Row],[Prior Price ($)]]</f>
        <v>-5.6061578060992642E-3</v>
      </c>
      <c r="L3509" s="9">
        <f>(PricingDataTable[[#This Row],[Vendor Price ($)]]-PricingDataTable[[#This Row],[Current Price ($)]])/PricingDataTable[[#This Row],[Current Price ($)]]</f>
        <v>-4.4396524386371719E-4</v>
      </c>
      <c r="M3509" t="str">
        <f t="shared" si="108"/>
        <v>STALE</v>
      </c>
      <c r="N3509" s="10" t="str">
        <f t="shared" si="109"/>
        <v>LOW</v>
      </c>
    </row>
    <row r="3510" spans="1:14">
      <c r="A3510" s="4" t="s">
        <v>7036</v>
      </c>
      <c r="B3510" s="4" t="s">
        <v>7037</v>
      </c>
      <c r="C3510" s="4" t="s">
        <v>35</v>
      </c>
      <c r="D3510" s="4" t="s">
        <v>13</v>
      </c>
      <c r="E3510" s="5">
        <v>67.704099999999997</v>
      </c>
      <c r="F3510" s="5">
        <v>66.462599999999995</v>
      </c>
      <c r="G3510" s="5">
        <v>66.584999999999994</v>
      </c>
      <c r="H3510" s="4">
        <v>0</v>
      </c>
      <c r="I3510" s="6">
        <v>4670623</v>
      </c>
      <c r="J3510" s="7">
        <v>746.55</v>
      </c>
      <c r="K3510" s="9">
        <f>(PricingDataTable[[#This Row],[Current Price ($)]]-PricingDataTable[[#This Row],[Prior Price ($)]])/PricingDataTable[[#This Row],[Prior Price ($)]]</f>
        <v>-1.8337146494820877E-2</v>
      </c>
      <c r="L3510" s="9">
        <f>(PricingDataTable[[#This Row],[Vendor Price ($)]]-PricingDataTable[[#This Row],[Current Price ($)]])/PricingDataTable[[#This Row],[Current Price ($)]]</f>
        <v>1.8416372516272153E-3</v>
      </c>
      <c r="M3510" t="str">
        <f t="shared" si="108"/>
        <v>PASS</v>
      </c>
      <c r="N3510" s="10" t="str">
        <f t="shared" si="109"/>
        <v>NONE</v>
      </c>
    </row>
    <row r="3511" spans="1:14">
      <c r="A3511" s="4" t="s">
        <v>7038</v>
      </c>
      <c r="B3511" s="4" t="s">
        <v>7039</v>
      </c>
      <c r="C3511" s="4" t="s">
        <v>12</v>
      </c>
      <c r="D3511" s="4" t="s">
        <v>64</v>
      </c>
      <c r="E3511" s="5">
        <v>89.745000000000005</v>
      </c>
      <c r="F3511" s="5">
        <v>90.331900000000005</v>
      </c>
      <c r="G3511" s="5">
        <v>90.346000000000004</v>
      </c>
      <c r="H3511" s="4">
        <v>0</v>
      </c>
      <c r="I3511" s="6">
        <v>2426151</v>
      </c>
      <c r="J3511" s="7">
        <v>131.6</v>
      </c>
      <c r="K3511" s="9">
        <f>(PricingDataTable[[#This Row],[Current Price ($)]]-PricingDataTable[[#This Row],[Prior Price ($)]])/PricingDataTable[[#This Row],[Prior Price ($)]]</f>
        <v>6.5396400913699925E-3</v>
      </c>
      <c r="L3511" s="9">
        <f>(PricingDataTable[[#This Row],[Vendor Price ($)]]-PricingDataTable[[#This Row],[Current Price ($)]])/PricingDataTable[[#This Row],[Current Price ($)]]</f>
        <v>1.5609103760685995E-4</v>
      </c>
      <c r="M3511" t="str">
        <f t="shared" si="108"/>
        <v>PASS</v>
      </c>
      <c r="N3511" s="10" t="str">
        <f t="shared" si="109"/>
        <v>NONE</v>
      </c>
    </row>
    <row r="3512" spans="1:14">
      <c r="A3512" s="4" t="s">
        <v>7040</v>
      </c>
      <c r="B3512" s="4" t="s">
        <v>7041</v>
      </c>
      <c r="C3512" s="4" t="s">
        <v>12</v>
      </c>
      <c r="D3512" s="4" t="s">
        <v>13</v>
      </c>
      <c r="E3512" s="5">
        <v>116.7107</v>
      </c>
      <c r="F3512" s="5">
        <v>115.3536</v>
      </c>
      <c r="G3512" s="5">
        <v>115.298</v>
      </c>
      <c r="H3512" s="4">
        <v>0</v>
      </c>
      <c r="I3512" s="6">
        <v>843701</v>
      </c>
      <c r="J3512" s="7">
        <v>79.13</v>
      </c>
      <c r="K3512" s="9">
        <f>(PricingDataTable[[#This Row],[Current Price ($)]]-PricingDataTable[[#This Row],[Prior Price ($)]])/PricingDataTable[[#This Row],[Prior Price ($)]]</f>
        <v>-1.1627897013727127E-2</v>
      </c>
      <c r="L3512" s="9">
        <f>(PricingDataTable[[#This Row],[Vendor Price ($)]]-PricingDataTable[[#This Row],[Current Price ($)]])/PricingDataTable[[#This Row],[Current Price ($)]]</f>
        <v>-4.8199622725253759E-4</v>
      </c>
      <c r="M3512" t="str">
        <f t="shared" si="108"/>
        <v>PASS</v>
      </c>
      <c r="N3512" s="10" t="str">
        <f t="shared" si="109"/>
        <v>NONE</v>
      </c>
    </row>
    <row r="3513" spans="1:14">
      <c r="A3513" s="4" t="s">
        <v>7042</v>
      </c>
      <c r="B3513" s="4" t="s">
        <v>7043</v>
      </c>
      <c r="C3513" s="4" t="s">
        <v>39</v>
      </c>
      <c r="D3513" s="4" t="s">
        <v>13</v>
      </c>
      <c r="E3513" s="5">
        <v>86.209599999999995</v>
      </c>
      <c r="F3513" s="5">
        <v>84.511300000000006</v>
      </c>
      <c r="G3513" s="5">
        <v>84.221800000000002</v>
      </c>
      <c r="H3513" s="4">
        <v>0</v>
      </c>
      <c r="I3513" s="6">
        <v>1560856</v>
      </c>
      <c r="J3513" s="7">
        <v>388.8</v>
      </c>
      <c r="K3513" s="9">
        <f>(PricingDataTable[[#This Row],[Current Price ($)]]-PricingDataTable[[#This Row],[Prior Price ($)]])/PricingDataTable[[#This Row],[Prior Price ($)]]</f>
        <v>-1.9699662218592699E-2</v>
      </c>
      <c r="L3513" s="9">
        <f>(PricingDataTable[[#This Row],[Vendor Price ($)]]-PricingDataTable[[#This Row],[Current Price ($)]])/PricingDataTable[[#This Row],[Current Price ($)]]</f>
        <v>-3.4255774079916396E-3</v>
      </c>
      <c r="M3513" t="str">
        <f t="shared" si="108"/>
        <v>PASS</v>
      </c>
      <c r="N3513" s="10" t="str">
        <f t="shared" si="109"/>
        <v>NONE</v>
      </c>
    </row>
    <row r="3514" spans="1:14">
      <c r="A3514" s="4" t="s">
        <v>7044</v>
      </c>
      <c r="B3514" s="4" t="s">
        <v>7045</v>
      </c>
      <c r="C3514" s="4" t="s">
        <v>12</v>
      </c>
      <c r="D3514" s="4" t="s">
        <v>13</v>
      </c>
      <c r="E3514" s="5">
        <v>93.819800000000001</v>
      </c>
      <c r="F3514" s="5">
        <v>94.687700000000007</v>
      </c>
      <c r="G3514" s="5">
        <v>94.680599999999998</v>
      </c>
      <c r="H3514" s="4">
        <v>3</v>
      </c>
      <c r="I3514" s="6">
        <v>4247807</v>
      </c>
      <c r="J3514" s="7">
        <v>784.9</v>
      </c>
      <c r="K3514" s="9">
        <f>(PricingDataTable[[#This Row],[Current Price ($)]]-PricingDataTable[[#This Row],[Prior Price ($)]])/PricingDataTable[[#This Row],[Prior Price ($)]]</f>
        <v>9.250712536159807E-3</v>
      </c>
      <c r="L3514" s="9">
        <f>(PricingDataTable[[#This Row],[Vendor Price ($)]]-PricingDataTable[[#This Row],[Current Price ($)]])/PricingDataTable[[#This Row],[Current Price ($)]]</f>
        <v>-7.498333996927079E-5</v>
      </c>
      <c r="M3514" t="str">
        <f t="shared" si="108"/>
        <v>STALE</v>
      </c>
      <c r="N3514" s="10" t="str">
        <f t="shared" si="109"/>
        <v>LOW</v>
      </c>
    </row>
    <row r="3515" spans="1:14">
      <c r="A3515" s="4" t="s">
        <v>7046</v>
      </c>
      <c r="B3515" s="4" t="s">
        <v>7047</v>
      </c>
      <c r="C3515" s="4" t="s">
        <v>16</v>
      </c>
      <c r="D3515" s="4" t="s">
        <v>13</v>
      </c>
      <c r="E3515" s="5">
        <v>81.718199999999996</v>
      </c>
      <c r="F3515" s="5">
        <v>80.441500000000005</v>
      </c>
      <c r="G3515" s="5">
        <v>80.360399999999998</v>
      </c>
      <c r="H3515" s="4">
        <v>0</v>
      </c>
      <c r="I3515" s="6">
        <v>2178387</v>
      </c>
      <c r="J3515" s="7">
        <v>221.66</v>
      </c>
      <c r="K3515" s="9">
        <f>(PricingDataTable[[#This Row],[Current Price ($)]]-PricingDataTable[[#This Row],[Prior Price ($)]])/PricingDataTable[[#This Row],[Prior Price ($)]]</f>
        <v>-1.5623202664767348E-2</v>
      </c>
      <c r="L3515" s="9">
        <f>(PricingDataTable[[#This Row],[Vendor Price ($)]]-PricingDataTable[[#This Row],[Current Price ($)]])/PricingDataTable[[#This Row],[Current Price ($)]]</f>
        <v>-1.0081860731091089E-3</v>
      </c>
      <c r="M3515" t="str">
        <f t="shared" si="108"/>
        <v>PASS</v>
      </c>
      <c r="N3515" s="10" t="str">
        <f t="shared" si="109"/>
        <v>NONE</v>
      </c>
    </row>
    <row r="3516" spans="1:14">
      <c r="A3516" s="4" t="s">
        <v>7048</v>
      </c>
      <c r="B3516" s="4" t="s">
        <v>7049</v>
      </c>
      <c r="C3516" s="4" t="s">
        <v>16</v>
      </c>
      <c r="D3516" s="4" t="s">
        <v>13</v>
      </c>
      <c r="E3516" s="5">
        <v>114.8231</v>
      </c>
      <c r="F3516" s="5">
        <v>116.3271</v>
      </c>
      <c r="G3516" s="5">
        <v>116.19970000000001</v>
      </c>
      <c r="H3516" s="4">
        <v>0</v>
      </c>
      <c r="I3516" s="6">
        <v>4663830</v>
      </c>
      <c r="J3516" s="7">
        <v>848.36</v>
      </c>
      <c r="K3516" s="9">
        <f>(PricingDataTable[[#This Row],[Current Price ($)]]-PricingDataTable[[#This Row],[Prior Price ($)]])/PricingDataTable[[#This Row],[Prior Price ($)]]</f>
        <v>1.3098409640568883E-2</v>
      </c>
      <c r="L3516" s="9">
        <f>(PricingDataTable[[#This Row],[Vendor Price ($)]]-PricingDataTable[[#This Row],[Current Price ($)]])/PricingDataTable[[#This Row],[Current Price ($)]]</f>
        <v>-1.0951876218008908E-3</v>
      </c>
      <c r="M3516" t="str">
        <f t="shared" si="108"/>
        <v>PASS</v>
      </c>
      <c r="N3516" s="10" t="str">
        <f t="shared" si="109"/>
        <v>NONE</v>
      </c>
    </row>
    <row r="3517" spans="1:14">
      <c r="A3517" s="4" t="s">
        <v>7050</v>
      </c>
      <c r="B3517" s="4" t="s">
        <v>7051</v>
      </c>
      <c r="C3517" s="4" t="s">
        <v>19</v>
      </c>
      <c r="D3517" s="4" t="s">
        <v>32</v>
      </c>
      <c r="E3517" s="5">
        <v>124.2345</v>
      </c>
      <c r="F3517" s="5">
        <v>0</v>
      </c>
      <c r="G3517" s="5">
        <v>124.0311</v>
      </c>
      <c r="H3517" s="4">
        <v>0</v>
      </c>
      <c r="I3517" s="6">
        <v>4963292</v>
      </c>
      <c r="J3517" s="7">
        <v>550.05999999999995</v>
      </c>
      <c r="K3517" s="9">
        <f>(PricingDataTable[[#This Row],[Current Price ($)]]-PricingDataTable[[#This Row],[Prior Price ($)]])/PricingDataTable[[#This Row],[Prior Price ($)]]</f>
        <v>-1</v>
      </c>
      <c r="L3517" s="9" t="e">
        <f>(PricingDataTable[[#This Row],[Vendor Price ($)]]-PricingDataTable[[#This Row],[Current Price ($)]])/PricingDataTable[[#This Row],[Current Price ($)]]</f>
        <v>#DIV/0!</v>
      </c>
      <c r="M3517" t="str">
        <f t="shared" si="108"/>
        <v>MISSING</v>
      </c>
      <c r="N3517" s="10" t="str">
        <f t="shared" si="109"/>
        <v>HIGH</v>
      </c>
    </row>
    <row r="3518" spans="1:14">
      <c r="A3518" s="4" t="s">
        <v>7052</v>
      </c>
      <c r="B3518" s="4" t="s">
        <v>7053</v>
      </c>
      <c r="C3518" s="4" t="s">
        <v>39</v>
      </c>
      <c r="D3518" s="4" t="s">
        <v>64</v>
      </c>
      <c r="E3518" s="5">
        <v>160.3689</v>
      </c>
      <c r="F3518" s="5">
        <v>159.68989999999999</v>
      </c>
      <c r="G3518" s="5">
        <v>160.03919999999999</v>
      </c>
      <c r="H3518" s="4">
        <v>0</v>
      </c>
      <c r="I3518" s="6">
        <v>4584476</v>
      </c>
      <c r="J3518" s="7">
        <v>342.37</v>
      </c>
      <c r="K3518" s="9">
        <f>(PricingDataTable[[#This Row],[Current Price ($)]]-PricingDataTable[[#This Row],[Prior Price ($)]])/PricingDataTable[[#This Row],[Prior Price ($)]]</f>
        <v>-4.2339880113912492E-3</v>
      </c>
      <c r="L3518" s="9">
        <f>(PricingDataTable[[#This Row],[Vendor Price ($)]]-PricingDataTable[[#This Row],[Current Price ($)]])/PricingDataTable[[#This Row],[Current Price ($)]]</f>
        <v>2.1873643855998375E-3</v>
      </c>
      <c r="M3518" t="str">
        <f t="shared" si="108"/>
        <v>PASS</v>
      </c>
      <c r="N3518" s="10" t="str">
        <f t="shared" si="109"/>
        <v>NONE</v>
      </c>
    </row>
    <row r="3519" spans="1:14">
      <c r="A3519" s="4" t="s">
        <v>7054</v>
      </c>
      <c r="B3519" s="4" t="s">
        <v>7055</v>
      </c>
      <c r="C3519" s="4" t="s">
        <v>12</v>
      </c>
      <c r="D3519" s="4" t="s">
        <v>64</v>
      </c>
      <c r="E3519" s="5">
        <v>85.747699999999995</v>
      </c>
      <c r="F3519" s="5">
        <v>84.057299999999998</v>
      </c>
      <c r="G3519" s="5">
        <v>83.8733</v>
      </c>
      <c r="H3519" s="4">
        <v>0</v>
      </c>
      <c r="I3519" s="6">
        <v>1073489</v>
      </c>
      <c r="J3519" s="7">
        <v>588.99</v>
      </c>
      <c r="K3519" s="9">
        <f>(PricingDataTable[[#This Row],[Current Price ($)]]-PricingDataTable[[#This Row],[Prior Price ($)]])/PricingDataTable[[#This Row],[Prior Price ($)]]</f>
        <v>-1.9713648296105866E-2</v>
      </c>
      <c r="L3519" s="9">
        <f>(PricingDataTable[[#This Row],[Vendor Price ($)]]-PricingDataTable[[#This Row],[Current Price ($)]])/PricingDataTable[[#This Row],[Current Price ($)]]</f>
        <v>-2.1889829913641946E-3</v>
      </c>
      <c r="M3519" t="str">
        <f t="shared" si="108"/>
        <v>PASS</v>
      </c>
      <c r="N3519" s="10" t="str">
        <f t="shared" si="109"/>
        <v>NONE</v>
      </c>
    </row>
    <row r="3520" spans="1:14">
      <c r="A3520" s="4" t="s">
        <v>7056</v>
      </c>
      <c r="B3520" s="4" t="s">
        <v>7057</v>
      </c>
      <c r="C3520" s="4" t="s">
        <v>35</v>
      </c>
      <c r="D3520" s="4" t="s">
        <v>13</v>
      </c>
      <c r="E3520" s="5">
        <v>155.19649999999999</v>
      </c>
      <c r="F3520" s="5">
        <v>156.2792</v>
      </c>
      <c r="G3520" s="5">
        <v>156.89099999999999</v>
      </c>
      <c r="H3520" s="4">
        <v>2</v>
      </c>
      <c r="I3520" s="6">
        <v>886089</v>
      </c>
      <c r="J3520" s="7">
        <v>158.30000000000001</v>
      </c>
      <c r="K3520" s="9">
        <f>(PricingDataTable[[#This Row],[Current Price ($)]]-PricingDataTable[[#This Row],[Prior Price ($)]])/PricingDataTable[[#This Row],[Prior Price ($)]]</f>
        <v>6.9763171205537303E-3</v>
      </c>
      <c r="L3520" s="9">
        <f>(PricingDataTable[[#This Row],[Vendor Price ($)]]-PricingDataTable[[#This Row],[Current Price ($)]])/PricingDataTable[[#This Row],[Current Price ($)]]</f>
        <v>3.91478840434292E-3</v>
      </c>
      <c r="M3520" t="str">
        <f t="shared" si="108"/>
        <v>PASS</v>
      </c>
      <c r="N3520" s="10" t="str">
        <f t="shared" si="109"/>
        <v>NONE</v>
      </c>
    </row>
    <row r="3521" spans="1:14">
      <c r="A3521" s="4" t="s">
        <v>7058</v>
      </c>
      <c r="B3521" s="4" t="s">
        <v>7059</v>
      </c>
      <c r="C3521" s="4" t="s">
        <v>19</v>
      </c>
      <c r="D3521" s="4" t="s">
        <v>13</v>
      </c>
      <c r="E3521" s="5">
        <v>295.37279999999998</v>
      </c>
      <c r="F3521" s="5">
        <v>296.00619999999998</v>
      </c>
      <c r="G3521" s="5">
        <v>295.57979999999998</v>
      </c>
      <c r="H3521" s="4">
        <v>0</v>
      </c>
      <c r="I3521" s="6">
        <v>1994267</v>
      </c>
      <c r="J3521" s="7">
        <v>600.4</v>
      </c>
      <c r="K3521" s="9">
        <f>(PricingDataTable[[#This Row],[Current Price ($)]]-PricingDataTable[[#This Row],[Prior Price ($)]])/PricingDataTable[[#This Row],[Prior Price ($)]]</f>
        <v>2.1444086930143694E-3</v>
      </c>
      <c r="L3521" s="9">
        <f>(PricingDataTable[[#This Row],[Vendor Price ($)]]-PricingDataTable[[#This Row],[Current Price ($)]])/PricingDataTable[[#This Row],[Current Price ($)]]</f>
        <v>-1.4405103676882478E-3</v>
      </c>
      <c r="M3521" t="str">
        <f t="shared" si="108"/>
        <v>PASS</v>
      </c>
      <c r="N3521" s="10" t="str">
        <f t="shared" si="109"/>
        <v>NONE</v>
      </c>
    </row>
    <row r="3522" spans="1:14">
      <c r="A3522" s="4" t="s">
        <v>7060</v>
      </c>
      <c r="B3522" s="4" t="s">
        <v>7061</v>
      </c>
      <c r="C3522" s="4" t="s">
        <v>19</v>
      </c>
      <c r="D3522" s="4" t="s">
        <v>13</v>
      </c>
      <c r="E3522" s="5">
        <v>108.5427</v>
      </c>
      <c r="F3522" s="5">
        <v>107.79430000000001</v>
      </c>
      <c r="G3522" s="5">
        <v>107.71639999999999</v>
      </c>
      <c r="H3522" s="4">
        <v>0</v>
      </c>
      <c r="I3522" s="6">
        <v>4594927</v>
      </c>
      <c r="J3522" s="7">
        <v>428.14</v>
      </c>
      <c r="K3522" s="9">
        <f>(PricingDataTable[[#This Row],[Current Price ($)]]-PricingDataTable[[#This Row],[Prior Price ($)]])/PricingDataTable[[#This Row],[Prior Price ($)]]</f>
        <v>-6.8949823433541784E-3</v>
      </c>
      <c r="L3522" s="9">
        <f>(PricingDataTable[[#This Row],[Vendor Price ($)]]-PricingDataTable[[#This Row],[Current Price ($)]])/PricingDataTable[[#This Row],[Current Price ($)]]</f>
        <v>-7.2267272017178868E-4</v>
      </c>
      <c r="M3522" t="str">
        <f t="shared" ref="M3522:M3585" si="110">IF(OR(F3522="",F3522=0),"MISSING",IF(H3522&gt;=3,"STALE",IF(ABS(K3522)&gt;=5%,"LARGE MOVE",IF(ABS(L3522)&gt;=2%,"VENDOR DIFFERENCE","PASS"))))</f>
        <v>PASS</v>
      </c>
      <c r="N3522" s="10" t="str">
        <f t="shared" ref="N3522:N3585" si="111">IF(M3522="PASS","NONE",IF(M3522="MISSING","HIGH",IF(OR(ABS(K3522)&gt;=10%,ABS(L3522)&gt;=5%),"HIGH",IF(OR(ABS(K3522)&gt;=7%,ABS(L3522)&gt;=3%,H3522&gt;=5),"MEDIUM","LOW"))))</f>
        <v>NONE</v>
      </c>
    </row>
    <row r="3523" spans="1:14">
      <c r="A3523" s="4" t="s">
        <v>7062</v>
      </c>
      <c r="B3523" s="4" t="s">
        <v>7063</v>
      </c>
      <c r="C3523" s="4" t="s">
        <v>19</v>
      </c>
      <c r="D3523" s="4" t="s">
        <v>237</v>
      </c>
      <c r="E3523" s="5">
        <v>310.3322</v>
      </c>
      <c r="F3523" s="5">
        <v>312.02420000000001</v>
      </c>
      <c r="G3523" s="5">
        <v>313.97000000000003</v>
      </c>
      <c r="H3523" s="4">
        <v>0</v>
      </c>
      <c r="I3523" s="6">
        <v>2338112</v>
      </c>
      <c r="J3523" s="7">
        <v>484.76</v>
      </c>
      <c r="K3523" s="9">
        <f>(PricingDataTable[[#This Row],[Current Price ($)]]-PricingDataTable[[#This Row],[Prior Price ($)]])/PricingDataTable[[#This Row],[Prior Price ($)]]</f>
        <v>5.4522218448488664E-3</v>
      </c>
      <c r="L3523" s="9">
        <f>(PricingDataTable[[#This Row],[Vendor Price ($)]]-PricingDataTable[[#This Row],[Current Price ($)]])/PricingDataTable[[#This Row],[Current Price ($)]]</f>
        <v>6.2360547675469396E-3</v>
      </c>
      <c r="M3523" t="str">
        <f t="shared" si="110"/>
        <v>PASS</v>
      </c>
      <c r="N3523" s="10" t="str">
        <f t="shared" si="111"/>
        <v>NONE</v>
      </c>
    </row>
    <row r="3524" spans="1:14">
      <c r="A3524" s="4" t="s">
        <v>7064</v>
      </c>
      <c r="B3524" s="4" t="s">
        <v>7065</v>
      </c>
      <c r="C3524" s="4" t="s">
        <v>16</v>
      </c>
      <c r="D3524" s="4" t="s">
        <v>32</v>
      </c>
      <c r="E3524" s="5">
        <v>99.195499999999996</v>
      </c>
      <c r="F3524" s="5">
        <v>97.592399999999998</v>
      </c>
      <c r="G3524" s="5">
        <v>97.2624</v>
      </c>
      <c r="H3524" s="4">
        <v>2</v>
      </c>
      <c r="I3524" s="6">
        <v>2654</v>
      </c>
      <c r="J3524" s="7">
        <v>579.78</v>
      </c>
      <c r="K3524" s="9">
        <f>(PricingDataTable[[#This Row],[Current Price ($)]]-PricingDataTable[[#This Row],[Prior Price ($)]])/PricingDataTable[[#This Row],[Prior Price ($)]]</f>
        <v>-1.6161015368640692E-2</v>
      </c>
      <c r="L3524" s="9">
        <f>(PricingDataTable[[#This Row],[Vendor Price ($)]]-PricingDataTable[[#This Row],[Current Price ($)]])/PricingDataTable[[#This Row],[Current Price ($)]]</f>
        <v>-3.3814108475659814E-3</v>
      </c>
      <c r="M3524" t="str">
        <f t="shared" si="110"/>
        <v>PASS</v>
      </c>
      <c r="N3524" s="10" t="str">
        <f t="shared" si="111"/>
        <v>NONE</v>
      </c>
    </row>
    <row r="3525" spans="1:14">
      <c r="A3525" s="4" t="s">
        <v>7066</v>
      </c>
      <c r="B3525" s="4" t="s">
        <v>7067</v>
      </c>
      <c r="C3525" s="4" t="s">
        <v>35</v>
      </c>
      <c r="D3525" s="4" t="s">
        <v>13</v>
      </c>
      <c r="E3525" s="5">
        <v>96.968900000000005</v>
      </c>
      <c r="F3525" s="5">
        <v>96.740300000000005</v>
      </c>
      <c r="G3525" s="5">
        <v>96.415499999999994</v>
      </c>
      <c r="H3525" s="4">
        <v>0</v>
      </c>
      <c r="I3525" s="6">
        <v>3331421</v>
      </c>
      <c r="J3525" s="7">
        <v>591.65</v>
      </c>
      <c r="K3525" s="9">
        <f>(PricingDataTable[[#This Row],[Current Price ($)]]-PricingDataTable[[#This Row],[Prior Price ($)]])/PricingDataTable[[#This Row],[Prior Price ($)]]</f>
        <v>-2.3574568753486954E-3</v>
      </c>
      <c r="L3525" s="9">
        <f>(PricingDataTable[[#This Row],[Vendor Price ($)]]-PricingDataTable[[#This Row],[Current Price ($)]])/PricingDataTable[[#This Row],[Current Price ($)]]</f>
        <v>-3.3574425549642746E-3</v>
      </c>
      <c r="M3525" t="str">
        <f t="shared" si="110"/>
        <v>PASS</v>
      </c>
      <c r="N3525" s="10" t="str">
        <f t="shared" si="111"/>
        <v>NONE</v>
      </c>
    </row>
    <row r="3526" spans="1:14">
      <c r="A3526" s="4" t="s">
        <v>7068</v>
      </c>
      <c r="B3526" s="4" t="s">
        <v>7069</v>
      </c>
      <c r="C3526" s="4" t="s">
        <v>12</v>
      </c>
      <c r="D3526" s="4" t="s">
        <v>13</v>
      </c>
      <c r="E3526" s="5">
        <v>122.19759999999999</v>
      </c>
      <c r="F3526" s="5">
        <v>122.5718</v>
      </c>
      <c r="G3526" s="5">
        <v>122.53789999999999</v>
      </c>
      <c r="H3526" s="4">
        <v>0</v>
      </c>
      <c r="I3526" s="6">
        <v>4585564</v>
      </c>
      <c r="J3526" s="7">
        <v>282.49</v>
      </c>
      <c r="K3526" s="9">
        <f>(PricingDataTable[[#This Row],[Current Price ($)]]-PricingDataTable[[#This Row],[Prior Price ($)]])/PricingDataTable[[#This Row],[Prior Price ($)]]</f>
        <v>3.0622532684766468E-3</v>
      </c>
      <c r="L3526" s="9">
        <f>(PricingDataTable[[#This Row],[Vendor Price ($)]]-PricingDataTable[[#This Row],[Current Price ($)]])/PricingDataTable[[#This Row],[Current Price ($)]]</f>
        <v>-2.7657258847469572E-4</v>
      </c>
      <c r="M3526" t="str">
        <f t="shared" si="110"/>
        <v>PASS</v>
      </c>
      <c r="N3526" s="10" t="str">
        <f t="shared" si="111"/>
        <v>NONE</v>
      </c>
    </row>
    <row r="3527" spans="1:14">
      <c r="A3527" s="4" t="s">
        <v>7070</v>
      </c>
      <c r="B3527" s="4" t="s">
        <v>7071</v>
      </c>
      <c r="C3527" s="4" t="s">
        <v>16</v>
      </c>
      <c r="D3527" s="4" t="s">
        <v>13</v>
      </c>
      <c r="E3527" s="5">
        <v>88.764499999999998</v>
      </c>
      <c r="F3527" s="5">
        <v>89.533500000000004</v>
      </c>
      <c r="G3527" s="5">
        <v>89.638099999999994</v>
      </c>
      <c r="H3527" s="4">
        <v>1</v>
      </c>
      <c r="I3527" s="6">
        <v>4547027</v>
      </c>
      <c r="J3527" s="7">
        <v>286.08</v>
      </c>
      <c r="K3527" s="9">
        <f>(PricingDataTable[[#This Row],[Current Price ($)]]-PricingDataTable[[#This Row],[Prior Price ($)]])/PricingDataTable[[#This Row],[Prior Price ($)]]</f>
        <v>8.6633733080229754E-3</v>
      </c>
      <c r="L3527" s="9">
        <f>(PricingDataTable[[#This Row],[Vendor Price ($)]]-PricingDataTable[[#This Row],[Current Price ($)]])/PricingDataTable[[#This Row],[Current Price ($)]]</f>
        <v>1.1682777954619299E-3</v>
      </c>
      <c r="M3527" t="str">
        <f t="shared" si="110"/>
        <v>PASS</v>
      </c>
      <c r="N3527" s="10" t="str">
        <f t="shared" si="111"/>
        <v>NONE</v>
      </c>
    </row>
    <row r="3528" spans="1:14">
      <c r="A3528" s="4" t="s">
        <v>7072</v>
      </c>
      <c r="B3528" s="4" t="s">
        <v>7073</v>
      </c>
      <c r="C3528" s="4" t="s">
        <v>16</v>
      </c>
      <c r="D3528" s="4" t="s">
        <v>64</v>
      </c>
      <c r="E3528" s="5">
        <v>79.969200000000001</v>
      </c>
      <c r="F3528" s="5">
        <v>81.442099999999996</v>
      </c>
      <c r="G3528" s="5">
        <v>73.701300000000003</v>
      </c>
      <c r="H3528" s="4">
        <v>0</v>
      </c>
      <c r="I3528" s="6">
        <v>1027812</v>
      </c>
      <c r="J3528" s="7">
        <v>494.97</v>
      </c>
      <c r="K3528" s="9">
        <f>(PricingDataTable[[#This Row],[Current Price ($)]]-PricingDataTable[[#This Row],[Prior Price ($)]])/PricingDataTable[[#This Row],[Prior Price ($)]]</f>
        <v>1.841834106130855E-2</v>
      </c>
      <c r="L3528" s="9">
        <f>(PricingDataTable[[#This Row],[Vendor Price ($)]]-PricingDataTable[[#This Row],[Current Price ($)]])/PricingDataTable[[#This Row],[Current Price ($)]]</f>
        <v>-9.5046665054069002E-2</v>
      </c>
      <c r="M3528" t="str">
        <f t="shared" si="110"/>
        <v>VENDOR DIFFERENCE</v>
      </c>
      <c r="N3528" s="10" t="str">
        <f t="shared" si="111"/>
        <v>HIGH</v>
      </c>
    </row>
    <row r="3529" spans="1:14">
      <c r="A3529" s="4" t="s">
        <v>7074</v>
      </c>
      <c r="B3529" s="4" t="s">
        <v>7075</v>
      </c>
      <c r="C3529" s="4" t="s">
        <v>12</v>
      </c>
      <c r="D3529" s="4" t="s">
        <v>13</v>
      </c>
      <c r="E3529" s="5">
        <v>115.9576</v>
      </c>
      <c r="F3529" s="5">
        <v>115.2106</v>
      </c>
      <c r="G3529" s="5">
        <v>115.3473</v>
      </c>
      <c r="H3529" s="4">
        <v>1</v>
      </c>
      <c r="I3529" s="6">
        <v>3673391</v>
      </c>
      <c r="J3529" s="7">
        <v>70.87</v>
      </c>
      <c r="K3529" s="9">
        <f>(PricingDataTable[[#This Row],[Current Price ($)]]-PricingDataTable[[#This Row],[Prior Price ($)]])/PricingDataTable[[#This Row],[Prior Price ($)]]</f>
        <v>-6.4420098380787447E-3</v>
      </c>
      <c r="L3529" s="9">
        <f>(PricingDataTable[[#This Row],[Vendor Price ($)]]-PricingDataTable[[#This Row],[Current Price ($)]])/PricingDataTable[[#This Row],[Current Price ($)]]</f>
        <v>1.1865227678703584E-3</v>
      </c>
      <c r="M3529" t="str">
        <f t="shared" si="110"/>
        <v>PASS</v>
      </c>
      <c r="N3529" s="10" t="str">
        <f t="shared" si="111"/>
        <v>NONE</v>
      </c>
    </row>
    <row r="3530" spans="1:14">
      <c r="A3530" s="4" t="s">
        <v>7076</v>
      </c>
      <c r="B3530" s="4" t="s">
        <v>7077</v>
      </c>
      <c r="C3530" s="4" t="s">
        <v>16</v>
      </c>
      <c r="D3530" s="4" t="s">
        <v>13</v>
      </c>
      <c r="E3530" s="5">
        <v>122.6617</v>
      </c>
      <c r="F3530" s="5">
        <v>141.202</v>
      </c>
      <c r="G3530" s="5">
        <v>142.00129999999999</v>
      </c>
      <c r="H3530" s="4">
        <v>1</v>
      </c>
      <c r="I3530" s="6">
        <v>4100107</v>
      </c>
      <c r="J3530" s="7">
        <v>422.1</v>
      </c>
      <c r="K3530" s="9">
        <f>(PricingDataTable[[#This Row],[Current Price ($)]]-PricingDataTable[[#This Row],[Prior Price ($)]])/PricingDataTable[[#This Row],[Prior Price ($)]]</f>
        <v>0.15114986992679869</v>
      </c>
      <c r="L3530" s="9">
        <f>(PricingDataTable[[#This Row],[Vendor Price ($)]]-PricingDataTable[[#This Row],[Current Price ($)]])/PricingDataTable[[#This Row],[Current Price ($)]]</f>
        <v>5.660684692851292E-3</v>
      </c>
      <c r="M3530" t="str">
        <f t="shared" si="110"/>
        <v>LARGE MOVE</v>
      </c>
      <c r="N3530" s="10" t="str">
        <f t="shared" si="111"/>
        <v>HIGH</v>
      </c>
    </row>
    <row r="3531" spans="1:14">
      <c r="A3531" s="4" t="s">
        <v>7078</v>
      </c>
      <c r="B3531" s="4" t="s">
        <v>7079</v>
      </c>
      <c r="C3531" s="4" t="s">
        <v>12</v>
      </c>
      <c r="D3531" s="4" t="s">
        <v>13</v>
      </c>
      <c r="E3531" s="5">
        <v>96.005399999999995</v>
      </c>
      <c r="F3531" s="5">
        <v>97.167400000000001</v>
      </c>
      <c r="G3531" s="5">
        <v>96.709400000000002</v>
      </c>
      <c r="H3531" s="4">
        <v>0</v>
      </c>
      <c r="I3531" s="6">
        <v>1469184</v>
      </c>
      <c r="J3531" s="7">
        <v>797.11</v>
      </c>
      <c r="K3531" s="9">
        <f>(PricingDataTable[[#This Row],[Current Price ($)]]-PricingDataTable[[#This Row],[Prior Price ($)]])/PricingDataTable[[#This Row],[Prior Price ($)]]</f>
        <v>1.2103485845587916E-2</v>
      </c>
      <c r="L3531" s="9">
        <f>(PricingDataTable[[#This Row],[Vendor Price ($)]]-PricingDataTable[[#This Row],[Current Price ($)]])/PricingDataTable[[#This Row],[Current Price ($)]]</f>
        <v>-4.7135150266447226E-3</v>
      </c>
      <c r="M3531" t="str">
        <f t="shared" si="110"/>
        <v>PASS</v>
      </c>
      <c r="N3531" s="10" t="str">
        <f t="shared" si="111"/>
        <v>NONE</v>
      </c>
    </row>
    <row r="3532" spans="1:14">
      <c r="A3532" s="4" t="s">
        <v>7080</v>
      </c>
      <c r="B3532" s="4" t="s">
        <v>7081</v>
      </c>
      <c r="C3532" s="4" t="s">
        <v>12</v>
      </c>
      <c r="D3532" s="4" t="s">
        <v>13</v>
      </c>
      <c r="E3532" s="5">
        <v>91.625900000000001</v>
      </c>
      <c r="F3532" s="5">
        <v>91.507400000000004</v>
      </c>
      <c r="G3532" s="5">
        <v>91.202500000000001</v>
      </c>
      <c r="H3532" s="4">
        <v>2</v>
      </c>
      <c r="I3532" s="6">
        <v>2824257</v>
      </c>
      <c r="J3532" s="7">
        <v>21.1</v>
      </c>
      <c r="K3532" s="9">
        <f>(PricingDataTable[[#This Row],[Current Price ($)]]-PricingDataTable[[#This Row],[Prior Price ($)]])/PricingDataTable[[#This Row],[Prior Price ($)]]</f>
        <v>-1.2933024395940164E-3</v>
      </c>
      <c r="L3532" s="9">
        <f>(PricingDataTable[[#This Row],[Vendor Price ($)]]-PricingDataTable[[#This Row],[Current Price ($)]])/PricingDataTable[[#This Row],[Current Price ($)]]</f>
        <v>-3.3319709662825462E-3</v>
      </c>
      <c r="M3532" t="str">
        <f t="shared" si="110"/>
        <v>PASS</v>
      </c>
      <c r="N3532" s="10" t="str">
        <f t="shared" si="111"/>
        <v>NONE</v>
      </c>
    </row>
    <row r="3533" spans="1:14">
      <c r="A3533" s="4" t="s">
        <v>7082</v>
      </c>
      <c r="B3533" s="4" t="s">
        <v>7083</v>
      </c>
      <c r="C3533" s="4" t="s">
        <v>16</v>
      </c>
      <c r="D3533" s="4" t="s">
        <v>13</v>
      </c>
      <c r="E3533" s="5">
        <v>94.327699999999993</v>
      </c>
      <c r="F3533" s="5">
        <v>93.653300000000002</v>
      </c>
      <c r="G3533" s="5">
        <v>93.448999999999998</v>
      </c>
      <c r="H3533" s="4">
        <v>0</v>
      </c>
      <c r="I3533" s="6">
        <v>4303489</v>
      </c>
      <c r="J3533" s="7">
        <v>554.73</v>
      </c>
      <c r="K3533" s="9">
        <f>(PricingDataTable[[#This Row],[Current Price ($)]]-PricingDataTable[[#This Row],[Prior Price ($)]])/PricingDataTable[[#This Row],[Prior Price ($)]]</f>
        <v>-7.1495435593149359E-3</v>
      </c>
      <c r="L3533" s="9">
        <f>(PricingDataTable[[#This Row],[Vendor Price ($)]]-PricingDataTable[[#This Row],[Current Price ($)]])/PricingDataTable[[#This Row],[Current Price ($)]]</f>
        <v>-2.1814500930560214E-3</v>
      </c>
      <c r="M3533" t="str">
        <f t="shared" si="110"/>
        <v>PASS</v>
      </c>
      <c r="N3533" s="10" t="str">
        <f t="shared" si="111"/>
        <v>NONE</v>
      </c>
    </row>
    <row r="3534" spans="1:14">
      <c r="A3534" s="4" t="s">
        <v>7084</v>
      </c>
      <c r="B3534" s="4" t="s">
        <v>7085</v>
      </c>
      <c r="C3534" s="4" t="s">
        <v>39</v>
      </c>
      <c r="D3534" s="4" t="s">
        <v>32</v>
      </c>
      <c r="E3534" s="5">
        <v>54.493200000000002</v>
      </c>
      <c r="F3534" s="5">
        <v>54.5349</v>
      </c>
      <c r="G3534" s="5">
        <v>54.4099</v>
      </c>
      <c r="H3534" s="4">
        <v>1</v>
      </c>
      <c r="I3534" s="6">
        <v>118441</v>
      </c>
      <c r="J3534" s="7">
        <v>607</v>
      </c>
      <c r="K3534" s="9">
        <f>(PricingDataTable[[#This Row],[Current Price ($)]]-PricingDataTable[[#This Row],[Prior Price ($)]])/PricingDataTable[[#This Row],[Prior Price ($)]]</f>
        <v>7.6523309330336149E-4</v>
      </c>
      <c r="L3534" s="9">
        <f>(PricingDataTable[[#This Row],[Vendor Price ($)]]-PricingDataTable[[#This Row],[Current Price ($)]])/PricingDataTable[[#This Row],[Current Price ($)]]</f>
        <v>-2.2921101899884295E-3</v>
      </c>
      <c r="M3534" t="str">
        <f t="shared" si="110"/>
        <v>PASS</v>
      </c>
      <c r="N3534" s="10" t="str">
        <f t="shared" si="111"/>
        <v>NONE</v>
      </c>
    </row>
    <row r="3535" spans="1:14">
      <c r="A3535" s="4" t="s">
        <v>7086</v>
      </c>
      <c r="B3535" s="4" t="s">
        <v>7087</v>
      </c>
      <c r="C3535" s="4" t="s">
        <v>16</v>
      </c>
      <c r="D3535" s="4" t="s">
        <v>13</v>
      </c>
      <c r="E3535" s="5">
        <v>100.73990000000001</v>
      </c>
      <c r="F3535" s="5">
        <v>101.1341</v>
      </c>
      <c r="G3535" s="5">
        <v>101.5231</v>
      </c>
      <c r="H3535" s="4">
        <v>0</v>
      </c>
      <c r="I3535" s="6">
        <v>1304435</v>
      </c>
      <c r="J3535" s="7">
        <v>7.16</v>
      </c>
      <c r="K3535" s="9">
        <f>(PricingDataTable[[#This Row],[Current Price ($)]]-PricingDataTable[[#This Row],[Prior Price ($)]])/PricingDataTable[[#This Row],[Prior Price ($)]]</f>
        <v>3.913047362564365E-3</v>
      </c>
      <c r="L3535" s="9">
        <f>(PricingDataTable[[#This Row],[Vendor Price ($)]]-PricingDataTable[[#This Row],[Current Price ($)]])/PricingDataTable[[#This Row],[Current Price ($)]]</f>
        <v>3.8463782245552764E-3</v>
      </c>
      <c r="M3535" t="str">
        <f t="shared" si="110"/>
        <v>PASS</v>
      </c>
      <c r="N3535" s="10" t="str">
        <f t="shared" si="111"/>
        <v>NONE</v>
      </c>
    </row>
    <row r="3536" spans="1:14">
      <c r="A3536" s="4" t="s">
        <v>7088</v>
      </c>
      <c r="B3536" s="4" t="s">
        <v>7089</v>
      </c>
      <c r="C3536" s="4" t="s">
        <v>19</v>
      </c>
      <c r="D3536" s="4" t="s">
        <v>13</v>
      </c>
      <c r="E3536" s="5">
        <v>189.65770000000001</v>
      </c>
      <c r="F3536" s="5">
        <v>186.76609999999999</v>
      </c>
      <c r="G3536" s="5">
        <v>186.52789999999999</v>
      </c>
      <c r="H3536" s="4">
        <v>0</v>
      </c>
      <c r="I3536" s="6">
        <v>4245244</v>
      </c>
      <c r="J3536" s="7">
        <v>533.25</v>
      </c>
      <c r="K3536" s="9">
        <f>(PricingDataTable[[#This Row],[Current Price ($)]]-PricingDataTable[[#This Row],[Prior Price ($)]])/PricingDataTable[[#This Row],[Prior Price ($)]]</f>
        <v>-1.5246414988687573E-2</v>
      </c>
      <c r="L3536" s="9">
        <f>(PricingDataTable[[#This Row],[Vendor Price ($)]]-PricingDataTable[[#This Row],[Current Price ($)]])/PricingDataTable[[#This Row],[Current Price ($)]]</f>
        <v>-1.2753920545538306E-3</v>
      </c>
      <c r="M3536" t="str">
        <f t="shared" si="110"/>
        <v>PASS</v>
      </c>
      <c r="N3536" s="10" t="str">
        <f t="shared" si="111"/>
        <v>NONE</v>
      </c>
    </row>
    <row r="3537" spans="1:14">
      <c r="A3537" s="4" t="s">
        <v>7090</v>
      </c>
      <c r="B3537" s="4" t="s">
        <v>7091</v>
      </c>
      <c r="C3537" s="4" t="s">
        <v>39</v>
      </c>
      <c r="D3537" s="4" t="s">
        <v>13</v>
      </c>
      <c r="E3537" s="5">
        <v>216.74019999999999</v>
      </c>
      <c r="F3537" s="5">
        <v>213.2346</v>
      </c>
      <c r="G3537" s="5">
        <v>213.3552</v>
      </c>
      <c r="H3537" s="4">
        <v>0</v>
      </c>
      <c r="I3537" s="6">
        <v>3038008</v>
      </c>
      <c r="J3537" s="7">
        <v>411.05</v>
      </c>
      <c r="K3537" s="9">
        <f>(PricingDataTable[[#This Row],[Current Price ($)]]-PricingDataTable[[#This Row],[Prior Price ($)]])/PricingDataTable[[#This Row],[Prior Price ($)]]</f>
        <v>-1.6174203032017075E-2</v>
      </c>
      <c r="L3537" s="9">
        <f>(PricingDataTable[[#This Row],[Vendor Price ($)]]-PricingDataTable[[#This Row],[Current Price ($)]])/PricingDataTable[[#This Row],[Current Price ($)]]</f>
        <v>5.6557425483479715E-4</v>
      </c>
      <c r="M3537" t="str">
        <f t="shared" si="110"/>
        <v>PASS</v>
      </c>
      <c r="N3537" s="10" t="str">
        <f t="shared" si="111"/>
        <v>NONE</v>
      </c>
    </row>
    <row r="3538" spans="1:14">
      <c r="A3538" s="4" t="s">
        <v>7092</v>
      </c>
      <c r="B3538" s="4" t="s">
        <v>7093</v>
      </c>
      <c r="C3538" s="4" t="s">
        <v>19</v>
      </c>
      <c r="D3538" s="4" t="s">
        <v>13</v>
      </c>
      <c r="E3538" s="5">
        <v>185.81389999999999</v>
      </c>
      <c r="F3538" s="5">
        <v>185.03020000000001</v>
      </c>
      <c r="G3538" s="5">
        <v>184.21090000000001</v>
      </c>
      <c r="H3538" s="4">
        <v>0</v>
      </c>
      <c r="I3538" s="6">
        <v>2801044</v>
      </c>
      <c r="J3538" s="7">
        <v>116</v>
      </c>
      <c r="K3538" s="9">
        <f>(PricingDataTable[[#This Row],[Current Price ($)]]-PricingDataTable[[#This Row],[Prior Price ($)]])/PricingDataTable[[#This Row],[Prior Price ($)]]</f>
        <v>-4.2176607885630836E-3</v>
      </c>
      <c r="L3538" s="9">
        <f>(PricingDataTable[[#This Row],[Vendor Price ($)]]-PricingDataTable[[#This Row],[Current Price ($)]])/PricingDataTable[[#This Row],[Current Price ($)]]</f>
        <v>-4.4279258196769948E-3</v>
      </c>
      <c r="M3538" t="str">
        <f t="shared" si="110"/>
        <v>PASS</v>
      </c>
      <c r="N3538" s="10" t="str">
        <f t="shared" si="111"/>
        <v>NONE</v>
      </c>
    </row>
    <row r="3539" spans="1:14">
      <c r="A3539" s="4" t="s">
        <v>7094</v>
      </c>
      <c r="B3539" s="4" t="s">
        <v>7095</v>
      </c>
      <c r="C3539" s="4" t="s">
        <v>19</v>
      </c>
      <c r="D3539" s="4" t="s">
        <v>13</v>
      </c>
      <c r="E3539" s="5">
        <v>318.18680000000001</v>
      </c>
      <c r="F3539" s="5">
        <v>322.0566</v>
      </c>
      <c r="G3539" s="5">
        <v>321.97660000000002</v>
      </c>
      <c r="H3539" s="4">
        <v>0</v>
      </c>
      <c r="I3539" s="6">
        <v>1730957</v>
      </c>
      <c r="J3539" s="7">
        <v>75.28</v>
      </c>
      <c r="K3539" s="9">
        <f>(PricingDataTable[[#This Row],[Current Price ($)]]-PricingDataTable[[#This Row],[Prior Price ($)]])/PricingDataTable[[#This Row],[Prior Price ($)]]</f>
        <v>1.2162038148659838E-2</v>
      </c>
      <c r="L3539" s="9">
        <f>(PricingDataTable[[#This Row],[Vendor Price ($)]]-PricingDataTable[[#This Row],[Current Price ($)]])/PricingDataTable[[#This Row],[Current Price ($)]]</f>
        <v>-2.4840354148924159E-4</v>
      </c>
      <c r="M3539" t="str">
        <f t="shared" si="110"/>
        <v>PASS</v>
      </c>
      <c r="N3539" s="10" t="str">
        <f t="shared" si="111"/>
        <v>NONE</v>
      </c>
    </row>
    <row r="3540" spans="1:14">
      <c r="A3540" s="4" t="s">
        <v>7096</v>
      </c>
      <c r="B3540" s="4" t="s">
        <v>7097</v>
      </c>
      <c r="C3540" s="4" t="s">
        <v>35</v>
      </c>
      <c r="D3540" s="4" t="s">
        <v>13</v>
      </c>
      <c r="E3540" s="5">
        <v>22.598299999999998</v>
      </c>
      <c r="F3540" s="5">
        <v>22.401</v>
      </c>
      <c r="G3540" s="5">
        <v>22.4953</v>
      </c>
      <c r="H3540" s="4">
        <v>4</v>
      </c>
      <c r="I3540" s="6">
        <v>2891971</v>
      </c>
      <c r="J3540" s="7">
        <v>308.55</v>
      </c>
      <c r="K3540" s="9">
        <f>(PricingDataTable[[#This Row],[Current Price ($)]]-PricingDataTable[[#This Row],[Prior Price ($)]])/PricingDataTable[[#This Row],[Prior Price ($)]]</f>
        <v>-8.7307452330484363E-3</v>
      </c>
      <c r="L3540" s="9">
        <f>(PricingDataTable[[#This Row],[Vendor Price ($)]]-PricingDataTable[[#This Row],[Current Price ($)]])/PricingDataTable[[#This Row],[Current Price ($)]]</f>
        <v>4.2096334985045536E-3</v>
      </c>
      <c r="M3540" t="str">
        <f t="shared" si="110"/>
        <v>STALE</v>
      </c>
      <c r="N3540" s="10" t="str">
        <f t="shared" si="111"/>
        <v>LOW</v>
      </c>
    </row>
    <row r="3541" spans="1:14">
      <c r="A3541" s="4" t="s">
        <v>7098</v>
      </c>
      <c r="B3541" s="4" t="s">
        <v>7099</v>
      </c>
      <c r="C3541" s="4" t="s">
        <v>16</v>
      </c>
      <c r="D3541" s="4" t="s">
        <v>13</v>
      </c>
      <c r="E3541" s="5">
        <v>79.641400000000004</v>
      </c>
      <c r="F3541" s="5">
        <v>79.145600000000002</v>
      </c>
      <c r="G3541" s="5">
        <v>79.131100000000004</v>
      </c>
      <c r="H3541" s="4">
        <v>0</v>
      </c>
      <c r="I3541" s="6">
        <v>921328</v>
      </c>
      <c r="J3541" s="7">
        <v>410.29</v>
      </c>
      <c r="K3541" s="9">
        <f>(PricingDataTable[[#This Row],[Current Price ($)]]-PricingDataTable[[#This Row],[Prior Price ($)]])/PricingDataTable[[#This Row],[Prior Price ($)]]</f>
        <v>-6.2254053796141533E-3</v>
      </c>
      <c r="L3541" s="9">
        <f>(PricingDataTable[[#This Row],[Vendor Price ($)]]-PricingDataTable[[#This Row],[Current Price ($)]])/PricingDataTable[[#This Row],[Current Price ($)]]</f>
        <v>-1.8320664698982862E-4</v>
      </c>
      <c r="M3541" t="str">
        <f t="shared" si="110"/>
        <v>PASS</v>
      </c>
      <c r="N3541" s="10" t="str">
        <f t="shared" si="111"/>
        <v>NONE</v>
      </c>
    </row>
    <row r="3542" spans="1:14">
      <c r="A3542" s="4" t="s">
        <v>7100</v>
      </c>
      <c r="B3542" s="4" t="s">
        <v>7101</v>
      </c>
      <c r="C3542" s="4" t="s">
        <v>39</v>
      </c>
      <c r="D3542" s="4" t="s">
        <v>13</v>
      </c>
      <c r="E3542" s="5">
        <v>245.08439999999999</v>
      </c>
      <c r="F3542" s="5">
        <v>241.97040000000001</v>
      </c>
      <c r="G3542" s="5">
        <v>242.43539999999999</v>
      </c>
      <c r="H3542" s="4">
        <v>0</v>
      </c>
      <c r="I3542" s="6">
        <v>198068</v>
      </c>
      <c r="J3542" s="7">
        <v>169.21</v>
      </c>
      <c r="K3542" s="9">
        <f>(PricingDataTable[[#This Row],[Current Price ($)]]-PricingDataTable[[#This Row],[Prior Price ($)]])/PricingDataTable[[#This Row],[Prior Price ($)]]</f>
        <v>-1.2705827053863797E-2</v>
      </c>
      <c r="L3542" s="9">
        <f>(PricingDataTable[[#This Row],[Vendor Price ($)]]-PricingDataTable[[#This Row],[Current Price ($)]])/PricingDataTable[[#This Row],[Current Price ($)]]</f>
        <v>1.9217226569860403E-3</v>
      </c>
      <c r="M3542" t="str">
        <f t="shared" si="110"/>
        <v>PASS</v>
      </c>
      <c r="N3542" s="10" t="str">
        <f t="shared" si="111"/>
        <v>NONE</v>
      </c>
    </row>
    <row r="3543" spans="1:14">
      <c r="A3543" s="4" t="s">
        <v>7102</v>
      </c>
      <c r="B3543" s="4" t="s">
        <v>7103</v>
      </c>
      <c r="C3543" s="4" t="s">
        <v>19</v>
      </c>
      <c r="D3543" s="4" t="s">
        <v>13</v>
      </c>
      <c r="E3543" s="5">
        <v>347.1705</v>
      </c>
      <c r="F3543" s="5">
        <v>342.06599999999997</v>
      </c>
      <c r="G3543" s="5">
        <v>342.80090000000001</v>
      </c>
      <c r="H3543" s="4">
        <v>0</v>
      </c>
      <c r="I3543" s="6">
        <v>2645956</v>
      </c>
      <c r="J3543" s="7">
        <v>274.25</v>
      </c>
      <c r="K3543" s="9">
        <f>(PricingDataTable[[#This Row],[Current Price ($)]]-PricingDataTable[[#This Row],[Prior Price ($)]])/PricingDataTable[[#This Row],[Prior Price ($)]]</f>
        <v>-1.4703150181251085E-2</v>
      </c>
      <c r="L3543" s="9">
        <f>(PricingDataTable[[#This Row],[Vendor Price ($)]]-PricingDataTable[[#This Row],[Current Price ($)]])/PricingDataTable[[#This Row],[Current Price ($)]]</f>
        <v>2.148415802798404E-3</v>
      </c>
      <c r="M3543" t="str">
        <f t="shared" si="110"/>
        <v>PASS</v>
      </c>
      <c r="N3543" s="10" t="str">
        <f t="shared" si="111"/>
        <v>NONE</v>
      </c>
    </row>
    <row r="3544" spans="1:14">
      <c r="A3544" s="4" t="s">
        <v>7104</v>
      </c>
      <c r="B3544" s="4" t="s">
        <v>7105</v>
      </c>
      <c r="C3544" s="4" t="s">
        <v>19</v>
      </c>
      <c r="D3544" s="4" t="s">
        <v>13</v>
      </c>
      <c r="E3544" s="5">
        <v>311.98719999999997</v>
      </c>
      <c r="F3544" s="5">
        <v>314.60860000000002</v>
      </c>
      <c r="G3544" s="5">
        <v>314.5838</v>
      </c>
      <c r="H3544" s="4">
        <v>0</v>
      </c>
      <c r="I3544" s="6">
        <v>2735525</v>
      </c>
      <c r="J3544" s="7">
        <v>459.19</v>
      </c>
      <c r="K3544" s="9">
        <f>(PricingDataTable[[#This Row],[Current Price ($)]]-PricingDataTable[[#This Row],[Prior Price ($)]])/PricingDataTable[[#This Row],[Prior Price ($)]]</f>
        <v>8.4022677853452035E-3</v>
      </c>
      <c r="L3544" s="9">
        <f>(PricingDataTable[[#This Row],[Vendor Price ($)]]-PricingDataTable[[#This Row],[Current Price ($)]])/PricingDataTable[[#This Row],[Current Price ($)]]</f>
        <v>-7.8828105779776727E-5</v>
      </c>
      <c r="M3544" t="str">
        <f t="shared" si="110"/>
        <v>PASS</v>
      </c>
      <c r="N3544" s="10" t="str">
        <f t="shared" si="111"/>
        <v>NONE</v>
      </c>
    </row>
    <row r="3545" spans="1:14">
      <c r="A3545" s="4" t="s">
        <v>7106</v>
      </c>
      <c r="B3545" s="4" t="s">
        <v>7107</v>
      </c>
      <c r="C3545" s="4" t="s">
        <v>19</v>
      </c>
      <c r="D3545" s="4" t="s">
        <v>13</v>
      </c>
      <c r="E3545" s="5">
        <v>274.41559999999998</v>
      </c>
      <c r="F3545" s="5">
        <v>279.68579999999997</v>
      </c>
      <c r="G3545" s="5">
        <v>280.19880000000001</v>
      </c>
      <c r="H3545" s="4">
        <v>1</v>
      </c>
      <c r="I3545" s="6">
        <v>3488885</v>
      </c>
      <c r="J3545" s="7">
        <v>291.02999999999997</v>
      </c>
      <c r="K3545" s="9">
        <f>(PricingDataTable[[#This Row],[Current Price ($)]]-PricingDataTable[[#This Row],[Prior Price ($)]])/PricingDataTable[[#This Row],[Prior Price ($)]]</f>
        <v>1.9205176382100685E-2</v>
      </c>
      <c r="L3545" s="9">
        <f>(PricingDataTable[[#This Row],[Vendor Price ($)]]-PricingDataTable[[#This Row],[Current Price ($)]])/PricingDataTable[[#This Row],[Current Price ($)]]</f>
        <v>1.8342010927978243E-3</v>
      </c>
      <c r="M3545" t="str">
        <f t="shared" si="110"/>
        <v>PASS</v>
      </c>
      <c r="N3545" s="10" t="str">
        <f t="shared" si="111"/>
        <v>NONE</v>
      </c>
    </row>
    <row r="3546" spans="1:14">
      <c r="A3546" s="4" t="s">
        <v>7108</v>
      </c>
      <c r="B3546" s="4" t="s">
        <v>7109</v>
      </c>
      <c r="C3546" s="4" t="s">
        <v>16</v>
      </c>
      <c r="D3546" s="4" t="s">
        <v>13</v>
      </c>
      <c r="E3546" s="5">
        <v>112.2544</v>
      </c>
      <c r="F3546" s="5">
        <v>109.974</v>
      </c>
      <c r="G3546" s="5">
        <v>109.8098</v>
      </c>
      <c r="H3546" s="4">
        <v>0</v>
      </c>
      <c r="I3546" s="6">
        <v>2000462</v>
      </c>
      <c r="J3546" s="7">
        <v>577.16</v>
      </c>
      <c r="K3546" s="9">
        <f>(PricingDataTable[[#This Row],[Current Price ($)]]-PricingDataTable[[#This Row],[Prior Price ($)]])/PricingDataTable[[#This Row],[Prior Price ($)]]</f>
        <v>-2.0314571188300861E-2</v>
      </c>
      <c r="L3546" s="9">
        <f>(PricingDataTable[[#This Row],[Vendor Price ($)]]-PricingDataTable[[#This Row],[Current Price ($)]])/PricingDataTable[[#This Row],[Current Price ($)]]</f>
        <v>-1.4930801825886856E-3</v>
      </c>
      <c r="M3546" t="str">
        <f t="shared" si="110"/>
        <v>PASS</v>
      </c>
      <c r="N3546" s="10" t="str">
        <f t="shared" si="111"/>
        <v>NONE</v>
      </c>
    </row>
    <row r="3547" spans="1:14">
      <c r="A3547" s="4" t="s">
        <v>7110</v>
      </c>
      <c r="B3547" s="4" t="s">
        <v>7111</v>
      </c>
      <c r="C3547" s="4" t="s">
        <v>19</v>
      </c>
      <c r="D3547" s="4" t="s">
        <v>64</v>
      </c>
      <c r="E3547" s="5">
        <v>16.724900000000002</v>
      </c>
      <c r="F3547" s="5">
        <v>16.574000000000002</v>
      </c>
      <c r="G3547" s="5">
        <v>16.6145</v>
      </c>
      <c r="H3547" s="4">
        <v>1</v>
      </c>
      <c r="I3547" s="6">
        <v>3537479</v>
      </c>
      <c r="J3547" s="7">
        <v>755.02</v>
      </c>
      <c r="K3547" s="9">
        <f>(PricingDataTable[[#This Row],[Current Price ($)]]-PricingDataTable[[#This Row],[Prior Price ($)]])/PricingDataTable[[#This Row],[Prior Price ($)]]</f>
        <v>-9.0224754707053569E-3</v>
      </c>
      <c r="L3547" s="9">
        <f>(PricingDataTable[[#This Row],[Vendor Price ($)]]-PricingDataTable[[#This Row],[Current Price ($)]])/PricingDataTable[[#This Row],[Current Price ($)]]</f>
        <v>2.44358634005056E-3</v>
      </c>
      <c r="M3547" t="str">
        <f t="shared" si="110"/>
        <v>PASS</v>
      </c>
      <c r="N3547" s="10" t="str">
        <f t="shared" si="111"/>
        <v>NONE</v>
      </c>
    </row>
    <row r="3548" spans="1:14">
      <c r="A3548" s="4" t="s">
        <v>7112</v>
      </c>
      <c r="B3548" s="4" t="s">
        <v>7113</v>
      </c>
      <c r="C3548" s="4" t="s">
        <v>39</v>
      </c>
      <c r="D3548" s="4" t="s">
        <v>36</v>
      </c>
      <c r="E3548" s="5">
        <v>272.47770000000003</v>
      </c>
      <c r="F3548" s="5">
        <v>276.79090000000002</v>
      </c>
      <c r="G3548" s="5">
        <v>275.71870000000001</v>
      </c>
      <c r="H3548" s="4">
        <v>2</v>
      </c>
      <c r="I3548" s="6">
        <v>3697021</v>
      </c>
      <c r="J3548" s="7">
        <v>769.49</v>
      </c>
      <c r="K3548" s="9">
        <f>(PricingDataTable[[#This Row],[Current Price ($)]]-PricingDataTable[[#This Row],[Prior Price ($)]])/PricingDataTable[[#This Row],[Prior Price ($)]]</f>
        <v>1.5829552289967196E-2</v>
      </c>
      <c r="L3548" s="9">
        <f>(PricingDataTable[[#This Row],[Vendor Price ($)]]-PricingDataTable[[#This Row],[Current Price ($)]])/PricingDataTable[[#This Row],[Current Price ($)]]</f>
        <v>-3.8736822633981438E-3</v>
      </c>
      <c r="M3548" t="str">
        <f t="shared" si="110"/>
        <v>PASS</v>
      </c>
      <c r="N3548" s="10" t="str">
        <f t="shared" si="111"/>
        <v>NONE</v>
      </c>
    </row>
    <row r="3549" spans="1:14">
      <c r="A3549" s="4" t="s">
        <v>7114</v>
      </c>
      <c r="B3549" s="4" t="s">
        <v>7115</v>
      </c>
      <c r="C3549" s="4" t="s">
        <v>19</v>
      </c>
      <c r="D3549" s="4" t="s">
        <v>64</v>
      </c>
      <c r="E3549" s="5">
        <v>19.447299999999998</v>
      </c>
      <c r="F3549" s="5">
        <v>19.380800000000001</v>
      </c>
      <c r="G3549" s="5">
        <v>19.2013</v>
      </c>
      <c r="H3549" s="4">
        <v>0</v>
      </c>
      <c r="I3549" s="6">
        <v>940286</v>
      </c>
      <c r="J3549" s="7">
        <v>467.89</v>
      </c>
      <c r="K3549" s="9">
        <f>(PricingDataTable[[#This Row],[Current Price ($)]]-PricingDataTable[[#This Row],[Prior Price ($)]])/PricingDataTable[[#This Row],[Prior Price ($)]]</f>
        <v>-3.4194978223196942E-3</v>
      </c>
      <c r="L3549" s="9">
        <f>(PricingDataTable[[#This Row],[Vendor Price ($)]]-PricingDataTable[[#This Row],[Current Price ($)]])/PricingDataTable[[#This Row],[Current Price ($)]]</f>
        <v>-9.2617435812763597E-3</v>
      </c>
      <c r="M3549" t="str">
        <f t="shared" si="110"/>
        <v>PASS</v>
      </c>
      <c r="N3549" s="10" t="str">
        <f t="shared" si="111"/>
        <v>NONE</v>
      </c>
    </row>
    <row r="3550" spans="1:14">
      <c r="A3550" s="4" t="s">
        <v>7116</v>
      </c>
      <c r="B3550" s="4" t="s">
        <v>7117</v>
      </c>
      <c r="C3550" s="4" t="s">
        <v>35</v>
      </c>
      <c r="D3550" s="4" t="s">
        <v>13</v>
      </c>
      <c r="E3550" s="5">
        <v>165.24629999999999</v>
      </c>
      <c r="F3550" s="5">
        <v>164.80719999999999</v>
      </c>
      <c r="G3550" s="5">
        <v>165.48840000000001</v>
      </c>
      <c r="H3550" s="4">
        <v>0</v>
      </c>
      <c r="I3550" s="6">
        <v>4074746</v>
      </c>
      <c r="J3550" s="7">
        <v>178.45</v>
      </c>
      <c r="K3550" s="9">
        <f>(PricingDataTable[[#This Row],[Current Price ($)]]-PricingDataTable[[#This Row],[Prior Price ($)]])/PricingDataTable[[#This Row],[Prior Price ($)]]</f>
        <v>-2.6572455782670856E-3</v>
      </c>
      <c r="L3550" s="9">
        <f>(PricingDataTable[[#This Row],[Vendor Price ($)]]-PricingDataTable[[#This Row],[Current Price ($)]])/PricingDataTable[[#This Row],[Current Price ($)]]</f>
        <v>4.1333145639269294E-3</v>
      </c>
      <c r="M3550" t="str">
        <f t="shared" si="110"/>
        <v>PASS</v>
      </c>
      <c r="N3550" s="10" t="str">
        <f t="shared" si="111"/>
        <v>NONE</v>
      </c>
    </row>
    <row r="3551" spans="1:14">
      <c r="A3551" s="4" t="s">
        <v>7118</v>
      </c>
      <c r="B3551" s="4" t="s">
        <v>7119</v>
      </c>
      <c r="C3551" s="4" t="s">
        <v>39</v>
      </c>
      <c r="D3551" s="4" t="s">
        <v>36</v>
      </c>
      <c r="E3551" s="5">
        <v>80.218500000000006</v>
      </c>
      <c r="F3551" s="5">
        <v>79.689300000000003</v>
      </c>
      <c r="G3551" s="5">
        <v>79.469200000000001</v>
      </c>
      <c r="H3551" s="4">
        <v>1</v>
      </c>
      <c r="I3551" s="6">
        <v>2238908</v>
      </c>
      <c r="J3551" s="7">
        <v>427.51</v>
      </c>
      <c r="K3551" s="9">
        <f>(PricingDataTable[[#This Row],[Current Price ($)]]-PricingDataTable[[#This Row],[Prior Price ($)]])/PricingDataTable[[#This Row],[Prior Price ($)]]</f>
        <v>-6.5969819929318418E-3</v>
      </c>
      <c r="L3551" s="9">
        <f>(PricingDataTable[[#This Row],[Vendor Price ($)]]-PricingDataTable[[#This Row],[Current Price ($)]])/PricingDataTable[[#This Row],[Current Price ($)]]</f>
        <v>-2.7619768275038451E-3</v>
      </c>
      <c r="M3551" t="str">
        <f t="shared" si="110"/>
        <v>PASS</v>
      </c>
      <c r="N3551" s="10" t="str">
        <f t="shared" si="111"/>
        <v>NONE</v>
      </c>
    </row>
    <row r="3552" spans="1:14">
      <c r="A3552" s="4" t="s">
        <v>7120</v>
      </c>
      <c r="B3552" s="4" t="s">
        <v>7121</v>
      </c>
      <c r="C3552" s="4" t="s">
        <v>12</v>
      </c>
      <c r="D3552" s="4" t="s">
        <v>13</v>
      </c>
      <c r="E3552" s="5">
        <v>98.350099999999998</v>
      </c>
      <c r="F3552" s="5">
        <v>95.004400000000004</v>
      </c>
      <c r="G3552" s="5">
        <v>94.746899999999997</v>
      </c>
      <c r="H3552" s="4">
        <v>1</v>
      </c>
      <c r="I3552" s="6">
        <v>2983310</v>
      </c>
      <c r="J3552" s="7">
        <v>418.83</v>
      </c>
      <c r="K3552" s="9">
        <f>(PricingDataTable[[#This Row],[Current Price ($)]]-PricingDataTable[[#This Row],[Prior Price ($)]])/PricingDataTable[[#This Row],[Prior Price ($)]]</f>
        <v>-3.4018267393729075E-2</v>
      </c>
      <c r="L3552" s="9">
        <f>(PricingDataTable[[#This Row],[Vendor Price ($)]]-PricingDataTable[[#This Row],[Current Price ($)]])/PricingDataTable[[#This Row],[Current Price ($)]]</f>
        <v>-2.7104007814375691E-3</v>
      </c>
      <c r="M3552" t="str">
        <f t="shared" si="110"/>
        <v>PASS</v>
      </c>
      <c r="N3552" s="10" t="str">
        <f t="shared" si="111"/>
        <v>NONE</v>
      </c>
    </row>
    <row r="3553" spans="1:14">
      <c r="A3553" s="4" t="s">
        <v>7122</v>
      </c>
      <c r="B3553" s="4" t="s">
        <v>7123</v>
      </c>
      <c r="C3553" s="4" t="s">
        <v>19</v>
      </c>
      <c r="D3553" s="4" t="s">
        <v>13</v>
      </c>
      <c r="E3553" s="5">
        <v>212.7869</v>
      </c>
      <c r="F3553" s="5">
        <v>206.48330000000001</v>
      </c>
      <c r="G3553" s="5">
        <v>206.8954</v>
      </c>
      <c r="H3553" s="4">
        <v>0</v>
      </c>
      <c r="I3553" s="6">
        <v>4941102</v>
      </c>
      <c r="J3553" s="7">
        <v>637.67999999999995</v>
      </c>
      <c r="K3553" s="9">
        <f>(PricingDataTable[[#This Row],[Current Price ($)]]-PricingDataTable[[#This Row],[Prior Price ($)]])/PricingDataTable[[#This Row],[Prior Price ($)]]</f>
        <v>-2.962400410927547E-2</v>
      </c>
      <c r="L3553" s="9">
        <f>(PricingDataTable[[#This Row],[Vendor Price ($)]]-PricingDataTable[[#This Row],[Current Price ($)]])/PricingDataTable[[#This Row],[Current Price ($)]]</f>
        <v>1.9958030504160919E-3</v>
      </c>
      <c r="M3553" t="str">
        <f t="shared" si="110"/>
        <v>PASS</v>
      </c>
      <c r="N3553" s="10" t="str">
        <f t="shared" si="111"/>
        <v>NONE</v>
      </c>
    </row>
    <row r="3554" spans="1:14">
      <c r="A3554" s="4" t="s">
        <v>7124</v>
      </c>
      <c r="B3554" s="4" t="s">
        <v>7125</v>
      </c>
      <c r="C3554" s="4" t="s">
        <v>12</v>
      </c>
      <c r="D3554" s="4" t="s">
        <v>13</v>
      </c>
      <c r="E3554" s="5">
        <v>92.717500000000001</v>
      </c>
      <c r="F3554" s="5">
        <v>94.906300000000002</v>
      </c>
      <c r="G3554" s="5">
        <v>94.979699999999994</v>
      </c>
      <c r="H3554" s="4">
        <v>1</v>
      </c>
      <c r="I3554" s="6">
        <v>4138040</v>
      </c>
      <c r="J3554" s="7">
        <v>603.61</v>
      </c>
      <c r="K3554" s="9">
        <f>(PricingDataTable[[#This Row],[Current Price ($)]]-PricingDataTable[[#This Row],[Prior Price ($)]])/PricingDataTable[[#This Row],[Prior Price ($)]]</f>
        <v>2.3607193895435065E-2</v>
      </c>
      <c r="L3554" s="9">
        <f>(PricingDataTable[[#This Row],[Vendor Price ($)]]-PricingDataTable[[#This Row],[Current Price ($)]])/PricingDataTable[[#This Row],[Current Price ($)]]</f>
        <v>7.7339439004568038E-4</v>
      </c>
      <c r="M3554" t="str">
        <f t="shared" si="110"/>
        <v>PASS</v>
      </c>
      <c r="N3554" s="10" t="str">
        <f t="shared" si="111"/>
        <v>NONE</v>
      </c>
    </row>
    <row r="3555" spans="1:14">
      <c r="A3555" s="4" t="s">
        <v>7126</v>
      </c>
      <c r="B3555" s="4" t="s">
        <v>7127</v>
      </c>
      <c r="C3555" s="4" t="s">
        <v>16</v>
      </c>
      <c r="D3555" s="4" t="s">
        <v>13</v>
      </c>
      <c r="E3555" s="5">
        <v>123.5583</v>
      </c>
      <c r="F3555" s="5">
        <v>125.4765</v>
      </c>
      <c r="G3555" s="5">
        <v>120.05329999999999</v>
      </c>
      <c r="H3555" s="4">
        <v>0</v>
      </c>
      <c r="I3555" s="6">
        <v>1916226</v>
      </c>
      <c r="J3555" s="7">
        <v>896.44</v>
      </c>
      <c r="K3555" s="9">
        <f>(PricingDataTable[[#This Row],[Current Price ($)]]-PricingDataTable[[#This Row],[Prior Price ($)]])/PricingDataTable[[#This Row],[Prior Price ($)]]</f>
        <v>1.5524655162785493E-2</v>
      </c>
      <c r="L3555" s="9">
        <f>(PricingDataTable[[#This Row],[Vendor Price ($)]]-PricingDataTable[[#This Row],[Current Price ($)]])/PricingDataTable[[#This Row],[Current Price ($)]]</f>
        <v>-4.3220842149725311E-2</v>
      </c>
      <c r="M3555" t="str">
        <f t="shared" si="110"/>
        <v>VENDOR DIFFERENCE</v>
      </c>
      <c r="N3555" s="10" t="str">
        <f t="shared" si="111"/>
        <v>MEDIUM</v>
      </c>
    </row>
    <row r="3556" spans="1:14">
      <c r="A3556" s="4" t="s">
        <v>7128</v>
      </c>
      <c r="B3556" s="4" t="s">
        <v>7129</v>
      </c>
      <c r="C3556" s="4" t="s">
        <v>19</v>
      </c>
      <c r="D3556" s="4" t="s">
        <v>13</v>
      </c>
      <c r="E3556" s="5">
        <v>266.17790000000002</v>
      </c>
      <c r="F3556" s="5">
        <v>269.5283</v>
      </c>
      <c r="G3556" s="5">
        <v>269.7423</v>
      </c>
      <c r="H3556" s="4">
        <v>5</v>
      </c>
      <c r="I3556" s="6">
        <v>4722543</v>
      </c>
      <c r="J3556" s="7">
        <v>254.15</v>
      </c>
      <c r="K3556" s="9">
        <f>(PricingDataTable[[#This Row],[Current Price ($)]]-PricingDataTable[[#This Row],[Prior Price ($)]])/PricingDataTable[[#This Row],[Prior Price ($)]]</f>
        <v>1.2587070526891897E-2</v>
      </c>
      <c r="L3556" s="9">
        <f>(PricingDataTable[[#This Row],[Vendor Price ($)]]-PricingDataTable[[#This Row],[Current Price ($)]])/PricingDataTable[[#This Row],[Current Price ($)]]</f>
        <v>7.9397970454308001E-4</v>
      </c>
      <c r="M3556" t="str">
        <f t="shared" si="110"/>
        <v>STALE</v>
      </c>
      <c r="N3556" s="10" t="str">
        <f t="shared" si="111"/>
        <v>MEDIUM</v>
      </c>
    </row>
    <row r="3557" spans="1:14">
      <c r="A3557" s="4" t="s">
        <v>7130</v>
      </c>
      <c r="B3557" s="4" t="s">
        <v>7131</v>
      </c>
      <c r="C3557" s="4" t="s">
        <v>16</v>
      </c>
      <c r="D3557" s="4" t="s">
        <v>13</v>
      </c>
      <c r="E3557" s="5">
        <v>124.4753</v>
      </c>
      <c r="F3557" s="5">
        <v>124.5059</v>
      </c>
      <c r="G3557" s="5">
        <v>124.1176</v>
      </c>
      <c r="H3557" s="4">
        <v>0</v>
      </c>
      <c r="I3557" s="6">
        <v>4759289</v>
      </c>
      <c r="J3557" s="7">
        <v>148.30000000000001</v>
      </c>
      <c r="K3557" s="9">
        <f>(PricingDataTable[[#This Row],[Current Price ($)]]-PricingDataTable[[#This Row],[Prior Price ($)]])/PricingDataTable[[#This Row],[Prior Price ($)]]</f>
        <v>2.458319040001722E-4</v>
      </c>
      <c r="L3557" s="9">
        <f>(PricingDataTable[[#This Row],[Vendor Price ($)]]-PricingDataTable[[#This Row],[Current Price ($)]])/PricingDataTable[[#This Row],[Current Price ($)]]</f>
        <v>-3.1187277068797621E-3</v>
      </c>
      <c r="M3557" t="str">
        <f t="shared" si="110"/>
        <v>PASS</v>
      </c>
      <c r="N3557" s="10" t="str">
        <f t="shared" si="111"/>
        <v>NONE</v>
      </c>
    </row>
    <row r="3558" spans="1:14">
      <c r="A3558" s="4" t="s">
        <v>7132</v>
      </c>
      <c r="B3558" s="4" t="s">
        <v>7133</v>
      </c>
      <c r="C3558" s="4" t="s">
        <v>16</v>
      </c>
      <c r="D3558" s="4" t="s">
        <v>13</v>
      </c>
      <c r="E3558" s="5">
        <v>90.867000000000004</v>
      </c>
      <c r="F3558" s="5">
        <v>89.731800000000007</v>
      </c>
      <c r="G3558" s="5">
        <v>89.693700000000007</v>
      </c>
      <c r="H3558" s="4">
        <v>1</v>
      </c>
      <c r="I3558" s="6">
        <v>3161407</v>
      </c>
      <c r="J3558" s="7">
        <v>137.27000000000001</v>
      </c>
      <c r="K3558" s="9">
        <f>(PricingDataTable[[#This Row],[Current Price ($)]]-PricingDataTable[[#This Row],[Prior Price ($)]])/PricingDataTable[[#This Row],[Prior Price ($)]]</f>
        <v>-1.2492984251708514E-2</v>
      </c>
      <c r="L3558" s="9">
        <f>(PricingDataTable[[#This Row],[Vendor Price ($)]]-PricingDataTable[[#This Row],[Current Price ($)]])/PricingDataTable[[#This Row],[Current Price ($)]]</f>
        <v>-4.245986372724053E-4</v>
      </c>
      <c r="M3558" t="str">
        <f t="shared" si="110"/>
        <v>PASS</v>
      </c>
      <c r="N3558" s="10" t="str">
        <f t="shared" si="111"/>
        <v>NONE</v>
      </c>
    </row>
    <row r="3559" spans="1:14">
      <c r="A3559" s="4" t="s">
        <v>7134</v>
      </c>
      <c r="B3559" s="4" t="s">
        <v>7135</v>
      </c>
      <c r="C3559" s="4" t="s">
        <v>19</v>
      </c>
      <c r="D3559" s="4" t="s">
        <v>13</v>
      </c>
      <c r="E3559" s="5">
        <v>146.1771</v>
      </c>
      <c r="F3559" s="5">
        <v>147.47219999999999</v>
      </c>
      <c r="G3559" s="5">
        <v>147.6216</v>
      </c>
      <c r="H3559" s="4">
        <v>0</v>
      </c>
      <c r="I3559" s="6">
        <v>4296888</v>
      </c>
      <c r="J3559" s="7">
        <v>564.30999999999995</v>
      </c>
      <c r="K3559" s="9">
        <f>(PricingDataTable[[#This Row],[Current Price ($)]]-PricingDataTable[[#This Row],[Prior Price ($)]])/PricingDataTable[[#This Row],[Prior Price ($)]]</f>
        <v>8.8598008853643349E-3</v>
      </c>
      <c r="L3559" s="9">
        <f>(PricingDataTable[[#This Row],[Vendor Price ($)]]-PricingDataTable[[#This Row],[Current Price ($)]])/PricingDataTable[[#This Row],[Current Price ($)]]</f>
        <v>1.0130722943037006E-3</v>
      </c>
      <c r="M3559" t="str">
        <f t="shared" si="110"/>
        <v>PASS</v>
      </c>
      <c r="N3559" s="10" t="str">
        <f t="shared" si="111"/>
        <v>NONE</v>
      </c>
    </row>
    <row r="3560" spans="1:14">
      <c r="A3560" s="4" t="s">
        <v>7136</v>
      </c>
      <c r="B3560" s="4" t="s">
        <v>7137</v>
      </c>
      <c r="C3560" s="4" t="s">
        <v>16</v>
      </c>
      <c r="D3560" s="4" t="s">
        <v>64</v>
      </c>
      <c r="E3560" s="5">
        <v>103.81910000000001</v>
      </c>
      <c r="F3560" s="5">
        <v>101.6769</v>
      </c>
      <c r="G3560" s="5">
        <v>101.36199999999999</v>
      </c>
      <c r="H3560" s="4">
        <v>0</v>
      </c>
      <c r="I3560" s="6">
        <v>4361428</v>
      </c>
      <c r="J3560" s="7">
        <v>689.41</v>
      </c>
      <c r="K3560" s="9">
        <f>(PricingDataTable[[#This Row],[Current Price ($)]]-PricingDataTable[[#This Row],[Prior Price ($)]])/PricingDataTable[[#This Row],[Prior Price ($)]]</f>
        <v>-2.0633968123399283E-2</v>
      </c>
      <c r="L3560" s="9">
        <f>(PricingDataTable[[#This Row],[Vendor Price ($)]]-PricingDataTable[[#This Row],[Current Price ($)]])/PricingDataTable[[#This Row],[Current Price ($)]]</f>
        <v>-3.0970653117867344E-3</v>
      </c>
      <c r="M3560" t="str">
        <f t="shared" si="110"/>
        <v>PASS</v>
      </c>
      <c r="N3560" s="10" t="str">
        <f t="shared" si="111"/>
        <v>NONE</v>
      </c>
    </row>
    <row r="3561" spans="1:14">
      <c r="A3561" s="4" t="s">
        <v>7138</v>
      </c>
      <c r="B3561" s="4" t="s">
        <v>7139</v>
      </c>
      <c r="C3561" s="4" t="s">
        <v>19</v>
      </c>
      <c r="D3561" s="4" t="s">
        <v>237</v>
      </c>
      <c r="E3561" s="5">
        <v>18.101700000000001</v>
      </c>
      <c r="F3561" s="5">
        <v>18.1477</v>
      </c>
      <c r="G3561" s="5">
        <v>18.170500000000001</v>
      </c>
      <c r="H3561" s="4">
        <v>0</v>
      </c>
      <c r="I3561" s="6">
        <v>4119145</v>
      </c>
      <c r="J3561" s="7">
        <v>650.61</v>
      </c>
      <c r="K3561" s="9">
        <f>(PricingDataTable[[#This Row],[Current Price ($)]]-PricingDataTable[[#This Row],[Prior Price ($)]])/PricingDataTable[[#This Row],[Prior Price ($)]]</f>
        <v>2.5411977880530211E-3</v>
      </c>
      <c r="L3561" s="9">
        <f>(PricingDataTable[[#This Row],[Vendor Price ($)]]-PricingDataTable[[#This Row],[Current Price ($)]])/PricingDataTable[[#This Row],[Current Price ($)]]</f>
        <v>1.2563575549518755E-3</v>
      </c>
      <c r="M3561" t="str">
        <f t="shared" si="110"/>
        <v>PASS</v>
      </c>
      <c r="N3561" s="10" t="str">
        <f t="shared" si="111"/>
        <v>NONE</v>
      </c>
    </row>
    <row r="3562" spans="1:14">
      <c r="A3562" s="4" t="s">
        <v>7140</v>
      </c>
      <c r="B3562" s="4" t="s">
        <v>7141</v>
      </c>
      <c r="C3562" s="4" t="s">
        <v>19</v>
      </c>
      <c r="D3562" s="4" t="s">
        <v>32</v>
      </c>
      <c r="E3562" s="5">
        <v>58.993400000000001</v>
      </c>
      <c r="F3562" s="5">
        <v>60.351799999999997</v>
      </c>
      <c r="G3562" s="5">
        <v>60.496000000000002</v>
      </c>
      <c r="H3562" s="4">
        <v>0</v>
      </c>
      <c r="I3562" s="6">
        <v>1363722</v>
      </c>
      <c r="J3562" s="7">
        <v>760.57</v>
      </c>
      <c r="K3562" s="9">
        <f>(PricingDataTable[[#This Row],[Current Price ($)]]-PricingDataTable[[#This Row],[Prior Price ($)]])/PricingDataTable[[#This Row],[Prior Price ($)]]</f>
        <v>2.3026304637467854E-2</v>
      </c>
      <c r="L3562" s="9">
        <f>(PricingDataTable[[#This Row],[Vendor Price ($)]]-PricingDataTable[[#This Row],[Current Price ($)]])/PricingDataTable[[#This Row],[Current Price ($)]]</f>
        <v>2.3893239306864915E-3</v>
      </c>
      <c r="M3562" t="str">
        <f t="shared" si="110"/>
        <v>PASS</v>
      </c>
      <c r="N3562" s="10" t="str">
        <f t="shared" si="111"/>
        <v>NONE</v>
      </c>
    </row>
    <row r="3563" spans="1:14">
      <c r="A3563" s="4" t="s">
        <v>7142</v>
      </c>
      <c r="B3563" s="4" t="s">
        <v>7143</v>
      </c>
      <c r="C3563" s="4" t="s">
        <v>12</v>
      </c>
      <c r="D3563" s="4" t="s">
        <v>36</v>
      </c>
      <c r="E3563" s="5">
        <v>115.7294</v>
      </c>
      <c r="F3563" s="5">
        <v>115.5637</v>
      </c>
      <c r="G3563" s="5">
        <v>115.27719999999999</v>
      </c>
      <c r="H3563" s="4">
        <v>0</v>
      </c>
      <c r="I3563" s="6">
        <v>4153459</v>
      </c>
      <c r="J3563" s="7">
        <v>122.38</v>
      </c>
      <c r="K3563" s="9">
        <f>(PricingDataTable[[#This Row],[Current Price ($)]]-PricingDataTable[[#This Row],[Prior Price ($)]])/PricingDataTable[[#This Row],[Prior Price ($)]]</f>
        <v>-1.4317882923440464E-3</v>
      </c>
      <c r="L3563" s="9">
        <f>(PricingDataTable[[#This Row],[Vendor Price ($)]]-PricingDataTable[[#This Row],[Current Price ($)]])/PricingDataTable[[#This Row],[Current Price ($)]]</f>
        <v>-2.4791521905235272E-3</v>
      </c>
      <c r="M3563" t="str">
        <f t="shared" si="110"/>
        <v>PASS</v>
      </c>
      <c r="N3563" s="10" t="str">
        <f t="shared" si="111"/>
        <v>NONE</v>
      </c>
    </row>
    <row r="3564" spans="1:14">
      <c r="A3564" s="4" t="s">
        <v>7144</v>
      </c>
      <c r="B3564" s="4" t="s">
        <v>7145</v>
      </c>
      <c r="C3564" s="4" t="s">
        <v>39</v>
      </c>
      <c r="D3564" s="4" t="s">
        <v>13</v>
      </c>
      <c r="E3564" s="5">
        <v>124.50320000000001</v>
      </c>
      <c r="F3564" s="5">
        <v>125.9637</v>
      </c>
      <c r="G3564" s="5">
        <v>137.52070000000001</v>
      </c>
      <c r="H3564" s="4">
        <v>0</v>
      </c>
      <c r="I3564" s="6">
        <v>507398</v>
      </c>
      <c r="J3564" s="7">
        <v>596.26</v>
      </c>
      <c r="K3564" s="9">
        <f>(PricingDataTable[[#This Row],[Current Price ($)]]-PricingDataTable[[#This Row],[Prior Price ($)]])/PricingDataTable[[#This Row],[Prior Price ($)]]</f>
        <v>1.1730622184811282E-2</v>
      </c>
      <c r="L3564" s="9">
        <f>(PricingDataTable[[#This Row],[Vendor Price ($)]]-PricingDataTable[[#This Row],[Current Price ($)]])/PricingDataTable[[#This Row],[Current Price ($)]]</f>
        <v>9.1748654572706284E-2</v>
      </c>
      <c r="M3564" t="str">
        <f t="shared" si="110"/>
        <v>VENDOR DIFFERENCE</v>
      </c>
      <c r="N3564" s="10" t="str">
        <f t="shared" si="111"/>
        <v>HIGH</v>
      </c>
    </row>
    <row r="3565" spans="1:14">
      <c r="A3565" s="4" t="s">
        <v>7146</v>
      </c>
      <c r="B3565" s="4" t="s">
        <v>7147</v>
      </c>
      <c r="C3565" s="4" t="s">
        <v>12</v>
      </c>
      <c r="D3565" s="4" t="s">
        <v>32</v>
      </c>
      <c r="E3565" s="5">
        <v>106.1159</v>
      </c>
      <c r="F3565" s="5">
        <v>104.5138</v>
      </c>
      <c r="G3565" s="5">
        <v>104.73139999999999</v>
      </c>
      <c r="H3565" s="4">
        <v>0</v>
      </c>
      <c r="I3565" s="6">
        <v>2944563</v>
      </c>
      <c r="J3565" s="7">
        <v>435.92</v>
      </c>
      <c r="K3565" s="9">
        <f>(PricingDataTable[[#This Row],[Current Price ($)]]-PricingDataTable[[#This Row],[Prior Price ($)]])/PricingDataTable[[#This Row],[Prior Price ($)]]</f>
        <v>-1.5097643237252788E-2</v>
      </c>
      <c r="L3565" s="9">
        <f>(PricingDataTable[[#This Row],[Vendor Price ($)]]-PricingDataTable[[#This Row],[Current Price ($)]])/PricingDataTable[[#This Row],[Current Price ($)]]</f>
        <v>2.0820217043107251E-3</v>
      </c>
      <c r="M3565" t="str">
        <f t="shared" si="110"/>
        <v>PASS</v>
      </c>
      <c r="N3565" s="10" t="str">
        <f t="shared" si="111"/>
        <v>NONE</v>
      </c>
    </row>
    <row r="3566" spans="1:14">
      <c r="A3566" s="4" t="s">
        <v>7148</v>
      </c>
      <c r="B3566" s="4" t="s">
        <v>7149</v>
      </c>
      <c r="C3566" s="4" t="s">
        <v>35</v>
      </c>
      <c r="D3566" s="4" t="s">
        <v>13</v>
      </c>
      <c r="E3566" s="5">
        <v>124.68219999999999</v>
      </c>
      <c r="F3566" s="5">
        <v>124.971</v>
      </c>
      <c r="G3566" s="5">
        <v>124.57640000000001</v>
      </c>
      <c r="H3566" s="4">
        <v>0</v>
      </c>
      <c r="I3566" s="6">
        <v>3763760</v>
      </c>
      <c r="J3566" s="7">
        <v>416.35</v>
      </c>
      <c r="K3566" s="9">
        <f>(PricingDataTable[[#This Row],[Current Price ($)]]-PricingDataTable[[#This Row],[Prior Price ($)]])/PricingDataTable[[#This Row],[Prior Price ($)]]</f>
        <v>2.3162889329832893E-3</v>
      </c>
      <c r="L3566" s="9">
        <f>(PricingDataTable[[#This Row],[Vendor Price ($)]]-PricingDataTable[[#This Row],[Current Price ($)]])/PricingDataTable[[#This Row],[Current Price ($)]]</f>
        <v>-3.1575325475510074E-3</v>
      </c>
      <c r="M3566" t="str">
        <f t="shared" si="110"/>
        <v>PASS</v>
      </c>
      <c r="N3566" s="10" t="str">
        <f t="shared" si="111"/>
        <v>NONE</v>
      </c>
    </row>
    <row r="3567" spans="1:14">
      <c r="A3567" s="4" t="s">
        <v>7150</v>
      </c>
      <c r="B3567" s="4" t="s">
        <v>7151</v>
      </c>
      <c r="C3567" s="4" t="s">
        <v>19</v>
      </c>
      <c r="D3567" s="4" t="s">
        <v>13</v>
      </c>
      <c r="E3567" s="5">
        <v>210.03039999999999</v>
      </c>
      <c r="F3567" s="5">
        <v>214.87360000000001</v>
      </c>
      <c r="G3567" s="5">
        <v>214.6164</v>
      </c>
      <c r="H3567" s="4">
        <v>0</v>
      </c>
      <c r="I3567" s="6">
        <v>9733</v>
      </c>
      <c r="J3567" s="7">
        <v>599.34</v>
      </c>
      <c r="K3567" s="9">
        <f>(PricingDataTable[[#This Row],[Current Price ($)]]-PricingDataTable[[#This Row],[Prior Price ($)]])/PricingDataTable[[#This Row],[Prior Price ($)]]</f>
        <v>2.3059519002963498E-2</v>
      </c>
      <c r="L3567" s="9">
        <f>(PricingDataTable[[#This Row],[Vendor Price ($)]]-PricingDataTable[[#This Row],[Current Price ($)]])/PricingDataTable[[#This Row],[Current Price ($)]]</f>
        <v>-1.196982784297427E-3</v>
      </c>
      <c r="M3567" t="str">
        <f t="shared" si="110"/>
        <v>PASS</v>
      </c>
      <c r="N3567" s="10" t="str">
        <f t="shared" si="111"/>
        <v>NONE</v>
      </c>
    </row>
    <row r="3568" spans="1:14">
      <c r="A3568" s="4" t="s">
        <v>7152</v>
      </c>
      <c r="B3568" s="4" t="s">
        <v>7153</v>
      </c>
      <c r="C3568" s="4" t="s">
        <v>19</v>
      </c>
      <c r="D3568" s="4" t="s">
        <v>13</v>
      </c>
      <c r="E3568" s="5">
        <v>157.9855</v>
      </c>
      <c r="F3568" s="5">
        <v>160.1009</v>
      </c>
      <c r="G3568" s="5">
        <v>159.46780000000001</v>
      </c>
      <c r="H3568" s="4">
        <v>0</v>
      </c>
      <c r="I3568" s="6">
        <v>1644780</v>
      </c>
      <c r="J3568" s="7">
        <v>0.27</v>
      </c>
      <c r="K3568" s="9">
        <f>(PricingDataTable[[#This Row],[Current Price ($)]]-PricingDataTable[[#This Row],[Prior Price ($)]])/PricingDataTable[[#This Row],[Prior Price ($)]]</f>
        <v>1.33898364090375E-2</v>
      </c>
      <c r="L3568" s="9">
        <f>(PricingDataTable[[#This Row],[Vendor Price ($)]]-PricingDataTable[[#This Row],[Current Price ($)]])/PricingDataTable[[#This Row],[Current Price ($)]]</f>
        <v>-3.9543812683125743E-3</v>
      </c>
      <c r="M3568" t="str">
        <f t="shared" si="110"/>
        <v>PASS</v>
      </c>
      <c r="N3568" s="10" t="str">
        <f t="shared" si="111"/>
        <v>NONE</v>
      </c>
    </row>
    <row r="3569" spans="1:14">
      <c r="A3569" s="4" t="s">
        <v>7154</v>
      </c>
      <c r="B3569" s="4" t="s">
        <v>7155</v>
      </c>
      <c r="C3569" s="4" t="s">
        <v>12</v>
      </c>
      <c r="D3569" s="4" t="s">
        <v>13</v>
      </c>
      <c r="E3569" s="5">
        <v>106.8563</v>
      </c>
      <c r="F3569" s="5">
        <v>110.5368</v>
      </c>
      <c r="G3569" s="5">
        <v>110.7811</v>
      </c>
      <c r="H3569" s="4">
        <v>4</v>
      </c>
      <c r="I3569" s="6">
        <v>736508</v>
      </c>
      <c r="J3569" s="7">
        <v>592.89</v>
      </c>
      <c r="K3569" s="9">
        <f>(PricingDataTable[[#This Row],[Current Price ($)]]-PricingDataTable[[#This Row],[Prior Price ($)]])/PricingDataTable[[#This Row],[Prior Price ($)]]</f>
        <v>3.4443453497828347E-2</v>
      </c>
      <c r="L3569" s="9">
        <f>(PricingDataTable[[#This Row],[Vendor Price ($)]]-PricingDataTable[[#This Row],[Current Price ($)]])/PricingDataTable[[#This Row],[Current Price ($)]]</f>
        <v>2.2101236873149533E-3</v>
      </c>
      <c r="M3569" t="str">
        <f t="shared" si="110"/>
        <v>STALE</v>
      </c>
      <c r="N3569" s="10" t="str">
        <f t="shared" si="111"/>
        <v>LOW</v>
      </c>
    </row>
    <row r="3570" spans="1:14">
      <c r="A3570" s="4" t="s">
        <v>7156</v>
      </c>
      <c r="B3570" s="4" t="s">
        <v>7157</v>
      </c>
      <c r="C3570" s="4" t="s">
        <v>16</v>
      </c>
      <c r="D3570" s="4" t="s">
        <v>32</v>
      </c>
      <c r="E3570" s="5">
        <v>116.6062</v>
      </c>
      <c r="F3570" s="5">
        <v>115.2582</v>
      </c>
      <c r="G3570" s="5">
        <v>115.0129</v>
      </c>
      <c r="H3570" s="4">
        <v>0</v>
      </c>
      <c r="I3570" s="6">
        <v>4877361</v>
      </c>
      <c r="J3570" s="7">
        <v>127.27</v>
      </c>
      <c r="K3570" s="9">
        <f>(PricingDataTable[[#This Row],[Current Price ($)]]-PricingDataTable[[#This Row],[Prior Price ($)]])/PricingDataTable[[#This Row],[Prior Price ($)]]</f>
        <v>-1.1560277240832811E-2</v>
      </c>
      <c r="L3570" s="9">
        <f>(PricingDataTable[[#This Row],[Vendor Price ($)]]-PricingDataTable[[#This Row],[Current Price ($)]])/PricingDataTable[[#This Row],[Current Price ($)]]</f>
        <v>-2.1282650605336565E-3</v>
      </c>
      <c r="M3570" t="str">
        <f t="shared" si="110"/>
        <v>PASS</v>
      </c>
      <c r="N3570" s="10" t="str">
        <f t="shared" si="111"/>
        <v>NONE</v>
      </c>
    </row>
    <row r="3571" spans="1:14">
      <c r="A3571" s="4" t="s">
        <v>7158</v>
      </c>
      <c r="B3571" s="4" t="s">
        <v>7159</v>
      </c>
      <c r="C3571" s="4" t="s">
        <v>39</v>
      </c>
      <c r="D3571" s="4" t="s">
        <v>13</v>
      </c>
      <c r="E3571" s="5">
        <v>169.01650000000001</v>
      </c>
      <c r="F3571" s="5">
        <v>168.1917</v>
      </c>
      <c r="G3571" s="5">
        <v>167.916</v>
      </c>
      <c r="H3571" s="4">
        <v>1</v>
      </c>
      <c r="I3571" s="6">
        <v>2408084</v>
      </c>
      <c r="J3571" s="7">
        <v>295.05</v>
      </c>
      <c r="K3571" s="9">
        <f>(PricingDataTable[[#This Row],[Current Price ($)]]-PricingDataTable[[#This Row],[Prior Price ($)]])/PricingDataTable[[#This Row],[Prior Price ($)]]</f>
        <v>-4.8799969233773652E-3</v>
      </c>
      <c r="L3571" s="9">
        <f>(PricingDataTable[[#This Row],[Vendor Price ($)]]-PricingDataTable[[#This Row],[Current Price ($)]])/PricingDataTable[[#This Row],[Current Price ($)]]</f>
        <v>-1.6392009831638571E-3</v>
      </c>
      <c r="M3571" t="str">
        <f t="shared" si="110"/>
        <v>PASS</v>
      </c>
      <c r="N3571" s="10" t="str">
        <f t="shared" si="111"/>
        <v>NONE</v>
      </c>
    </row>
    <row r="3572" spans="1:14">
      <c r="A3572" s="4" t="s">
        <v>7160</v>
      </c>
      <c r="B3572" s="4" t="s">
        <v>7161</v>
      </c>
      <c r="C3572" s="4" t="s">
        <v>35</v>
      </c>
      <c r="D3572" s="4" t="s">
        <v>13</v>
      </c>
      <c r="E3572" s="5">
        <v>105.2381</v>
      </c>
      <c r="F3572" s="5">
        <v>105.0288</v>
      </c>
      <c r="G3572" s="5">
        <v>100.9614</v>
      </c>
      <c r="H3572" s="4">
        <v>0</v>
      </c>
      <c r="I3572" s="6">
        <v>160877</v>
      </c>
      <c r="J3572" s="7">
        <v>232.96</v>
      </c>
      <c r="K3572" s="9">
        <f>(PricingDataTable[[#This Row],[Current Price ($)]]-PricingDataTable[[#This Row],[Prior Price ($)]])/PricingDataTable[[#This Row],[Prior Price ($)]]</f>
        <v>-1.9888234394197435E-3</v>
      </c>
      <c r="L3572" s="9">
        <f>(PricingDataTable[[#This Row],[Vendor Price ($)]]-PricingDataTable[[#This Row],[Current Price ($)]])/PricingDataTable[[#This Row],[Current Price ($)]]</f>
        <v>-3.8726520725743854E-2</v>
      </c>
      <c r="M3572" t="str">
        <f t="shared" si="110"/>
        <v>VENDOR DIFFERENCE</v>
      </c>
      <c r="N3572" s="10" t="str">
        <f t="shared" si="111"/>
        <v>MEDIUM</v>
      </c>
    </row>
    <row r="3573" spans="1:14">
      <c r="A3573" s="4" t="s">
        <v>7162</v>
      </c>
      <c r="B3573" s="4" t="s">
        <v>7163</v>
      </c>
      <c r="C3573" s="4" t="s">
        <v>16</v>
      </c>
      <c r="D3573" s="4" t="s">
        <v>13</v>
      </c>
      <c r="E3573" s="5">
        <v>86.926500000000004</v>
      </c>
      <c r="F3573" s="5">
        <v>104.1604</v>
      </c>
      <c r="G3573" s="5">
        <v>103.6767</v>
      </c>
      <c r="H3573" s="4">
        <v>4</v>
      </c>
      <c r="I3573" s="6">
        <v>823459</v>
      </c>
      <c r="J3573" s="7">
        <v>257.97000000000003</v>
      </c>
      <c r="K3573" s="9">
        <f>(PricingDataTable[[#This Row],[Current Price ($)]]-PricingDataTable[[#This Row],[Prior Price ($)]])/PricingDataTable[[#This Row],[Prior Price ($)]]</f>
        <v>0.19825829867761835</v>
      </c>
      <c r="L3573" s="9">
        <f>(PricingDataTable[[#This Row],[Vendor Price ($)]]-PricingDataTable[[#This Row],[Current Price ($)]])/PricingDataTable[[#This Row],[Current Price ($)]]</f>
        <v>-4.6437993709701475E-3</v>
      </c>
      <c r="M3573" t="str">
        <f t="shared" si="110"/>
        <v>STALE</v>
      </c>
      <c r="N3573" s="10" t="str">
        <f t="shared" si="111"/>
        <v>HIGH</v>
      </c>
    </row>
    <row r="3574" spans="1:14">
      <c r="A3574" s="4" t="s">
        <v>7164</v>
      </c>
      <c r="B3574" s="4" t="s">
        <v>7165</v>
      </c>
      <c r="C3574" s="4" t="s">
        <v>12</v>
      </c>
      <c r="D3574" s="4" t="s">
        <v>13</v>
      </c>
      <c r="E3574" s="5">
        <v>83.865799999999993</v>
      </c>
      <c r="F3574" s="5">
        <v>84.139700000000005</v>
      </c>
      <c r="G3574" s="5">
        <v>75.417599999999993</v>
      </c>
      <c r="H3574" s="4">
        <v>4</v>
      </c>
      <c r="I3574" s="6">
        <v>511546</v>
      </c>
      <c r="J3574" s="7">
        <v>44.25</v>
      </c>
      <c r="K3574" s="9">
        <f>(PricingDataTable[[#This Row],[Current Price ($)]]-PricingDataTable[[#This Row],[Prior Price ($)]])/PricingDataTable[[#This Row],[Prior Price ($)]]</f>
        <v>3.2659320008872725E-3</v>
      </c>
      <c r="L3574" s="9">
        <f>(PricingDataTable[[#This Row],[Vendor Price ($)]]-PricingDataTable[[#This Row],[Current Price ($)]])/PricingDataTable[[#This Row],[Current Price ($)]]</f>
        <v>-0.10366212382501971</v>
      </c>
      <c r="M3574" t="str">
        <f t="shared" si="110"/>
        <v>STALE</v>
      </c>
      <c r="N3574" s="10" t="str">
        <f t="shared" si="111"/>
        <v>HIGH</v>
      </c>
    </row>
    <row r="3575" spans="1:14">
      <c r="A3575" s="4" t="s">
        <v>7166</v>
      </c>
      <c r="B3575" s="4" t="s">
        <v>7167</v>
      </c>
      <c r="C3575" s="4" t="s">
        <v>16</v>
      </c>
      <c r="D3575" s="4" t="s">
        <v>64</v>
      </c>
      <c r="E3575" s="5">
        <v>101.4089</v>
      </c>
      <c r="F3575" s="5">
        <v>101.45699999999999</v>
      </c>
      <c r="G3575" s="5">
        <v>101.2144</v>
      </c>
      <c r="H3575" s="4">
        <v>0</v>
      </c>
      <c r="I3575" s="6">
        <v>4013581</v>
      </c>
      <c r="J3575" s="7">
        <v>542.82000000000005</v>
      </c>
      <c r="K3575" s="9">
        <f>(PricingDataTable[[#This Row],[Current Price ($)]]-PricingDataTable[[#This Row],[Prior Price ($)]])/PricingDataTable[[#This Row],[Prior Price ($)]]</f>
        <v>4.7431734295501604E-4</v>
      </c>
      <c r="L3575" s="9">
        <f>(PricingDataTable[[#This Row],[Vendor Price ($)]]-PricingDataTable[[#This Row],[Current Price ($)]])/PricingDataTable[[#This Row],[Current Price ($)]]</f>
        <v>-2.3911607873285819E-3</v>
      </c>
      <c r="M3575" t="str">
        <f t="shared" si="110"/>
        <v>PASS</v>
      </c>
      <c r="N3575" s="10" t="str">
        <f t="shared" si="111"/>
        <v>NONE</v>
      </c>
    </row>
    <row r="3576" spans="1:14">
      <c r="A3576" s="4" t="s">
        <v>7168</v>
      </c>
      <c r="B3576" s="4" t="s">
        <v>7169</v>
      </c>
      <c r="C3576" s="4" t="s">
        <v>39</v>
      </c>
      <c r="D3576" s="4" t="s">
        <v>13</v>
      </c>
      <c r="E3576" s="5">
        <v>77.448700000000002</v>
      </c>
      <c r="F3576" s="5">
        <v>75.957400000000007</v>
      </c>
      <c r="G3576" s="5">
        <v>75.944800000000001</v>
      </c>
      <c r="H3576" s="4">
        <v>0</v>
      </c>
      <c r="I3576" s="6">
        <v>3344342</v>
      </c>
      <c r="J3576" s="7">
        <v>469.9</v>
      </c>
      <c r="K3576" s="9">
        <f>(PricingDataTable[[#This Row],[Current Price ($)]]-PricingDataTable[[#This Row],[Prior Price ($)]])/PricingDataTable[[#This Row],[Prior Price ($)]]</f>
        <v>-1.9255326428978089E-2</v>
      </c>
      <c r="L3576" s="9">
        <f>(PricingDataTable[[#This Row],[Vendor Price ($)]]-PricingDataTable[[#This Row],[Current Price ($)]])/PricingDataTable[[#This Row],[Current Price ($)]]</f>
        <v>-1.6588245516573974E-4</v>
      </c>
      <c r="M3576" t="str">
        <f t="shared" si="110"/>
        <v>PASS</v>
      </c>
      <c r="N3576" s="10" t="str">
        <f t="shared" si="111"/>
        <v>NONE</v>
      </c>
    </row>
    <row r="3577" spans="1:14">
      <c r="A3577" s="4" t="s">
        <v>7170</v>
      </c>
      <c r="B3577" s="4" t="s">
        <v>7171</v>
      </c>
      <c r="C3577" s="4" t="s">
        <v>19</v>
      </c>
      <c r="D3577" s="4" t="s">
        <v>13</v>
      </c>
      <c r="E3577" s="5">
        <v>161.01490000000001</v>
      </c>
      <c r="F3577" s="5">
        <v>158.12979999999999</v>
      </c>
      <c r="G3577" s="5">
        <v>157.86320000000001</v>
      </c>
      <c r="H3577" s="4">
        <v>5</v>
      </c>
      <c r="I3577" s="6">
        <v>2093745</v>
      </c>
      <c r="J3577" s="7">
        <v>299.49</v>
      </c>
      <c r="K3577" s="9">
        <f>(PricingDataTable[[#This Row],[Current Price ($)]]-PricingDataTable[[#This Row],[Prior Price ($)]])/PricingDataTable[[#This Row],[Prior Price ($)]]</f>
        <v>-1.7918217506578724E-2</v>
      </c>
      <c r="L3577" s="9">
        <f>(PricingDataTable[[#This Row],[Vendor Price ($)]]-PricingDataTable[[#This Row],[Current Price ($)]])/PricingDataTable[[#This Row],[Current Price ($)]]</f>
        <v>-1.6859567266889774E-3</v>
      </c>
      <c r="M3577" t="str">
        <f t="shared" si="110"/>
        <v>STALE</v>
      </c>
      <c r="N3577" s="10" t="str">
        <f t="shared" si="111"/>
        <v>MEDIUM</v>
      </c>
    </row>
    <row r="3578" spans="1:14">
      <c r="A3578" s="4" t="s">
        <v>7172</v>
      </c>
      <c r="B3578" s="4" t="s">
        <v>7173</v>
      </c>
      <c r="C3578" s="4" t="s">
        <v>39</v>
      </c>
      <c r="D3578" s="4" t="s">
        <v>13</v>
      </c>
      <c r="E3578" s="5">
        <v>88.584199999999996</v>
      </c>
      <c r="F3578" s="5">
        <v>87.395399999999995</v>
      </c>
      <c r="G3578" s="5">
        <v>87.313299999999998</v>
      </c>
      <c r="H3578" s="4">
        <v>0</v>
      </c>
      <c r="I3578" s="6">
        <v>4332993</v>
      </c>
      <c r="J3578" s="7">
        <v>230.24</v>
      </c>
      <c r="K3578" s="9">
        <f>(PricingDataTable[[#This Row],[Current Price ($)]]-PricingDataTable[[#This Row],[Prior Price ($)]])/PricingDataTable[[#This Row],[Prior Price ($)]]</f>
        <v>-1.342000040639302E-2</v>
      </c>
      <c r="L3578" s="9">
        <f>(PricingDataTable[[#This Row],[Vendor Price ($)]]-PricingDataTable[[#This Row],[Current Price ($)]])/PricingDataTable[[#This Row],[Current Price ($)]]</f>
        <v>-9.3940871029821887E-4</v>
      </c>
      <c r="M3578" t="str">
        <f t="shared" si="110"/>
        <v>PASS</v>
      </c>
      <c r="N3578" s="10" t="str">
        <f t="shared" si="111"/>
        <v>NONE</v>
      </c>
    </row>
    <row r="3579" spans="1:14">
      <c r="A3579" s="4" t="s">
        <v>7174</v>
      </c>
      <c r="B3579" s="4" t="s">
        <v>7175</v>
      </c>
      <c r="C3579" s="4" t="s">
        <v>19</v>
      </c>
      <c r="D3579" s="4" t="s">
        <v>13</v>
      </c>
      <c r="E3579" s="5">
        <v>79.345200000000006</v>
      </c>
      <c r="F3579" s="5">
        <v>79.032499999999999</v>
      </c>
      <c r="G3579" s="5">
        <v>79.341300000000004</v>
      </c>
      <c r="H3579" s="4">
        <v>0</v>
      </c>
      <c r="I3579" s="6">
        <v>1295034</v>
      </c>
      <c r="J3579" s="7">
        <v>367.61</v>
      </c>
      <c r="K3579" s="9">
        <f>(PricingDataTable[[#This Row],[Current Price ($)]]-PricingDataTable[[#This Row],[Prior Price ($)]])/PricingDataTable[[#This Row],[Prior Price ($)]]</f>
        <v>-3.9410071434693794E-3</v>
      </c>
      <c r="L3579" s="9">
        <f>(PricingDataTable[[#This Row],[Vendor Price ($)]]-PricingDataTable[[#This Row],[Current Price ($)]])/PricingDataTable[[#This Row],[Current Price ($)]]</f>
        <v>3.907253345142885E-3</v>
      </c>
      <c r="M3579" t="str">
        <f t="shared" si="110"/>
        <v>PASS</v>
      </c>
      <c r="N3579" s="10" t="str">
        <f t="shared" si="111"/>
        <v>NONE</v>
      </c>
    </row>
    <row r="3580" spans="1:14">
      <c r="A3580" s="4" t="s">
        <v>7176</v>
      </c>
      <c r="B3580" s="4" t="s">
        <v>7177</v>
      </c>
      <c r="C3580" s="4" t="s">
        <v>19</v>
      </c>
      <c r="D3580" s="4" t="s">
        <v>13</v>
      </c>
      <c r="E3580" s="5">
        <v>27.349699999999999</v>
      </c>
      <c r="F3580" s="5">
        <v>27.050799999999999</v>
      </c>
      <c r="G3580" s="5">
        <v>27.101600000000001</v>
      </c>
      <c r="H3580" s="4">
        <v>0</v>
      </c>
      <c r="I3580" s="6">
        <v>1921323</v>
      </c>
      <c r="J3580" s="7">
        <v>631.16</v>
      </c>
      <c r="K3580" s="9">
        <f>(PricingDataTable[[#This Row],[Current Price ($)]]-PricingDataTable[[#This Row],[Prior Price ($)]])/PricingDataTable[[#This Row],[Prior Price ($)]]</f>
        <v>-1.0928821888357084E-2</v>
      </c>
      <c r="L3580" s="9">
        <f>(PricingDataTable[[#This Row],[Vendor Price ($)]]-PricingDataTable[[#This Row],[Current Price ($)]])/PricingDataTable[[#This Row],[Current Price ($)]]</f>
        <v>1.8779481568013663E-3</v>
      </c>
      <c r="M3580" t="str">
        <f t="shared" si="110"/>
        <v>PASS</v>
      </c>
      <c r="N3580" s="10" t="str">
        <f t="shared" si="111"/>
        <v>NONE</v>
      </c>
    </row>
    <row r="3581" spans="1:14">
      <c r="A3581" s="4" t="s">
        <v>7178</v>
      </c>
      <c r="B3581" s="4" t="s">
        <v>7179</v>
      </c>
      <c r="C3581" s="4" t="s">
        <v>16</v>
      </c>
      <c r="D3581" s="4" t="s">
        <v>13</v>
      </c>
      <c r="E3581" s="5">
        <v>105.4402</v>
      </c>
      <c r="F3581" s="5">
        <v>104.39230000000001</v>
      </c>
      <c r="G3581" s="5">
        <v>104.71040000000001</v>
      </c>
      <c r="H3581" s="4">
        <v>3</v>
      </c>
      <c r="I3581" s="6">
        <v>1823073</v>
      </c>
      <c r="J3581" s="7">
        <v>29.89</v>
      </c>
      <c r="K3581" s="9">
        <f>(PricingDataTable[[#This Row],[Current Price ($)]]-PricingDataTable[[#This Row],[Prior Price ($)]])/PricingDataTable[[#This Row],[Prior Price ($)]]</f>
        <v>-9.938334714843091E-3</v>
      </c>
      <c r="L3581" s="9">
        <f>(PricingDataTable[[#This Row],[Vendor Price ($)]]-PricingDataTable[[#This Row],[Current Price ($)]])/PricingDataTable[[#This Row],[Current Price ($)]]</f>
        <v>3.0471596085151985E-3</v>
      </c>
      <c r="M3581" t="str">
        <f t="shared" si="110"/>
        <v>STALE</v>
      </c>
      <c r="N3581" s="10" t="str">
        <f t="shared" si="111"/>
        <v>LOW</v>
      </c>
    </row>
    <row r="3582" spans="1:14">
      <c r="A3582" s="4" t="s">
        <v>7180</v>
      </c>
      <c r="B3582" s="4" t="s">
        <v>7181</v>
      </c>
      <c r="C3582" s="4" t="s">
        <v>19</v>
      </c>
      <c r="D3582" s="4" t="s">
        <v>13</v>
      </c>
      <c r="E3582" s="5">
        <v>61.9786</v>
      </c>
      <c r="F3582" s="5">
        <v>61.9495</v>
      </c>
      <c r="G3582" s="5">
        <v>62.133499999999998</v>
      </c>
      <c r="H3582" s="4">
        <v>0</v>
      </c>
      <c r="I3582" s="6">
        <v>4179346</v>
      </c>
      <c r="J3582" s="7">
        <v>169.19</v>
      </c>
      <c r="K3582" s="9">
        <f>(PricingDataTable[[#This Row],[Current Price ($)]]-PricingDataTable[[#This Row],[Prior Price ($)]])/PricingDataTable[[#This Row],[Prior Price ($)]]</f>
        <v>-4.6951689776793411E-4</v>
      </c>
      <c r="L3582" s="9">
        <f>(PricingDataTable[[#This Row],[Vendor Price ($)]]-PricingDataTable[[#This Row],[Current Price ($)]])/PricingDataTable[[#This Row],[Current Price ($)]]</f>
        <v>2.9701611796704979E-3</v>
      </c>
      <c r="M3582" t="str">
        <f t="shared" si="110"/>
        <v>PASS</v>
      </c>
      <c r="N3582" s="10" t="str">
        <f t="shared" si="111"/>
        <v>NONE</v>
      </c>
    </row>
    <row r="3583" spans="1:14">
      <c r="A3583" s="4" t="s">
        <v>7182</v>
      </c>
      <c r="B3583" s="4" t="s">
        <v>7183</v>
      </c>
      <c r="C3583" s="4" t="s">
        <v>16</v>
      </c>
      <c r="D3583" s="4" t="s">
        <v>13</v>
      </c>
      <c r="E3583" s="5">
        <v>105.2826</v>
      </c>
      <c r="F3583" s="5">
        <v>103.50790000000001</v>
      </c>
      <c r="G3583" s="5">
        <v>103.1277</v>
      </c>
      <c r="H3583" s="4">
        <v>0</v>
      </c>
      <c r="I3583" s="6">
        <v>3057218</v>
      </c>
      <c r="J3583" s="7">
        <v>874.58</v>
      </c>
      <c r="K3583" s="9">
        <f>(PricingDataTable[[#This Row],[Current Price ($)]]-PricingDataTable[[#This Row],[Prior Price ($)]])/PricingDataTable[[#This Row],[Prior Price ($)]]</f>
        <v>-1.6856536597690364E-2</v>
      </c>
      <c r="L3583" s="9">
        <f>(PricingDataTable[[#This Row],[Vendor Price ($)]]-PricingDataTable[[#This Row],[Current Price ($)]])/PricingDataTable[[#This Row],[Current Price ($)]]</f>
        <v>-3.673149585683818E-3</v>
      </c>
      <c r="M3583" t="str">
        <f t="shared" si="110"/>
        <v>PASS</v>
      </c>
      <c r="N3583" s="10" t="str">
        <f t="shared" si="111"/>
        <v>NONE</v>
      </c>
    </row>
    <row r="3584" spans="1:14">
      <c r="A3584" s="4" t="s">
        <v>7184</v>
      </c>
      <c r="B3584" s="4" t="s">
        <v>7185</v>
      </c>
      <c r="C3584" s="4" t="s">
        <v>16</v>
      </c>
      <c r="D3584" s="4" t="s">
        <v>64</v>
      </c>
      <c r="E3584" s="5">
        <v>104.9709</v>
      </c>
      <c r="F3584" s="5">
        <v>103.72920000000001</v>
      </c>
      <c r="G3584" s="5">
        <v>104.1614</v>
      </c>
      <c r="H3584" s="4">
        <v>0</v>
      </c>
      <c r="I3584" s="6">
        <v>4637855</v>
      </c>
      <c r="J3584" s="7">
        <v>835.89</v>
      </c>
      <c r="K3584" s="9">
        <f>(PricingDataTable[[#This Row],[Current Price ($)]]-PricingDataTable[[#This Row],[Prior Price ($)]])/PricingDataTable[[#This Row],[Prior Price ($)]]</f>
        <v>-1.1828992606522327E-2</v>
      </c>
      <c r="L3584" s="9">
        <f>(PricingDataTable[[#This Row],[Vendor Price ($)]]-PricingDataTable[[#This Row],[Current Price ($)]])/PricingDataTable[[#This Row],[Current Price ($)]]</f>
        <v>4.1666184642318131E-3</v>
      </c>
      <c r="M3584" t="str">
        <f t="shared" si="110"/>
        <v>PASS</v>
      </c>
      <c r="N3584" s="10" t="str">
        <f t="shared" si="111"/>
        <v>NONE</v>
      </c>
    </row>
    <row r="3585" spans="1:14">
      <c r="A3585" s="4" t="s">
        <v>7186</v>
      </c>
      <c r="B3585" s="4" t="s">
        <v>7187</v>
      </c>
      <c r="C3585" s="4" t="s">
        <v>39</v>
      </c>
      <c r="D3585" s="4" t="s">
        <v>13</v>
      </c>
      <c r="E3585" s="5">
        <v>251.52099999999999</v>
      </c>
      <c r="F3585" s="5">
        <v>248.32919999999999</v>
      </c>
      <c r="G3585" s="5">
        <v>249.346</v>
      </c>
      <c r="H3585" s="4">
        <v>0</v>
      </c>
      <c r="I3585" s="6">
        <v>3639053</v>
      </c>
      <c r="J3585" s="7">
        <v>809.46</v>
      </c>
      <c r="K3585" s="9">
        <f>(PricingDataTable[[#This Row],[Current Price ($)]]-PricingDataTable[[#This Row],[Prior Price ($)]])/PricingDataTable[[#This Row],[Prior Price ($)]]</f>
        <v>-1.2689994076041367E-2</v>
      </c>
      <c r="L3585" s="9">
        <f>(PricingDataTable[[#This Row],[Vendor Price ($)]]-PricingDataTable[[#This Row],[Current Price ($)]])/PricingDataTable[[#This Row],[Current Price ($)]]</f>
        <v>4.0945647954409624E-3</v>
      </c>
      <c r="M3585" t="str">
        <f t="shared" si="110"/>
        <v>PASS</v>
      </c>
      <c r="N3585" s="10" t="str">
        <f t="shared" si="111"/>
        <v>NONE</v>
      </c>
    </row>
    <row r="3586" spans="1:14">
      <c r="A3586" s="4" t="s">
        <v>7188</v>
      </c>
      <c r="B3586" s="4" t="s">
        <v>7189</v>
      </c>
      <c r="C3586" s="4" t="s">
        <v>19</v>
      </c>
      <c r="D3586" s="4" t="s">
        <v>13</v>
      </c>
      <c r="E3586" s="5">
        <v>99.568899999999999</v>
      </c>
      <c r="F3586" s="5">
        <v>100.6212</v>
      </c>
      <c r="G3586" s="5">
        <v>99.755200000000002</v>
      </c>
      <c r="H3586" s="4">
        <v>0</v>
      </c>
      <c r="I3586" s="6">
        <v>4222319</v>
      </c>
      <c r="J3586" s="7">
        <v>680.03</v>
      </c>
      <c r="K3586" s="9">
        <f>(PricingDataTable[[#This Row],[Current Price ($)]]-PricingDataTable[[#This Row],[Prior Price ($)]])/PricingDataTable[[#This Row],[Prior Price ($)]]</f>
        <v>1.0568561066758821E-2</v>
      </c>
      <c r="L3586" s="9">
        <f>(PricingDataTable[[#This Row],[Vendor Price ($)]]-PricingDataTable[[#This Row],[Current Price ($)]])/PricingDataTable[[#This Row],[Current Price ($)]]</f>
        <v>-8.6065361971433413E-3</v>
      </c>
      <c r="M3586" t="str">
        <f t="shared" ref="M3586:M3649" si="112">IF(OR(F3586="",F3586=0),"MISSING",IF(H3586&gt;=3,"STALE",IF(ABS(K3586)&gt;=5%,"LARGE MOVE",IF(ABS(L3586)&gt;=2%,"VENDOR DIFFERENCE","PASS"))))</f>
        <v>PASS</v>
      </c>
      <c r="N3586" s="10" t="str">
        <f t="shared" ref="N3586:N3649" si="113">IF(M3586="PASS","NONE",IF(M3586="MISSING","HIGH",IF(OR(ABS(K3586)&gt;=10%,ABS(L3586)&gt;=5%),"HIGH",IF(OR(ABS(K3586)&gt;=7%,ABS(L3586)&gt;=3%,H3586&gt;=5),"MEDIUM","LOW"))))</f>
        <v>NONE</v>
      </c>
    </row>
    <row r="3587" spans="1:14">
      <c r="A3587" s="4" t="s">
        <v>7190</v>
      </c>
      <c r="B3587" s="4" t="s">
        <v>7191</v>
      </c>
      <c r="C3587" s="4" t="s">
        <v>19</v>
      </c>
      <c r="D3587" s="4" t="s">
        <v>13</v>
      </c>
      <c r="E3587" s="5">
        <v>136.1499</v>
      </c>
      <c r="F3587" s="5">
        <v>136.3545</v>
      </c>
      <c r="G3587" s="5">
        <v>136.68709999999999</v>
      </c>
      <c r="H3587" s="4">
        <v>0</v>
      </c>
      <c r="I3587" s="6">
        <v>842632</v>
      </c>
      <c r="J3587" s="7">
        <v>644.29</v>
      </c>
      <c r="K3587" s="9">
        <f>(PricingDataTable[[#This Row],[Current Price ($)]]-PricingDataTable[[#This Row],[Prior Price ($)]])/PricingDataTable[[#This Row],[Prior Price ($)]]</f>
        <v>1.5027554188434896E-3</v>
      </c>
      <c r="L3587" s="9">
        <f>(PricingDataTable[[#This Row],[Vendor Price ($)]]-PricingDataTable[[#This Row],[Current Price ($)]])/PricingDataTable[[#This Row],[Current Price ($)]]</f>
        <v>2.4392300950829282E-3</v>
      </c>
      <c r="M3587" t="str">
        <f t="shared" si="112"/>
        <v>PASS</v>
      </c>
      <c r="N3587" s="10" t="str">
        <f t="shared" si="113"/>
        <v>NONE</v>
      </c>
    </row>
    <row r="3588" spans="1:14">
      <c r="A3588" s="4" t="s">
        <v>7192</v>
      </c>
      <c r="B3588" s="4" t="s">
        <v>7193</v>
      </c>
      <c r="C3588" s="4" t="s">
        <v>12</v>
      </c>
      <c r="D3588" s="4" t="s">
        <v>13</v>
      </c>
      <c r="E3588" s="5">
        <v>106.8004</v>
      </c>
      <c r="F3588" s="5">
        <v>106.0981</v>
      </c>
      <c r="G3588" s="5">
        <v>106.1469</v>
      </c>
      <c r="H3588" s="4">
        <v>2</v>
      </c>
      <c r="I3588" s="6">
        <v>2716832</v>
      </c>
      <c r="J3588" s="7">
        <v>840.9</v>
      </c>
      <c r="K3588" s="9">
        <f>(PricingDataTable[[#This Row],[Current Price ($)]]-PricingDataTable[[#This Row],[Prior Price ($)]])/PricingDataTable[[#This Row],[Prior Price ($)]]</f>
        <v>-6.5758180680970668E-3</v>
      </c>
      <c r="L3588" s="9">
        <f>(PricingDataTable[[#This Row],[Vendor Price ($)]]-PricingDataTable[[#This Row],[Current Price ($)]])/PricingDataTable[[#This Row],[Current Price ($)]]</f>
        <v>4.5995168622246725E-4</v>
      </c>
      <c r="M3588" t="str">
        <f t="shared" si="112"/>
        <v>PASS</v>
      </c>
      <c r="N3588" s="10" t="str">
        <f t="shared" si="113"/>
        <v>NONE</v>
      </c>
    </row>
    <row r="3589" spans="1:14">
      <c r="A3589" s="4" t="s">
        <v>7194</v>
      </c>
      <c r="B3589" s="4" t="s">
        <v>7195</v>
      </c>
      <c r="C3589" s="4" t="s">
        <v>19</v>
      </c>
      <c r="D3589" s="4" t="s">
        <v>13</v>
      </c>
      <c r="E3589" s="5">
        <v>54.447400000000002</v>
      </c>
      <c r="F3589" s="5">
        <v>54.616799999999998</v>
      </c>
      <c r="G3589" s="5">
        <v>54.3504</v>
      </c>
      <c r="H3589" s="4">
        <v>0</v>
      </c>
      <c r="I3589" s="6">
        <v>3946751</v>
      </c>
      <c r="J3589" s="7">
        <v>687.63</v>
      </c>
      <c r="K3589" s="9">
        <f>(PricingDataTable[[#This Row],[Current Price ($)]]-PricingDataTable[[#This Row],[Prior Price ($)]])/PricingDataTable[[#This Row],[Prior Price ($)]]</f>
        <v>3.1112596744747407E-3</v>
      </c>
      <c r="L3589" s="9">
        <f>(PricingDataTable[[#This Row],[Vendor Price ($)]]-PricingDataTable[[#This Row],[Current Price ($)]])/PricingDataTable[[#This Row],[Current Price ($)]]</f>
        <v>-4.8776200729445393E-3</v>
      </c>
      <c r="M3589" t="str">
        <f t="shared" si="112"/>
        <v>PASS</v>
      </c>
      <c r="N3589" s="10" t="str">
        <f t="shared" si="113"/>
        <v>NONE</v>
      </c>
    </row>
    <row r="3590" spans="1:14">
      <c r="A3590" s="4" t="s">
        <v>7196</v>
      </c>
      <c r="B3590" s="4" t="s">
        <v>7197</v>
      </c>
      <c r="C3590" s="4" t="s">
        <v>12</v>
      </c>
      <c r="D3590" s="4" t="s">
        <v>13</v>
      </c>
      <c r="E3590" s="5">
        <v>101.87609999999999</v>
      </c>
      <c r="F3590" s="5">
        <v>102.9166</v>
      </c>
      <c r="G3590" s="5">
        <v>102.98180000000001</v>
      </c>
      <c r="H3590" s="4">
        <v>0</v>
      </c>
      <c r="I3590" s="6">
        <v>982601</v>
      </c>
      <c r="J3590" s="7">
        <v>837.59</v>
      </c>
      <c r="K3590" s="9">
        <f>(PricingDataTable[[#This Row],[Current Price ($)]]-PricingDataTable[[#This Row],[Prior Price ($)]])/PricingDataTable[[#This Row],[Prior Price ($)]]</f>
        <v>1.0213386653003096E-2</v>
      </c>
      <c r="L3590" s="9">
        <f>(PricingDataTable[[#This Row],[Vendor Price ($)]]-PricingDataTable[[#This Row],[Current Price ($)]])/PricingDataTable[[#This Row],[Current Price ($)]]</f>
        <v>6.3352267758558256E-4</v>
      </c>
      <c r="M3590" t="str">
        <f t="shared" si="112"/>
        <v>PASS</v>
      </c>
      <c r="N3590" s="10" t="str">
        <f t="shared" si="113"/>
        <v>NONE</v>
      </c>
    </row>
    <row r="3591" spans="1:14">
      <c r="A3591" s="4" t="s">
        <v>7198</v>
      </c>
      <c r="B3591" s="4" t="s">
        <v>7199</v>
      </c>
      <c r="C3591" s="4" t="s">
        <v>19</v>
      </c>
      <c r="D3591" s="4" t="s">
        <v>237</v>
      </c>
      <c r="E3591" s="5">
        <v>20.8186</v>
      </c>
      <c r="F3591" s="5">
        <v>16.396699999999999</v>
      </c>
      <c r="G3591" s="5">
        <v>16.401399999999999</v>
      </c>
      <c r="H3591" s="4">
        <v>2</v>
      </c>
      <c r="I3591" s="6">
        <v>4911873</v>
      </c>
      <c r="J3591" s="7">
        <v>804.35</v>
      </c>
      <c r="K3591" s="9">
        <f>(PricingDataTable[[#This Row],[Current Price ($)]]-PricingDataTable[[#This Row],[Prior Price ($)]])/PricingDataTable[[#This Row],[Prior Price ($)]]</f>
        <v>-0.21240141027734818</v>
      </c>
      <c r="L3591" s="9">
        <f>(PricingDataTable[[#This Row],[Vendor Price ($)]]-PricingDataTable[[#This Row],[Current Price ($)]])/PricingDataTable[[#This Row],[Current Price ($)]]</f>
        <v>2.8664304402713377E-4</v>
      </c>
      <c r="M3591" t="str">
        <f t="shared" si="112"/>
        <v>LARGE MOVE</v>
      </c>
      <c r="N3591" s="10" t="str">
        <f t="shared" si="113"/>
        <v>HIGH</v>
      </c>
    </row>
    <row r="3592" spans="1:14">
      <c r="A3592" s="4" t="s">
        <v>7200</v>
      </c>
      <c r="B3592" s="4" t="s">
        <v>7201</v>
      </c>
      <c r="C3592" s="4" t="s">
        <v>39</v>
      </c>
      <c r="D3592" s="4" t="s">
        <v>13</v>
      </c>
      <c r="E3592" s="5">
        <v>129.7253</v>
      </c>
      <c r="F3592" s="5">
        <v>128.81489999999999</v>
      </c>
      <c r="G3592" s="5">
        <v>128.91079999999999</v>
      </c>
      <c r="H3592" s="4">
        <v>1</v>
      </c>
      <c r="I3592" s="6">
        <v>2346790</v>
      </c>
      <c r="J3592" s="7">
        <v>690.16</v>
      </c>
      <c r="K3592" s="9">
        <f>(PricingDataTable[[#This Row],[Current Price ($)]]-PricingDataTable[[#This Row],[Prior Price ($)]])/PricingDataTable[[#This Row],[Prior Price ($)]]</f>
        <v>-7.0179062989255744E-3</v>
      </c>
      <c r="L3592" s="9">
        <f>(PricingDataTable[[#This Row],[Vendor Price ($)]]-PricingDataTable[[#This Row],[Current Price ($)]])/PricingDataTable[[#This Row],[Current Price ($)]]</f>
        <v>7.4447909364522519E-4</v>
      </c>
      <c r="M3592" t="str">
        <f t="shared" si="112"/>
        <v>PASS</v>
      </c>
      <c r="N3592" s="10" t="str">
        <f t="shared" si="113"/>
        <v>NONE</v>
      </c>
    </row>
    <row r="3593" spans="1:14">
      <c r="A3593" s="4" t="s">
        <v>7202</v>
      </c>
      <c r="B3593" s="4" t="s">
        <v>7203</v>
      </c>
      <c r="C3593" s="4" t="s">
        <v>39</v>
      </c>
      <c r="D3593" s="4" t="s">
        <v>13</v>
      </c>
      <c r="E3593" s="5">
        <v>135.77799999999999</v>
      </c>
      <c r="F3593" s="5">
        <v>137.30279999999999</v>
      </c>
      <c r="G3593" s="5">
        <v>137.53210000000001</v>
      </c>
      <c r="H3593" s="4">
        <v>3</v>
      </c>
      <c r="I3593" s="6">
        <v>3641251</v>
      </c>
      <c r="J3593" s="7">
        <v>525.5</v>
      </c>
      <c r="K3593" s="9">
        <f>(PricingDataTable[[#This Row],[Current Price ($)]]-PricingDataTable[[#This Row],[Prior Price ($)]])/PricingDataTable[[#This Row],[Prior Price ($)]]</f>
        <v>1.1230096186421947E-2</v>
      </c>
      <c r="L3593" s="9">
        <f>(PricingDataTable[[#This Row],[Vendor Price ($)]]-PricingDataTable[[#This Row],[Current Price ($)]])/PricingDataTable[[#This Row],[Current Price ($)]]</f>
        <v>1.6700314924387805E-3</v>
      </c>
      <c r="M3593" t="str">
        <f t="shared" si="112"/>
        <v>STALE</v>
      </c>
      <c r="N3593" s="10" t="str">
        <f t="shared" si="113"/>
        <v>LOW</v>
      </c>
    </row>
    <row r="3594" spans="1:14">
      <c r="A3594" s="4" t="s">
        <v>7204</v>
      </c>
      <c r="B3594" s="4" t="s">
        <v>7205</v>
      </c>
      <c r="C3594" s="4" t="s">
        <v>16</v>
      </c>
      <c r="D3594" s="4" t="s">
        <v>13</v>
      </c>
      <c r="E3594" s="5">
        <v>107.9649</v>
      </c>
      <c r="F3594" s="5">
        <v>108.11709999999999</v>
      </c>
      <c r="G3594" s="5">
        <v>118.8291</v>
      </c>
      <c r="H3594" s="4">
        <v>0</v>
      </c>
      <c r="I3594" s="6">
        <v>535374</v>
      </c>
      <c r="J3594" s="7">
        <v>727.08</v>
      </c>
      <c r="K3594" s="9">
        <f>(PricingDataTable[[#This Row],[Current Price ($)]]-PricingDataTable[[#This Row],[Prior Price ($)]])/PricingDataTable[[#This Row],[Prior Price ($)]]</f>
        <v>1.4097174174198602E-3</v>
      </c>
      <c r="L3594" s="9">
        <f>(PricingDataTable[[#This Row],[Vendor Price ($)]]-PricingDataTable[[#This Row],[Current Price ($)]])/PricingDataTable[[#This Row],[Current Price ($)]]</f>
        <v>9.9077759207377963E-2</v>
      </c>
      <c r="M3594" t="str">
        <f t="shared" si="112"/>
        <v>VENDOR DIFFERENCE</v>
      </c>
      <c r="N3594" s="10" t="str">
        <f t="shared" si="113"/>
        <v>HIGH</v>
      </c>
    </row>
    <row r="3595" spans="1:14">
      <c r="A3595" s="4" t="s">
        <v>7206</v>
      </c>
      <c r="B3595" s="4" t="s">
        <v>7207</v>
      </c>
      <c r="C3595" s="4" t="s">
        <v>19</v>
      </c>
      <c r="D3595" s="4" t="s">
        <v>13</v>
      </c>
      <c r="E3595" s="5">
        <v>179.85169999999999</v>
      </c>
      <c r="F3595" s="5">
        <v>181.6499</v>
      </c>
      <c r="G3595" s="5">
        <v>196.55449999999999</v>
      </c>
      <c r="H3595" s="4">
        <v>0</v>
      </c>
      <c r="I3595" s="6">
        <v>2311181</v>
      </c>
      <c r="J3595" s="7">
        <v>282.70999999999998</v>
      </c>
      <c r="K3595" s="9">
        <f>(PricingDataTable[[#This Row],[Current Price ($)]]-PricingDataTable[[#This Row],[Prior Price ($)]])/PricingDataTable[[#This Row],[Prior Price ($)]]</f>
        <v>9.9982374367326449E-3</v>
      </c>
      <c r="L3595" s="9">
        <f>(PricingDataTable[[#This Row],[Vendor Price ($)]]-PricingDataTable[[#This Row],[Current Price ($)]])/PricingDataTable[[#This Row],[Current Price ($)]]</f>
        <v>8.2051242527521273E-2</v>
      </c>
      <c r="M3595" t="str">
        <f t="shared" si="112"/>
        <v>VENDOR DIFFERENCE</v>
      </c>
      <c r="N3595" s="10" t="str">
        <f t="shared" si="113"/>
        <v>HIGH</v>
      </c>
    </row>
    <row r="3596" spans="1:14">
      <c r="A3596" s="4" t="s">
        <v>7208</v>
      </c>
      <c r="B3596" s="4" t="s">
        <v>7209</v>
      </c>
      <c r="C3596" s="4" t="s">
        <v>35</v>
      </c>
      <c r="D3596" s="4" t="s">
        <v>32</v>
      </c>
      <c r="E3596" s="5">
        <v>105.77509999999999</v>
      </c>
      <c r="F3596" s="5">
        <v>105.90389999999999</v>
      </c>
      <c r="G3596" s="5">
        <v>105.2388</v>
      </c>
      <c r="H3596" s="4">
        <v>4</v>
      </c>
      <c r="I3596" s="6">
        <v>1570454</v>
      </c>
      <c r="J3596" s="7">
        <v>497.34</v>
      </c>
      <c r="K3596" s="9">
        <f>(PricingDataTable[[#This Row],[Current Price ($)]]-PricingDataTable[[#This Row],[Prior Price ($)]])/PricingDataTable[[#This Row],[Prior Price ($)]]</f>
        <v>1.2176778844926477E-3</v>
      </c>
      <c r="L3596" s="9">
        <f>(PricingDataTable[[#This Row],[Vendor Price ($)]]-PricingDataTable[[#This Row],[Current Price ($)]])/PricingDataTable[[#This Row],[Current Price ($)]]</f>
        <v>-6.2802219748280793E-3</v>
      </c>
      <c r="M3596" t="str">
        <f t="shared" si="112"/>
        <v>STALE</v>
      </c>
      <c r="N3596" s="10" t="str">
        <f t="shared" si="113"/>
        <v>LOW</v>
      </c>
    </row>
    <row r="3597" spans="1:14">
      <c r="A3597" s="4" t="s">
        <v>7210</v>
      </c>
      <c r="B3597" s="4" t="s">
        <v>7211</v>
      </c>
      <c r="C3597" s="4" t="s">
        <v>19</v>
      </c>
      <c r="D3597" s="4" t="s">
        <v>13</v>
      </c>
      <c r="E3597" s="5">
        <v>24.188500000000001</v>
      </c>
      <c r="F3597" s="5">
        <v>24.117899999999999</v>
      </c>
      <c r="G3597" s="5">
        <v>24.133700000000001</v>
      </c>
      <c r="H3597" s="4">
        <v>0</v>
      </c>
      <c r="I3597" s="6">
        <v>2204467</v>
      </c>
      <c r="J3597" s="7">
        <v>631.58000000000004</v>
      </c>
      <c r="K3597" s="9">
        <f>(PricingDataTable[[#This Row],[Current Price ($)]]-PricingDataTable[[#This Row],[Prior Price ($)]])/PricingDataTable[[#This Row],[Prior Price ($)]]</f>
        <v>-2.9187423775762214E-3</v>
      </c>
      <c r="L3597" s="9">
        <f>(PricingDataTable[[#This Row],[Vendor Price ($)]]-PricingDataTable[[#This Row],[Current Price ($)]])/PricingDataTable[[#This Row],[Current Price ($)]]</f>
        <v>6.5511508050046887E-4</v>
      </c>
      <c r="M3597" t="str">
        <f t="shared" si="112"/>
        <v>PASS</v>
      </c>
      <c r="N3597" s="10" t="str">
        <f t="shared" si="113"/>
        <v>NONE</v>
      </c>
    </row>
    <row r="3598" spans="1:14">
      <c r="A3598" s="4" t="s">
        <v>7212</v>
      </c>
      <c r="B3598" s="4" t="s">
        <v>7213</v>
      </c>
      <c r="C3598" s="4" t="s">
        <v>39</v>
      </c>
      <c r="D3598" s="4" t="s">
        <v>13</v>
      </c>
      <c r="E3598" s="5">
        <v>151.99520000000001</v>
      </c>
      <c r="F3598" s="5">
        <v>151.63460000000001</v>
      </c>
      <c r="G3598" s="5">
        <v>152.69669999999999</v>
      </c>
      <c r="H3598" s="4">
        <v>0</v>
      </c>
      <c r="I3598" s="6">
        <v>4561159</v>
      </c>
      <c r="J3598" s="7">
        <v>849.4</v>
      </c>
      <c r="K3598" s="9">
        <f>(PricingDataTable[[#This Row],[Current Price ($)]]-PricingDataTable[[#This Row],[Prior Price ($)]])/PricingDataTable[[#This Row],[Prior Price ($)]]</f>
        <v>-2.3724433403160437E-3</v>
      </c>
      <c r="L3598" s="9">
        <f>(PricingDataTable[[#This Row],[Vendor Price ($)]]-PricingDataTable[[#This Row],[Current Price ($)]])/PricingDataTable[[#This Row],[Current Price ($)]]</f>
        <v>7.0043380600468934E-3</v>
      </c>
      <c r="M3598" t="str">
        <f t="shared" si="112"/>
        <v>PASS</v>
      </c>
      <c r="N3598" s="10" t="str">
        <f t="shared" si="113"/>
        <v>NONE</v>
      </c>
    </row>
    <row r="3599" spans="1:14">
      <c r="A3599" s="4" t="s">
        <v>7214</v>
      </c>
      <c r="B3599" s="4" t="s">
        <v>7215</v>
      </c>
      <c r="C3599" s="4" t="s">
        <v>35</v>
      </c>
      <c r="D3599" s="4" t="s">
        <v>13</v>
      </c>
      <c r="E3599" s="5">
        <v>112.7526</v>
      </c>
      <c r="F3599" s="5">
        <v>113.36879999999999</v>
      </c>
      <c r="G3599" s="5">
        <v>113.7379</v>
      </c>
      <c r="H3599" s="4">
        <v>4</v>
      </c>
      <c r="I3599" s="6">
        <v>4442673</v>
      </c>
      <c r="J3599" s="7">
        <v>424.84</v>
      </c>
      <c r="K3599" s="9">
        <f>(PricingDataTable[[#This Row],[Current Price ($)]]-PricingDataTable[[#This Row],[Prior Price ($)]])/PricingDataTable[[#This Row],[Prior Price ($)]]</f>
        <v>5.4650624464534928E-3</v>
      </c>
      <c r="L3599" s="9">
        <f>(PricingDataTable[[#This Row],[Vendor Price ($)]]-PricingDataTable[[#This Row],[Current Price ($)]])/PricingDataTable[[#This Row],[Current Price ($)]]</f>
        <v>3.2557458489461222E-3</v>
      </c>
      <c r="M3599" t="str">
        <f t="shared" si="112"/>
        <v>STALE</v>
      </c>
      <c r="N3599" s="10" t="str">
        <f t="shared" si="113"/>
        <v>LOW</v>
      </c>
    </row>
    <row r="3600" spans="1:14">
      <c r="A3600" s="4" t="s">
        <v>7216</v>
      </c>
      <c r="B3600" s="4" t="s">
        <v>7217</v>
      </c>
      <c r="C3600" s="4" t="s">
        <v>16</v>
      </c>
      <c r="D3600" s="4" t="s">
        <v>13</v>
      </c>
      <c r="E3600" s="5">
        <v>117.895</v>
      </c>
      <c r="F3600" s="5">
        <v>118.2894</v>
      </c>
      <c r="G3600" s="5">
        <v>118.2403</v>
      </c>
      <c r="H3600" s="4">
        <v>0</v>
      </c>
      <c r="I3600" s="6">
        <v>3283773</v>
      </c>
      <c r="J3600" s="7">
        <v>784.47</v>
      </c>
      <c r="K3600" s="9">
        <f>(PricingDataTable[[#This Row],[Current Price ($)]]-PricingDataTable[[#This Row],[Prior Price ($)]])/PricingDataTable[[#This Row],[Prior Price ($)]]</f>
        <v>3.3453496755587982E-3</v>
      </c>
      <c r="L3600" s="9">
        <f>(PricingDataTable[[#This Row],[Vendor Price ($)]]-PricingDataTable[[#This Row],[Current Price ($)]])/PricingDataTable[[#This Row],[Current Price ($)]]</f>
        <v>-4.1508368459046798E-4</v>
      </c>
      <c r="M3600" t="str">
        <f t="shared" si="112"/>
        <v>PASS</v>
      </c>
      <c r="N3600" s="10" t="str">
        <f t="shared" si="113"/>
        <v>NONE</v>
      </c>
    </row>
    <row r="3601" spans="1:14">
      <c r="A3601" s="4" t="s">
        <v>7218</v>
      </c>
      <c r="B3601" s="4" t="s">
        <v>7219</v>
      </c>
      <c r="C3601" s="4" t="s">
        <v>39</v>
      </c>
      <c r="D3601" s="4" t="s">
        <v>13</v>
      </c>
      <c r="E3601" s="5">
        <v>312.23099999999999</v>
      </c>
      <c r="F3601" s="5">
        <v>313.45229999999998</v>
      </c>
      <c r="G3601" s="5">
        <v>311.84829999999999</v>
      </c>
      <c r="H3601" s="4">
        <v>0</v>
      </c>
      <c r="I3601" s="6">
        <v>3631298</v>
      </c>
      <c r="J3601" s="7">
        <v>752.73</v>
      </c>
      <c r="K3601" s="9">
        <f>(PricingDataTable[[#This Row],[Current Price ($)]]-PricingDataTable[[#This Row],[Prior Price ($)]])/PricingDataTable[[#This Row],[Prior Price ($)]]</f>
        <v>3.911527042478118E-3</v>
      </c>
      <c r="L3601" s="9">
        <f>(PricingDataTable[[#This Row],[Vendor Price ($)]]-PricingDataTable[[#This Row],[Current Price ($)]])/PricingDataTable[[#This Row],[Current Price ($)]]</f>
        <v>-5.1172060310292347E-3</v>
      </c>
      <c r="M3601" t="str">
        <f t="shared" si="112"/>
        <v>PASS</v>
      </c>
      <c r="N3601" s="10" t="str">
        <f t="shared" si="113"/>
        <v>NONE</v>
      </c>
    </row>
    <row r="3602" spans="1:14">
      <c r="A3602" s="4" t="s">
        <v>7220</v>
      </c>
      <c r="B3602" s="4" t="s">
        <v>7221</v>
      </c>
      <c r="C3602" s="4" t="s">
        <v>35</v>
      </c>
      <c r="D3602" s="4" t="s">
        <v>13</v>
      </c>
      <c r="E3602" s="5">
        <v>150.52799999999999</v>
      </c>
      <c r="F3602" s="5">
        <v>152.08750000000001</v>
      </c>
      <c r="G3602" s="5">
        <v>151.5633</v>
      </c>
      <c r="H3602" s="4">
        <v>0</v>
      </c>
      <c r="I3602" s="6">
        <v>3996467</v>
      </c>
      <c r="J3602" s="7">
        <v>515.73</v>
      </c>
      <c r="K3602" s="9">
        <f>(PricingDataTable[[#This Row],[Current Price ($)]]-PricingDataTable[[#This Row],[Prior Price ($)]])/PricingDataTable[[#This Row],[Prior Price ($)]]</f>
        <v>1.0360198767006897E-2</v>
      </c>
      <c r="L3602" s="9">
        <f>(PricingDataTable[[#This Row],[Vendor Price ($)]]-PricingDataTable[[#This Row],[Current Price ($)]])/PricingDataTable[[#This Row],[Current Price ($)]]</f>
        <v>-3.4467000904085314E-3</v>
      </c>
      <c r="M3602" t="str">
        <f t="shared" si="112"/>
        <v>PASS</v>
      </c>
      <c r="N3602" s="10" t="str">
        <f t="shared" si="113"/>
        <v>NONE</v>
      </c>
    </row>
    <row r="3603" spans="1:14">
      <c r="A3603" s="4" t="s">
        <v>7222</v>
      </c>
      <c r="B3603" s="4" t="s">
        <v>7223</v>
      </c>
      <c r="C3603" s="4" t="s">
        <v>19</v>
      </c>
      <c r="D3603" s="4" t="s">
        <v>13</v>
      </c>
      <c r="E3603" s="5">
        <v>174.72970000000001</v>
      </c>
      <c r="F3603" s="5">
        <v>174.91249999999999</v>
      </c>
      <c r="G3603" s="5">
        <v>175.21019999999999</v>
      </c>
      <c r="H3603" s="4">
        <v>1</v>
      </c>
      <c r="I3603" s="6">
        <v>4753325</v>
      </c>
      <c r="J3603" s="7">
        <v>658.79</v>
      </c>
      <c r="K3603" s="9">
        <f>(PricingDataTable[[#This Row],[Current Price ($)]]-PricingDataTable[[#This Row],[Prior Price ($)]])/PricingDataTable[[#This Row],[Prior Price ($)]]</f>
        <v>1.0461873396450979E-3</v>
      </c>
      <c r="L3603" s="9">
        <f>(PricingDataTable[[#This Row],[Vendor Price ($)]]-PricingDataTable[[#This Row],[Current Price ($)]])/PricingDataTable[[#This Row],[Current Price ($)]]</f>
        <v>1.7019938540698456E-3</v>
      </c>
      <c r="M3603" t="str">
        <f t="shared" si="112"/>
        <v>PASS</v>
      </c>
      <c r="N3603" s="10" t="str">
        <f t="shared" si="113"/>
        <v>NONE</v>
      </c>
    </row>
    <row r="3604" spans="1:14">
      <c r="A3604" s="4" t="s">
        <v>7224</v>
      </c>
      <c r="B3604" s="4" t="s">
        <v>7225</v>
      </c>
      <c r="C3604" s="4" t="s">
        <v>12</v>
      </c>
      <c r="D3604" s="4" t="s">
        <v>13</v>
      </c>
      <c r="E3604" s="5">
        <v>97.778499999999994</v>
      </c>
      <c r="F3604" s="5">
        <v>98.556700000000006</v>
      </c>
      <c r="G3604" s="5">
        <v>98.426100000000005</v>
      </c>
      <c r="H3604" s="4">
        <v>2</v>
      </c>
      <c r="I3604" s="6">
        <v>1912578</v>
      </c>
      <c r="J3604" s="7">
        <v>151.66999999999999</v>
      </c>
      <c r="K3604" s="9">
        <f>(PricingDataTable[[#This Row],[Current Price ($)]]-PricingDataTable[[#This Row],[Prior Price ($)]])/PricingDataTable[[#This Row],[Prior Price ($)]]</f>
        <v>7.9588048497370324E-3</v>
      </c>
      <c r="L3604" s="9">
        <f>(PricingDataTable[[#This Row],[Vendor Price ($)]]-PricingDataTable[[#This Row],[Current Price ($)]])/PricingDataTable[[#This Row],[Current Price ($)]]</f>
        <v>-1.3251255368737097E-3</v>
      </c>
      <c r="M3604" t="str">
        <f t="shared" si="112"/>
        <v>PASS</v>
      </c>
      <c r="N3604" s="10" t="str">
        <f t="shared" si="113"/>
        <v>NONE</v>
      </c>
    </row>
    <row r="3605" spans="1:14">
      <c r="A3605" s="4" t="s">
        <v>7226</v>
      </c>
      <c r="B3605" s="4" t="s">
        <v>7227</v>
      </c>
      <c r="C3605" s="4" t="s">
        <v>39</v>
      </c>
      <c r="D3605" s="4" t="s">
        <v>13</v>
      </c>
      <c r="E3605" s="5">
        <v>52.723199999999999</v>
      </c>
      <c r="F3605" s="5">
        <v>52.082500000000003</v>
      </c>
      <c r="G3605" s="5">
        <v>51.8703</v>
      </c>
      <c r="H3605" s="4">
        <v>0</v>
      </c>
      <c r="I3605" s="6">
        <v>1839846</v>
      </c>
      <c r="J3605" s="7">
        <v>853.55</v>
      </c>
      <c r="K3605" s="9">
        <f>(PricingDataTable[[#This Row],[Current Price ($)]]-PricingDataTable[[#This Row],[Prior Price ($)]])/PricingDataTable[[#This Row],[Prior Price ($)]]</f>
        <v>-1.2152145545035116E-2</v>
      </c>
      <c r="L3605" s="9">
        <f>(PricingDataTable[[#This Row],[Vendor Price ($)]]-PricingDataTable[[#This Row],[Current Price ($)]])/PricingDataTable[[#This Row],[Current Price ($)]]</f>
        <v>-4.0743051888830761E-3</v>
      </c>
      <c r="M3605" t="str">
        <f t="shared" si="112"/>
        <v>PASS</v>
      </c>
      <c r="N3605" s="10" t="str">
        <f t="shared" si="113"/>
        <v>NONE</v>
      </c>
    </row>
    <row r="3606" spans="1:14">
      <c r="A3606" s="4" t="s">
        <v>7228</v>
      </c>
      <c r="B3606" s="4" t="s">
        <v>7229</v>
      </c>
      <c r="C3606" s="4" t="s">
        <v>12</v>
      </c>
      <c r="D3606" s="4" t="s">
        <v>237</v>
      </c>
      <c r="E3606" s="5">
        <v>87.168300000000002</v>
      </c>
      <c r="F3606" s="5">
        <v>88.173599999999993</v>
      </c>
      <c r="G3606" s="5">
        <v>88.168400000000005</v>
      </c>
      <c r="H3606" s="4">
        <v>3</v>
      </c>
      <c r="I3606" s="6">
        <v>3237970</v>
      </c>
      <c r="J3606" s="7">
        <v>195.34</v>
      </c>
      <c r="K3606" s="9">
        <f>(PricingDataTable[[#This Row],[Current Price ($)]]-PricingDataTable[[#This Row],[Prior Price ($)]])/PricingDataTable[[#This Row],[Prior Price ($)]]</f>
        <v>1.1532862290534417E-2</v>
      </c>
      <c r="L3606" s="9">
        <f>(PricingDataTable[[#This Row],[Vendor Price ($)]]-PricingDataTable[[#This Row],[Current Price ($)]])/PricingDataTable[[#This Row],[Current Price ($)]]</f>
        <v>-5.8974568351387277E-5</v>
      </c>
      <c r="M3606" t="str">
        <f t="shared" si="112"/>
        <v>STALE</v>
      </c>
      <c r="N3606" s="10" t="str">
        <f t="shared" si="113"/>
        <v>LOW</v>
      </c>
    </row>
    <row r="3607" spans="1:14">
      <c r="A3607" s="4" t="s">
        <v>7230</v>
      </c>
      <c r="B3607" s="4" t="s">
        <v>7231</v>
      </c>
      <c r="C3607" s="4" t="s">
        <v>16</v>
      </c>
      <c r="D3607" s="4" t="s">
        <v>13</v>
      </c>
      <c r="E3607" s="5">
        <v>82.670500000000004</v>
      </c>
      <c r="F3607" s="5">
        <v>82.096900000000005</v>
      </c>
      <c r="G3607" s="5">
        <v>82.259600000000006</v>
      </c>
      <c r="H3607" s="4">
        <v>0</v>
      </c>
      <c r="I3607" s="6">
        <v>2799963</v>
      </c>
      <c r="J3607" s="7">
        <v>828.16</v>
      </c>
      <c r="K3607" s="9">
        <f>(PricingDataTable[[#This Row],[Current Price ($)]]-PricingDataTable[[#This Row],[Prior Price ($)]])/PricingDataTable[[#This Row],[Prior Price ($)]]</f>
        <v>-6.9383879376561045E-3</v>
      </c>
      <c r="L3607" s="9">
        <f>(PricingDataTable[[#This Row],[Vendor Price ($)]]-PricingDataTable[[#This Row],[Current Price ($)]])/PricingDataTable[[#This Row],[Current Price ($)]]</f>
        <v>1.9818044286690601E-3</v>
      </c>
      <c r="M3607" t="str">
        <f t="shared" si="112"/>
        <v>PASS</v>
      </c>
      <c r="N3607" s="10" t="str">
        <f t="shared" si="113"/>
        <v>NONE</v>
      </c>
    </row>
    <row r="3608" spans="1:14">
      <c r="A3608" s="4" t="s">
        <v>7232</v>
      </c>
      <c r="B3608" s="4" t="s">
        <v>7233</v>
      </c>
      <c r="C3608" s="4" t="s">
        <v>19</v>
      </c>
      <c r="D3608" s="4" t="s">
        <v>13</v>
      </c>
      <c r="E3608" s="5">
        <v>198.20840000000001</v>
      </c>
      <c r="F3608" s="5">
        <v>195.27070000000001</v>
      </c>
      <c r="G3608" s="5">
        <v>194.1677</v>
      </c>
      <c r="H3608" s="4">
        <v>0</v>
      </c>
      <c r="I3608" s="6">
        <v>446743</v>
      </c>
      <c r="J3608" s="7">
        <v>821.6</v>
      </c>
      <c r="K3608" s="9">
        <f>(PricingDataTable[[#This Row],[Current Price ($)]]-PricingDataTable[[#This Row],[Prior Price ($)]])/PricingDataTable[[#This Row],[Prior Price ($)]]</f>
        <v>-1.4821268927048534E-2</v>
      </c>
      <c r="L3608" s="9">
        <f>(PricingDataTable[[#This Row],[Vendor Price ($)]]-PricingDataTable[[#This Row],[Current Price ($)]])/PricingDataTable[[#This Row],[Current Price ($)]]</f>
        <v>-5.6485688841183476E-3</v>
      </c>
      <c r="M3608" t="str">
        <f t="shared" si="112"/>
        <v>PASS</v>
      </c>
      <c r="N3608" s="10" t="str">
        <f t="shared" si="113"/>
        <v>NONE</v>
      </c>
    </row>
    <row r="3609" spans="1:14">
      <c r="A3609" s="4" t="s">
        <v>7234</v>
      </c>
      <c r="B3609" s="4" t="s">
        <v>7235</v>
      </c>
      <c r="C3609" s="4" t="s">
        <v>19</v>
      </c>
      <c r="D3609" s="4" t="s">
        <v>13</v>
      </c>
      <c r="E3609" s="5">
        <v>243.39060000000001</v>
      </c>
      <c r="F3609" s="5">
        <v>244.27719999999999</v>
      </c>
      <c r="G3609" s="5">
        <v>243.65629999999999</v>
      </c>
      <c r="H3609" s="4">
        <v>0</v>
      </c>
      <c r="I3609" s="6">
        <v>2297294</v>
      </c>
      <c r="J3609" s="7">
        <v>557.38</v>
      </c>
      <c r="K3609" s="9">
        <f>(PricingDataTable[[#This Row],[Current Price ($)]]-PricingDataTable[[#This Row],[Prior Price ($)]])/PricingDataTable[[#This Row],[Prior Price ($)]]</f>
        <v>3.6427043608092801E-3</v>
      </c>
      <c r="L3609" s="9">
        <f>(PricingDataTable[[#This Row],[Vendor Price ($)]]-PricingDataTable[[#This Row],[Current Price ($)]])/PricingDataTable[[#This Row],[Current Price ($)]]</f>
        <v>-2.5417844972842577E-3</v>
      </c>
      <c r="M3609" t="str">
        <f t="shared" si="112"/>
        <v>PASS</v>
      </c>
      <c r="N3609" s="10" t="str">
        <f t="shared" si="113"/>
        <v>NONE</v>
      </c>
    </row>
    <row r="3610" spans="1:14">
      <c r="A3610" s="4" t="s">
        <v>7236</v>
      </c>
      <c r="B3610" s="4" t="s">
        <v>7237</v>
      </c>
      <c r="C3610" s="4" t="s">
        <v>39</v>
      </c>
      <c r="D3610" s="4" t="s">
        <v>64</v>
      </c>
      <c r="E3610" s="5">
        <v>343.11599999999999</v>
      </c>
      <c r="F3610" s="5">
        <v>344.51799999999997</v>
      </c>
      <c r="G3610" s="5">
        <v>344.14949999999999</v>
      </c>
      <c r="H3610" s="4">
        <v>5</v>
      </c>
      <c r="I3610" s="6">
        <v>2275150</v>
      </c>
      <c r="J3610" s="7">
        <v>385.03</v>
      </c>
      <c r="K3610" s="9">
        <f>(PricingDataTable[[#This Row],[Current Price ($)]]-PricingDataTable[[#This Row],[Prior Price ($)]])/PricingDataTable[[#This Row],[Prior Price ($)]]</f>
        <v>4.0860816750020023E-3</v>
      </c>
      <c r="L3610" s="9">
        <f>(PricingDataTable[[#This Row],[Vendor Price ($)]]-PricingDataTable[[#This Row],[Current Price ($)]])/PricingDataTable[[#This Row],[Current Price ($)]]</f>
        <v>-1.0696102961238112E-3</v>
      </c>
      <c r="M3610" t="str">
        <f t="shared" si="112"/>
        <v>STALE</v>
      </c>
      <c r="N3610" s="10" t="str">
        <f t="shared" si="113"/>
        <v>MEDIUM</v>
      </c>
    </row>
    <row r="3611" spans="1:14">
      <c r="A3611" s="4" t="s">
        <v>7238</v>
      </c>
      <c r="B3611" s="4" t="s">
        <v>7239</v>
      </c>
      <c r="C3611" s="4" t="s">
        <v>12</v>
      </c>
      <c r="D3611" s="4" t="s">
        <v>13</v>
      </c>
      <c r="E3611" s="5">
        <v>80.5261</v>
      </c>
      <c r="F3611" s="5">
        <v>80.595699999999994</v>
      </c>
      <c r="G3611" s="5">
        <v>80.607200000000006</v>
      </c>
      <c r="H3611" s="4">
        <v>0</v>
      </c>
      <c r="I3611" s="6">
        <v>3592967</v>
      </c>
      <c r="J3611" s="7">
        <v>482.79</v>
      </c>
      <c r="K3611" s="9">
        <f>(PricingDataTable[[#This Row],[Current Price ($)]]-PricingDataTable[[#This Row],[Prior Price ($)]])/PricingDataTable[[#This Row],[Prior Price ($)]]</f>
        <v>8.6431604163114955E-4</v>
      </c>
      <c r="L3611" s="9">
        <f>(PricingDataTable[[#This Row],[Vendor Price ($)]]-PricingDataTable[[#This Row],[Current Price ($)]])/PricingDataTable[[#This Row],[Current Price ($)]]</f>
        <v>1.4268751310569024E-4</v>
      </c>
      <c r="M3611" t="str">
        <f t="shared" si="112"/>
        <v>PASS</v>
      </c>
      <c r="N3611" s="10" t="str">
        <f t="shared" si="113"/>
        <v>NONE</v>
      </c>
    </row>
    <row r="3612" spans="1:14">
      <c r="A3612" s="4" t="s">
        <v>7240</v>
      </c>
      <c r="B3612" s="4" t="s">
        <v>7241</v>
      </c>
      <c r="C3612" s="4" t="s">
        <v>39</v>
      </c>
      <c r="D3612" s="4" t="s">
        <v>13</v>
      </c>
      <c r="E3612" s="5">
        <v>121.7256</v>
      </c>
      <c r="F3612" s="5">
        <v>122.0787</v>
      </c>
      <c r="G3612" s="5">
        <v>121.5672</v>
      </c>
      <c r="H3612" s="4">
        <v>1</v>
      </c>
      <c r="I3612" s="6">
        <v>2955428</v>
      </c>
      <c r="J3612" s="7">
        <v>556.53</v>
      </c>
      <c r="K3612" s="9">
        <f>(PricingDataTable[[#This Row],[Current Price ($)]]-PricingDataTable[[#This Row],[Prior Price ($)]])/PricingDataTable[[#This Row],[Prior Price ($)]]</f>
        <v>2.9007866874346706E-3</v>
      </c>
      <c r="L3612" s="9">
        <f>(PricingDataTable[[#This Row],[Vendor Price ($)]]-PricingDataTable[[#This Row],[Current Price ($)]])/PricingDataTable[[#This Row],[Current Price ($)]]</f>
        <v>-4.189920108913333E-3</v>
      </c>
      <c r="M3612" t="str">
        <f t="shared" si="112"/>
        <v>PASS</v>
      </c>
      <c r="N3612" s="10" t="str">
        <f t="shared" si="113"/>
        <v>NONE</v>
      </c>
    </row>
    <row r="3613" spans="1:14">
      <c r="A3613" s="4" t="s">
        <v>7242</v>
      </c>
      <c r="B3613" s="4" t="s">
        <v>7243</v>
      </c>
      <c r="C3613" s="4" t="s">
        <v>12</v>
      </c>
      <c r="D3613" s="4" t="s">
        <v>13</v>
      </c>
      <c r="E3613" s="5">
        <v>121.13760000000001</v>
      </c>
      <c r="F3613" s="5">
        <v>121.4492</v>
      </c>
      <c r="G3613" s="5">
        <v>121.1955</v>
      </c>
      <c r="H3613" s="4">
        <v>0</v>
      </c>
      <c r="I3613" s="6">
        <v>2260705</v>
      </c>
      <c r="J3613" s="7">
        <v>459.43</v>
      </c>
      <c r="K3613" s="9">
        <f>(PricingDataTable[[#This Row],[Current Price ($)]]-PricingDataTable[[#This Row],[Prior Price ($)]])/PricingDataTable[[#This Row],[Prior Price ($)]]</f>
        <v>2.5722814386284565E-3</v>
      </c>
      <c r="L3613" s="9">
        <f>(PricingDataTable[[#This Row],[Vendor Price ($)]]-PricingDataTable[[#This Row],[Current Price ($)]])/PricingDataTable[[#This Row],[Current Price ($)]]</f>
        <v>-2.0889392437332573E-3</v>
      </c>
      <c r="M3613" t="str">
        <f t="shared" si="112"/>
        <v>PASS</v>
      </c>
      <c r="N3613" s="10" t="str">
        <f t="shared" si="113"/>
        <v>NONE</v>
      </c>
    </row>
    <row r="3614" spans="1:14">
      <c r="A3614" s="4" t="s">
        <v>7244</v>
      </c>
      <c r="B3614" s="4" t="s">
        <v>7245</v>
      </c>
      <c r="C3614" s="4" t="s">
        <v>12</v>
      </c>
      <c r="D3614" s="4" t="s">
        <v>13</v>
      </c>
      <c r="E3614" s="5">
        <v>94.603999999999999</v>
      </c>
      <c r="F3614" s="5">
        <v>93.703800000000001</v>
      </c>
      <c r="G3614" s="5">
        <v>94.246300000000005</v>
      </c>
      <c r="H3614" s="4">
        <v>0</v>
      </c>
      <c r="I3614" s="6">
        <v>3138754</v>
      </c>
      <c r="J3614" s="7">
        <v>676.73</v>
      </c>
      <c r="K3614" s="9">
        <f>(PricingDataTable[[#This Row],[Current Price ($)]]-PricingDataTable[[#This Row],[Prior Price ($)]])/PricingDataTable[[#This Row],[Prior Price ($)]]</f>
        <v>-9.5154538920130035E-3</v>
      </c>
      <c r="L3614" s="9">
        <f>(PricingDataTable[[#This Row],[Vendor Price ($)]]-PricingDataTable[[#This Row],[Current Price ($)]])/PricingDataTable[[#This Row],[Current Price ($)]]</f>
        <v>5.7895197419955647E-3</v>
      </c>
      <c r="M3614" t="str">
        <f t="shared" si="112"/>
        <v>PASS</v>
      </c>
      <c r="N3614" s="10" t="str">
        <f t="shared" si="113"/>
        <v>NONE</v>
      </c>
    </row>
    <row r="3615" spans="1:14">
      <c r="A3615" s="4" t="s">
        <v>7246</v>
      </c>
      <c r="B3615" s="4" t="s">
        <v>7247</v>
      </c>
      <c r="C3615" s="4" t="s">
        <v>12</v>
      </c>
      <c r="D3615" s="4" t="s">
        <v>13</v>
      </c>
      <c r="E3615" s="5">
        <v>84.983099999999993</v>
      </c>
      <c r="F3615" s="5">
        <v>84.686099999999996</v>
      </c>
      <c r="G3615" s="5">
        <v>84.534999999999997</v>
      </c>
      <c r="H3615" s="4">
        <v>3</v>
      </c>
      <c r="I3615" s="6">
        <v>4251974</v>
      </c>
      <c r="J3615" s="7">
        <v>260.72000000000003</v>
      </c>
      <c r="K3615" s="9">
        <f>(PricingDataTable[[#This Row],[Current Price ($)]]-PricingDataTable[[#This Row],[Prior Price ($)]])/PricingDataTable[[#This Row],[Prior Price ($)]]</f>
        <v>-3.4948124980142764E-3</v>
      </c>
      <c r="L3615" s="9">
        <f>(PricingDataTable[[#This Row],[Vendor Price ($)]]-PricingDataTable[[#This Row],[Current Price ($)]])/PricingDataTable[[#This Row],[Current Price ($)]]</f>
        <v>-1.7842361379258175E-3</v>
      </c>
      <c r="M3615" t="str">
        <f t="shared" si="112"/>
        <v>STALE</v>
      </c>
      <c r="N3615" s="10" t="str">
        <f t="shared" si="113"/>
        <v>LOW</v>
      </c>
    </row>
    <row r="3616" spans="1:14">
      <c r="A3616" s="4" t="s">
        <v>7248</v>
      </c>
      <c r="B3616" s="4" t="s">
        <v>7249</v>
      </c>
      <c r="C3616" s="4" t="s">
        <v>19</v>
      </c>
      <c r="D3616" s="4" t="s">
        <v>237</v>
      </c>
      <c r="E3616" s="5">
        <v>205.5522</v>
      </c>
      <c r="F3616" s="5">
        <v>206.09530000000001</v>
      </c>
      <c r="G3616" s="5">
        <v>206.44839999999999</v>
      </c>
      <c r="H3616" s="4">
        <v>2</v>
      </c>
      <c r="I3616" s="6">
        <v>3190883</v>
      </c>
      <c r="J3616" s="7">
        <v>68.709999999999994</v>
      </c>
      <c r="K3616" s="9">
        <f>(PricingDataTable[[#This Row],[Current Price ($)]]-PricingDataTable[[#This Row],[Prior Price ($)]])/PricingDataTable[[#This Row],[Prior Price ($)]]</f>
        <v>2.6421512394419018E-3</v>
      </c>
      <c r="L3616" s="9">
        <f>(PricingDataTable[[#This Row],[Vendor Price ($)]]-PricingDataTable[[#This Row],[Current Price ($)]])/PricingDataTable[[#This Row],[Current Price ($)]]</f>
        <v>1.7132850676361059E-3</v>
      </c>
      <c r="M3616" t="str">
        <f t="shared" si="112"/>
        <v>PASS</v>
      </c>
      <c r="N3616" s="10" t="str">
        <f t="shared" si="113"/>
        <v>NONE</v>
      </c>
    </row>
    <row r="3617" spans="1:14">
      <c r="A3617" s="4" t="s">
        <v>7250</v>
      </c>
      <c r="B3617" s="4" t="s">
        <v>7251</v>
      </c>
      <c r="C3617" s="4" t="s">
        <v>16</v>
      </c>
      <c r="D3617" s="4" t="s">
        <v>64</v>
      </c>
      <c r="E3617" s="5">
        <v>92.312200000000004</v>
      </c>
      <c r="F3617" s="5">
        <v>90.74</v>
      </c>
      <c r="G3617" s="5">
        <v>90.624300000000005</v>
      </c>
      <c r="H3617" s="4">
        <v>1</v>
      </c>
      <c r="I3617" s="6">
        <v>2635772</v>
      </c>
      <c r="J3617" s="7">
        <v>626.66</v>
      </c>
      <c r="K3617" s="9">
        <f>(PricingDataTable[[#This Row],[Current Price ($)]]-PricingDataTable[[#This Row],[Prior Price ($)]])/PricingDataTable[[#This Row],[Prior Price ($)]]</f>
        <v>-1.7031334969809075E-2</v>
      </c>
      <c r="L3617" s="9">
        <f>(PricingDataTable[[#This Row],[Vendor Price ($)]]-PricingDataTable[[#This Row],[Current Price ($)]])/PricingDataTable[[#This Row],[Current Price ($)]]</f>
        <v>-1.2750716332377088E-3</v>
      </c>
      <c r="M3617" t="str">
        <f t="shared" si="112"/>
        <v>PASS</v>
      </c>
      <c r="N3617" s="10" t="str">
        <f t="shared" si="113"/>
        <v>NONE</v>
      </c>
    </row>
    <row r="3618" spans="1:14">
      <c r="A3618" s="4" t="s">
        <v>7252</v>
      </c>
      <c r="B3618" s="4" t="s">
        <v>7253</v>
      </c>
      <c r="C3618" s="4" t="s">
        <v>19</v>
      </c>
      <c r="D3618" s="4" t="s">
        <v>13</v>
      </c>
      <c r="E3618" s="5">
        <v>113.14619999999999</v>
      </c>
      <c r="F3618" s="5">
        <v>112.74</v>
      </c>
      <c r="G3618" s="5">
        <v>113.4096</v>
      </c>
      <c r="H3618" s="4">
        <v>0</v>
      </c>
      <c r="I3618" s="6">
        <v>2913632</v>
      </c>
      <c r="J3618" s="7">
        <v>366.71</v>
      </c>
      <c r="K3618" s="9">
        <f>(PricingDataTable[[#This Row],[Current Price ($)]]-PricingDataTable[[#This Row],[Prior Price ($)]])/PricingDataTable[[#This Row],[Prior Price ($)]]</f>
        <v>-3.5900454456269707E-3</v>
      </c>
      <c r="L3618" s="9">
        <f>(PricingDataTable[[#This Row],[Vendor Price ($)]]-PricingDataTable[[#This Row],[Current Price ($)]])/PricingDataTable[[#This Row],[Current Price ($)]]</f>
        <v>5.9393294305481875E-3</v>
      </c>
      <c r="M3618" t="str">
        <f t="shared" si="112"/>
        <v>PASS</v>
      </c>
      <c r="N3618" s="10" t="str">
        <f t="shared" si="113"/>
        <v>NONE</v>
      </c>
    </row>
    <row r="3619" spans="1:14">
      <c r="A3619" s="4" t="s">
        <v>7254</v>
      </c>
      <c r="B3619" s="4" t="s">
        <v>7255</v>
      </c>
      <c r="C3619" s="4" t="s">
        <v>12</v>
      </c>
      <c r="D3619" s="4" t="s">
        <v>32</v>
      </c>
      <c r="E3619" s="5">
        <v>77.778499999999994</v>
      </c>
      <c r="F3619" s="5">
        <v>79.191900000000004</v>
      </c>
      <c r="G3619" s="5">
        <v>79.550399999999996</v>
      </c>
      <c r="H3619" s="4">
        <v>0</v>
      </c>
      <c r="I3619" s="6">
        <v>2653957</v>
      </c>
      <c r="J3619" s="7">
        <v>234.78</v>
      </c>
      <c r="K3619" s="9">
        <f>(PricingDataTable[[#This Row],[Current Price ($)]]-PricingDataTable[[#This Row],[Prior Price ($)]])/PricingDataTable[[#This Row],[Prior Price ($)]]</f>
        <v>1.8172116973199665E-2</v>
      </c>
      <c r="L3619" s="9">
        <f>(PricingDataTable[[#This Row],[Vendor Price ($)]]-PricingDataTable[[#This Row],[Current Price ($)]])/PricingDataTable[[#This Row],[Current Price ($)]]</f>
        <v>4.526978137915522E-3</v>
      </c>
      <c r="M3619" t="str">
        <f t="shared" si="112"/>
        <v>PASS</v>
      </c>
      <c r="N3619" s="10" t="str">
        <f t="shared" si="113"/>
        <v>NONE</v>
      </c>
    </row>
    <row r="3620" spans="1:14">
      <c r="A3620" s="4" t="s">
        <v>7256</v>
      </c>
      <c r="B3620" s="4" t="s">
        <v>7257</v>
      </c>
      <c r="C3620" s="4" t="s">
        <v>12</v>
      </c>
      <c r="D3620" s="4" t="s">
        <v>36</v>
      </c>
      <c r="E3620" s="5">
        <v>81.302000000000007</v>
      </c>
      <c r="F3620" s="5">
        <v>83.047200000000004</v>
      </c>
      <c r="G3620" s="5">
        <v>83.390600000000006</v>
      </c>
      <c r="H3620" s="4">
        <v>0</v>
      </c>
      <c r="I3620" s="6">
        <v>3573906</v>
      </c>
      <c r="J3620" s="7">
        <v>760.44</v>
      </c>
      <c r="K3620" s="9">
        <f>(PricingDataTable[[#This Row],[Current Price ($)]]-PricingDataTable[[#This Row],[Prior Price ($)]])/PricingDataTable[[#This Row],[Prior Price ($)]]</f>
        <v>2.1465646601559578E-2</v>
      </c>
      <c r="L3620" s="9">
        <f>(PricingDataTable[[#This Row],[Vendor Price ($)]]-PricingDataTable[[#This Row],[Current Price ($)]])/PricingDataTable[[#This Row],[Current Price ($)]]</f>
        <v>4.1349979288886627E-3</v>
      </c>
      <c r="M3620" t="str">
        <f t="shared" si="112"/>
        <v>PASS</v>
      </c>
      <c r="N3620" s="10" t="str">
        <f t="shared" si="113"/>
        <v>NONE</v>
      </c>
    </row>
    <row r="3621" spans="1:14">
      <c r="A3621" s="4" t="s">
        <v>7258</v>
      </c>
      <c r="B3621" s="4" t="s">
        <v>7259</v>
      </c>
      <c r="C3621" s="4" t="s">
        <v>19</v>
      </c>
      <c r="D3621" s="4" t="s">
        <v>64</v>
      </c>
      <c r="E3621" s="5">
        <v>236.28489999999999</v>
      </c>
      <c r="F3621" s="5">
        <v>236.2098</v>
      </c>
      <c r="G3621" s="5">
        <v>237.76519999999999</v>
      </c>
      <c r="H3621" s="4">
        <v>5</v>
      </c>
      <c r="I3621" s="6">
        <v>1504375</v>
      </c>
      <c r="J3621" s="7">
        <v>18.260000000000002</v>
      </c>
      <c r="K3621" s="9">
        <f>(PricingDataTable[[#This Row],[Current Price ($)]]-PricingDataTable[[#This Row],[Prior Price ($)]])/PricingDataTable[[#This Row],[Prior Price ($)]]</f>
        <v>-3.1783664550714817E-4</v>
      </c>
      <c r="L3621" s="9">
        <f>(PricingDataTable[[#This Row],[Vendor Price ($)]]-PricingDataTable[[#This Row],[Current Price ($)]])/PricingDataTable[[#This Row],[Current Price ($)]]</f>
        <v>6.584824169022588E-3</v>
      </c>
      <c r="M3621" t="str">
        <f t="shared" si="112"/>
        <v>STALE</v>
      </c>
      <c r="N3621" s="10" t="str">
        <f t="shared" si="113"/>
        <v>MEDIUM</v>
      </c>
    </row>
    <row r="3622" spans="1:14">
      <c r="A3622" s="4" t="s">
        <v>7260</v>
      </c>
      <c r="B3622" s="4" t="s">
        <v>7261</v>
      </c>
      <c r="C3622" s="4" t="s">
        <v>12</v>
      </c>
      <c r="D3622" s="4" t="s">
        <v>13</v>
      </c>
      <c r="E3622" s="5">
        <v>122.03919999999999</v>
      </c>
      <c r="F3622" s="5">
        <v>123.76130000000001</v>
      </c>
      <c r="G3622" s="5">
        <v>124.11879999999999</v>
      </c>
      <c r="H3622" s="4">
        <v>2</v>
      </c>
      <c r="I3622" s="6">
        <v>4343843</v>
      </c>
      <c r="J3622" s="7">
        <v>243.26</v>
      </c>
      <c r="K3622" s="9">
        <f>(PricingDataTable[[#This Row],[Current Price ($)]]-PricingDataTable[[#This Row],[Prior Price ($)]])/PricingDataTable[[#This Row],[Prior Price ($)]]</f>
        <v>1.4111039731496206E-2</v>
      </c>
      <c r="L3622" s="9">
        <f>(PricingDataTable[[#This Row],[Vendor Price ($)]]-PricingDataTable[[#This Row],[Current Price ($)]])/PricingDataTable[[#This Row],[Current Price ($)]]</f>
        <v>2.8886251194839381E-3</v>
      </c>
      <c r="M3622" t="str">
        <f t="shared" si="112"/>
        <v>PASS</v>
      </c>
      <c r="N3622" s="10" t="str">
        <f t="shared" si="113"/>
        <v>NONE</v>
      </c>
    </row>
    <row r="3623" spans="1:14">
      <c r="A3623" s="4" t="s">
        <v>7262</v>
      </c>
      <c r="B3623" s="4" t="s">
        <v>7263</v>
      </c>
      <c r="C3623" s="4" t="s">
        <v>19</v>
      </c>
      <c r="D3623" s="4" t="s">
        <v>13</v>
      </c>
      <c r="E3623" s="5">
        <v>223.21719999999999</v>
      </c>
      <c r="F3623" s="5">
        <v>189.80609999999999</v>
      </c>
      <c r="G3623" s="5">
        <v>189.80179999999999</v>
      </c>
      <c r="H3623" s="4">
        <v>0</v>
      </c>
      <c r="I3623" s="6">
        <v>853808</v>
      </c>
      <c r="J3623" s="7">
        <v>280.60000000000002</v>
      </c>
      <c r="K3623" s="9">
        <f>(PricingDataTable[[#This Row],[Current Price ($)]]-PricingDataTable[[#This Row],[Prior Price ($)]])/PricingDataTable[[#This Row],[Prior Price ($)]]</f>
        <v>-0.14967977378087355</v>
      </c>
      <c r="L3623" s="9">
        <f>(PricingDataTable[[#This Row],[Vendor Price ($)]]-PricingDataTable[[#This Row],[Current Price ($)]])/PricingDataTable[[#This Row],[Current Price ($)]]</f>
        <v>-2.2654698663534192E-5</v>
      </c>
      <c r="M3623" t="str">
        <f t="shared" si="112"/>
        <v>LARGE MOVE</v>
      </c>
      <c r="N3623" s="10" t="str">
        <f t="shared" si="113"/>
        <v>HIGH</v>
      </c>
    </row>
    <row r="3624" spans="1:14">
      <c r="A3624" s="4" t="s">
        <v>7264</v>
      </c>
      <c r="B3624" s="4" t="s">
        <v>7265</v>
      </c>
      <c r="C3624" s="4" t="s">
        <v>19</v>
      </c>
      <c r="D3624" s="4" t="s">
        <v>64</v>
      </c>
      <c r="E3624" s="5">
        <v>230.81540000000001</v>
      </c>
      <c r="F3624" s="5">
        <v>228.59360000000001</v>
      </c>
      <c r="G3624" s="5">
        <v>229.6422</v>
      </c>
      <c r="H3624" s="4">
        <v>0</v>
      </c>
      <c r="I3624" s="6">
        <v>1467659</v>
      </c>
      <c r="J3624" s="7">
        <v>535.37</v>
      </c>
      <c r="K3624" s="9">
        <f>(PricingDataTable[[#This Row],[Current Price ($)]]-PricingDataTable[[#This Row],[Prior Price ($)]])/PricingDataTable[[#This Row],[Prior Price ($)]]</f>
        <v>-9.6258741834383734E-3</v>
      </c>
      <c r="L3624" s="9">
        <f>(PricingDataTable[[#This Row],[Vendor Price ($)]]-PricingDataTable[[#This Row],[Current Price ($)]])/PricingDataTable[[#This Row],[Current Price ($)]]</f>
        <v>4.5871800435357477E-3</v>
      </c>
      <c r="M3624" t="str">
        <f t="shared" si="112"/>
        <v>PASS</v>
      </c>
      <c r="N3624" s="10" t="str">
        <f t="shared" si="113"/>
        <v>NONE</v>
      </c>
    </row>
    <row r="3625" spans="1:14">
      <c r="A3625" s="4" t="s">
        <v>7266</v>
      </c>
      <c r="B3625" s="4" t="s">
        <v>7267</v>
      </c>
      <c r="C3625" s="4" t="s">
        <v>39</v>
      </c>
      <c r="D3625" s="4" t="s">
        <v>13</v>
      </c>
      <c r="E3625" s="5">
        <v>191.00360000000001</v>
      </c>
      <c r="F3625" s="5">
        <v>191.15639999999999</v>
      </c>
      <c r="G3625" s="5">
        <v>191.85059999999999</v>
      </c>
      <c r="H3625" s="4">
        <v>0</v>
      </c>
      <c r="I3625" s="6">
        <v>1426259</v>
      </c>
      <c r="J3625" s="7">
        <v>881.14</v>
      </c>
      <c r="K3625" s="9">
        <f>(PricingDataTable[[#This Row],[Current Price ($)]]-PricingDataTable[[#This Row],[Prior Price ($)]])/PricingDataTable[[#This Row],[Prior Price ($)]]</f>
        <v>7.9998492175008718E-4</v>
      </c>
      <c r="L3625" s="9">
        <f>(PricingDataTable[[#This Row],[Vendor Price ($)]]-PricingDataTable[[#This Row],[Current Price ($)]])/PricingDataTable[[#This Row],[Current Price ($)]]</f>
        <v>3.6315812601618101E-3</v>
      </c>
      <c r="M3625" t="str">
        <f t="shared" si="112"/>
        <v>PASS</v>
      </c>
      <c r="N3625" s="10" t="str">
        <f t="shared" si="113"/>
        <v>NONE</v>
      </c>
    </row>
    <row r="3626" spans="1:14">
      <c r="A3626" s="4" t="s">
        <v>7268</v>
      </c>
      <c r="B3626" s="4" t="s">
        <v>7269</v>
      </c>
      <c r="C3626" s="4" t="s">
        <v>39</v>
      </c>
      <c r="D3626" s="4" t="s">
        <v>13</v>
      </c>
      <c r="E3626" s="5">
        <v>163.8408</v>
      </c>
      <c r="F3626" s="5">
        <v>165.53</v>
      </c>
      <c r="G3626" s="5">
        <v>165.5771</v>
      </c>
      <c r="H3626" s="4">
        <v>0</v>
      </c>
      <c r="I3626" s="6">
        <v>3169044</v>
      </c>
      <c r="J3626" s="7">
        <v>604.48</v>
      </c>
      <c r="K3626" s="9">
        <f>(PricingDataTable[[#This Row],[Current Price ($)]]-PricingDataTable[[#This Row],[Prior Price ($)]])/PricingDataTable[[#This Row],[Prior Price ($)]]</f>
        <v>1.031000825191283E-2</v>
      </c>
      <c r="L3626" s="9">
        <f>(PricingDataTable[[#This Row],[Vendor Price ($)]]-PricingDataTable[[#This Row],[Current Price ($)]])/PricingDataTable[[#This Row],[Current Price ($)]]</f>
        <v>2.8454056666465515E-4</v>
      </c>
      <c r="M3626" t="str">
        <f t="shared" si="112"/>
        <v>PASS</v>
      </c>
      <c r="N3626" s="10" t="str">
        <f t="shared" si="113"/>
        <v>NONE</v>
      </c>
    </row>
    <row r="3627" spans="1:14">
      <c r="A3627" s="4" t="s">
        <v>7270</v>
      </c>
      <c r="B3627" s="4" t="s">
        <v>7271</v>
      </c>
      <c r="C3627" s="4" t="s">
        <v>12</v>
      </c>
      <c r="D3627" s="4" t="s">
        <v>13</v>
      </c>
      <c r="E3627" s="5">
        <v>105.5104</v>
      </c>
      <c r="F3627" s="5">
        <v>106.01609999999999</v>
      </c>
      <c r="G3627" s="5">
        <v>106.0552</v>
      </c>
      <c r="H3627" s="4">
        <v>0</v>
      </c>
      <c r="I3627" s="6">
        <v>3168665</v>
      </c>
      <c r="J3627" s="7">
        <v>215.4</v>
      </c>
      <c r="K3627" s="9">
        <f>(PricingDataTable[[#This Row],[Current Price ($)]]-PricingDataTable[[#This Row],[Prior Price ($)]])/PricingDataTable[[#This Row],[Prior Price ($)]]</f>
        <v>4.7928924542034743E-3</v>
      </c>
      <c r="L3627" s="9">
        <f>(PricingDataTable[[#This Row],[Vendor Price ($)]]-PricingDataTable[[#This Row],[Current Price ($)]])/PricingDataTable[[#This Row],[Current Price ($)]]</f>
        <v>3.6881190687079415E-4</v>
      </c>
      <c r="M3627" t="str">
        <f t="shared" si="112"/>
        <v>PASS</v>
      </c>
      <c r="N3627" s="10" t="str">
        <f t="shared" si="113"/>
        <v>NONE</v>
      </c>
    </row>
    <row r="3628" spans="1:14">
      <c r="A3628" s="4" t="s">
        <v>7272</v>
      </c>
      <c r="B3628" s="4" t="s">
        <v>7273</v>
      </c>
      <c r="C3628" s="4" t="s">
        <v>19</v>
      </c>
      <c r="D3628" s="4" t="s">
        <v>13</v>
      </c>
      <c r="E3628" s="5">
        <v>177.71610000000001</v>
      </c>
      <c r="F3628" s="5">
        <v>179.17580000000001</v>
      </c>
      <c r="G3628" s="5">
        <v>178.53290000000001</v>
      </c>
      <c r="H3628" s="4">
        <v>0</v>
      </c>
      <c r="I3628" s="6">
        <v>377184</v>
      </c>
      <c r="J3628" s="7">
        <v>298.89</v>
      </c>
      <c r="K3628" s="9">
        <f>(PricingDataTable[[#This Row],[Current Price ($)]]-PricingDataTable[[#This Row],[Prior Price ($)]])/PricingDataTable[[#This Row],[Prior Price ($)]]</f>
        <v>8.2136621274043146E-3</v>
      </c>
      <c r="L3628" s="9">
        <f>(PricingDataTable[[#This Row],[Vendor Price ($)]]-PricingDataTable[[#This Row],[Current Price ($)]])/PricingDataTable[[#This Row],[Current Price ($)]]</f>
        <v>-3.5880961603073479E-3</v>
      </c>
      <c r="M3628" t="str">
        <f t="shared" si="112"/>
        <v>PASS</v>
      </c>
      <c r="N3628" s="10" t="str">
        <f t="shared" si="113"/>
        <v>NONE</v>
      </c>
    </row>
    <row r="3629" spans="1:14">
      <c r="A3629" s="4" t="s">
        <v>7274</v>
      </c>
      <c r="B3629" s="4" t="s">
        <v>7275</v>
      </c>
      <c r="C3629" s="4" t="s">
        <v>16</v>
      </c>
      <c r="D3629" s="4" t="s">
        <v>13</v>
      </c>
      <c r="E3629" s="5">
        <v>91.368600000000001</v>
      </c>
      <c r="F3629" s="5">
        <v>92.091399999999993</v>
      </c>
      <c r="G3629" s="5">
        <v>92.313999999999993</v>
      </c>
      <c r="H3629" s="4">
        <v>0</v>
      </c>
      <c r="I3629" s="6">
        <v>2886492</v>
      </c>
      <c r="J3629" s="7">
        <v>775.12</v>
      </c>
      <c r="K3629" s="9">
        <f>(PricingDataTable[[#This Row],[Current Price ($)]]-PricingDataTable[[#This Row],[Prior Price ($)]])/PricingDataTable[[#This Row],[Prior Price ($)]]</f>
        <v>7.9108139995577517E-3</v>
      </c>
      <c r="L3629" s="9">
        <f>(PricingDataTable[[#This Row],[Vendor Price ($)]]-PricingDataTable[[#This Row],[Current Price ($)]])/PricingDataTable[[#This Row],[Current Price ($)]]</f>
        <v>2.4171638176854727E-3</v>
      </c>
      <c r="M3629" t="str">
        <f t="shared" si="112"/>
        <v>PASS</v>
      </c>
      <c r="N3629" s="10" t="str">
        <f t="shared" si="113"/>
        <v>NONE</v>
      </c>
    </row>
    <row r="3630" spans="1:14">
      <c r="A3630" s="4" t="s">
        <v>7276</v>
      </c>
      <c r="B3630" s="4" t="s">
        <v>7277</v>
      </c>
      <c r="C3630" s="4" t="s">
        <v>35</v>
      </c>
      <c r="D3630" s="4" t="s">
        <v>32</v>
      </c>
      <c r="E3630" s="5">
        <v>152.13749999999999</v>
      </c>
      <c r="F3630" s="5">
        <v>154.39259999999999</v>
      </c>
      <c r="G3630" s="5">
        <v>154.78960000000001</v>
      </c>
      <c r="H3630" s="4">
        <v>0</v>
      </c>
      <c r="I3630" s="6">
        <v>3187368</v>
      </c>
      <c r="J3630" s="7">
        <v>741.61</v>
      </c>
      <c r="K3630" s="9">
        <f>(PricingDataTable[[#This Row],[Current Price ($)]]-PricingDataTable[[#This Row],[Prior Price ($)]])/PricingDataTable[[#This Row],[Prior Price ($)]]</f>
        <v>1.4822775449839776E-2</v>
      </c>
      <c r="L3630" s="9">
        <f>(PricingDataTable[[#This Row],[Vendor Price ($)]]-PricingDataTable[[#This Row],[Current Price ($)]])/PricingDataTable[[#This Row],[Current Price ($)]]</f>
        <v>2.5713667623967719E-3</v>
      </c>
      <c r="M3630" t="str">
        <f t="shared" si="112"/>
        <v>PASS</v>
      </c>
      <c r="N3630" s="10" t="str">
        <f t="shared" si="113"/>
        <v>NONE</v>
      </c>
    </row>
    <row r="3631" spans="1:14">
      <c r="A3631" s="4" t="s">
        <v>7278</v>
      </c>
      <c r="B3631" s="4" t="s">
        <v>7279</v>
      </c>
      <c r="C3631" s="4" t="s">
        <v>12</v>
      </c>
      <c r="D3631" s="4" t="s">
        <v>13</v>
      </c>
      <c r="E3631" s="5">
        <v>97.919600000000003</v>
      </c>
      <c r="F3631" s="5">
        <v>95.539900000000003</v>
      </c>
      <c r="G3631" s="5">
        <v>95.661799999999999</v>
      </c>
      <c r="H3631" s="4">
        <v>0</v>
      </c>
      <c r="I3631" s="6">
        <v>3245309</v>
      </c>
      <c r="J3631" s="7">
        <v>262.01</v>
      </c>
      <c r="K3631" s="9">
        <f>(PricingDataTable[[#This Row],[Current Price ($)]]-PricingDataTable[[#This Row],[Prior Price ($)]])/PricingDataTable[[#This Row],[Prior Price ($)]]</f>
        <v>-2.430259110535582E-2</v>
      </c>
      <c r="L3631" s="9">
        <f>(PricingDataTable[[#This Row],[Vendor Price ($)]]-PricingDataTable[[#This Row],[Current Price ($)]])/PricingDataTable[[#This Row],[Current Price ($)]]</f>
        <v>1.2759067154141522E-3</v>
      </c>
      <c r="M3631" t="str">
        <f t="shared" si="112"/>
        <v>PASS</v>
      </c>
      <c r="N3631" s="10" t="str">
        <f t="shared" si="113"/>
        <v>NONE</v>
      </c>
    </row>
    <row r="3632" spans="1:14">
      <c r="A3632" s="4" t="s">
        <v>7280</v>
      </c>
      <c r="B3632" s="4" t="s">
        <v>7281</v>
      </c>
      <c r="C3632" s="4" t="s">
        <v>12</v>
      </c>
      <c r="D3632" s="4" t="s">
        <v>13</v>
      </c>
      <c r="E3632" s="5">
        <v>85.005700000000004</v>
      </c>
      <c r="F3632" s="5">
        <v>84.415000000000006</v>
      </c>
      <c r="G3632" s="5">
        <v>84.576800000000006</v>
      </c>
      <c r="H3632" s="4">
        <v>1</v>
      </c>
      <c r="I3632" s="6">
        <v>1455032</v>
      </c>
      <c r="J3632" s="7">
        <v>385.33</v>
      </c>
      <c r="K3632" s="9">
        <f>(PricingDataTable[[#This Row],[Current Price ($)]]-PricingDataTable[[#This Row],[Prior Price ($)]])/PricingDataTable[[#This Row],[Prior Price ($)]]</f>
        <v>-6.9489457765773144E-3</v>
      </c>
      <c r="L3632" s="9">
        <f>(PricingDataTable[[#This Row],[Vendor Price ($)]]-PricingDataTable[[#This Row],[Current Price ($)]])/PricingDataTable[[#This Row],[Current Price ($)]]</f>
        <v>1.9167209619143457E-3</v>
      </c>
      <c r="M3632" t="str">
        <f t="shared" si="112"/>
        <v>PASS</v>
      </c>
      <c r="N3632" s="10" t="str">
        <f t="shared" si="113"/>
        <v>NONE</v>
      </c>
    </row>
    <row r="3633" spans="1:14">
      <c r="A3633" s="4" t="s">
        <v>7282</v>
      </c>
      <c r="B3633" s="4" t="s">
        <v>7283</v>
      </c>
      <c r="C3633" s="4" t="s">
        <v>19</v>
      </c>
      <c r="D3633" s="4" t="s">
        <v>32</v>
      </c>
      <c r="E3633" s="5">
        <v>204.7099</v>
      </c>
      <c r="F3633" s="5">
        <v>205.35900000000001</v>
      </c>
      <c r="G3633" s="5">
        <v>205.7234</v>
      </c>
      <c r="H3633" s="4">
        <v>0</v>
      </c>
      <c r="I3633" s="6">
        <v>2678581</v>
      </c>
      <c r="J3633" s="7">
        <v>831.43</v>
      </c>
      <c r="K3633" s="9">
        <f>(PricingDataTable[[#This Row],[Current Price ($)]]-PricingDataTable[[#This Row],[Prior Price ($)]])/PricingDataTable[[#This Row],[Prior Price ($)]]</f>
        <v>3.1708285725311975E-3</v>
      </c>
      <c r="L3633" s="9">
        <f>(PricingDataTable[[#This Row],[Vendor Price ($)]]-PricingDataTable[[#This Row],[Current Price ($)]])/PricingDataTable[[#This Row],[Current Price ($)]]</f>
        <v>1.7744535179855237E-3</v>
      </c>
      <c r="M3633" t="str">
        <f t="shared" si="112"/>
        <v>PASS</v>
      </c>
      <c r="N3633" s="10" t="str">
        <f t="shared" si="113"/>
        <v>NONE</v>
      </c>
    </row>
    <row r="3634" spans="1:14">
      <c r="A3634" s="4" t="s">
        <v>7284</v>
      </c>
      <c r="B3634" s="4" t="s">
        <v>7285</v>
      </c>
      <c r="C3634" s="4" t="s">
        <v>39</v>
      </c>
      <c r="D3634" s="4" t="s">
        <v>13</v>
      </c>
      <c r="E3634" s="5">
        <v>65.190600000000003</v>
      </c>
      <c r="F3634" s="5">
        <v>64.675799999999995</v>
      </c>
      <c r="G3634" s="5">
        <v>64.922399999999996</v>
      </c>
      <c r="H3634" s="4">
        <v>0</v>
      </c>
      <c r="I3634" s="6">
        <v>2982042</v>
      </c>
      <c r="J3634" s="7">
        <v>358.45</v>
      </c>
      <c r="K3634" s="9">
        <f>(PricingDataTable[[#This Row],[Current Price ($)]]-PricingDataTable[[#This Row],[Prior Price ($)]])/PricingDataTable[[#This Row],[Prior Price ($)]]</f>
        <v>-7.8968440235249876E-3</v>
      </c>
      <c r="L3634" s="9">
        <f>(PricingDataTable[[#This Row],[Vendor Price ($)]]-PricingDataTable[[#This Row],[Current Price ($)]])/PricingDataTable[[#This Row],[Current Price ($)]]</f>
        <v>3.8128635440149304E-3</v>
      </c>
      <c r="M3634" t="str">
        <f t="shared" si="112"/>
        <v>PASS</v>
      </c>
      <c r="N3634" s="10" t="str">
        <f t="shared" si="113"/>
        <v>NONE</v>
      </c>
    </row>
    <row r="3635" spans="1:14">
      <c r="A3635" s="4" t="s">
        <v>7286</v>
      </c>
      <c r="B3635" s="4" t="s">
        <v>7287</v>
      </c>
      <c r="C3635" s="4" t="s">
        <v>19</v>
      </c>
      <c r="D3635" s="4" t="s">
        <v>64</v>
      </c>
      <c r="E3635" s="5">
        <v>285.11720000000003</v>
      </c>
      <c r="F3635" s="5">
        <v>282.91460000000001</v>
      </c>
      <c r="G3635" s="5">
        <v>281.87169999999998</v>
      </c>
      <c r="H3635" s="4">
        <v>0</v>
      </c>
      <c r="I3635" s="6">
        <v>2912320</v>
      </c>
      <c r="J3635" s="7">
        <v>695.27</v>
      </c>
      <c r="K3635" s="9">
        <f>(PricingDataTable[[#This Row],[Current Price ($)]]-PricingDataTable[[#This Row],[Prior Price ($)]])/PricingDataTable[[#This Row],[Prior Price ($)]]</f>
        <v>-7.7252442153613252E-3</v>
      </c>
      <c r="L3635" s="9">
        <f>(PricingDataTable[[#This Row],[Vendor Price ($)]]-PricingDataTable[[#This Row],[Current Price ($)]])/PricingDataTable[[#This Row],[Current Price ($)]]</f>
        <v>-3.6862714048692836E-3</v>
      </c>
      <c r="M3635" t="str">
        <f t="shared" si="112"/>
        <v>PASS</v>
      </c>
      <c r="N3635" s="10" t="str">
        <f t="shared" si="113"/>
        <v>NONE</v>
      </c>
    </row>
    <row r="3636" spans="1:14">
      <c r="A3636" s="4" t="s">
        <v>7288</v>
      </c>
      <c r="B3636" s="4" t="s">
        <v>7289</v>
      </c>
      <c r="C3636" s="4" t="s">
        <v>19</v>
      </c>
      <c r="D3636" s="4" t="s">
        <v>13</v>
      </c>
      <c r="E3636" s="5">
        <v>65.337000000000003</v>
      </c>
      <c r="F3636" s="5">
        <v>64.927300000000002</v>
      </c>
      <c r="G3636" s="5">
        <v>64.822400000000002</v>
      </c>
      <c r="H3636" s="4">
        <v>4</v>
      </c>
      <c r="I3636" s="6">
        <v>2196473</v>
      </c>
      <c r="J3636" s="7">
        <v>160.86000000000001</v>
      </c>
      <c r="K3636" s="9">
        <f>(PricingDataTable[[#This Row],[Current Price ($)]]-PricingDataTable[[#This Row],[Prior Price ($)]])/PricingDataTable[[#This Row],[Prior Price ($)]]</f>
        <v>-6.2705664478014114E-3</v>
      </c>
      <c r="L3636" s="9">
        <f>(PricingDataTable[[#This Row],[Vendor Price ($)]]-PricingDataTable[[#This Row],[Current Price ($)]])/PricingDataTable[[#This Row],[Current Price ($)]]</f>
        <v>-1.6156531998096433E-3</v>
      </c>
      <c r="M3636" t="str">
        <f t="shared" si="112"/>
        <v>STALE</v>
      </c>
      <c r="N3636" s="10" t="str">
        <f t="shared" si="113"/>
        <v>LOW</v>
      </c>
    </row>
    <row r="3637" spans="1:14">
      <c r="A3637" s="4" t="s">
        <v>7290</v>
      </c>
      <c r="B3637" s="4" t="s">
        <v>7291</v>
      </c>
      <c r="C3637" s="4" t="s">
        <v>39</v>
      </c>
      <c r="D3637" s="4" t="s">
        <v>13</v>
      </c>
      <c r="E3637" s="5">
        <v>279.12360000000001</v>
      </c>
      <c r="F3637" s="5">
        <v>277.73590000000002</v>
      </c>
      <c r="G3637" s="5">
        <v>279.13409999999999</v>
      </c>
      <c r="H3637" s="4">
        <v>0</v>
      </c>
      <c r="I3637" s="6">
        <v>1939328</v>
      </c>
      <c r="J3637" s="7">
        <v>556.66</v>
      </c>
      <c r="K3637" s="9">
        <f>(PricingDataTable[[#This Row],[Current Price ($)]]-PricingDataTable[[#This Row],[Prior Price ($)]])/PricingDataTable[[#This Row],[Prior Price ($)]]</f>
        <v>-4.9716326387306388E-3</v>
      </c>
      <c r="L3637" s="9">
        <f>(PricingDataTable[[#This Row],[Vendor Price ($)]]-PricingDataTable[[#This Row],[Current Price ($)]])/PricingDataTable[[#This Row],[Current Price ($)]]</f>
        <v>5.0342789678971076E-3</v>
      </c>
      <c r="M3637" t="str">
        <f t="shared" si="112"/>
        <v>PASS</v>
      </c>
      <c r="N3637" s="10" t="str">
        <f t="shared" si="113"/>
        <v>NONE</v>
      </c>
    </row>
    <row r="3638" spans="1:14">
      <c r="A3638" s="4" t="s">
        <v>7292</v>
      </c>
      <c r="B3638" s="4" t="s">
        <v>7293</v>
      </c>
      <c r="C3638" s="4" t="s">
        <v>16</v>
      </c>
      <c r="D3638" s="4" t="s">
        <v>13</v>
      </c>
      <c r="E3638" s="5">
        <v>82.534599999999998</v>
      </c>
      <c r="F3638" s="5">
        <v>82.998800000000003</v>
      </c>
      <c r="G3638" s="5">
        <v>82.870699999999999</v>
      </c>
      <c r="H3638" s="4">
        <v>0</v>
      </c>
      <c r="I3638" s="6">
        <v>1451216</v>
      </c>
      <c r="J3638" s="7">
        <v>868.03</v>
      </c>
      <c r="K3638" s="9">
        <f>(PricingDataTable[[#This Row],[Current Price ($)]]-PricingDataTable[[#This Row],[Prior Price ($)]])/PricingDataTable[[#This Row],[Prior Price ($)]]</f>
        <v>5.6243078660344302E-3</v>
      </c>
      <c r="L3638" s="9">
        <f>(PricingDataTable[[#This Row],[Vendor Price ($)]]-PricingDataTable[[#This Row],[Current Price ($)]])/PricingDataTable[[#This Row],[Current Price ($)]]</f>
        <v>-1.5433958081322071E-3</v>
      </c>
      <c r="M3638" t="str">
        <f t="shared" si="112"/>
        <v>PASS</v>
      </c>
      <c r="N3638" s="10" t="str">
        <f t="shared" si="113"/>
        <v>NONE</v>
      </c>
    </row>
    <row r="3639" spans="1:14">
      <c r="A3639" s="4" t="s">
        <v>7294</v>
      </c>
      <c r="B3639" s="4" t="s">
        <v>7295</v>
      </c>
      <c r="C3639" s="4" t="s">
        <v>16</v>
      </c>
      <c r="D3639" s="4" t="s">
        <v>13</v>
      </c>
      <c r="E3639" s="5">
        <v>89.326400000000007</v>
      </c>
      <c r="F3639" s="5">
        <v>106.37949999999999</v>
      </c>
      <c r="G3639" s="5">
        <v>106.9074</v>
      </c>
      <c r="H3639" s="4">
        <v>0</v>
      </c>
      <c r="I3639" s="6">
        <v>1273000</v>
      </c>
      <c r="J3639" s="7">
        <v>874.92</v>
      </c>
      <c r="K3639" s="9">
        <f>(PricingDataTable[[#This Row],[Current Price ($)]]-PricingDataTable[[#This Row],[Prior Price ($)]])/PricingDataTable[[#This Row],[Prior Price ($)]]</f>
        <v>0.19090772716688442</v>
      </c>
      <c r="L3639" s="9">
        <f>(PricingDataTable[[#This Row],[Vendor Price ($)]]-PricingDataTable[[#This Row],[Current Price ($)]])/PricingDataTable[[#This Row],[Current Price ($)]]</f>
        <v>4.9624222712082921E-3</v>
      </c>
      <c r="M3639" t="str">
        <f t="shared" si="112"/>
        <v>LARGE MOVE</v>
      </c>
      <c r="N3639" s="10" t="str">
        <f t="shared" si="113"/>
        <v>HIGH</v>
      </c>
    </row>
    <row r="3640" spans="1:14">
      <c r="A3640" s="4" t="s">
        <v>7296</v>
      </c>
      <c r="B3640" s="4" t="s">
        <v>7297</v>
      </c>
      <c r="C3640" s="4" t="s">
        <v>19</v>
      </c>
      <c r="D3640" s="4" t="s">
        <v>13</v>
      </c>
      <c r="E3640" s="5">
        <v>274.5949</v>
      </c>
      <c r="F3640" s="5">
        <v>273.2552</v>
      </c>
      <c r="G3640" s="5">
        <v>273.45170000000002</v>
      </c>
      <c r="H3640" s="4">
        <v>0</v>
      </c>
      <c r="I3640" s="6">
        <v>1362763</v>
      </c>
      <c r="J3640" s="7">
        <v>161.72</v>
      </c>
      <c r="K3640" s="9">
        <f>(PricingDataTable[[#This Row],[Current Price ($)]]-PricingDataTable[[#This Row],[Prior Price ($)]])/PricingDataTable[[#This Row],[Prior Price ($)]]</f>
        <v>-4.8788233139071173E-3</v>
      </c>
      <c r="L3640" s="9">
        <f>(PricingDataTable[[#This Row],[Vendor Price ($)]]-PricingDataTable[[#This Row],[Current Price ($)]])/PricingDataTable[[#This Row],[Current Price ($)]]</f>
        <v>7.1910799867674815E-4</v>
      </c>
      <c r="M3640" t="str">
        <f t="shared" si="112"/>
        <v>PASS</v>
      </c>
      <c r="N3640" s="10" t="str">
        <f t="shared" si="113"/>
        <v>NONE</v>
      </c>
    </row>
    <row r="3641" spans="1:14">
      <c r="A3641" s="4" t="s">
        <v>7298</v>
      </c>
      <c r="B3641" s="4" t="s">
        <v>7299</v>
      </c>
      <c r="C3641" s="4" t="s">
        <v>19</v>
      </c>
      <c r="D3641" s="4" t="s">
        <v>13</v>
      </c>
      <c r="E3641" s="5">
        <v>132.27879999999999</v>
      </c>
      <c r="F3641" s="5">
        <v>133.6397</v>
      </c>
      <c r="G3641" s="5">
        <v>134.35679999999999</v>
      </c>
      <c r="H3641" s="4">
        <v>0</v>
      </c>
      <c r="I3641" s="6">
        <v>2176698</v>
      </c>
      <c r="J3641" s="7">
        <v>89.03</v>
      </c>
      <c r="K3641" s="9">
        <f>(PricingDataTable[[#This Row],[Current Price ($)]]-PricingDataTable[[#This Row],[Prior Price ($)]])/PricingDataTable[[#This Row],[Prior Price ($)]]</f>
        <v>1.0288118731043941E-2</v>
      </c>
      <c r="L3641" s="9">
        <f>(PricingDataTable[[#This Row],[Vendor Price ($)]]-PricingDataTable[[#This Row],[Current Price ($)]])/PricingDataTable[[#This Row],[Current Price ($)]]</f>
        <v>5.3659204562715107E-3</v>
      </c>
      <c r="M3641" t="str">
        <f t="shared" si="112"/>
        <v>PASS</v>
      </c>
      <c r="N3641" s="10" t="str">
        <f t="shared" si="113"/>
        <v>NONE</v>
      </c>
    </row>
    <row r="3642" spans="1:14">
      <c r="A3642" s="4" t="s">
        <v>7300</v>
      </c>
      <c r="B3642" s="4" t="s">
        <v>7301</v>
      </c>
      <c r="C3642" s="4" t="s">
        <v>16</v>
      </c>
      <c r="D3642" s="4" t="s">
        <v>13</v>
      </c>
      <c r="E3642" s="5">
        <v>81.652900000000002</v>
      </c>
      <c r="F3642" s="5">
        <v>81.5899</v>
      </c>
      <c r="G3642" s="5">
        <v>81.184700000000007</v>
      </c>
      <c r="H3642" s="4">
        <v>0</v>
      </c>
      <c r="I3642" s="6">
        <v>305915</v>
      </c>
      <c r="J3642" s="7">
        <v>240.15</v>
      </c>
      <c r="K3642" s="9">
        <f>(PricingDataTable[[#This Row],[Current Price ($)]]-PricingDataTable[[#This Row],[Prior Price ($)]])/PricingDataTable[[#This Row],[Prior Price ($)]]</f>
        <v>-7.7155863416978926E-4</v>
      </c>
      <c r="L3642" s="9">
        <f>(PricingDataTable[[#This Row],[Vendor Price ($)]]-PricingDataTable[[#This Row],[Current Price ($)]])/PricingDataTable[[#This Row],[Current Price ($)]]</f>
        <v>-4.9663009759785652E-3</v>
      </c>
      <c r="M3642" t="str">
        <f t="shared" si="112"/>
        <v>PASS</v>
      </c>
      <c r="N3642" s="10" t="str">
        <f t="shared" si="113"/>
        <v>NONE</v>
      </c>
    </row>
    <row r="3643" spans="1:14">
      <c r="A3643" s="4" t="s">
        <v>7302</v>
      </c>
      <c r="B3643" s="4" t="s">
        <v>7303</v>
      </c>
      <c r="C3643" s="4" t="s">
        <v>16</v>
      </c>
      <c r="D3643" s="4" t="s">
        <v>13</v>
      </c>
      <c r="E3643" s="5">
        <v>97.029499999999999</v>
      </c>
      <c r="F3643" s="5">
        <v>95.013900000000007</v>
      </c>
      <c r="G3643" s="5">
        <v>94.852000000000004</v>
      </c>
      <c r="H3643" s="4">
        <v>1</v>
      </c>
      <c r="I3643" s="6">
        <v>843374</v>
      </c>
      <c r="J3643" s="7">
        <v>187.41</v>
      </c>
      <c r="K3643" s="9">
        <f>(PricingDataTable[[#This Row],[Current Price ($)]]-PricingDataTable[[#This Row],[Prior Price ($)]])/PricingDataTable[[#This Row],[Prior Price ($)]]</f>
        <v>-2.0773063862021261E-2</v>
      </c>
      <c r="L3643" s="9">
        <f>(PricingDataTable[[#This Row],[Vendor Price ($)]]-PricingDataTable[[#This Row],[Current Price ($)]])/PricingDataTable[[#This Row],[Current Price ($)]]</f>
        <v>-1.703961209886162E-3</v>
      </c>
      <c r="M3643" t="str">
        <f t="shared" si="112"/>
        <v>PASS</v>
      </c>
      <c r="N3643" s="10" t="str">
        <f t="shared" si="113"/>
        <v>NONE</v>
      </c>
    </row>
    <row r="3644" spans="1:14">
      <c r="A3644" s="4" t="s">
        <v>7304</v>
      </c>
      <c r="B3644" s="4" t="s">
        <v>7305</v>
      </c>
      <c r="C3644" s="4" t="s">
        <v>19</v>
      </c>
      <c r="D3644" s="4" t="s">
        <v>13</v>
      </c>
      <c r="E3644" s="5">
        <v>67.813500000000005</v>
      </c>
      <c r="F3644" s="5">
        <v>67.606999999999999</v>
      </c>
      <c r="G3644" s="5">
        <v>67.485799999999998</v>
      </c>
      <c r="H3644" s="4">
        <v>0</v>
      </c>
      <c r="I3644" s="6">
        <v>3246513</v>
      </c>
      <c r="J3644" s="7">
        <v>740.24</v>
      </c>
      <c r="K3644" s="9">
        <f>(PricingDataTable[[#This Row],[Current Price ($)]]-PricingDataTable[[#This Row],[Prior Price ($)]])/PricingDataTable[[#This Row],[Prior Price ($)]]</f>
        <v>-3.0451163853805721E-3</v>
      </c>
      <c r="L3644" s="9">
        <f>(PricingDataTable[[#This Row],[Vendor Price ($)]]-PricingDataTable[[#This Row],[Current Price ($)]])/PricingDataTable[[#This Row],[Current Price ($)]]</f>
        <v>-1.7927137722425451E-3</v>
      </c>
      <c r="M3644" t="str">
        <f t="shared" si="112"/>
        <v>PASS</v>
      </c>
      <c r="N3644" s="10" t="str">
        <f t="shared" si="113"/>
        <v>NONE</v>
      </c>
    </row>
    <row r="3645" spans="1:14">
      <c r="A3645" s="4" t="s">
        <v>7306</v>
      </c>
      <c r="B3645" s="4" t="s">
        <v>7307</v>
      </c>
      <c r="C3645" s="4" t="s">
        <v>19</v>
      </c>
      <c r="D3645" s="4" t="s">
        <v>64</v>
      </c>
      <c r="E3645" s="5">
        <v>299.6422</v>
      </c>
      <c r="F3645" s="5">
        <v>295.2672</v>
      </c>
      <c r="G3645" s="5">
        <v>295.65949999999998</v>
      </c>
      <c r="H3645" s="4">
        <v>0</v>
      </c>
      <c r="I3645" s="6">
        <v>1155657</v>
      </c>
      <c r="J3645" s="7">
        <v>408.77</v>
      </c>
      <c r="K3645" s="9">
        <f>(PricingDataTable[[#This Row],[Current Price ($)]]-PricingDataTable[[#This Row],[Prior Price ($)]])/PricingDataTable[[#This Row],[Prior Price ($)]]</f>
        <v>-1.4600747157776841E-2</v>
      </c>
      <c r="L3645" s="9">
        <f>(PricingDataTable[[#This Row],[Vendor Price ($)]]-PricingDataTable[[#This Row],[Current Price ($)]])/PricingDataTable[[#This Row],[Current Price ($)]]</f>
        <v>1.3286270876005782E-3</v>
      </c>
      <c r="M3645" t="str">
        <f t="shared" si="112"/>
        <v>PASS</v>
      </c>
      <c r="N3645" s="10" t="str">
        <f t="shared" si="113"/>
        <v>NONE</v>
      </c>
    </row>
    <row r="3646" spans="1:14">
      <c r="A3646" s="4" t="s">
        <v>7308</v>
      </c>
      <c r="B3646" s="4" t="s">
        <v>7309</v>
      </c>
      <c r="C3646" s="4" t="s">
        <v>16</v>
      </c>
      <c r="D3646" s="4" t="s">
        <v>32</v>
      </c>
      <c r="E3646" s="5">
        <v>106.5001</v>
      </c>
      <c r="F3646" s="5">
        <v>107.3099</v>
      </c>
      <c r="G3646" s="5">
        <v>107.31829999999999</v>
      </c>
      <c r="H3646" s="4">
        <v>0</v>
      </c>
      <c r="I3646" s="6">
        <v>4481139</v>
      </c>
      <c r="J3646" s="7">
        <v>390.35</v>
      </c>
      <c r="K3646" s="9">
        <f>(PricingDataTable[[#This Row],[Current Price ($)]]-PricingDataTable[[#This Row],[Prior Price ($)]])/PricingDataTable[[#This Row],[Prior Price ($)]]</f>
        <v>7.6037487288743918E-3</v>
      </c>
      <c r="L3646" s="9">
        <f>(PricingDataTable[[#This Row],[Vendor Price ($)]]-PricingDataTable[[#This Row],[Current Price ($)]])/PricingDataTable[[#This Row],[Current Price ($)]]</f>
        <v>7.8277959442648196E-5</v>
      </c>
      <c r="M3646" t="str">
        <f t="shared" si="112"/>
        <v>PASS</v>
      </c>
      <c r="N3646" s="10" t="str">
        <f t="shared" si="113"/>
        <v>NONE</v>
      </c>
    </row>
    <row r="3647" spans="1:14">
      <c r="A3647" s="4" t="s">
        <v>7310</v>
      </c>
      <c r="B3647" s="4" t="s">
        <v>7311</v>
      </c>
      <c r="C3647" s="4" t="s">
        <v>12</v>
      </c>
      <c r="D3647" s="4" t="s">
        <v>13</v>
      </c>
      <c r="E3647" s="5">
        <v>99.085099999999997</v>
      </c>
      <c r="F3647" s="5">
        <v>97.794200000000004</v>
      </c>
      <c r="G3647" s="5">
        <v>97.666499999999999</v>
      </c>
      <c r="H3647" s="4">
        <v>0</v>
      </c>
      <c r="I3647" s="6">
        <v>908943</v>
      </c>
      <c r="J3647" s="7">
        <v>898.72</v>
      </c>
      <c r="K3647" s="9">
        <f>(PricingDataTable[[#This Row],[Current Price ($)]]-PricingDataTable[[#This Row],[Prior Price ($)]])/PricingDataTable[[#This Row],[Prior Price ($)]]</f>
        <v>-1.3028194955649169E-2</v>
      </c>
      <c r="L3647" s="9">
        <f>(PricingDataTable[[#This Row],[Vendor Price ($)]]-PricingDataTable[[#This Row],[Current Price ($)]])/PricingDataTable[[#This Row],[Current Price ($)]]</f>
        <v>-1.3058034116543145E-3</v>
      </c>
      <c r="M3647" t="str">
        <f t="shared" si="112"/>
        <v>PASS</v>
      </c>
      <c r="N3647" s="10" t="str">
        <f t="shared" si="113"/>
        <v>NONE</v>
      </c>
    </row>
    <row r="3648" spans="1:14">
      <c r="A3648" s="4" t="s">
        <v>7312</v>
      </c>
      <c r="B3648" s="4" t="s">
        <v>7313</v>
      </c>
      <c r="C3648" s="4" t="s">
        <v>35</v>
      </c>
      <c r="D3648" s="4" t="s">
        <v>13</v>
      </c>
      <c r="E3648" s="5">
        <v>53.689799999999998</v>
      </c>
      <c r="F3648" s="5">
        <v>55.082500000000003</v>
      </c>
      <c r="G3648" s="5">
        <v>55.014499999999998</v>
      </c>
      <c r="H3648" s="4">
        <v>0</v>
      </c>
      <c r="I3648" s="6">
        <v>74646</v>
      </c>
      <c r="J3648" s="7">
        <v>32.700000000000003</v>
      </c>
      <c r="K3648" s="9">
        <f>(PricingDataTable[[#This Row],[Current Price ($)]]-PricingDataTable[[#This Row],[Prior Price ($)]])/PricingDataTable[[#This Row],[Prior Price ($)]]</f>
        <v>2.593975019463669E-2</v>
      </c>
      <c r="L3648" s="9">
        <f>(PricingDataTable[[#This Row],[Vendor Price ($)]]-PricingDataTable[[#This Row],[Current Price ($)]])/PricingDataTable[[#This Row],[Current Price ($)]]</f>
        <v>-1.2345118685608849E-3</v>
      </c>
      <c r="M3648" t="str">
        <f t="shared" si="112"/>
        <v>PASS</v>
      </c>
      <c r="N3648" s="10" t="str">
        <f t="shared" si="113"/>
        <v>NONE</v>
      </c>
    </row>
    <row r="3649" spans="1:14">
      <c r="A3649" s="4" t="s">
        <v>7314</v>
      </c>
      <c r="B3649" s="4" t="s">
        <v>7315</v>
      </c>
      <c r="C3649" s="4" t="s">
        <v>16</v>
      </c>
      <c r="D3649" s="4" t="s">
        <v>13</v>
      </c>
      <c r="E3649" s="5">
        <v>117.40430000000001</v>
      </c>
      <c r="F3649" s="5">
        <v>116.29810000000001</v>
      </c>
      <c r="G3649" s="5">
        <v>116.8205</v>
      </c>
      <c r="H3649" s="4">
        <v>3</v>
      </c>
      <c r="I3649" s="6">
        <v>1392001</v>
      </c>
      <c r="J3649" s="7">
        <v>791.62</v>
      </c>
      <c r="K3649" s="9">
        <f>(PricingDataTable[[#This Row],[Current Price ($)]]-PricingDataTable[[#This Row],[Prior Price ($)]])/PricingDataTable[[#This Row],[Prior Price ($)]]</f>
        <v>-9.4221421191557821E-3</v>
      </c>
      <c r="L3649" s="9">
        <f>(PricingDataTable[[#This Row],[Vendor Price ($)]]-PricingDataTable[[#This Row],[Current Price ($)]])/PricingDataTable[[#This Row],[Current Price ($)]]</f>
        <v>4.4919048548513725E-3</v>
      </c>
      <c r="M3649" t="str">
        <f t="shared" si="112"/>
        <v>STALE</v>
      </c>
      <c r="N3649" s="10" t="str">
        <f t="shared" si="113"/>
        <v>LOW</v>
      </c>
    </row>
    <row r="3650" spans="1:14">
      <c r="A3650" s="4" t="s">
        <v>7316</v>
      </c>
      <c r="B3650" s="4" t="s">
        <v>7317</v>
      </c>
      <c r="C3650" s="4" t="s">
        <v>16</v>
      </c>
      <c r="D3650" s="4" t="s">
        <v>32</v>
      </c>
      <c r="E3650" s="5">
        <v>105.2268</v>
      </c>
      <c r="F3650" s="5">
        <v>104.0958</v>
      </c>
      <c r="G3650" s="5">
        <v>104.27719999999999</v>
      </c>
      <c r="H3650" s="4">
        <v>0</v>
      </c>
      <c r="I3650" s="6">
        <v>2254034</v>
      </c>
      <c r="J3650" s="7">
        <v>191.43</v>
      </c>
      <c r="K3650" s="9">
        <f>(PricingDataTable[[#This Row],[Current Price ($)]]-PricingDataTable[[#This Row],[Prior Price ($)]])/PricingDataTable[[#This Row],[Prior Price ($)]]</f>
        <v>-1.0748212432574214E-2</v>
      </c>
      <c r="L3650" s="9">
        <f>(PricingDataTable[[#This Row],[Vendor Price ($)]]-PricingDataTable[[#This Row],[Current Price ($)]])/PricingDataTable[[#This Row],[Current Price ($)]]</f>
        <v>1.7426255430093862E-3</v>
      </c>
      <c r="M3650" t="str">
        <f t="shared" ref="M3650:M3713" si="114">IF(OR(F3650="",F3650=0),"MISSING",IF(H3650&gt;=3,"STALE",IF(ABS(K3650)&gt;=5%,"LARGE MOVE",IF(ABS(L3650)&gt;=2%,"VENDOR DIFFERENCE","PASS"))))</f>
        <v>PASS</v>
      </c>
      <c r="N3650" s="10" t="str">
        <f t="shared" ref="N3650:N3713" si="115">IF(M3650="PASS","NONE",IF(M3650="MISSING","HIGH",IF(OR(ABS(K3650)&gt;=10%,ABS(L3650)&gt;=5%),"HIGH",IF(OR(ABS(K3650)&gt;=7%,ABS(L3650)&gt;=3%,H3650&gt;=5),"MEDIUM","LOW"))))</f>
        <v>NONE</v>
      </c>
    </row>
    <row r="3651" spans="1:14">
      <c r="A3651" s="4" t="s">
        <v>7318</v>
      </c>
      <c r="B3651" s="4" t="s">
        <v>7319</v>
      </c>
      <c r="C3651" s="4" t="s">
        <v>19</v>
      </c>
      <c r="D3651" s="4" t="s">
        <v>13</v>
      </c>
      <c r="E3651" s="5">
        <v>251.6377</v>
      </c>
      <c r="F3651" s="5">
        <v>250.66470000000001</v>
      </c>
      <c r="G3651" s="5">
        <v>250.00409999999999</v>
      </c>
      <c r="H3651" s="4">
        <v>1</v>
      </c>
      <c r="I3651" s="6">
        <v>3378028</v>
      </c>
      <c r="J3651" s="7">
        <v>660.71</v>
      </c>
      <c r="K3651" s="9">
        <f>(PricingDataTable[[#This Row],[Current Price ($)]]-PricingDataTable[[#This Row],[Prior Price ($)]])/PricingDataTable[[#This Row],[Prior Price ($)]]</f>
        <v>-3.8666702167440919E-3</v>
      </c>
      <c r="L3651" s="9">
        <f>(PricingDataTable[[#This Row],[Vendor Price ($)]]-PricingDataTable[[#This Row],[Current Price ($)]])/PricingDataTable[[#This Row],[Current Price ($)]]</f>
        <v>-2.6353930170463433E-3</v>
      </c>
      <c r="M3651" t="str">
        <f t="shared" si="114"/>
        <v>PASS</v>
      </c>
      <c r="N3651" s="10" t="str">
        <f t="shared" si="115"/>
        <v>NONE</v>
      </c>
    </row>
    <row r="3652" spans="1:14">
      <c r="A3652" s="4" t="s">
        <v>7320</v>
      </c>
      <c r="B3652" s="4" t="s">
        <v>7321</v>
      </c>
      <c r="C3652" s="4" t="s">
        <v>39</v>
      </c>
      <c r="D3652" s="4" t="s">
        <v>13</v>
      </c>
      <c r="E3652" s="5">
        <v>124.2503</v>
      </c>
      <c r="F3652" s="5">
        <v>123.73779999999999</v>
      </c>
      <c r="G3652" s="5">
        <v>123.7893</v>
      </c>
      <c r="H3652" s="4">
        <v>0</v>
      </c>
      <c r="I3652" s="6">
        <v>2773736</v>
      </c>
      <c r="J3652" s="7">
        <v>516.03</v>
      </c>
      <c r="K3652" s="9">
        <f>(PricingDataTable[[#This Row],[Current Price ($)]]-PricingDataTable[[#This Row],[Prior Price ($)]])/PricingDataTable[[#This Row],[Prior Price ($)]]</f>
        <v>-4.1247385318184575E-3</v>
      </c>
      <c r="L3652" s="9">
        <f>(PricingDataTable[[#This Row],[Vendor Price ($)]]-PricingDataTable[[#This Row],[Current Price ($)]])/PricingDataTable[[#This Row],[Current Price ($)]]</f>
        <v>4.1620264785703577E-4</v>
      </c>
      <c r="M3652" t="str">
        <f t="shared" si="114"/>
        <v>PASS</v>
      </c>
      <c r="N3652" s="10" t="str">
        <f t="shared" si="115"/>
        <v>NONE</v>
      </c>
    </row>
    <row r="3653" spans="1:14">
      <c r="A3653" s="4" t="s">
        <v>7322</v>
      </c>
      <c r="B3653" s="4" t="s">
        <v>7323</v>
      </c>
      <c r="C3653" s="4" t="s">
        <v>35</v>
      </c>
      <c r="D3653" s="4" t="s">
        <v>13</v>
      </c>
      <c r="E3653" s="5">
        <v>104.9224</v>
      </c>
      <c r="F3653" s="5">
        <v>104.32170000000001</v>
      </c>
      <c r="G3653" s="5">
        <v>104.59059999999999</v>
      </c>
      <c r="H3653" s="4">
        <v>0</v>
      </c>
      <c r="I3653" s="6">
        <v>1352461</v>
      </c>
      <c r="J3653" s="7">
        <v>169.67</v>
      </c>
      <c r="K3653" s="9">
        <f>(PricingDataTable[[#This Row],[Current Price ($)]]-PricingDataTable[[#This Row],[Prior Price ($)]])/PricingDataTable[[#This Row],[Prior Price ($)]]</f>
        <v>-5.7251835642340354E-3</v>
      </c>
      <c r="L3653" s="9">
        <f>(PricingDataTable[[#This Row],[Vendor Price ($)]]-PricingDataTable[[#This Row],[Current Price ($)]])/PricingDataTable[[#This Row],[Current Price ($)]]</f>
        <v>2.5776037008598202E-3</v>
      </c>
      <c r="M3653" t="str">
        <f t="shared" si="114"/>
        <v>PASS</v>
      </c>
      <c r="N3653" s="10" t="str">
        <f t="shared" si="115"/>
        <v>NONE</v>
      </c>
    </row>
    <row r="3654" spans="1:14">
      <c r="A3654" s="4" t="s">
        <v>7324</v>
      </c>
      <c r="B3654" s="4" t="s">
        <v>7325</v>
      </c>
      <c r="C3654" s="4" t="s">
        <v>19</v>
      </c>
      <c r="D3654" s="4" t="s">
        <v>13</v>
      </c>
      <c r="E3654" s="5">
        <v>261.69110000000001</v>
      </c>
      <c r="F3654" s="5">
        <v>264.09410000000003</v>
      </c>
      <c r="G3654" s="5">
        <v>265.17779999999999</v>
      </c>
      <c r="H3654" s="4">
        <v>0</v>
      </c>
      <c r="I3654" s="6">
        <v>42061</v>
      </c>
      <c r="J3654" s="7">
        <v>680.98</v>
      </c>
      <c r="K3654" s="9">
        <f>(PricingDataTable[[#This Row],[Current Price ($)]]-PricingDataTable[[#This Row],[Prior Price ($)]])/PricingDataTable[[#This Row],[Prior Price ($)]]</f>
        <v>9.1825820595351545E-3</v>
      </c>
      <c r="L3654" s="9">
        <f>(PricingDataTable[[#This Row],[Vendor Price ($)]]-PricingDataTable[[#This Row],[Current Price ($)]])/PricingDataTable[[#This Row],[Current Price ($)]]</f>
        <v>4.1034616070558362E-3</v>
      </c>
      <c r="M3654" t="str">
        <f t="shared" si="114"/>
        <v>PASS</v>
      </c>
      <c r="N3654" s="10" t="str">
        <f t="shared" si="115"/>
        <v>NONE</v>
      </c>
    </row>
    <row r="3655" spans="1:14">
      <c r="A3655" s="4" t="s">
        <v>7326</v>
      </c>
      <c r="B3655" s="4" t="s">
        <v>7327</v>
      </c>
      <c r="C3655" s="4" t="s">
        <v>16</v>
      </c>
      <c r="D3655" s="4" t="s">
        <v>13</v>
      </c>
      <c r="E3655" s="5">
        <v>77.387600000000006</v>
      </c>
      <c r="F3655" s="5">
        <v>75.715999999999994</v>
      </c>
      <c r="G3655" s="5">
        <v>75.510099999999994</v>
      </c>
      <c r="H3655" s="4">
        <v>0</v>
      </c>
      <c r="I3655" s="6">
        <v>2534220</v>
      </c>
      <c r="J3655" s="7">
        <v>670.69</v>
      </c>
      <c r="K3655" s="9">
        <f>(PricingDataTable[[#This Row],[Current Price ($)]]-PricingDataTable[[#This Row],[Prior Price ($)]])/PricingDataTable[[#This Row],[Prior Price ($)]]</f>
        <v>-2.1600359747556613E-2</v>
      </c>
      <c r="L3655" s="9">
        <f>(PricingDataTable[[#This Row],[Vendor Price ($)]]-PricingDataTable[[#This Row],[Current Price ($)]])/PricingDataTable[[#This Row],[Current Price ($)]]</f>
        <v>-2.7193723915684897E-3</v>
      </c>
      <c r="M3655" t="str">
        <f t="shared" si="114"/>
        <v>PASS</v>
      </c>
      <c r="N3655" s="10" t="str">
        <f t="shared" si="115"/>
        <v>NONE</v>
      </c>
    </row>
    <row r="3656" spans="1:14">
      <c r="A3656" s="4" t="s">
        <v>7328</v>
      </c>
      <c r="B3656" s="4" t="s">
        <v>7329</v>
      </c>
      <c r="C3656" s="4" t="s">
        <v>16</v>
      </c>
      <c r="D3656" s="4" t="s">
        <v>13</v>
      </c>
      <c r="E3656" s="5">
        <v>92.432900000000004</v>
      </c>
      <c r="F3656" s="5">
        <v>91.554000000000002</v>
      </c>
      <c r="G3656" s="5">
        <v>91.184799999999996</v>
      </c>
      <c r="H3656" s="4">
        <v>0</v>
      </c>
      <c r="I3656" s="6">
        <v>3369356</v>
      </c>
      <c r="J3656" s="7">
        <v>818</v>
      </c>
      <c r="K3656" s="9">
        <f>(PricingDataTable[[#This Row],[Current Price ($)]]-PricingDataTable[[#This Row],[Prior Price ($)]])/PricingDataTable[[#This Row],[Prior Price ($)]]</f>
        <v>-9.5085191528124884E-3</v>
      </c>
      <c r="L3656" s="9">
        <f>(PricingDataTable[[#This Row],[Vendor Price ($)]]-PricingDataTable[[#This Row],[Current Price ($)]])/PricingDataTable[[#This Row],[Current Price ($)]]</f>
        <v>-4.0325927867707187E-3</v>
      </c>
      <c r="M3656" t="str">
        <f t="shared" si="114"/>
        <v>PASS</v>
      </c>
      <c r="N3656" s="10" t="str">
        <f t="shared" si="115"/>
        <v>NONE</v>
      </c>
    </row>
    <row r="3657" spans="1:14">
      <c r="A3657" s="4" t="s">
        <v>7330</v>
      </c>
      <c r="B3657" s="4" t="s">
        <v>7331</v>
      </c>
      <c r="C3657" s="4" t="s">
        <v>19</v>
      </c>
      <c r="D3657" s="4" t="s">
        <v>13</v>
      </c>
      <c r="E3657" s="5">
        <v>282.88130000000001</v>
      </c>
      <c r="F3657" s="5">
        <v>282.27980000000002</v>
      </c>
      <c r="G3657" s="5">
        <v>282.71179999999998</v>
      </c>
      <c r="H3657" s="4">
        <v>1</v>
      </c>
      <c r="I3657" s="6">
        <v>2857924</v>
      </c>
      <c r="J3657" s="7">
        <v>190.85</v>
      </c>
      <c r="K3657" s="9">
        <f>(PricingDataTable[[#This Row],[Current Price ($)]]-PricingDataTable[[#This Row],[Prior Price ($)]])/PricingDataTable[[#This Row],[Prior Price ($)]]</f>
        <v>-2.1263335540383449E-3</v>
      </c>
      <c r="L3657" s="9">
        <f>(PricingDataTable[[#This Row],[Vendor Price ($)]]-PricingDataTable[[#This Row],[Current Price ($)]])/PricingDataTable[[#This Row],[Current Price ($)]]</f>
        <v>1.5303964364434136E-3</v>
      </c>
      <c r="M3657" t="str">
        <f t="shared" si="114"/>
        <v>PASS</v>
      </c>
      <c r="N3657" s="10" t="str">
        <f t="shared" si="115"/>
        <v>NONE</v>
      </c>
    </row>
    <row r="3658" spans="1:14">
      <c r="A3658" s="4" t="s">
        <v>7332</v>
      </c>
      <c r="B3658" s="4" t="s">
        <v>7333</v>
      </c>
      <c r="C3658" s="4" t="s">
        <v>19</v>
      </c>
      <c r="D3658" s="4" t="s">
        <v>13</v>
      </c>
      <c r="E3658" s="5">
        <v>94.698700000000002</v>
      </c>
      <c r="F3658" s="5">
        <v>94.2363</v>
      </c>
      <c r="G3658" s="5">
        <v>94.209199999999996</v>
      </c>
      <c r="H3658" s="4">
        <v>0</v>
      </c>
      <c r="I3658" s="6">
        <v>3357820</v>
      </c>
      <c r="J3658" s="7">
        <v>475.22</v>
      </c>
      <c r="K3658" s="9">
        <f>(PricingDataTable[[#This Row],[Current Price ($)]]-PricingDataTable[[#This Row],[Prior Price ($)]])/PricingDataTable[[#This Row],[Prior Price ($)]]</f>
        <v>-4.8828547804774759E-3</v>
      </c>
      <c r="L3658" s="9">
        <f>(PricingDataTable[[#This Row],[Vendor Price ($)]]-PricingDataTable[[#This Row],[Current Price ($)]])/PricingDataTable[[#This Row],[Current Price ($)]]</f>
        <v>-2.8757495784537747E-4</v>
      </c>
      <c r="M3658" t="str">
        <f t="shared" si="114"/>
        <v>PASS</v>
      </c>
      <c r="N3658" s="10" t="str">
        <f t="shared" si="115"/>
        <v>NONE</v>
      </c>
    </row>
    <row r="3659" spans="1:14">
      <c r="A3659" s="4" t="s">
        <v>7334</v>
      </c>
      <c r="B3659" s="4" t="s">
        <v>7335</v>
      </c>
      <c r="C3659" s="4" t="s">
        <v>16</v>
      </c>
      <c r="D3659" s="4" t="s">
        <v>32</v>
      </c>
      <c r="E3659" s="5">
        <v>124.7765</v>
      </c>
      <c r="F3659" s="5">
        <v>123.84220000000001</v>
      </c>
      <c r="G3659" s="5">
        <v>123.8377</v>
      </c>
      <c r="H3659" s="4">
        <v>0</v>
      </c>
      <c r="I3659" s="6">
        <v>3223677</v>
      </c>
      <c r="J3659" s="7">
        <v>350.94</v>
      </c>
      <c r="K3659" s="9">
        <f>(PricingDataTable[[#This Row],[Current Price ($)]]-PricingDataTable[[#This Row],[Prior Price ($)]])/PricingDataTable[[#This Row],[Prior Price ($)]]</f>
        <v>-7.4877881652393938E-3</v>
      </c>
      <c r="L3659" s="9">
        <f>(PricingDataTable[[#This Row],[Vendor Price ($)]]-PricingDataTable[[#This Row],[Current Price ($)]])/PricingDataTable[[#This Row],[Current Price ($)]]</f>
        <v>-3.6336563788492744E-5</v>
      </c>
      <c r="M3659" t="str">
        <f t="shared" si="114"/>
        <v>PASS</v>
      </c>
      <c r="N3659" s="10" t="str">
        <f t="shared" si="115"/>
        <v>NONE</v>
      </c>
    </row>
    <row r="3660" spans="1:14">
      <c r="A3660" s="4" t="s">
        <v>7336</v>
      </c>
      <c r="B3660" s="4" t="s">
        <v>7337</v>
      </c>
      <c r="C3660" s="4" t="s">
        <v>39</v>
      </c>
      <c r="D3660" s="4" t="s">
        <v>13</v>
      </c>
      <c r="E3660" s="5">
        <v>215.0616</v>
      </c>
      <c r="F3660" s="5">
        <v>213.53460000000001</v>
      </c>
      <c r="G3660" s="5">
        <v>213.56270000000001</v>
      </c>
      <c r="H3660" s="4">
        <v>0</v>
      </c>
      <c r="I3660" s="6">
        <v>2071621</v>
      </c>
      <c r="J3660" s="7">
        <v>322.27999999999997</v>
      </c>
      <c r="K3660" s="9">
        <f>(PricingDataTable[[#This Row],[Current Price ($)]]-PricingDataTable[[#This Row],[Prior Price ($)]])/PricingDataTable[[#This Row],[Prior Price ($)]]</f>
        <v>-7.1002912653862276E-3</v>
      </c>
      <c r="L3660" s="9">
        <f>(PricingDataTable[[#This Row],[Vendor Price ($)]]-PricingDataTable[[#This Row],[Current Price ($)]])/PricingDataTable[[#This Row],[Current Price ($)]]</f>
        <v>1.3159459872074552E-4</v>
      </c>
      <c r="M3660" t="str">
        <f t="shared" si="114"/>
        <v>PASS</v>
      </c>
      <c r="N3660" s="10" t="str">
        <f t="shared" si="115"/>
        <v>NONE</v>
      </c>
    </row>
    <row r="3661" spans="1:14">
      <c r="A3661" s="4" t="s">
        <v>7338</v>
      </c>
      <c r="B3661" s="4" t="s">
        <v>7339</v>
      </c>
      <c r="C3661" s="4" t="s">
        <v>12</v>
      </c>
      <c r="D3661" s="4" t="s">
        <v>13</v>
      </c>
      <c r="E3661" s="5">
        <v>92.078800000000001</v>
      </c>
      <c r="F3661" s="5">
        <v>92.205200000000005</v>
      </c>
      <c r="G3661" s="5">
        <v>92.339799999999997</v>
      </c>
      <c r="H3661" s="4">
        <v>0</v>
      </c>
      <c r="I3661" s="6">
        <v>3976843</v>
      </c>
      <c r="J3661" s="7">
        <v>1.73</v>
      </c>
      <c r="K3661" s="9">
        <f>(PricingDataTable[[#This Row],[Current Price ($)]]-PricingDataTable[[#This Row],[Prior Price ($)]])/PricingDataTable[[#This Row],[Prior Price ($)]]</f>
        <v>1.372737264169427E-3</v>
      </c>
      <c r="L3661" s="9">
        <f>(PricingDataTable[[#This Row],[Vendor Price ($)]]-PricingDataTable[[#This Row],[Current Price ($)]])/PricingDataTable[[#This Row],[Current Price ($)]]</f>
        <v>1.4597875174067387E-3</v>
      </c>
      <c r="M3661" t="str">
        <f t="shared" si="114"/>
        <v>PASS</v>
      </c>
      <c r="N3661" s="10" t="str">
        <f t="shared" si="115"/>
        <v>NONE</v>
      </c>
    </row>
    <row r="3662" spans="1:14">
      <c r="A3662" s="4" t="s">
        <v>7340</v>
      </c>
      <c r="B3662" s="4" t="s">
        <v>7341</v>
      </c>
      <c r="C3662" s="4" t="s">
        <v>19</v>
      </c>
      <c r="D3662" s="4" t="s">
        <v>13</v>
      </c>
      <c r="E3662" s="5">
        <v>167.95740000000001</v>
      </c>
      <c r="F3662" s="5">
        <v>166.1181</v>
      </c>
      <c r="G3662" s="5">
        <v>166.17959999999999</v>
      </c>
      <c r="H3662" s="4">
        <v>0</v>
      </c>
      <c r="I3662" s="6">
        <v>964535</v>
      </c>
      <c r="J3662" s="7">
        <v>291.13</v>
      </c>
      <c r="K3662" s="9">
        <f>(PricingDataTable[[#This Row],[Current Price ($)]]-PricingDataTable[[#This Row],[Prior Price ($)]])/PricingDataTable[[#This Row],[Prior Price ($)]]</f>
        <v>-1.0950991144183041E-2</v>
      </c>
      <c r="L3662" s="9">
        <f>(PricingDataTable[[#This Row],[Vendor Price ($)]]-PricingDataTable[[#This Row],[Current Price ($)]])/PricingDataTable[[#This Row],[Current Price ($)]]</f>
        <v>3.702185372936196E-4</v>
      </c>
      <c r="M3662" t="str">
        <f t="shared" si="114"/>
        <v>PASS</v>
      </c>
      <c r="N3662" s="10" t="str">
        <f t="shared" si="115"/>
        <v>NONE</v>
      </c>
    </row>
    <row r="3663" spans="1:14">
      <c r="A3663" s="4" t="s">
        <v>7342</v>
      </c>
      <c r="B3663" s="4" t="s">
        <v>7343</v>
      </c>
      <c r="C3663" s="4" t="s">
        <v>19</v>
      </c>
      <c r="D3663" s="4" t="s">
        <v>13</v>
      </c>
      <c r="E3663" s="5">
        <v>305.09500000000003</v>
      </c>
      <c r="F3663" s="5">
        <v>303.23180000000002</v>
      </c>
      <c r="G3663" s="5">
        <v>303.99630000000002</v>
      </c>
      <c r="H3663" s="4">
        <v>0</v>
      </c>
      <c r="I3663" s="6">
        <v>1601918</v>
      </c>
      <c r="J3663" s="7">
        <v>831.58</v>
      </c>
      <c r="K3663" s="9">
        <f>(PricingDataTable[[#This Row],[Current Price ($)]]-PricingDataTable[[#This Row],[Prior Price ($)]])/PricingDataTable[[#This Row],[Prior Price ($)]]</f>
        <v>-6.1069502941706877E-3</v>
      </c>
      <c r="L3663" s="9">
        <f>(PricingDataTable[[#This Row],[Vendor Price ($)]]-PricingDataTable[[#This Row],[Current Price ($)]])/PricingDataTable[[#This Row],[Current Price ($)]]</f>
        <v>2.5211735708457958E-3</v>
      </c>
      <c r="M3663" t="str">
        <f t="shared" si="114"/>
        <v>PASS</v>
      </c>
      <c r="N3663" s="10" t="str">
        <f t="shared" si="115"/>
        <v>NONE</v>
      </c>
    </row>
    <row r="3664" spans="1:14">
      <c r="A3664" s="4" t="s">
        <v>7344</v>
      </c>
      <c r="B3664" s="4" t="s">
        <v>7345</v>
      </c>
      <c r="C3664" s="4" t="s">
        <v>35</v>
      </c>
      <c r="D3664" s="4" t="s">
        <v>13</v>
      </c>
      <c r="E3664" s="5">
        <v>107.8828</v>
      </c>
      <c r="F3664" s="5">
        <v>106.1061</v>
      </c>
      <c r="G3664" s="5">
        <v>106.09739999999999</v>
      </c>
      <c r="H3664" s="4">
        <v>1</v>
      </c>
      <c r="I3664" s="6">
        <v>3627878</v>
      </c>
      <c r="J3664" s="7">
        <v>177.91</v>
      </c>
      <c r="K3664" s="9">
        <f>(PricingDataTable[[#This Row],[Current Price ($)]]-PricingDataTable[[#This Row],[Prior Price ($)]])/PricingDataTable[[#This Row],[Prior Price ($)]]</f>
        <v>-1.646879762112223E-2</v>
      </c>
      <c r="L3664" s="9">
        <f>(PricingDataTable[[#This Row],[Vendor Price ($)]]-PricingDataTable[[#This Row],[Current Price ($)]])/PricingDataTable[[#This Row],[Current Price ($)]]</f>
        <v>-8.1993400944946554E-5</v>
      </c>
      <c r="M3664" t="str">
        <f t="shared" si="114"/>
        <v>PASS</v>
      </c>
      <c r="N3664" s="10" t="str">
        <f t="shared" si="115"/>
        <v>NONE</v>
      </c>
    </row>
    <row r="3665" spans="1:14">
      <c r="A3665" s="4" t="s">
        <v>7346</v>
      </c>
      <c r="B3665" s="4" t="s">
        <v>7347</v>
      </c>
      <c r="C3665" s="4" t="s">
        <v>35</v>
      </c>
      <c r="D3665" s="4" t="s">
        <v>13</v>
      </c>
      <c r="E3665" s="5">
        <v>158.7312</v>
      </c>
      <c r="F3665" s="5">
        <v>153.8843</v>
      </c>
      <c r="G3665" s="5">
        <v>152.85</v>
      </c>
      <c r="H3665" s="4">
        <v>0</v>
      </c>
      <c r="I3665" s="6">
        <v>2985524</v>
      </c>
      <c r="J3665" s="7">
        <v>738.9</v>
      </c>
      <c r="K3665" s="9">
        <f>(PricingDataTable[[#This Row],[Current Price ($)]]-PricingDataTable[[#This Row],[Prior Price ($)]])/PricingDataTable[[#This Row],[Prior Price ($)]]</f>
        <v>-3.0535269688630875E-2</v>
      </c>
      <c r="L3665" s="9">
        <f>(PricingDataTable[[#This Row],[Vendor Price ($)]]-PricingDataTable[[#This Row],[Current Price ($)]])/PricingDataTable[[#This Row],[Current Price ($)]]</f>
        <v>-6.7212834577666586E-3</v>
      </c>
      <c r="M3665" t="str">
        <f t="shared" si="114"/>
        <v>PASS</v>
      </c>
      <c r="N3665" s="10" t="str">
        <f t="shared" si="115"/>
        <v>NONE</v>
      </c>
    </row>
    <row r="3666" spans="1:14">
      <c r="A3666" s="4" t="s">
        <v>7348</v>
      </c>
      <c r="B3666" s="4" t="s">
        <v>7349</v>
      </c>
      <c r="C3666" s="4" t="s">
        <v>19</v>
      </c>
      <c r="D3666" s="4" t="s">
        <v>32</v>
      </c>
      <c r="E3666" s="5">
        <v>137.6738</v>
      </c>
      <c r="F3666" s="5">
        <v>136.54849999999999</v>
      </c>
      <c r="G3666" s="5">
        <v>136.55520000000001</v>
      </c>
      <c r="H3666" s="4">
        <v>1</v>
      </c>
      <c r="I3666" s="6">
        <v>2530008</v>
      </c>
      <c r="J3666" s="7">
        <v>292.47000000000003</v>
      </c>
      <c r="K3666" s="9">
        <f>(PricingDataTable[[#This Row],[Current Price ($)]]-PricingDataTable[[#This Row],[Prior Price ($)]])/PricingDataTable[[#This Row],[Prior Price ($)]]</f>
        <v>-8.173668483037513E-3</v>
      </c>
      <c r="L3666" s="9">
        <f>(PricingDataTable[[#This Row],[Vendor Price ($)]]-PricingDataTable[[#This Row],[Current Price ($)]])/PricingDataTable[[#This Row],[Current Price ($)]]</f>
        <v>4.9066815087851313E-5</v>
      </c>
      <c r="M3666" t="str">
        <f t="shared" si="114"/>
        <v>PASS</v>
      </c>
      <c r="N3666" s="10" t="str">
        <f t="shared" si="115"/>
        <v>NONE</v>
      </c>
    </row>
    <row r="3667" spans="1:14">
      <c r="A3667" s="4" t="s">
        <v>7350</v>
      </c>
      <c r="B3667" s="4" t="s">
        <v>7351</v>
      </c>
      <c r="C3667" s="4" t="s">
        <v>39</v>
      </c>
      <c r="D3667" s="4" t="s">
        <v>13</v>
      </c>
      <c r="E3667" s="5">
        <v>55.608400000000003</v>
      </c>
      <c r="F3667" s="5">
        <v>55.396500000000003</v>
      </c>
      <c r="G3667" s="5">
        <v>55.4998</v>
      </c>
      <c r="H3667" s="4">
        <v>1</v>
      </c>
      <c r="I3667" s="6">
        <v>4766787</v>
      </c>
      <c r="J3667" s="7">
        <v>190.71</v>
      </c>
      <c r="K3667" s="9">
        <f>(PricingDataTable[[#This Row],[Current Price ($)]]-PricingDataTable[[#This Row],[Prior Price ($)]])/PricingDataTable[[#This Row],[Prior Price ($)]]</f>
        <v>-3.8105753806978795E-3</v>
      </c>
      <c r="L3667" s="9">
        <f>(PricingDataTable[[#This Row],[Vendor Price ($)]]-PricingDataTable[[#This Row],[Current Price ($)]])/PricingDataTable[[#This Row],[Current Price ($)]]</f>
        <v>1.8647387470327056E-3</v>
      </c>
      <c r="M3667" t="str">
        <f t="shared" si="114"/>
        <v>PASS</v>
      </c>
      <c r="N3667" s="10" t="str">
        <f t="shared" si="115"/>
        <v>NONE</v>
      </c>
    </row>
    <row r="3668" spans="1:14">
      <c r="A3668" s="4" t="s">
        <v>7352</v>
      </c>
      <c r="B3668" s="4" t="s">
        <v>7353</v>
      </c>
      <c r="C3668" s="4" t="s">
        <v>39</v>
      </c>
      <c r="D3668" s="4" t="s">
        <v>13</v>
      </c>
      <c r="E3668" s="5">
        <v>157.8391</v>
      </c>
      <c r="F3668" s="5">
        <v>157.27959999999999</v>
      </c>
      <c r="G3668" s="5"/>
      <c r="H3668" s="4">
        <v>0</v>
      </c>
      <c r="I3668" s="6">
        <v>3252107</v>
      </c>
      <c r="J3668" s="7">
        <v>264.92</v>
      </c>
      <c r="K3668" s="9">
        <f>(PricingDataTable[[#This Row],[Current Price ($)]]-PricingDataTable[[#This Row],[Prior Price ($)]])/PricingDataTable[[#This Row],[Prior Price ($)]]</f>
        <v>-3.5447490514075035E-3</v>
      </c>
      <c r="L3668" s="9">
        <f>(PricingDataTable[[#This Row],[Vendor Price ($)]]-PricingDataTable[[#This Row],[Current Price ($)]])/PricingDataTable[[#This Row],[Current Price ($)]]</f>
        <v>-1</v>
      </c>
      <c r="M3668" t="str">
        <f t="shared" si="114"/>
        <v>VENDOR DIFFERENCE</v>
      </c>
      <c r="N3668" s="10" t="str">
        <f t="shared" si="115"/>
        <v>HIGH</v>
      </c>
    </row>
    <row r="3669" spans="1:14">
      <c r="A3669" s="4" t="s">
        <v>7354</v>
      </c>
      <c r="B3669" s="4" t="s">
        <v>7355</v>
      </c>
      <c r="C3669" s="4" t="s">
        <v>19</v>
      </c>
      <c r="D3669" s="4" t="s">
        <v>13</v>
      </c>
      <c r="E3669" s="5">
        <v>244.68979999999999</v>
      </c>
      <c r="F3669" s="5">
        <v>245.648</v>
      </c>
      <c r="G3669" s="5">
        <v>244.6215</v>
      </c>
      <c r="H3669" s="4">
        <v>0</v>
      </c>
      <c r="I3669" s="6">
        <v>70982</v>
      </c>
      <c r="J3669" s="7">
        <v>795.19</v>
      </c>
      <c r="K3669" s="9">
        <f>(PricingDataTable[[#This Row],[Current Price ($)]]-PricingDataTable[[#This Row],[Prior Price ($)]])/PricingDataTable[[#This Row],[Prior Price ($)]]</f>
        <v>3.9159785164727141E-3</v>
      </c>
      <c r="L3669" s="9">
        <f>(PricingDataTable[[#This Row],[Vendor Price ($)]]-PricingDataTable[[#This Row],[Current Price ($)]])/PricingDataTable[[#This Row],[Current Price ($)]]</f>
        <v>-4.1787435680323013E-3</v>
      </c>
      <c r="M3669" t="str">
        <f t="shared" si="114"/>
        <v>PASS</v>
      </c>
      <c r="N3669" s="10" t="str">
        <f t="shared" si="115"/>
        <v>NONE</v>
      </c>
    </row>
    <row r="3670" spans="1:14">
      <c r="A3670" s="4" t="s">
        <v>7356</v>
      </c>
      <c r="B3670" s="4" t="s">
        <v>7357</v>
      </c>
      <c r="C3670" s="4" t="s">
        <v>19</v>
      </c>
      <c r="D3670" s="4" t="s">
        <v>13</v>
      </c>
      <c r="E3670" s="5">
        <v>56.474800000000002</v>
      </c>
      <c r="F3670" s="5">
        <v>55.338799999999999</v>
      </c>
      <c r="G3670" s="5">
        <v>55.025500000000001</v>
      </c>
      <c r="H3670" s="4">
        <v>0</v>
      </c>
      <c r="I3670" s="6">
        <v>1052674</v>
      </c>
      <c r="J3670" s="7">
        <v>342.5</v>
      </c>
      <c r="K3670" s="9">
        <f>(PricingDataTable[[#This Row],[Current Price ($)]]-PricingDataTable[[#This Row],[Prior Price ($)]])/PricingDataTable[[#This Row],[Prior Price ($)]]</f>
        <v>-2.0115166410505265E-2</v>
      </c>
      <c r="L3670" s="9">
        <f>(PricingDataTable[[#This Row],[Vendor Price ($)]]-PricingDataTable[[#This Row],[Current Price ($)]])/PricingDataTable[[#This Row],[Current Price ($)]]</f>
        <v>-5.6614888649554771E-3</v>
      </c>
      <c r="M3670" t="str">
        <f t="shared" si="114"/>
        <v>PASS</v>
      </c>
      <c r="N3670" s="10" t="str">
        <f t="shared" si="115"/>
        <v>NONE</v>
      </c>
    </row>
    <row r="3671" spans="1:14">
      <c r="A3671" s="4" t="s">
        <v>7358</v>
      </c>
      <c r="B3671" s="4" t="s">
        <v>7359</v>
      </c>
      <c r="C3671" s="4" t="s">
        <v>19</v>
      </c>
      <c r="D3671" s="4" t="s">
        <v>36</v>
      </c>
      <c r="E3671" s="5">
        <v>327.54419999999999</v>
      </c>
      <c r="F3671" s="5">
        <v>332.08510000000001</v>
      </c>
      <c r="G3671" s="5">
        <v>334.09210000000002</v>
      </c>
      <c r="H3671" s="4">
        <v>2</v>
      </c>
      <c r="I3671" s="6">
        <v>2629080</v>
      </c>
      <c r="J3671" s="7">
        <v>847.04</v>
      </c>
      <c r="K3671" s="9">
        <f>(PricingDataTable[[#This Row],[Current Price ($)]]-PricingDataTable[[#This Row],[Prior Price ($)]])/PricingDataTable[[#This Row],[Prior Price ($)]]</f>
        <v>1.3863472471806925E-2</v>
      </c>
      <c r="L3671" s="9">
        <f>(PricingDataTable[[#This Row],[Vendor Price ($)]]-PricingDataTable[[#This Row],[Current Price ($)]])/PricingDataTable[[#This Row],[Current Price ($)]]</f>
        <v>6.0436315872046198E-3</v>
      </c>
      <c r="M3671" t="str">
        <f t="shared" si="114"/>
        <v>PASS</v>
      </c>
      <c r="N3671" s="10" t="str">
        <f t="shared" si="115"/>
        <v>NONE</v>
      </c>
    </row>
    <row r="3672" spans="1:14">
      <c r="A3672" s="4" t="s">
        <v>7360</v>
      </c>
      <c r="B3672" s="4" t="s">
        <v>7361</v>
      </c>
      <c r="C3672" s="4" t="s">
        <v>16</v>
      </c>
      <c r="D3672" s="4" t="s">
        <v>13</v>
      </c>
      <c r="E3672" s="5">
        <v>122.2193</v>
      </c>
      <c r="F3672" s="5">
        <v>118.5761</v>
      </c>
      <c r="G3672" s="5">
        <v>118.6818</v>
      </c>
      <c r="H3672" s="4">
        <v>0</v>
      </c>
      <c r="I3672" s="6">
        <v>4999422</v>
      </c>
      <c r="J3672" s="7">
        <v>462.54</v>
      </c>
      <c r="K3672" s="9">
        <f>(PricingDataTable[[#This Row],[Current Price ($)]]-PricingDataTable[[#This Row],[Prior Price ($)]])/PricingDataTable[[#This Row],[Prior Price ($)]]</f>
        <v>-2.9808712699221869E-2</v>
      </c>
      <c r="L3672" s="9">
        <f>(PricingDataTable[[#This Row],[Vendor Price ($)]]-PricingDataTable[[#This Row],[Current Price ($)]])/PricingDataTable[[#This Row],[Current Price ($)]]</f>
        <v>8.9141066370034764E-4</v>
      </c>
      <c r="M3672" t="str">
        <f t="shared" si="114"/>
        <v>PASS</v>
      </c>
      <c r="N3672" s="10" t="str">
        <f t="shared" si="115"/>
        <v>NONE</v>
      </c>
    </row>
    <row r="3673" spans="1:14">
      <c r="A3673" s="4" t="s">
        <v>7362</v>
      </c>
      <c r="B3673" s="4" t="s">
        <v>7363</v>
      </c>
      <c r="C3673" s="4" t="s">
        <v>19</v>
      </c>
      <c r="D3673" s="4" t="s">
        <v>32</v>
      </c>
      <c r="E3673" s="5">
        <v>244.2944</v>
      </c>
      <c r="F3673" s="5">
        <v>244.72</v>
      </c>
      <c r="G3673" s="5">
        <v>245.0968</v>
      </c>
      <c r="H3673" s="4">
        <v>1</v>
      </c>
      <c r="I3673" s="6">
        <v>794849</v>
      </c>
      <c r="J3673" s="7">
        <v>746.91</v>
      </c>
      <c r="K3673" s="9">
        <f>(PricingDataTable[[#This Row],[Current Price ($)]]-PricingDataTable[[#This Row],[Prior Price ($)]])/PricingDataTable[[#This Row],[Prior Price ($)]]</f>
        <v>1.7421602787456563E-3</v>
      </c>
      <c r="L3673" s="9">
        <f>(PricingDataTable[[#This Row],[Vendor Price ($)]]-PricingDataTable[[#This Row],[Current Price ($)]])/PricingDataTable[[#This Row],[Current Price ($)]]</f>
        <v>1.5397188623733366E-3</v>
      </c>
      <c r="M3673" t="str">
        <f t="shared" si="114"/>
        <v>PASS</v>
      </c>
      <c r="N3673" s="10" t="str">
        <f t="shared" si="115"/>
        <v>NONE</v>
      </c>
    </row>
    <row r="3674" spans="1:14">
      <c r="A3674" s="4" t="s">
        <v>7364</v>
      </c>
      <c r="B3674" s="4" t="s">
        <v>7365</v>
      </c>
      <c r="C3674" s="4" t="s">
        <v>12</v>
      </c>
      <c r="D3674" s="4" t="s">
        <v>13</v>
      </c>
      <c r="E3674" s="5">
        <v>118.0479</v>
      </c>
      <c r="F3674" s="5">
        <v>119.3785</v>
      </c>
      <c r="G3674" s="5">
        <v>119.6968</v>
      </c>
      <c r="H3674" s="4">
        <v>0</v>
      </c>
      <c r="I3674" s="6">
        <v>1004519</v>
      </c>
      <c r="J3674" s="7">
        <v>277.51</v>
      </c>
      <c r="K3674" s="9">
        <f>(PricingDataTable[[#This Row],[Current Price ($)]]-PricingDataTable[[#This Row],[Prior Price ($)]])/PricingDataTable[[#This Row],[Prior Price ($)]]</f>
        <v>1.1271695642192736E-2</v>
      </c>
      <c r="L3674" s="9">
        <f>(PricingDataTable[[#This Row],[Vendor Price ($)]]-PricingDataTable[[#This Row],[Current Price ($)]])/PricingDataTable[[#This Row],[Current Price ($)]]</f>
        <v>2.6663092600425838E-3</v>
      </c>
      <c r="M3674" t="str">
        <f t="shared" si="114"/>
        <v>PASS</v>
      </c>
      <c r="N3674" s="10" t="str">
        <f t="shared" si="115"/>
        <v>NONE</v>
      </c>
    </row>
    <row r="3675" spans="1:14">
      <c r="A3675" s="4" t="s">
        <v>7366</v>
      </c>
      <c r="B3675" s="4" t="s">
        <v>7367</v>
      </c>
      <c r="C3675" s="4" t="s">
        <v>16</v>
      </c>
      <c r="D3675" s="4" t="s">
        <v>13</v>
      </c>
      <c r="E3675" s="5">
        <v>95.790400000000005</v>
      </c>
      <c r="F3675" s="5">
        <v>96.5505</v>
      </c>
      <c r="G3675" s="5">
        <v>96.601799999999997</v>
      </c>
      <c r="H3675" s="4">
        <v>4</v>
      </c>
      <c r="I3675" s="6">
        <v>3513571</v>
      </c>
      <c r="J3675" s="7">
        <v>463.99</v>
      </c>
      <c r="K3675" s="9">
        <f>(PricingDataTable[[#This Row],[Current Price ($)]]-PricingDataTable[[#This Row],[Prior Price ($)]])/PricingDataTable[[#This Row],[Prior Price ($)]]</f>
        <v>7.9350331557232687E-3</v>
      </c>
      <c r="L3675" s="9">
        <f>(PricingDataTable[[#This Row],[Vendor Price ($)]]-PricingDataTable[[#This Row],[Current Price ($)]])/PricingDataTable[[#This Row],[Current Price ($)]]</f>
        <v>5.313281650534972E-4</v>
      </c>
      <c r="M3675" t="str">
        <f t="shared" si="114"/>
        <v>STALE</v>
      </c>
      <c r="N3675" s="10" t="str">
        <f t="shared" si="115"/>
        <v>LOW</v>
      </c>
    </row>
    <row r="3676" spans="1:14">
      <c r="A3676" s="4" t="s">
        <v>7368</v>
      </c>
      <c r="B3676" s="4" t="s">
        <v>7369</v>
      </c>
      <c r="C3676" s="4" t="s">
        <v>35</v>
      </c>
      <c r="D3676" s="4" t="s">
        <v>13</v>
      </c>
      <c r="E3676" s="5">
        <v>57.782600000000002</v>
      </c>
      <c r="F3676" s="5">
        <v>57.293799999999997</v>
      </c>
      <c r="G3676" s="5">
        <v>60.8917</v>
      </c>
      <c r="H3676" s="4">
        <v>1</v>
      </c>
      <c r="I3676" s="6">
        <v>1594750</v>
      </c>
      <c r="J3676" s="7">
        <v>142.38999999999999</v>
      </c>
      <c r="K3676" s="9">
        <f>(PricingDataTable[[#This Row],[Current Price ($)]]-PricingDataTable[[#This Row],[Prior Price ($)]])/PricingDataTable[[#This Row],[Prior Price ($)]]</f>
        <v>-8.4592939743106874E-3</v>
      </c>
      <c r="L3676" s="9">
        <f>(PricingDataTable[[#This Row],[Vendor Price ($)]]-PricingDataTable[[#This Row],[Current Price ($)]])/PricingDataTable[[#This Row],[Current Price ($)]]</f>
        <v>6.2797370745176662E-2</v>
      </c>
      <c r="M3676" t="str">
        <f t="shared" si="114"/>
        <v>VENDOR DIFFERENCE</v>
      </c>
      <c r="N3676" s="10" t="str">
        <f t="shared" si="115"/>
        <v>HIGH</v>
      </c>
    </row>
    <row r="3677" spans="1:14">
      <c r="A3677" s="4" t="s">
        <v>7370</v>
      </c>
      <c r="B3677" s="4" t="s">
        <v>7371</v>
      </c>
      <c r="C3677" s="4" t="s">
        <v>16</v>
      </c>
      <c r="D3677" s="4" t="s">
        <v>13</v>
      </c>
      <c r="E3677" s="5">
        <v>102.35809999999999</v>
      </c>
      <c r="F3677" s="5">
        <v>101.0578</v>
      </c>
      <c r="G3677" s="5">
        <v>91.259699999999995</v>
      </c>
      <c r="H3677" s="4">
        <v>2</v>
      </c>
      <c r="I3677" s="6">
        <v>4049665</v>
      </c>
      <c r="J3677" s="7">
        <v>663.09</v>
      </c>
      <c r="K3677" s="9">
        <f>(PricingDataTable[[#This Row],[Current Price ($)]]-PricingDataTable[[#This Row],[Prior Price ($)]])/PricingDataTable[[#This Row],[Prior Price ($)]]</f>
        <v>-1.2703440177181806E-2</v>
      </c>
      <c r="L3677" s="9">
        <f>(PricingDataTable[[#This Row],[Vendor Price ($)]]-PricingDataTable[[#This Row],[Current Price ($)]])/PricingDataTable[[#This Row],[Current Price ($)]]</f>
        <v>-9.6955405718311752E-2</v>
      </c>
      <c r="M3677" t="str">
        <f t="shared" si="114"/>
        <v>VENDOR DIFFERENCE</v>
      </c>
      <c r="N3677" s="10" t="str">
        <f t="shared" si="115"/>
        <v>HIGH</v>
      </c>
    </row>
    <row r="3678" spans="1:14">
      <c r="A3678" s="4" t="s">
        <v>7372</v>
      </c>
      <c r="B3678" s="4" t="s">
        <v>7373</v>
      </c>
      <c r="C3678" s="4" t="s">
        <v>19</v>
      </c>
      <c r="D3678" s="4" t="s">
        <v>13</v>
      </c>
      <c r="E3678" s="5">
        <v>168.3133</v>
      </c>
      <c r="F3678" s="5">
        <v>172.15379999999999</v>
      </c>
      <c r="G3678" s="5">
        <v>172.30619999999999</v>
      </c>
      <c r="H3678" s="4">
        <v>0</v>
      </c>
      <c r="I3678" s="6">
        <v>4810024</v>
      </c>
      <c r="J3678" s="7">
        <v>749.19</v>
      </c>
      <c r="K3678" s="9">
        <f>(PricingDataTable[[#This Row],[Current Price ($)]]-PricingDataTable[[#This Row],[Prior Price ($)]])/PricingDataTable[[#This Row],[Prior Price ($)]]</f>
        <v>2.2817567001538152E-2</v>
      </c>
      <c r="L3678" s="9">
        <f>(PricingDataTable[[#This Row],[Vendor Price ($)]]-PricingDataTable[[#This Row],[Current Price ($)]])/PricingDataTable[[#This Row],[Current Price ($)]]</f>
        <v>8.8525492902276977E-4</v>
      </c>
      <c r="M3678" t="str">
        <f t="shared" si="114"/>
        <v>PASS</v>
      </c>
      <c r="N3678" s="10" t="str">
        <f t="shared" si="115"/>
        <v>NONE</v>
      </c>
    </row>
    <row r="3679" spans="1:14">
      <c r="A3679" s="4" t="s">
        <v>7374</v>
      </c>
      <c r="B3679" s="4" t="s">
        <v>7375</v>
      </c>
      <c r="C3679" s="4" t="s">
        <v>12</v>
      </c>
      <c r="D3679" s="4" t="s">
        <v>13</v>
      </c>
      <c r="E3679" s="5">
        <v>106.3064</v>
      </c>
      <c r="F3679" s="5">
        <v>106.6456</v>
      </c>
      <c r="G3679" s="5">
        <v>106.6357</v>
      </c>
      <c r="H3679" s="4">
        <v>1</v>
      </c>
      <c r="I3679" s="6">
        <v>1260104</v>
      </c>
      <c r="J3679" s="7">
        <v>200.48</v>
      </c>
      <c r="K3679" s="9">
        <f>(PricingDataTable[[#This Row],[Current Price ($)]]-PricingDataTable[[#This Row],[Prior Price ($)]])/PricingDataTable[[#This Row],[Prior Price ($)]]</f>
        <v>3.1907768488068948E-3</v>
      </c>
      <c r="L3679" s="9">
        <f>(PricingDataTable[[#This Row],[Vendor Price ($)]]-PricingDataTable[[#This Row],[Current Price ($)]])/PricingDataTable[[#This Row],[Current Price ($)]]</f>
        <v>-9.283083408974957E-5</v>
      </c>
      <c r="M3679" t="str">
        <f t="shared" si="114"/>
        <v>PASS</v>
      </c>
      <c r="N3679" s="10" t="str">
        <f t="shared" si="115"/>
        <v>NONE</v>
      </c>
    </row>
    <row r="3680" spans="1:14">
      <c r="A3680" s="4" t="s">
        <v>7376</v>
      </c>
      <c r="B3680" s="4" t="s">
        <v>7377</v>
      </c>
      <c r="C3680" s="4" t="s">
        <v>12</v>
      </c>
      <c r="D3680" s="4" t="s">
        <v>13</v>
      </c>
      <c r="E3680" s="5">
        <v>80.278199999999998</v>
      </c>
      <c r="F3680" s="5">
        <v>80.799899999999994</v>
      </c>
      <c r="G3680" s="5">
        <v>80.923199999999994</v>
      </c>
      <c r="H3680" s="4">
        <v>0</v>
      </c>
      <c r="I3680" s="6">
        <v>2044852</v>
      </c>
      <c r="J3680" s="7">
        <v>487.06</v>
      </c>
      <c r="K3680" s="9">
        <f>(PricingDataTable[[#This Row],[Current Price ($)]]-PricingDataTable[[#This Row],[Prior Price ($)]])/PricingDataTable[[#This Row],[Prior Price ($)]]</f>
        <v>6.4986509413513961E-3</v>
      </c>
      <c r="L3680" s="9">
        <f>(PricingDataTable[[#This Row],[Vendor Price ($)]]-PricingDataTable[[#This Row],[Current Price ($)]])/PricingDataTable[[#This Row],[Current Price ($)]]</f>
        <v>1.5259919876138511E-3</v>
      </c>
      <c r="M3680" t="str">
        <f t="shared" si="114"/>
        <v>PASS</v>
      </c>
      <c r="N3680" s="10" t="str">
        <f t="shared" si="115"/>
        <v>NONE</v>
      </c>
    </row>
    <row r="3681" spans="1:14">
      <c r="A3681" s="4" t="s">
        <v>7378</v>
      </c>
      <c r="B3681" s="4" t="s">
        <v>7379</v>
      </c>
      <c r="C3681" s="4" t="s">
        <v>12</v>
      </c>
      <c r="D3681" s="4" t="s">
        <v>13</v>
      </c>
      <c r="E3681" s="5">
        <v>124.5634</v>
      </c>
      <c r="F3681" s="5">
        <v>123.3275</v>
      </c>
      <c r="G3681" s="5">
        <v>123.5805</v>
      </c>
      <c r="H3681" s="4">
        <v>0</v>
      </c>
      <c r="I3681" s="6">
        <v>1530607</v>
      </c>
      <c r="J3681" s="7">
        <v>117.39</v>
      </c>
      <c r="K3681" s="9">
        <f>(PricingDataTable[[#This Row],[Current Price ($)]]-PricingDataTable[[#This Row],[Prior Price ($)]])/PricingDataTable[[#This Row],[Prior Price ($)]]</f>
        <v>-9.9218550553372888E-3</v>
      </c>
      <c r="L3681" s="9">
        <f>(PricingDataTable[[#This Row],[Vendor Price ($)]]-PricingDataTable[[#This Row],[Current Price ($)]])/PricingDataTable[[#This Row],[Current Price ($)]]</f>
        <v>2.0514483793152389E-3</v>
      </c>
      <c r="M3681" t="str">
        <f t="shared" si="114"/>
        <v>PASS</v>
      </c>
      <c r="N3681" s="10" t="str">
        <f t="shared" si="115"/>
        <v>NONE</v>
      </c>
    </row>
    <row r="3682" spans="1:14">
      <c r="A3682" s="4" t="s">
        <v>7380</v>
      </c>
      <c r="B3682" s="4" t="s">
        <v>7381</v>
      </c>
      <c r="C3682" s="4" t="s">
        <v>19</v>
      </c>
      <c r="D3682" s="4" t="s">
        <v>13</v>
      </c>
      <c r="E3682" s="5">
        <v>242.71420000000001</v>
      </c>
      <c r="F3682" s="5">
        <v>243.5257</v>
      </c>
      <c r="G3682" s="5">
        <v>242.845</v>
      </c>
      <c r="H3682" s="4">
        <v>2</v>
      </c>
      <c r="I3682" s="6">
        <v>4428812</v>
      </c>
      <c r="J3682" s="7">
        <v>58.31</v>
      </c>
      <c r="K3682" s="9">
        <f>(PricingDataTable[[#This Row],[Current Price ($)]]-PricingDataTable[[#This Row],[Prior Price ($)]])/PricingDataTable[[#This Row],[Prior Price ($)]]</f>
        <v>3.3434384967999204E-3</v>
      </c>
      <c r="L3682" s="9">
        <f>(PricingDataTable[[#This Row],[Vendor Price ($)]]-PricingDataTable[[#This Row],[Current Price ($)]])/PricingDataTable[[#This Row],[Current Price ($)]]</f>
        <v>-2.7951875305152665E-3</v>
      </c>
      <c r="M3682" t="str">
        <f t="shared" si="114"/>
        <v>PASS</v>
      </c>
      <c r="N3682" s="10" t="str">
        <f t="shared" si="115"/>
        <v>NONE</v>
      </c>
    </row>
    <row r="3683" spans="1:14">
      <c r="A3683" s="4" t="s">
        <v>7382</v>
      </c>
      <c r="B3683" s="4" t="s">
        <v>7383</v>
      </c>
      <c r="C3683" s="4" t="s">
        <v>12</v>
      </c>
      <c r="D3683" s="4" t="s">
        <v>32</v>
      </c>
      <c r="E3683" s="5">
        <v>105.72020000000001</v>
      </c>
      <c r="F3683" s="5">
        <v>106.7961</v>
      </c>
      <c r="G3683" s="5">
        <v>107.06229999999999</v>
      </c>
      <c r="H3683" s="4">
        <v>2</v>
      </c>
      <c r="I3683" s="6">
        <v>85699</v>
      </c>
      <c r="J3683" s="7">
        <v>683.33</v>
      </c>
      <c r="K3683" s="9">
        <f>(PricingDataTable[[#This Row],[Current Price ($)]]-PricingDataTable[[#This Row],[Prior Price ($)]])/PricingDataTable[[#This Row],[Prior Price ($)]]</f>
        <v>1.0176863078200666E-2</v>
      </c>
      <c r="L3683" s="9">
        <f>(PricingDataTable[[#This Row],[Vendor Price ($)]]-PricingDataTable[[#This Row],[Current Price ($)]])/PricingDataTable[[#This Row],[Current Price ($)]]</f>
        <v>2.4926003852200388E-3</v>
      </c>
      <c r="M3683" t="str">
        <f t="shared" si="114"/>
        <v>PASS</v>
      </c>
      <c r="N3683" s="10" t="str">
        <f t="shared" si="115"/>
        <v>NONE</v>
      </c>
    </row>
    <row r="3684" spans="1:14">
      <c r="A3684" s="4" t="s">
        <v>7384</v>
      </c>
      <c r="B3684" s="4" t="s">
        <v>7385</v>
      </c>
      <c r="C3684" s="4" t="s">
        <v>19</v>
      </c>
      <c r="D3684" s="4" t="s">
        <v>13</v>
      </c>
      <c r="E3684" s="5">
        <v>208.07409999999999</v>
      </c>
      <c r="F3684" s="5">
        <v>213.41409999999999</v>
      </c>
      <c r="G3684" s="5">
        <v>213.41139999999999</v>
      </c>
      <c r="H3684" s="4">
        <v>1</v>
      </c>
      <c r="I3684" s="6">
        <v>3675327</v>
      </c>
      <c r="J3684" s="7">
        <v>531.88</v>
      </c>
      <c r="K3684" s="9">
        <f>(PricingDataTable[[#This Row],[Current Price ($)]]-PricingDataTable[[#This Row],[Prior Price ($)]])/PricingDataTable[[#This Row],[Prior Price ($)]]</f>
        <v>2.5663934146537237E-2</v>
      </c>
      <c r="L3684" s="9">
        <f>(PricingDataTable[[#This Row],[Vendor Price ($)]]-PricingDataTable[[#This Row],[Current Price ($)]])/PricingDataTable[[#This Row],[Current Price ($)]]</f>
        <v>-1.2651460236246648E-5</v>
      </c>
      <c r="M3684" t="str">
        <f t="shared" si="114"/>
        <v>PASS</v>
      </c>
      <c r="N3684" s="10" t="str">
        <f t="shared" si="115"/>
        <v>NONE</v>
      </c>
    </row>
    <row r="3685" spans="1:14">
      <c r="A3685" s="4" t="s">
        <v>7386</v>
      </c>
      <c r="B3685" s="4" t="s">
        <v>7387</v>
      </c>
      <c r="C3685" s="4" t="s">
        <v>19</v>
      </c>
      <c r="D3685" s="4" t="s">
        <v>13</v>
      </c>
      <c r="E3685" s="5">
        <v>8.4445999999999994</v>
      </c>
      <c r="F3685" s="5">
        <v>8.2050999999999998</v>
      </c>
      <c r="G3685" s="5">
        <v>8.2222000000000008</v>
      </c>
      <c r="H3685" s="4">
        <v>2</v>
      </c>
      <c r="I3685" s="6">
        <v>1433845</v>
      </c>
      <c r="J3685" s="7">
        <v>397.03</v>
      </c>
      <c r="K3685" s="9">
        <f>(PricingDataTable[[#This Row],[Current Price ($)]]-PricingDataTable[[#This Row],[Prior Price ($)]])/PricingDataTable[[#This Row],[Prior Price ($)]]</f>
        <v>-2.8361319659900956E-2</v>
      </c>
      <c r="L3685" s="9">
        <f>(PricingDataTable[[#This Row],[Vendor Price ($)]]-PricingDataTable[[#This Row],[Current Price ($)]])/PricingDataTable[[#This Row],[Current Price ($)]]</f>
        <v>2.0840696639895921E-3</v>
      </c>
      <c r="M3685" t="str">
        <f t="shared" si="114"/>
        <v>PASS</v>
      </c>
      <c r="N3685" s="10" t="str">
        <f t="shared" si="115"/>
        <v>NONE</v>
      </c>
    </row>
    <row r="3686" spans="1:14">
      <c r="A3686" s="4" t="s">
        <v>7388</v>
      </c>
      <c r="B3686" s="4" t="s">
        <v>7389</v>
      </c>
      <c r="C3686" s="4" t="s">
        <v>12</v>
      </c>
      <c r="D3686" s="4" t="s">
        <v>64</v>
      </c>
      <c r="E3686" s="5">
        <v>123.23690000000001</v>
      </c>
      <c r="F3686" s="5">
        <v>124.3609</v>
      </c>
      <c r="G3686" s="5">
        <v>124.71299999999999</v>
      </c>
      <c r="H3686" s="4">
        <v>1</v>
      </c>
      <c r="I3686" s="6">
        <v>726359</v>
      </c>
      <c r="J3686" s="7">
        <v>606.82000000000005</v>
      </c>
      <c r="K3686" s="9">
        <f>(PricingDataTable[[#This Row],[Current Price ($)]]-PricingDataTable[[#This Row],[Prior Price ($)]])/PricingDataTable[[#This Row],[Prior Price ($)]]</f>
        <v>9.1206448717875508E-3</v>
      </c>
      <c r="L3686" s="9">
        <f>(PricingDataTable[[#This Row],[Vendor Price ($)]]-PricingDataTable[[#This Row],[Current Price ($)]])/PricingDataTable[[#This Row],[Current Price ($)]]</f>
        <v>2.8312757466373512E-3</v>
      </c>
      <c r="M3686" t="str">
        <f t="shared" si="114"/>
        <v>PASS</v>
      </c>
      <c r="N3686" s="10" t="str">
        <f t="shared" si="115"/>
        <v>NONE</v>
      </c>
    </row>
    <row r="3687" spans="1:14">
      <c r="A3687" s="4" t="s">
        <v>7390</v>
      </c>
      <c r="B3687" s="4" t="s">
        <v>7391</v>
      </c>
      <c r="C3687" s="4" t="s">
        <v>35</v>
      </c>
      <c r="D3687" s="4" t="s">
        <v>237</v>
      </c>
      <c r="E3687" s="5">
        <v>145.98609999999999</v>
      </c>
      <c r="F3687" s="5">
        <v>145.89869999999999</v>
      </c>
      <c r="G3687" s="5">
        <v>146.0487</v>
      </c>
      <c r="H3687" s="4">
        <v>5</v>
      </c>
      <c r="I3687" s="6">
        <v>3590011</v>
      </c>
      <c r="J3687" s="7">
        <v>209.53</v>
      </c>
      <c r="K3687" s="9">
        <f>(PricingDataTable[[#This Row],[Current Price ($)]]-PricingDataTable[[#This Row],[Prior Price ($)]])/PricingDataTable[[#This Row],[Prior Price ($)]]</f>
        <v>-5.9868713528207394E-4</v>
      </c>
      <c r="L3687" s="9">
        <f>(PricingDataTable[[#This Row],[Vendor Price ($)]]-PricingDataTable[[#This Row],[Current Price ($)]])/PricingDataTable[[#This Row],[Current Price ($)]]</f>
        <v>1.0281106000259474E-3</v>
      </c>
      <c r="M3687" t="str">
        <f t="shared" si="114"/>
        <v>STALE</v>
      </c>
      <c r="N3687" s="10" t="str">
        <f t="shared" si="115"/>
        <v>MEDIUM</v>
      </c>
    </row>
    <row r="3688" spans="1:14">
      <c r="A3688" s="4" t="s">
        <v>7392</v>
      </c>
      <c r="B3688" s="4" t="s">
        <v>7393</v>
      </c>
      <c r="C3688" s="4" t="s">
        <v>19</v>
      </c>
      <c r="D3688" s="4" t="s">
        <v>13</v>
      </c>
      <c r="E3688" s="5">
        <v>342.79430000000002</v>
      </c>
      <c r="F3688" s="5">
        <v>342.38369999999998</v>
      </c>
      <c r="G3688" s="5">
        <v>341.20870000000002</v>
      </c>
      <c r="H3688" s="4">
        <v>0</v>
      </c>
      <c r="I3688" s="6">
        <v>3477204</v>
      </c>
      <c r="J3688" s="7">
        <v>767.75</v>
      </c>
      <c r="K3688" s="9">
        <f>(PricingDataTable[[#This Row],[Current Price ($)]]-PricingDataTable[[#This Row],[Prior Price ($)]])/PricingDataTable[[#This Row],[Prior Price ($)]]</f>
        <v>-1.1978028806197913E-3</v>
      </c>
      <c r="L3688" s="9">
        <f>(PricingDataTable[[#This Row],[Vendor Price ($)]]-PricingDataTable[[#This Row],[Current Price ($)]])/PricingDataTable[[#This Row],[Current Price ($)]]</f>
        <v>-3.4318222508838902E-3</v>
      </c>
      <c r="M3688" t="str">
        <f t="shared" si="114"/>
        <v>PASS</v>
      </c>
      <c r="N3688" s="10" t="str">
        <f t="shared" si="115"/>
        <v>NONE</v>
      </c>
    </row>
    <row r="3689" spans="1:14">
      <c r="A3689" s="4" t="s">
        <v>7394</v>
      </c>
      <c r="B3689" s="4" t="s">
        <v>7395</v>
      </c>
      <c r="C3689" s="4" t="s">
        <v>19</v>
      </c>
      <c r="D3689" s="4" t="s">
        <v>13</v>
      </c>
      <c r="E3689" s="5">
        <v>51.9908</v>
      </c>
      <c r="F3689" s="5">
        <v>53.000799999999998</v>
      </c>
      <c r="G3689" s="5">
        <v>52.881900000000002</v>
      </c>
      <c r="H3689" s="4">
        <v>1</v>
      </c>
      <c r="I3689" s="6">
        <v>615643</v>
      </c>
      <c r="J3689" s="7">
        <v>893.98</v>
      </c>
      <c r="K3689" s="9">
        <f>(PricingDataTable[[#This Row],[Current Price ($)]]-PricingDataTable[[#This Row],[Prior Price ($)]])/PricingDataTable[[#This Row],[Prior Price ($)]]</f>
        <v>1.9426513921693801E-2</v>
      </c>
      <c r="L3689" s="9">
        <f>(PricingDataTable[[#This Row],[Vendor Price ($)]]-PricingDataTable[[#This Row],[Current Price ($)]])/PricingDataTable[[#This Row],[Current Price ($)]]</f>
        <v>-2.2433623643416034E-3</v>
      </c>
      <c r="M3689" t="str">
        <f t="shared" si="114"/>
        <v>PASS</v>
      </c>
      <c r="N3689" s="10" t="str">
        <f t="shared" si="115"/>
        <v>NONE</v>
      </c>
    </row>
    <row r="3690" spans="1:14">
      <c r="A3690" s="4" t="s">
        <v>7396</v>
      </c>
      <c r="B3690" s="4" t="s">
        <v>7397</v>
      </c>
      <c r="C3690" s="4" t="s">
        <v>19</v>
      </c>
      <c r="D3690" s="4" t="s">
        <v>32</v>
      </c>
      <c r="E3690" s="5">
        <v>252.3794</v>
      </c>
      <c r="F3690" s="5">
        <v>249.3603</v>
      </c>
      <c r="G3690" s="5">
        <v>249.83</v>
      </c>
      <c r="H3690" s="4">
        <v>0</v>
      </c>
      <c r="I3690" s="6">
        <v>843759</v>
      </c>
      <c r="J3690" s="7">
        <v>698.49</v>
      </c>
      <c r="K3690" s="9">
        <f>(PricingDataTable[[#This Row],[Current Price ($)]]-PricingDataTable[[#This Row],[Prior Price ($)]])/PricingDataTable[[#This Row],[Prior Price ($)]]</f>
        <v>-1.1962545279052128E-2</v>
      </c>
      <c r="L3690" s="9">
        <f>(PricingDataTable[[#This Row],[Vendor Price ($)]]-PricingDataTable[[#This Row],[Current Price ($)]])/PricingDataTable[[#This Row],[Current Price ($)]]</f>
        <v>1.8836198063605849E-3</v>
      </c>
      <c r="M3690" t="str">
        <f t="shared" si="114"/>
        <v>PASS</v>
      </c>
      <c r="N3690" s="10" t="str">
        <f t="shared" si="115"/>
        <v>NONE</v>
      </c>
    </row>
    <row r="3691" spans="1:14">
      <c r="A3691" s="4" t="s">
        <v>7398</v>
      </c>
      <c r="B3691" s="4" t="s">
        <v>7399</v>
      </c>
      <c r="C3691" s="4" t="s">
        <v>12</v>
      </c>
      <c r="D3691" s="4" t="s">
        <v>36</v>
      </c>
      <c r="E3691" s="5">
        <v>101.07080000000001</v>
      </c>
      <c r="F3691" s="5">
        <v>102.5853</v>
      </c>
      <c r="G3691" s="5">
        <v>102.11539999999999</v>
      </c>
      <c r="H3691" s="4">
        <v>1</v>
      </c>
      <c r="I3691" s="6">
        <v>1013850</v>
      </c>
      <c r="J3691" s="7">
        <v>744.01</v>
      </c>
      <c r="K3691" s="9">
        <f>(PricingDataTable[[#This Row],[Current Price ($)]]-PricingDataTable[[#This Row],[Prior Price ($)]])/PricingDataTable[[#This Row],[Prior Price ($)]]</f>
        <v>1.4984545486925977E-2</v>
      </c>
      <c r="L3691" s="9">
        <f>(PricingDataTable[[#This Row],[Vendor Price ($)]]-PricingDataTable[[#This Row],[Current Price ($)]])/PricingDataTable[[#This Row],[Current Price ($)]]</f>
        <v>-4.5805783089780871E-3</v>
      </c>
      <c r="M3691" t="str">
        <f t="shared" si="114"/>
        <v>PASS</v>
      </c>
      <c r="N3691" s="10" t="str">
        <f t="shared" si="115"/>
        <v>NONE</v>
      </c>
    </row>
    <row r="3692" spans="1:14">
      <c r="A3692" s="4" t="s">
        <v>7400</v>
      </c>
      <c r="B3692" s="4" t="s">
        <v>7401</v>
      </c>
      <c r="C3692" s="4" t="s">
        <v>19</v>
      </c>
      <c r="D3692" s="4" t="s">
        <v>13</v>
      </c>
      <c r="E3692" s="5">
        <v>73.431600000000003</v>
      </c>
      <c r="F3692" s="5">
        <v>73.412899999999993</v>
      </c>
      <c r="G3692" s="5">
        <v>73.245900000000006</v>
      </c>
      <c r="H3692" s="4">
        <v>4</v>
      </c>
      <c r="I3692" s="6">
        <v>124698</v>
      </c>
      <c r="J3692" s="7">
        <v>87.82</v>
      </c>
      <c r="K3692" s="9">
        <f>(PricingDataTable[[#This Row],[Current Price ($)]]-PricingDataTable[[#This Row],[Prior Price ($)]])/PricingDataTable[[#This Row],[Prior Price ($)]]</f>
        <v>-2.5465875726539677E-4</v>
      </c>
      <c r="L3692" s="9">
        <f>(PricingDataTable[[#This Row],[Vendor Price ($)]]-PricingDataTable[[#This Row],[Current Price ($)]])/PricingDataTable[[#This Row],[Current Price ($)]]</f>
        <v>-2.2748045643202681E-3</v>
      </c>
      <c r="M3692" t="str">
        <f t="shared" si="114"/>
        <v>STALE</v>
      </c>
      <c r="N3692" s="10" t="str">
        <f t="shared" si="115"/>
        <v>LOW</v>
      </c>
    </row>
    <row r="3693" spans="1:14">
      <c r="A3693" s="4" t="s">
        <v>7402</v>
      </c>
      <c r="B3693" s="4" t="s">
        <v>7403</v>
      </c>
      <c r="C3693" s="4" t="s">
        <v>16</v>
      </c>
      <c r="D3693" s="4" t="s">
        <v>64</v>
      </c>
      <c r="E3693" s="5">
        <v>109.66249999999999</v>
      </c>
      <c r="F3693" s="5">
        <v>109.17270000000001</v>
      </c>
      <c r="G3693" s="5">
        <v>109.3742</v>
      </c>
      <c r="H3693" s="4">
        <v>0</v>
      </c>
      <c r="I3693" s="6">
        <v>3331638</v>
      </c>
      <c r="J3693" s="7">
        <v>504.97</v>
      </c>
      <c r="K3693" s="9">
        <f>(PricingDataTable[[#This Row],[Current Price ($)]]-PricingDataTable[[#This Row],[Prior Price ($)]])/PricingDataTable[[#This Row],[Prior Price ($)]]</f>
        <v>-4.4664310954062531E-3</v>
      </c>
      <c r="L3693" s="9">
        <f>(PricingDataTable[[#This Row],[Vendor Price ($)]]-PricingDataTable[[#This Row],[Current Price ($)]])/PricingDataTable[[#This Row],[Current Price ($)]]</f>
        <v>1.8456995201180861E-3</v>
      </c>
      <c r="M3693" t="str">
        <f t="shared" si="114"/>
        <v>PASS</v>
      </c>
      <c r="N3693" s="10" t="str">
        <f t="shared" si="115"/>
        <v>NONE</v>
      </c>
    </row>
    <row r="3694" spans="1:14">
      <c r="A3694" s="4" t="s">
        <v>7404</v>
      </c>
      <c r="B3694" s="4" t="s">
        <v>7405</v>
      </c>
      <c r="C3694" s="4" t="s">
        <v>16</v>
      </c>
      <c r="D3694" s="4" t="s">
        <v>13</v>
      </c>
      <c r="E3694" s="5">
        <v>102.7997</v>
      </c>
      <c r="F3694" s="5">
        <v>103.8177</v>
      </c>
      <c r="G3694" s="5">
        <v>103.5468</v>
      </c>
      <c r="H3694" s="4">
        <v>0</v>
      </c>
      <c r="I3694" s="6">
        <v>4461936</v>
      </c>
      <c r="J3694" s="7">
        <v>206.75</v>
      </c>
      <c r="K3694" s="9">
        <f>(PricingDataTable[[#This Row],[Current Price ($)]]-PricingDataTable[[#This Row],[Prior Price ($)]])/PricingDataTable[[#This Row],[Prior Price ($)]]</f>
        <v>9.9027526344921298E-3</v>
      </c>
      <c r="L3694" s="9">
        <f>(PricingDataTable[[#This Row],[Vendor Price ($)]]-PricingDataTable[[#This Row],[Current Price ($)]])/PricingDataTable[[#This Row],[Current Price ($)]]</f>
        <v>-2.6093816372352446E-3</v>
      </c>
      <c r="M3694" t="str">
        <f t="shared" si="114"/>
        <v>PASS</v>
      </c>
      <c r="N3694" s="10" t="str">
        <f t="shared" si="115"/>
        <v>NONE</v>
      </c>
    </row>
    <row r="3695" spans="1:14">
      <c r="A3695" s="4" t="s">
        <v>7406</v>
      </c>
      <c r="B3695" s="4" t="s">
        <v>7407</v>
      </c>
      <c r="C3695" s="4" t="s">
        <v>39</v>
      </c>
      <c r="D3695" s="4" t="s">
        <v>13</v>
      </c>
      <c r="E3695" s="5">
        <v>38.342100000000002</v>
      </c>
      <c r="F3695" s="5">
        <v>37.877000000000002</v>
      </c>
      <c r="G3695" s="5">
        <v>37.722200000000001</v>
      </c>
      <c r="H3695" s="4">
        <v>5</v>
      </c>
      <c r="I3695" s="6">
        <v>1550861</v>
      </c>
      <c r="J3695" s="7">
        <v>898.08</v>
      </c>
      <c r="K3695" s="9">
        <f>(PricingDataTable[[#This Row],[Current Price ($)]]-PricingDataTable[[#This Row],[Prior Price ($)]])/PricingDataTable[[#This Row],[Prior Price ($)]]</f>
        <v>-1.2130269338403468E-2</v>
      </c>
      <c r="L3695" s="9">
        <f>(PricingDataTable[[#This Row],[Vendor Price ($)]]-PricingDataTable[[#This Row],[Current Price ($)]])/PricingDataTable[[#This Row],[Current Price ($)]]</f>
        <v>-4.0869129022890298E-3</v>
      </c>
      <c r="M3695" t="str">
        <f t="shared" si="114"/>
        <v>STALE</v>
      </c>
      <c r="N3695" s="10" t="str">
        <f t="shared" si="115"/>
        <v>MEDIUM</v>
      </c>
    </row>
    <row r="3696" spans="1:14">
      <c r="A3696" s="4" t="s">
        <v>7408</v>
      </c>
      <c r="B3696" s="4" t="s">
        <v>7409</v>
      </c>
      <c r="C3696" s="4" t="s">
        <v>19</v>
      </c>
      <c r="D3696" s="4" t="s">
        <v>13</v>
      </c>
      <c r="E3696" s="5">
        <v>246.4579</v>
      </c>
      <c r="F3696" s="5">
        <v>247.42</v>
      </c>
      <c r="G3696" s="5">
        <v>247.03190000000001</v>
      </c>
      <c r="H3696" s="4">
        <v>1</v>
      </c>
      <c r="I3696" s="6">
        <v>2299728</v>
      </c>
      <c r="J3696" s="7">
        <v>684.27</v>
      </c>
      <c r="K3696" s="9">
        <f>(PricingDataTable[[#This Row],[Current Price ($)]]-PricingDataTable[[#This Row],[Prior Price ($)]])/PricingDataTable[[#This Row],[Prior Price ($)]]</f>
        <v>3.9037093150594581E-3</v>
      </c>
      <c r="L3696" s="9">
        <f>(PricingDataTable[[#This Row],[Vendor Price ($)]]-PricingDataTable[[#This Row],[Current Price ($)]])/PricingDataTable[[#This Row],[Current Price ($)]]</f>
        <v>-1.5685878263680386E-3</v>
      </c>
      <c r="M3696" t="str">
        <f t="shared" si="114"/>
        <v>PASS</v>
      </c>
      <c r="N3696" s="10" t="str">
        <f t="shared" si="115"/>
        <v>NONE</v>
      </c>
    </row>
    <row r="3697" spans="1:14">
      <c r="A3697" s="4" t="s">
        <v>7410</v>
      </c>
      <c r="B3697" s="4" t="s">
        <v>7411</v>
      </c>
      <c r="C3697" s="4" t="s">
        <v>16</v>
      </c>
      <c r="D3697" s="4" t="s">
        <v>13</v>
      </c>
      <c r="E3697" s="5">
        <v>104.435</v>
      </c>
      <c r="F3697" s="5">
        <v>105.1101</v>
      </c>
      <c r="G3697" s="5">
        <v>105.3339</v>
      </c>
      <c r="H3697" s="4">
        <v>3</v>
      </c>
      <c r="I3697" s="6">
        <v>768030</v>
      </c>
      <c r="J3697" s="7">
        <v>531.75</v>
      </c>
      <c r="K3697" s="9">
        <f>(PricingDataTable[[#This Row],[Current Price ($)]]-PricingDataTable[[#This Row],[Prior Price ($)]])/PricingDataTable[[#This Row],[Prior Price ($)]]</f>
        <v>6.4643079427395079E-3</v>
      </c>
      <c r="L3697" s="9">
        <f>(PricingDataTable[[#This Row],[Vendor Price ($)]]-PricingDataTable[[#This Row],[Current Price ($)]])/PricingDataTable[[#This Row],[Current Price ($)]]</f>
        <v>2.1291959573818036E-3</v>
      </c>
      <c r="M3697" t="str">
        <f t="shared" si="114"/>
        <v>STALE</v>
      </c>
      <c r="N3697" s="10" t="str">
        <f t="shared" si="115"/>
        <v>LOW</v>
      </c>
    </row>
    <row r="3698" spans="1:14">
      <c r="A3698" s="4" t="s">
        <v>7412</v>
      </c>
      <c r="B3698" s="4" t="s">
        <v>7413</v>
      </c>
      <c r="C3698" s="4" t="s">
        <v>12</v>
      </c>
      <c r="D3698" s="4" t="s">
        <v>13</v>
      </c>
      <c r="E3698" s="5">
        <v>87.337199999999996</v>
      </c>
      <c r="F3698" s="5">
        <v>87.100300000000004</v>
      </c>
      <c r="G3698" s="5">
        <v>87.171999999999997</v>
      </c>
      <c r="H3698" s="4">
        <v>0</v>
      </c>
      <c r="I3698" s="6">
        <v>221858</v>
      </c>
      <c r="J3698" s="7">
        <v>399.08</v>
      </c>
      <c r="K3698" s="9">
        <f>(PricingDataTable[[#This Row],[Current Price ($)]]-PricingDataTable[[#This Row],[Prior Price ($)]])/PricingDataTable[[#This Row],[Prior Price ($)]]</f>
        <v>-2.7124753255198409E-3</v>
      </c>
      <c r="L3698" s="9">
        <f>(PricingDataTable[[#This Row],[Vendor Price ($)]]-PricingDataTable[[#This Row],[Current Price ($)]])/PricingDataTable[[#This Row],[Current Price ($)]]</f>
        <v>8.2318889831599622E-4</v>
      </c>
      <c r="M3698" t="str">
        <f t="shared" si="114"/>
        <v>PASS</v>
      </c>
      <c r="N3698" s="10" t="str">
        <f t="shared" si="115"/>
        <v>NONE</v>
      </c>
    </row>
    <row r="3699" spans="1:14">
      <c r="A3699" s="4" t="s">
        <v>7414</v>
      </c>
      <c r="B3699" s="4" t="s">
        <v>7415</v>
      </c>
      <c r="C3699" s="4" t="s">
        <v>19</v>
      </c>
      <c r="D3699" s="4" t="s">
        <v>13</v>
      </c>
      <c r="E3699" s="5">
        <v>248.3717</v>
      </c>
      <c r="F3699" s="5">
        <v>251.93039999999999</v>
      </c>
      <c r="G3699" s="5">
        <v>252.642</v>
      </c>
      <c r="H3699" s="4">
        <v>2</v>
      </c>
      <c r="I3699" s="6">
        <v>1137533</v>
      </c>
      <c r="J3699" s="7">
        <v>716.36</v>
      </c>
      <c r="K3699" s="9">
        <f>(PricingDataTable[[#This Row],[Current Price ($)]]-PricingDataTable[[#This Row],[Prior Price ($)]])/PricingDataTable[[#This Row],[Prior Price ($)]]</f>
        <v>1.432812192371348E-2</v>
      </c>
      <c r="L3699" s="9">
        <f>(PricingDataTable[[#This Row],[Vendor Price ($)]]-PricingDataTable[[#This Row],[Current Price ($)]])/PricingDataTable[[#This Row],[Current Price ($)]]</f>
        <v>2.8245896485696218E-3</v>
      </c>
      <c r="M3699" t="str">
        <f t="shared" si="114"/>
        <v>PASS</v>
      </c>
      <c r="N3699" s="10" t="str">
        <f t="shared" si="115"/>
        <v>NONE</v>
      </c>
    </row>
    <row r="3700" spans="1:14">
      <c r="A3700" s="4" t="s">
        <v>7416</v>
      </c>
      <c r="B3700" s="4" t="s">
        <v>7417</v>
      </c>
      <c r="C3700" s="4" t="s">
        <v>16</v>
      </c>
      <c r="D3700" s="4" t="s">
        <v>13</v>
      </c>
      <c r="E3700" s="5">
        <v>90.476100000000002</v>
      </c>
      <c r="F3700" s="5">
        <v>88.442800000000005</v>
      </c>
      <c r="G3700" s="5">
        <v>88.369600000000005</v>
      </c>
      <c r="H3700" s="4">
        <v>0</v>
      </c>
      <c r="I3700" s="6">
        <v>2356398</v>
      </c>
      <c r="J3700" s="7">
        <v>229.12</v>
      </c>
      <c r="K3700" s="9">
        <f>(PricingDataTable[[#This Row],[Current Price ($)]]-PricingDataTable[[#This Row],[Prior Price ($)]])/PricingDataTable[[#This Row],[Prior Price ($)]]</f>
        <v>-2.2473338262811914E-2</v>
      </c>
      <c r="L3700" s="9">
        <f>(PricingDataTable[[#This Row],[Vendor Price ($)]]-PricingDataTable[[#This Row],[Current Price ($)]])/PricingDataTable[[#This Row],[Current Price ($)]]</f>
        <v>-8.2765357948866303E-4</v>
      </c>
      <c r="M3700" t="str">
        <f t="shared" si="114"/>
        <v>PASS</v>
      </c>
      <c r="N3700" s="10" t="str">
        <f t="shared" si="115"/>
        <v>NONE</v>
      </c>
    </row>
    <row r="3701" spans="1:14">
      <c r="A3701" s="4" t="s">
        <v>7418</v>
      </c>
      <c r="B3701" s="4" t="s">
        <v>7419</v>
      </c>
      <c r="C3701" s="4" t="s">
        <v>19</v>
      </c>
      <c r="D3701" s="4" t="s">
        <v>13</v>
      </c>
      <c r="E3701" s="5">
        <v>298.91910000000001</v>
      </c>
      <c r="F3701" s="5">
        <v>296.73320000000001</v>
      </c>
      <c r="G3701" s="5">
        <v>298.1266</v>
      </c>
      <c r="H3701" s="4">
        <v>1</v>
      </c>
      <c r="I3701" s="6">
        <v>3387842</v>
      </c>
      <c r="J3701" s="7">
        <v>137.62</v>
      </c>
      <c r="K3701" s="9">
        <f>(PricingDataTable[[#This Row],[Current Price ($)]]-PricingDataTable[[#This Row],[Prior Price ($)]])/PricingDataTable[[#This Row],[Prior Price ($)]]</f>
        <v>-7.3126809226978255E-3</v>
      </c>
      <c r="L3701" s="9">
        <f>(PricingDataTable[[#This Row],[Vendor Price ($)]]-PricingDataTable[[#This Row],[Current Price ($)]])/PricingDataTable[[#This Row],[Current Price ($)]]</f>
        <v>4.6958008069201071E-3</v>
      </c>
      <c r="M3701" t="str">
        <f t="shared" si="114"/>
        <v>PASS</v>
      </c>
      <c r="N3701" s="10" t="str">
        <f t="shared" si="115"/>
        <v>NONE</v>
      </c>
    </row>
    <row r="3702" spans="1:14">
      <c r="A3702" s="4" t="s">
        <v>7420</v>
      </c>
      <c r="B3702" s="4" t="s">
        <v>7421</v>
      </c>
      <c r="C3702" s="4" t="s">
        <v>19</v>
      </c>
      <c r="D3702" s="4" t="s">
        <v>13</v>
      </c>
      <c r="E3702" s="5">
        <v>234.06800000000001</v>
      </c>
      <c r="F3702" s="5">
        <v>233.47280000000001</v>
      </c>
      <c r="G3702" s="5">
        <v>234.5153</v>
      </c>
      <c r="H3702" s="4">
        <v>1</v>
      </c>
      <c r="I3702" s="6">
        <v>240725</v>
      </c>
      <c r="J3702" s="7">
        <v>56.47</v>
      </c>
      <c r="K3702" s="9">
        <f>(PricingDataTable[[#This Row],[Current Price ($)]]-PricingDataTable[[#This Row],[Prior Price ($)]])/PricingDataTable[[#This Row],[Prior Price ($)]]</f>
        <v>-2.5428507954953494E-3</v>
      </c>
      <c r="L3702" s="9">
        <f>(PricingDataTable[[#This Row],[Vendor Price ($)]]-PricingDataTable[[#This Row],[Current Price ($)]])/PricingDataTable[[#This Row],[Current Price ($)]]</f>
        <v>4.4651882360600024E-3</v>
      </c>
      <c r="M3702" t="str">
        <f t="shared" si="114"/>
        <v>PASS</v>
      </c>
      <c r="N3702" s="10" t="str">
        <f t="shared" si="115"/>
        <v>NONE</v>
      </c>
    </row>
    <row r="3703" spans="1:14">
      <c r="A3703" s="4" t="s">
        <v>7422</v>
      </c>
      <c r="B3703" s="4" t="s">
        <v>7423</v>
      </c>
      <c r="C3703" s="4" t="s">
        <v>16</v>
      </c>
      <c r="D3703" s="4" t="s">
        <v>64</v>
      </c>
      <c r="E3703" s="5">
        <v>121.0836</v>
      </c>
      <c r="F3703" s="5">
        <v>121.15430000000001</v>
      </c>
      <c r="G3703" s="5">
        <v>121.544</v>
      </c>
      <c r="H3703" s="4">
        <v>0</v>
      </c>
      <c r="I3703" s="6">
        <v>2901988</v>
      </c>
      <c r="J3703" s="7">
        <v>462.33</v>
      </c>
      <c r="K3703" s="9">
        <f>(PricingDataTable[[#This Row],[Current Price ($)]]-PricingDataTable[[#This Row],[Prior Price ($)]])/PricingDataTable[[#This Row],[Prior Price ($)]]</f>
        <v>5.8389410291734148E-4</v>
      </c>
      <c r="L3703" s="9">
        <f>(PricingDataTable[[#This Row],[Vendor Price ($)]]-PricingDataTable[[#This Row],[Current Price ($)]])/PricingDataTable[[#This Row],[Current Price ($)]]</f>
        <v>3.2165593792378034E-3</v>
      </c>
      <c r="M3703" t="str">
        <f t="shared" si="114"/>
        <v>PASS</v>
      </c>
      <c r="N3703" s="10" t="str">
        <f t="shared" si="115"/>
        <v>NONE</v>
      </c>
    </row>
    <row r="3704" spans="1:14">
      <c r="A3704" s="4" t="s">
        <v>7424</v>
      </c>
      <c r="B3704" s="4" t="s">
        <v>7425</v>
      </c>
      <c r="C3704" s="4" t="s">
        <v>39</v>
      </c>
      <c r="D3704" s="4" t="s">
        <v>13</v>
      </c>
      <c r="E3704" s="5">
        <v>21.472899999999999</v>
      </c>
      <c r="F3704" s="5">
        <v>21.635000000000002</v>
      </c>
      <c r="G3704" s="5">
        <v>21.5884</v>
      </c>
      <c r="H3704" s="4">
        <v>1</v>
      </c>
      <c r="I3704" s="6">
        <v>2907320</v>
      </c>
      <c r="J3704" s="7">
        <v>345.81</v>
      </c>
      <c r="K3704" s="9">
        <f>(PricingDataTable[[#This Row],[Current Price ($)]]-PricingDataTable[[#This Row],[Prior Price ($)]])/PricingDataTable[[#This Row],[Prior Price ($)]]</f>
        <v>7.5490501981568562E-3</v>
      </c>
      <c r="L3704" s="9">
        <f>(PricingDataTable[[#This Row],[Vendor Price ($)]]-PricingDataTable[[#This Row],[Current Price ($)]])/PricingDataTable[[#This Row],[Current Price ($)]]</f>
        <v>-2.1539172636931606E-3</v>
      </c>
      <c r="M3704" t="str">
        <f t="shared" si="114"/>
        <v>PASS</v>
      </c>
      <c r="N3704" s="10" t="str">
        <f t="shared" si="115"/>
        <v>NONE</v>
      </c>
    </row>
    <row r="3705" spans="1:14">
      <c r="A3705" s="4" t="s">
        <v>7426</v>
      </c>
      <c r="B3705" s="4" t="s">
        <v>7427</v>
      </c>
      <c r="C3705" s="4" t="s">
        <v>19</v>
      </c>
      <c r="D3705" s="4" t="s">
        <v>13</v>
      </c>
      <c r="E3705" s="5">
        <v>143.10419999999999</v>
      </c>
      <c r="F3705" s="5">
        <v>142.4323</v>
      </c>
      <c r="G3705" s="5">
        <v>142.5247</v>
      </c>
      <c r="H3705" s="4">
        <v>0</v>
      </c>
      <c r="I3705" s="6">
        <v>327996</v>
      </c>
      <c r="J3705" s="7">
        <v>843.49</v>
      </c>
      <c r="K3705" s="9">
        <f>(PricingDataTable[[#This Row],[Current Price ($)]]-PricingDataTable[[#This Row],[Prior Price ($)]])/PricingDataTable[[#This Row],[Prior Price ($)]]</f>
        <v>-4.69518015543914E-3</v>
      </c>
      <c r="L3705" s="9">
        <f>(PricingDataTable[[#This Row],[Vendor Price ($)]]-PricingDataTable[[#This Row],[Current Price ($)]])/PricingDataTable[[#This Row],[Current Price ($)]]</f>
        <v>6.4872925593420744E-4</v>
      </c>
      <c r="M3705" t="str">
        <f t="shared" si="114"/>
        <v>PASS</v>
      </c>
      <c r="N3705" s="10" t="str">
        <f t="shared" si="115"/>
        <v>NONE</v>
      </c>
    </row>
    <row r="3706" spans="1:14">
      <c r="A3706" s="4" t="s">
        <v>7428</v>
      </c>
      <c r="B3706" s="4" t="s">
        <v>7429</v>
      </c>
      <c r="C3706" s="4" t="s">
        <v>16</v>
      </c>
      <c r="D3706" s="4" t="s">
        <v>13</v>
      </c>
      <c r="E3706" s="5">
        <v>109.6294</v>
      </c>
      <c r="F3706" s="5">
        <v>108.0492</v>
      </c>
      <c r="G3706" s="5">
        <v>107.6549</v>
      </c>
      <c r="H3706" s="4">
        <v>0</v>
      </c>
      <c r="I3706" s="6">
        <v>3434304</v>
      </c>
      <c r="J3706" s="7">
        <v>164.34</v>
      </c>
      <c r="K3706" s="9">
        <f>(PricingDataTable[[#This Row],[Current Price ($)]]-PricingDataTable[[#This Row],[Prior Price ($)]])/PricingDataTable[[#This Row],[Prior Price ($)]]</f>
        <v>-1.4414016678007952E-2</v>
      </c>
      <c r="L3706" s="9">
        <f>(PricingDataTable[[#This Row],[Vendor Price ($)]]-PricingDataTable[[#This Row],[Current Price ($)]])/PricingDataTable[[#This Row],[Current Price ($)]]</f>
        <v>-3.6492634836722644E-3</v>
      </c>
      <c r="M3706" t="str">
        <f t="shared" si="114"/>
        <v>PASS</v>
      </c>
      <c r="N3706" s="10" t="str">
        <f t="shared" si="115"/>
        <v>NONE</v>
      </c>
    </row>
    <row r="3707" spans="1:14">
      <c r="A3707" s="4" t="s">
        <v>7430</v>
      </c>
      <c r="B3707" s="4" t="s">
        <v>7431</v>
      </c>
      <c r="C3707" s="4" t="s">
        <v>19</v>
      </c>
      <c r="D3707" s="4" t="s">
        <v>13</v>
      </c>
      <c r="E3707" s="5">
        <v>34.738</v>
      </c>
      <c r="F3707" s="5">
        <v>35.3857</v>
      </c>
      <c r="G3707" s="5">
        <v>35.415300000000002</v>
      </c>
      <c r="H3707" s="4">
        <v>0</v>
      </c>
      <c r="I3707" s="6">
        <v>4306576</v>
      </c>
      <c r="J3707" s="7">
        <v>581.12</v>
      </c>
      <c r="K3707" s="9">
        <f>(PricingDataTable[[#This Row],[Current Price ($)]]-PricingDataTable[[#This Row],[Prior Price ($)]])/PricingDataTable[[#This Row],[Prior Price ($)]]</f>
        <v>1.8645287581323059E-2</v>
      </c>
      <c r="L3707" s="9">
        <f>(PricingDataTable[[#This Row],[Vendor Price ($)]]-PricingDataTable[[#This Row],[Current Price ($)]])/PricingDataTable[[#This Row],[Current Price ($)]]</f>
        <v>8.3649609870659817E-4</v>
      </c>
      <c r="M3707" t="str">
        <f t="shared" si="114"/>
        <v>PASS</v>
      </c>
      <c r="N3707" s="10" t="str">
        <f t="shared" si="115"/>
        <v>NONE</v>
      </c>
    </row>
    <row r="3708" spans="1:14">
      <c r="A3708" s="4" t="s">
        <v>7432</v>
      </c>
      <c r="B3708" s="4" t="s">
        <v>7433</v>
      </c>
      <c r="C3708" s="4" t="s">
        <v>39</v>
      </c>
      <c r="D3708" s="4" t="s">
        <v>13</v>
      </c>
      <c r="E3708" s="5">
        <v>180.3613</v>
      </c>
      <c r="F3708" s="5">
        <v>0</v>
      </c>
      <c r="G3708" s="5">
        <v>178.1465</v>
      </c>
      <c r="H3708" s="4">
        <v>0</v>
      </c>
      <c r="I3708" s="6">
        <v>2351985</v>
      </c>
      <c r="J3708" s="7">
        <v>858.37</v>
      </c>
      <c r="K3708" s="9">
        <f>(PricingDataTable[[#This Row],[Current Price ($)]]-PricingDataTable[[#This Row],[Prior Price ($)]])/PricingDataTable[[#This Row],[Prior Price ($)]]</f>
        <v>-1</v>
      </c>
      <c r="L3708" s="9" t="e">
        <f>(PricingDataTable[[#This Row],[Vendor Price ($)]]-PricingDataTable[[#This Row],[Current Price ($)]])/PricingDataTable[[#This Row],[Current Price ($)]]</f>
        <v>#DIV/0!</v>
      </c>
      <c r="M3708" t="str">
        <f t="shared" si="114"/>
        <v>MISSING</v>
      </c>
      <c r="N3708" s="10" t="str">
        <f t="shared" si="115"/>
        <v>HIGH</v>
      </c>
    </row>
    <row r="3709" spans="1:14">
      <c r="A3709" s="4" t="s">
        <v>7434</v>
      </c>
      <c r="B3709" s="4" t="s">
        <v>7435</v>
      </c>
      <c r="C3709" s="4" t="s">
        <v>12</v>
      </c>
      <c r="D3709" s="4" t="s">
        <v>13</v>
      </c>
      <c r="E3709" s="5">
        <v>99.799199999999999</v>
      </c>
      <c r="F3709" s="5">
        <v>99.354699999999994</v>
      </c>
      <c r="G3709" s="5">
        <v>99.467200000000005</v>
      </c>
      <c r="H3709" s="4">
        <v>0</v>
      </c>
      <c r="I3709" s="6">
        <v>4891048</v>
      </c>
      <c r="J3709" s="7">
        <v>489.81</v>
      </c>
      <c r="K3709" s="9">
        <f>(PricingDataTable[[#This Row],[Current Price ($)]]-PricingDataTable[[#This Row],[Prior Price ($)]])/PricingDataTable[[#This Row],[Prior Price ($)]]</f>
        <v>-4.4539435185853692E-3</v>
      </c>
      <c r="L3709" s="9">
        <f>(PricingDataTable[[#This Row],[Vendor Price ($)]]-PricingDataTable[[#This Row],[Current Price ($)]])/PricingDataTable[[#This Row],[Current Price ($)]]</f>
        <v>1.1323067756232104E-3</v>
      </c>
      <c r="M3709" t="str">
        <f t="shared" si="114"/>
        <v>PASS</v>
      </c>
      <c r="N3709" s="10" t="str">
        <f t="shared" si="115"/>
        <v>NONE</v>
      </c>
    </row>
    <row r="3710" spans="1:14">
      <c r="A3710" s="4" t="s">
        <v>7436</v>
      </c>
      <c r="B3710" s="4" t="s">
        <v>7437</v>
      </c>
      <c r="C3710" s="4" t="s">
        <v>16</v>
      </c>
      <c r="D3710" s="4" t="s">
        <v>13</v>
      </c>
      <c r="E3710" s="5">
        <v>77.372</v>
      </c>
      <c r="F3710" s="5">
        <v>75.674499999999995</v>
      </c>
      <c r="G3710" s="5">
        <v>75.700599999999994</v>
      </c>
      <c r="H3710" s="4">
        <v>1</v>
      </c>
      <c r="I3710" s="6">
        <v>134347</v>
      </c>
      <c r="J3710" s="7">
        <v>95.61</v>
      </c>
      <c r="K3710" s="9">
        <f>(PricingDataTable[[#This Row],[Current Price ($)]]-PricingDataTable[[#This Row],[Prior Price ($)]])/PricingDataTable[[#This Row],[Prior Price ($)]]</f>
        <v>-2.1939461303830909E-2</v>
      </c>
      <c r="L3710" s="9">
        <f>(PricingDataTable[[#This Row],[Vendor Price ($)]]-PricingDataTable[[#This Row],[Current Price ($)]])/PricingDataTable[[#This Row],[Current Price ($)]]</f>
        <v>3.4489821538298332E-4</v>
      </c>
      <c r="M3710" t="str">
        <f t="shared" si="114"/>
        <v>PASS</v>
      </c>
      <c r="N3710" s="10" t="str">
        <f t="shared" si="115"/>
        <v>NONE</v>
      </c>
    </row>
    <row r="3711" spans="1:14">
      <c r="A3711" s="4" t="s">
        <v>7438</v>
      </c>
      <c r="B3711" s="4" t="s">
        <v>7439</v>
      </c>
      <c r="C3711" s="4" t="s">
        <v>39</v>
      </c>
      <c r="D3711" s="4" t="s">
        <v>13</v>
      </c>
      <c r="E3711" s="5">
        <v>259.63749999999999</v>
      </c>
      <c r="F3711" s="5">
        <v>261.37180000000001</v>
      </c>
      <c r="G3711" s="5">
        <v>261.95729999999998</v>
      </c>
      <c r="H3711" s="4">
        <v>1</v>
      </c>
      <c r="I3711" s="6">
        <v>2726505</v>
      </c>
      <c r="J3711" s="7">
        <v>549.6</v>
      </c>
      <c r="K3711" s="9">
        <f>(PricingDataTable[[#This Row],[Current Price ($)]]-PricingDataTable[[#This Row],[Prior Price ($)]])/PricingDataTable[[#This Row],[Prior Price ($)]]</f>
        <v>6.6796976553849842E-3</v>
      </c>
      <c r="L3711" s="9">
        <f>(PricingDataTable[[#This Row],[Vendor Price ($)]]-PricingDataTable[[#This Row],[Current Price ($)]])/PricingDataTable[[#This Row],[Current Price ($)]]</f>
        <v>2.2401039438836464E-3</v>
      </c>
      <c r="M3711" t="str">
        <f t="shared" si="114"/>
        <v>PASS</v>
      </c>
      <c r="N3711" s="10" t="str">
        <f t="shared" si="115"/>
        <v>NONE</v>
      </c>
    </row>
    <row r="3712" spans="1:14">
      <c r="A3712" s="4" t="s">
        <v>7440</v>
      </c>
      <c r="B3712" s="4" t="s">
        <v>7441</v>
      </c>
      <c r="C3712" s="4" t="s">
        <v>39</v>
      </c>
      <c r="D3712" s="4" t="s">
        <v>13</v>
      </c>
      <c r="E3712" s="5">
        <v>100.7621</v>
      </c>
      <c r="F3712" s="5">
        <v>101.3404</v>
      </c>
      <c r="G3712" s="5">
        <v>101.7282</v>
      </c>
      <c r="H3712" s="4">
        <v>0</v>
      </c>
      <c r="I3712" s="6">
        <v>4377205</v>
      </c>
      <c r="J3712" s="7">
        <v>378.09</v>
      </c>
      <c r="K3712" s="9">
        <f>(PricingDataTable[[#This Row],[Current Price ($)]]-PricingDataTable[[#This Row],[Prior Price ($)]])/PricingDataTable[[#This Row],[Prior Price ($)]]</f>
        <v>5.7392610912237706E-3</v>
      </c>
      <c r="L3712" s="9">
        <f>(PricingDataTable[[#This Row],[Vendor Price ($)]]-PricingDataTable[[#This Row],[Current Price ($)]])/PricingDataTable[[#This Row],[Current Price ($)]]</f>
        <v>3.8267068217611002E-3</v>
      </c>
      <c r="M3712" t="str">
        <f t="shared" si="114"/>
        <v>PASS</v>
      </c>
      <c r="N3712" s="10" t="str">
        <f t="shared" si="115"/>
        <v>NONE</v>
      </c>
    </row>
    <row r="3713" spans="1:14">
      <c r="A3713" s="4" t="s">
        <v>7442</v>
      </c>
      <c r="B3713" s="4" t="s">
        <v>7443</v>
      </c>
      <c r="C3713" s="4" t="s">
        <v>39</v>
      </c>
      <c r="D3713" s="4" t="s">
        <v>13</v>
      </c>
      <c r="E3713" s="5">
        <v>53.514000000000003</v>
      </c>
      <c r="F3713" s="5">
        <v>52.175199999999997</v>
      </c>
      <c r="G3713" s="5">
        <v>51.9773</v>
      </c>
      <c r="H3713" s="4">
        <v>0</v>
      </c>
      <c r="I3713" s="6">
        <v>558599</v>
      </c>
      <c r="J3713" s="7">
        <v>409.98</v>
      </c>
      <c r="K3713" s="9">
        <f>(PricingDataTable[[#This Row],[Current Price ($)]]-PricingDataTable[[#This Row],[Prior Price ($)]])/PricingDataTable[[#This Row],[Prior Price ($)]]</f>
        <v>-2.5017752363867513E-2</v>
      </c>
      <c r="L3713" s="9">
        <f>(PricingDataTable[[#This Row],[Vendor Price ($)]]-PricingDataTable[[#This Row],[Current Price ($)]])/PricingDataTable[[#This Row],[Current Price ($)]]</f>
        <v>-3.7929897729188787E-3</v>
      </c>
      <c r="M3713" t="str">
        <f t="shared" si="114"/>
        <v>PASS</v>
      </c>
      <c r="N3713" s="10" t="str">
        <f t="shared" si="115"/>
        <v>NONE</v>
      </c>
    </row>
    <row r="3714" spans="1:14">
      <c r="A3714" s="4" t="s">
        <v>7444</v>
      </c>
      <c r="B3714" s="4" t="s">
        <v>7445</v>
      </c>
      <c r="C3714" s="4" t="s">
        <v>19</v>
      </c>
      <c r="D3714" s="4" t="s">
        <v>13</v>
      </c>
      <c r="E3714" s="5">
        <v>252.8228</v>
      </c>
      <c r="F3714" s="5">
        <v>250.82929999999999</v>
      </c>
      <c r="G3714" s="5">
        <v>249.75960000000001</v>
      </c>
      <c r="H3714" s="4">
        <v>1</v>
      </c>
      <c r="I3714" s="6">
        <v>2283233</v>
      </c>
      <c r="J3714" s="7">
        <v>636.64</v>
      </c>
      <c r="K3714" s="9">
        <f>(PricingDataTable[[#This Row],[Current Price ($)]]-PricingDataTable[[#This Row],[Prior Price ($)]])/PricingDataTable[[#This Row],[Prior Price ($)]]</f>
        <v>-7.8849692353696408E-3</v>
      </c>
      <c r="L3714" s="9">
        <f>(PricingDataTable[[#This Row],[Vendor Price ($)]]-PricingDataTable[[#This Row],[Current Price ($)]])/PricingDataTable[[#This Row],[Current Price ($)]]</f>
        <v>-4.2646532920993813E-3</v>
      </c>
      <c r="M3714" t="str">
        <f t="shared" ref="M3714:M3777" si="116">IF(OR(F3714="",F3714=0),"MISSING",IF(H3714&gt;=3,"STALE",IF(ABS(K3714)&gt;=5%,"LARGE MOVE",IF(ABS(L3714)&gt;=2%,"VENDOR DIFFERENCE","PASS"))))</f>
        <v>PASS</v>
      </c>
      <c r="N3714" s="10" t="str">
        <f t="shared" ref="N3714:N3777" si="117">IF(M3714="PASS","NONE",IF(M3714="MISSING","HIGH",IF(OR(ABS(K3714)&gt;=10%,ABS(L3714)&gt;=5%),"HIGH",IF(OR(ABS(K3714)&gt;=7%,ABS(L3714)&gt;=3%,H3714&gt;=5),"MEDIUM","LOW"))))</f>
        <v>NONE</v>
      </c>
    </row>
    <row r="3715" spans="1:14">
      <c r="A3715" s="4" t="s">
        <v>7446</v>
      </c>
      <c r="B3715" s="4" t="s">
        <v>7447</v>
      </c>
      <c r="C3715" s="4" t="s">
        <v>16</v>
      </c>
      <c r="D3715" s="4" t="s">
        <v>13</v>
      </c>
      <c r="E3715" s="5">
        <v>111.4448</v>
      </c>
      <c r="F3715" s="5">
        <v>110.94889999999999</v>
      </c>
      <c r="G3715" s="5">
        <v>110.7188</v>
      </c>
      <c r="H3715" s="4">
        <v>1</v>
      </c>
      <c r="I3715" s="6">
        <v>3963052</v>
      </c>
      <c r="J3715" s="7">
        <v>32.1</v>
      </c>
      <c r="K3715" s="9">
        <f>(PricingDataTable[[#This Row],[Current Price ($)]]-PricingDataTable[[#This Row],[Prior Price ($)]])/PricingDataTable[[#This Row],[Prior Price ($)]]</f>
        <v>-4.4497365511895213E-3</v>
      </c>
      <c r="L3715" s="9">
        <f>(PricingDataTable[[#This Row],[Vendor Price ($)]]-PricingDataTable[[#This Row],[Current Price ($)]])/PricingDataTable[[#This Row],[Current Price ($)]]</f>
        <v>-2.0739277270887149E-3</v>
      </c>
      <c r="M3715" t="str">
        <f t="shared" si="116"/>
        <v>PASS</v>
      </c>
      <c r="N3715" s="10" t="str">
        <f t="shared" si="117"/>
        <v>NONE</v>
      </c>
    </row>
    <row r="3716" spans="1:14">
      <c r="A3716" s="4" t="s">
        <v>7448</v>
      </c>
      <c r="B3716" s="4" t="s">
        <v>7449</v>
      </c>
      <c r="C3716" s="4" t="s">
        <v>39</v>
      </c>
      <c r="D3716" s="4" t="s">
        <v>13</v>
      </c>
      <c r="E3716" s="5">
        <v>326.75069999999999</v>
      </c>
      <c r="F3716" s="5">
        <v>330.77109999999999</v>
      </c>
      <c r="G3716" s="5">
        <v>331.03870000000001</v>
      </c>
      <c r="H3716" s="4">
        <v>0</v>
      </c>
      <c r="I3716" s="6">
        <v>4502812</v>
      </c>
      <c r="J3716" s="7">
        <v>479.67</v>
      </c>
      <c r="K3716" s="9">
        <f>(PricingDataTable[[#This Row],[Current Price ($)]]-PricingDataTable[[#This Row],[Prior Price ($)]])/PricingDataTable[[#This Row],[Prior Price ($)]]</f>
        <v>1.230418175079654E-2</v>
      </c>
      <c r="L3716" s="9">
        <f>(PricingDataTable[[#This Row],[Vendor Price ($)]]-PricingDataTable[[#This Row],[Current Price ($)]])/PricingDataTable[[#This Row],[Current Price ($)]]</f>
        <v>8.0901868391771781E-4</v>
      </c>
      <c r="M3716" t="str">
        <f t="shared" si="116"/>
        <v>PASS</v>
      </c>
      <c r="N3716" s="10" t="str">
        <f t="shared" si="117"/>
        <v>NONE</v>
      </c>
    </row>
    <row r="3717" spans="1:14">
      <c r="A3717" s="4" t="s">
        <v>7450</v>
      </c>
      <c r="B3717" s="4" t="s">
        <v>7451</v>
      </c>
      <c r="C3717" s="4" t="s">
        <v>16</v>
      </c>
      <c r="D3717" s="4" t="s">
        <v>13</v>
      </c>
      <c r="E3717" s="5">
        <v>93.399900000000002</v>
      </c>
      <c r="F3717" s="5">
        <v>94.191800000000001</v>
      </c>
      <c r="G3717" s="5">
        <v>94.223299999999995</v>
      </c>
      <c r="H3717" s="4">
        <v>0</v>
      </c>
      <c r="I3717" s="6">
        <v>2336221</v>
      </c>
      <c r="J3717" s="7">
        <v>754.16</v>
      </c>
      <c r="K3717" s="9">
        <f>(PricingDataTable[[#This Row],[Current Price ($)]]-PricingDataTable[[#This Row],[Prior Price ($)]])/PricingDataTable[[#This Row],[Prior Price ($)]]</f>
        <v>8.4785958014944162E-3</v>
      </c>
      <c r="L3717" s="9">
        <f>(PricingDataTable[[#This Row],[Vendor Price ($)]]-PricingDataTable[[#This Row],[Current Price ($)]])/PricingDataTable[[#This Row],[Current Price ($)]]</f>
        <v>3.344240156785844E-4</v>
      </c>
      <c r="M3717" t="str">
        <f t="shared" si="116"/>
        <v>PASS</v>
      </c>
      <c r="N3717" s="10" t="str">
        <f t="shared" si="117"/>
        <v>NONE</v>
      </c>
    </row>
    <row r="3718" spans="1:14">
      <c r="A3718" s="4" t="s">
        <v>7452</v>
      </c>
      <c r="B3718" s="4" t="s">
        <v>7453</v>
      </c>
      <c r="C3718" s="4" t="s">
        <v>39</v>
      </c>
      <c r="D3718" s="4" t="s">
        <v>13</v>
      </c>
      <c r="E3718" s="5">
        <v>90.3399</v>
      </c>
      <c r="F3718" s="5">
        <v>91.368600000000001</v>
      </c>
      <c r="G3718" s="5">
        <v>90.936899999999994</v>
      </c>
      <c r="H3718" s="4">
        <v>0</v>
      </c>
      <c r="I3718" s="6">
        <v>4579742</v>
      </c>
      <c r="J3718" s="7">
        <v>597.44000000000005</v>
      </c>
      <c r="K3718" s="9">
        <f>(PricingDataTable[[#This Row],[Current Price ($)]]-PricingDataTable[[#This Row],[Prior Price ($)]])/PricingDataTable[[#This Row],[Prior Price ($)]]</f>
        <v>1.1386995115115255E-2</v>
      </c>
      <c r="L3718" s="9">
        <f>(PricingDataTable[[#This Row],[Vendor Price ($)]]-PricingDataTable[[#This Row],[Current Price ($)]])/PricingDataTable[[#This Row],[Current Price ($)]]</f>
        <v>-4.7248179352644823E-3</v>
      </c>
      <c r="M3718" t="str">
        <f t="shared" si="116"/>
        <v>PASS</v>
      </c>
      <c r="N3718" s="10" t="str">
        <f t="shared" si="117"/>
        <v>NONE</v>
      </c>
    </row>
    <row r="3719" spans="1:14">
      <c r="A3719" s="4" t="s">
        <v>7454</v>
      </c>
      <c r="B3719" s="4" t="s">
        <v>7455</v>
      </c>
      <c r="C3719" s="4" t="s">
        <v>19</v>
      </c>
      <c r="D3719" s="4" t="s">
        <v>13</v>
      </c>
      <c r="E3719" s="5">
        <v>114.69029999999999</v>
      </c>
      <c r="F3719" s="5">
        <v>112.6365</v>
      </c>
      <c r="G3719" s="5">
        <v>112.53060000000001</v>
      </c>
      <c r="H3719" s="4">
        <v>0</v>
      </c>
      <c r="I3719" s="6">
        <v>1364637</v>
      </c>
      <c r="J3719" s="7">
        <v>433.47</v>
      </c>
      <c r="K3719" s="9">
        <f>(PricingDataTable[[#This Row],[Current Price ($)]]-PricingDataTable[[#This Row],[Prior Price ($)]])/PricingDataTable[[#This Row],[Prior Price ($)]]</f>
        <v>-1.7907355722323472E-2</v>
      </c>
      <c r="L3719" s="9">
        <f>(PricingDataTable[[#This Row],[Vendor Price ($)]]-PricingDataTable[[#This Row],[Current Price ($)]])/PricingDataTable[[#This Row],[Current Price ($)]]</f>
        <v>-9.4019256635274732E-4</v>
      </c>
      <c r="M3719" t="str">
        <f t="shared" si="116"/>
        <v>PASS</v>
      </c>
      <c r="N3719" s="10" t="str">
        <f t="shared" si="117"/>
        <v>NONE</v>
      </c>
    </row>
    <row r="3720" spans="1:14">
      <c r="A3720" s="4" t="s">
        <v>7456</v>
      </c>
      <c r="B3720" s="4" t="s">
        <v>7457</v>
      </c>
      <c r="C3720" s="4" t="s">
        <v>19</v>
      </c>
      <c r="D3720" s="4" t="s">
        <v>13</v>
      </c>
      <c r="E3720" s="5">
        <v>11.936299999999999</v>
      </c>
      <c r="F3720" s="5">
        <v>11.851100000000001</v>
      </c>
      <c r="G3720" s="5">
        <v>11.908899999999999</v>
      </c>
      <c r="H3720" s="4">
        <v>0</v>
      </c>
      <c r="I3720" s="6">
        <v>1499532</v>
      </c>
      <c r="J3720" s="7">
        <v>751.62</v>
      </c>
      <c r="K3720" s="9">
        <f>(PricingDataTable[[#This Row],[Current Price ($)]]-PricingDataTable[[#This Row],[Prior Price ($)]])/PricingDataTable[[#This Row],[Prior Price ($)]]</f>
        <v>-7.1378903010144365E-3</v>
      </c>
      <c r="L3720" s="9">
        <f>(PricingDataTable[[#This Row],[Vendor Price ($)]]-PricingDataTable[[#This Row],[Current Price ($)]])/PricingDataTable[[#This Row],[Current Price ($)]]</f>
        <v>4.8771843963850208E-3</v>
      </c>
      <c r="M3720" t="str">
        <f t="shared" si="116"/>
        <v>PASS</v>
      </c>
      <c r="N3720" s="10" t="str">
        <f t="shared" si="117"/>
        <v>NONE</v>
      </c>
    </row>
    <row r="3721" spans="1:14">
      <c r="A3721" s="4" t="s">
        <v>7458</v>
      </c>
      <c r="B3721" s="4" t="s">
        <v>7459</v>
      </c>
      <c r="C3721" s="4" t="s">
        <v>39</v>
      </c>
      <c r="D3721" s="4" t="s">
        <v>13</v>
      </c>
      <c r="E3721" s="5">
        <v>109.20310000000001</v>
      </c>
      <c r="F3721" s="5">
        <v>107.8488</v>
      </c>
      <c r="G3721" s="5">
        <v>107.6016</v>
      </c>
      <c r="H3721" s="4">
        <v>1</v>
      </c>
      <c r="I3721" s="6">
        <v>3962549</v>
      </c>
      <c r="J3721" s="7">
        <v>509.73</v>
      </c>
      <c r="K3721" s="9">
        <f>(PricingDataTable[[#This Row],[Current Price ($)]]-PricingDataTable[[#This Row],[Prior Price ($)]])/PricingDataTable[[#This Row],[Prior Price ($)]]</f>
        <v>-1.2401662590164649E-2</v>
      </c>
      <c r="L3721" s="9">
        <f>(PricingDataTable[[#This Row],[Vendor Price ($)]]-PricingDataTable[[#This Row],[Current Price ($)]])/PricingDataTable[[#This Row],[Current Price ($)]]</f>
        <v>-2.2920978258450008E-3</v>
      </c>
      <c r="M3721" t="str">
        <f t="shared" si="116"/>
        <v>PASS</v>
      </c>
      <c r="N3721" s="10" t="str">
        <f t="shared" si="117"/>
        <v>NONE</v>
      </c>
    </row>
    <row r="3722" spans="1:14">
      <c r="A3722" s="4" t="s">
        <v>7460</v>
      </c>
      <c r="B3722" s="4" t="s">
        <v>7461</v>
      </c>
      <c r="C3722" s="4" t="s">
        <v>12</v>
      </c>
      <c r="D3722" s="4" t="s">
        <v>13</v>
      </c>
      <c r="E3722" s="5">
        <v>111.05719999999999</v>
      </c>
      <c r="F3722" s="5">
        <v>108.7141</v>
      </c>
      <c r="G3722" s="5">
        <v>108.2347</v>
      </c>
      <c r="H3722" s="4">
        <v>1</v>
      </c>
      <c r="I3722" s="6">
        <v>2340839</v>
      </c>
      <c r="J3722" s="7">
        <v>357.24</v>
      </c>
      <c r="K3722" s="9">
        <f>(PricingDataTable[[#This Row],[Current Price ($)]]-PricingDataTable[[#This Row],[Prior Price ($)]])/PricingDataTable[[#This Row],[Prior Price ($)]]</f>
        <v>-2.1098136815983048E-2</v>
      </c>
      <c r="L3722" s="9">
        <f>(PricingDataTable[[#This Row],[Vendor Price ($)]]-PricingDataTable[[#This Row],[Current Price ($)]])/PricingDataTable[[#This Row],[Current Price ($)]]</f>
        <v>-4.409731580356166E-3</v>
      </c>
      <c r="M3722" t="str">
        <f t="shared" si="116"/>
        <v>PASS</v>
      </c>
      <c r="N3722" s="10" t="str">
        <f t="shared" si="117"/>
        <v>NONE</v>
      </c>
    </row>
    <row r="3723" spans="1:14">
      <c r="A3723" s="4" t="s">
        <v>7462</v>
      </c>
      <c r="B3723" s="4" t="s">
        <v>7463</v>
      </c>
      <c r="C3723" s="4" t="s">
        <v>16</v>
      </c>
      <c r="D3723" s="4" t="s">
        <v>13</v>
      </c>
      <c r="E3723" s="5">
        <v>93.6113</v>
      </c>
      <c r="F3723" s="5">
        <v>93.878100000000003</v>
      </c>
      <c r="G3723" s="5">
        <v>93.9221</v>
      </c>
      <c r="H3723" s="4">
        <v>1</v>
      </c>
      <c r="I3723" s="6">
        <v>3338286</v>
      </c>
      <c r="J3723" s="7">
        <v>119.87</v>
      </c>
      <c r="K3723" s="9">
        <f>(PricingDataTable[[#This Row],[Current Price ($)]]-PricingDataTable[[#This Row],[Prior Price ($)]])/PricingDataTable[[#This Row],[Prior Price ($)]]</f>
        <v>2.8500832698616883E-3</v>
      </c>
      <c r="L3723" s="9">
        <f>(PricingDataTable[[#This Row],[Vendor Price ($)]]-PricingDataTable[[#This Row],[Current Price ($)]])/PricingDataTable[[#This Row],[Current Price ($)]]</f>
        <v>4.6869291133924663E-4</v>
      </c>
      <c r="M3723" t="str">
        <f t="shared" si="116"/>
        <v>PASS</v>
      </c>
      <c r="N3723" s="10" t="str">
        <f t="shared" si="117"/>
        <v>NONE</v>
      </c>
    </row>
    <row r="3724" spans="1:14">
      <c r="A3724" s="4" t="s">
        <v>7464</v>
      </c>
      <c r="B3724" s="4" t="s">
        <v>7465</v>
      </c>
      <c r="C3724" s="4" t="s">
        <v>19</v>
      </c>
      <c r="D3724" s="4" t="s">
        <v>13</v>
      </c>
      <c r="E3724" s="5">
        <v>126.48569999999999</v>
      </c>
      <c r="F3724" s="5">
        <v>126.6391</v>
      </c>
      <c r="G3724" s="5">
        <v>125.8856</v>
      </c>
      <c r="H3724" s="4">
        <v>0</v>
      </c>
      <c r="I3724" s="6">
        <v>2499263</v>
      </c>
      <c r="J3724" s="7">
        <v>246.91</v>
      </c>
      <c r="K3724" s="9">
        <f>(PricingDataTable[[#This Row],[Current Price ($)]]-PricingDataTable[[#This Row],[Prior Price ($)]])/PricingDataTable[[#This Row],[Prior Price ($)]]</f>
        <v>1.2127853188147347E-3</v>
      </c>
      <c r="L3724" s="9">
        <f>(PricingDataTable[[#This Row],[Vendor Price ($)]]-PricingDataTable[[#This Row],[Current Price ($)]])/PricingDataTable[[#This Row],[Current Price ($)]]</f>
        <v>-5.9499791138755923E-3</v>
      </c>
      <c r="M3724" t="str">
        <f t="shared" si="116"/>
        <v>PASS</v>
      </c>
      <c r="N3724" s="10" t="str">
        <f t="shared" si="117"/>
        <v>NONE</v>
      </c>
    </row>
    <row r="3725" spans="1:14">
      <c r="A3725" s="4" t="s">
        <v>7466</v>
      </c>
      <c r="B3725" s="4" t="s">
        <v>7467</v>
      </c>
      <c r="C3725" s="4" t="s">
        <v>39</v>
      </c>
      <c r="D3725" s="4" t="s">
        <v>64</v>
      </c>
      <c r="E3725" s="5">
        <v>138.72489999999999</v>
      </c>
      <c r="F3725" s="5">
        <v>139.02099999999999</v>
      </c>
      <c r="G3725" s="5">
        <v>140.0231</v>
      </c>
      <c r="H3725" s="4">
        <v>0</v>
      </c>
      <c r="I3725" s="6">
        <v>1572902</v>
      </c>
      <c r="J3725" s="7">
        <v>19.760000000000002</v>
      </c>
      <c r="K3725" s="9">
        <f>(PricingDataTable[[#This Row],[Current Price ($)]]-PricingDataTable[[#This Row],[Prior Price ($)]])/PricingDataTable[[#This Row],[Prior Price ($)]]</f>
        <v>2.1344401762048168E-3</v>
      </c>
      <c r="L3725" s="9">
        <f>(PricingDataTable[[#This Row],[Vendor Price ($)]]-PricingDataTable[[#This Row],[Current Price ($)]])/PricingDataTable[[#This Row],[Current Price ($)]]</f>
        <v>7.2082634997591225E-3</v>
      </c>
      <c r="M3725" t="str">
        <f t="shared" si="116"/>
        <v>PASS</v>
      </c>
      <c r="N3725" s="10" t="str">
        <f t="shared" si="117"/>
        <v>NONE</v>
      </c>
    </row>
    <row r="3726" spans="1:14">
      <c r="A3726" s="4" t="s">
        <v>7468</v>
      </c>
      <c r="B3726" s="4" t="s">
        <v>7469</v>
      </c>
      <c r="C3726" s="4" t="s">
        <v>19</v>
      </c>
      <c r="D3726" s="4" t="s">
        <v>13</v>
      </c>
      <c r="E3726" s="5">
        <v>289.25319999999999</v>
      </c>
      <c r="F3726" s="5">
        <v>248.0496</v>
      </c>
      <c r="G3726" s="5">
        <v>247.68879999999999</v>
      </c>
      <c r="H3726" s="4">
        <v>0</v>
      </c>
      <c r="I3726" s="6">
        <v>243194</v>
      </c>
      <c r="J3726" s="7">
        <v>869.97</v>
      </c>
      <c r="K3726" s="9">
        <f>(PricingDataTable[[#This Row],[Current Price ($)]]-PricingDataTable[[#This Row],[Prior Price ($)]])/PricingDataTable[[#This Row],[Prior Price ($)]]</f>
        <v>-0.14244820800599611</v>
      </c>
      <c r="L3726" s="9">
        <f>(PricingDataTable[[#This Row],[Vendor Price ($)]]-PricingDataTable[[#This Row],[Current Price ($)]])/PricingDataTable[[#This Row],[Current Price ($)]]</f>
        <v>-1.4545478001174433E-3</v>
      </c>
      <c r="M3726" t="str">
        <f t="shared" si="116"/>
        <v>LARGE MOVE</v>
      </c>
      <c r="N3726" s="10" t="str">
        <f t="shared" si="117"/>
        <v>HIGH</v>
      </c>
    </row>
    <row r="3727" spans="1:14">
      <c r="A3727" s="4" t="s">
        <v>7470</v>
      </c>
      <c r="B3727" s="4" t="s">
        <v>7471</v>
      </c>
      <c r="C3727" s="4" t="s">
        <v>19</v>
      </c>
      <c r="D3727" s="4" t="s">
        <v>13</v>
      </c>
      <c r="E3727" s="5">
        <v>82.057100000000005</v>
      </c>
      <c r="F3727" s="5">
        <v>82.674400000000006</v>
      </c>
      <c r="G3727" s="5">
        <v>82.547499999999999</v>
      </c>
      <c r="H3727" s="4">
        <v>1</v>
      </c>
      <c r="I3727" s="6">
        <v>4041184</v>
      </c>
      <c r="J3727" s="7">
        <v>824.93</v>
      </c>
      <c r="K3727" s="9">
        <f>(PricingDataTable[[#This Row],[Current Price ($)]]-PricingDataTable[[#This Row],[Prior Price ($)]])/PricingDataTable[[#This Row],[Prior Price ($)]]</f>
        <v>7.5228103357296338E-3</v>
      </c>
      <c r="L3727" s="9">
        <f>(PricingDataTable[[#This Row],[Vendor Price ($)]]-PricingDataTable[[#This Row],[Current Price ($)]])/PricingDataTable[[#This Row],[Current Price ($)]]</f>
        <v>-1.5349370542756431E-3</v>
      </c>
      <c r="M3727" t="str">
        <f t="shared" si="116"/>
        <v>PASS</v>
      </c>
      <c r="N3727" s="10" t="str">
        <f t="shared" si="117"/>
        <v>NONE</v>
      </c>
    </row>
    <row r="3728" spans="1:14">
      <c r="A3728" s="4" t="s">
        <v>7472</v>
      </c>
      <c r="B3728" s="4" t="s">
        <v>7473</v>
      </c>
      <c r="C3728" s="4" t="s">
        <v>16</v>
      </c>
      <c r="D3728" s="4" t="s">
        <v>36</v>
      </c>
      <c r="E3728" s="5">
        <v>121.776</v>
      </c>
      <c r="F3728" s="5">
        <v>120.37739999999999</v>
      </c>
      <c r="G3728" s="5">
        <v>120.6709</v>
      </c>
      <c r="H3728" s="4">
        <v>0</v>
      </c>
      <c r="I3728" s="6">
        <v>1311378</v>
      </c>
      <c r="J3728" s="7">
        <v>376.83</v>
      </c>
      <c r="K3728" s="9">
        <f>(PricingDataTable[[#This Row],[Current Price ($)]]-PricingDataTable[[#This Row],[Prior Price ($)]])/PricingDataTable[[#This Row],[Prior Price ($)]]</f>
        <v>-1.1485021679148616E-2</v>
      </c>
      <c r="L3728" s="9">
        <f>(PricingDataTable[[#This Row],[Vendor Price ($)]]-PricingDataTable[[#This Row],[Current Price ($)]])/PricingDataTable[[#This Row],[Current Price ($)]]</f>
        <v>2.4381653034540435E-3</v>
      </c>
      <c r="M3728" t="str">
        <f t="shared" si="116"/>
        <v>PASS</v>
      </c>
      <c r="N3728" s="10" t="str">
        <f t="shared" si="117"/>
        <v>NONE</v>
      </c>
    </row>
    <row r="3729" spans="1:14">
      <c r="A3729" s="4" t="s">
        <v>7474</v>
      </c>
      <c r="B3729" s="4" t="s">
        <v>7475</v>
      </c>
      <c r="C3729" s="4" t="s">
        <v>16</v>
      </c>
      <c r="D3729" s="4" t="s">
        <v>13</v>
      </c>
      <c r="E3729" s="5">
        <v>76.763099999999994</v>
      </c>
      <c r="F3729" s="5">
        <v>75.897400000000005</v>
      </c>
      <c r="G3729" s="5">
        <v>75.915300000000002</v>
      </c>
      <c r="H3729" s="4">
        <v>0</v>
      </c>
      <c r="I3729" s="6">
        <v>3683503</v>
      </c>
      <c r="J3729" s="7">
        <v>494.32</v>
      </c>
      <c r="K3729" s="9">
        <f>(PricingDataTable[[#This Row],[Current Price ($)]]-PricingDataTable[[#This Row],[Prior Price ($)]])/PricingDataTable[[#This Row],[Prior Price ($)]]</f>
        <v>-1.1277553928905813E-2</v>
      </c>
      <c r="L3729" s="9">
        <f>(PricingDataTable[[#This Row],[Vendor Price ($)]]-PricingDataTable[[#This Row],[Current Price ($)]])/PricingDataTable[[#This Row],[Current Price ($)]]</f>
        <v>2.3584470614273166E-4</v>
      </c>
      <c r="M3729" t="str">
        <f t="shared" si="116"/>
        <v>PASS</v>
      </c>
      <c r="N3729" s="10" t="str">
        <f t="shared" si="117"/>
        <v>NONE</v>
      </c>
    </row>
    <row r="3730" spans="1:14">
      <c r="A3730" s="4" t="s">
        <v>7476</v>
      </c>
      <c r="B3730" s="4" t="s">
        <v>7477</v>
      </c>
      <c r="C3730" s="4" t="s">
        <v>16</v>
      </c>
      <c r="D3730" s="4" t="s">
        <v>32</v>
      </c>
      <c r="E3730" s="5">
        <v>104.0886</v>
      </c>
      <c r="F3730" s="5">
        <v>103.8582</v>
      </c>
      <c r="G3730" s="5">
        <v>104.1932</v>
      </c>
      <c r="H3730" s="4">
        <v>1</v>
      </c>
      <c r="I3730" s="6">
        <v>4694366</v>
      </c>
      <c r="J3730" s="7">
        <v>857.42</v>
      </c>
      <c r="K3730" s="9">
        <f>(PricingDataTable[[#This Row],[Current Price ($)]]-PricingDataTable[[#This Row],[Prior Price ($)]])/PricingDataTable[[#This Row],[Prior Price ($)]]</f>
        <v>-2.2134988846041069E-3</v>
      </c>
      <c r="L3730" s="9">
        <f>(PricingDataTable[[#This Row],[Vendor Price ($)]]-PricingDataTable[[#This Row],[Current Price ($)]])/PricingDataTable[[#This Row],[Current Price ($)]]</f>
        <v>3.2255517619216197E-3</v>
      </c>
      <c r="M3730" t="str">
        <f t="shared" si="116"/>
        <v>PASS</v>
      </c>
      <c r="N3730" s="10" t="str">
        <f t="shared" si="117"/>
        <v>NONE</v>
      </c>
    </row>
    <row r="3731" spans="1:14">
      <c r="A3731" s="4" t="s">
        <v>7478</v>
      </c>
      <c r="B3731" s="4" t="s">
        <v>7479</v>
      </c>
      <c r="C3731" s="4" t="s">
        <v>19</v>
      </c>
      <c r="D3731" s="4" t="s">
        <v>13</v>
      </c>
      <c r="E3731" s="5">
        <v>186.3091</v>
      </c>
      <c r="F3731" s="5">
        <v>187.8169</v>
      </c>
      <c r="G3731" s="5">
        <v>187.7576</v>
      </c>
      <c r="H3731" s="4">
        <v>0</v>
      </c>
      <c r="I3731" s="6">
        <v>571086</v>
      </c>
      <c r="J3731" s="7">
        <v>246.51</v>
      </c>
      <c r="K3731" s="9">
        <f>(PricingDataTable[[#This Row],[Current Price ($)]]-PricingDataTable[[#This Row],[Prior Price ($)]])/PricingDataTable[[#This Row],[Prior Price ($)]]</f>
        <v>8.0930024352004453E-3</v>
      </c>
      <c r="L3731" s="9">
        <f>(PricingDataTable[[#This Row],[Vendor Price ($)]]-PricingDataTable[[#This Row],[Current Price ($)]])/PricingDataTable[[#This Row],[Current Price ($)]]</f>
        <v>-3.1573303573857015E-4</v>
      </c>
      <c r="M3731" t="str">
        <f t="shared" si="116"/>
        <v>PASS</v>
      </c>
      <c r="N3731" s="10" t="str">
        <f t="shared" si="117"/>
        <v>NONE</v>
      </c>
    </row>
    <row r="3732" spans="1:14">
      <c r="A3732" s="4" t="s">
        <v>7480</v>
      </c>
      <c r="B3732" s="4" t="s">
        <v>7481</v>
      </c>
      <c r="C3732" s="4" t="s">
        <v>12</v>
      </c>
      <c r="D3732" s="4" t="s">
        <v>13</v>
      </c>
      <c r="E3732" s="5">
        <v>97.247299999999996</v>
      </c>
      <c r="F3732" s="5">
        <v>96.601200000000006</v>
      </c>
      <c r="G3732" s="5">
        <v>96.706500000000005</v>
      </c>
      <c r="H3732" s="4">
        <v>4</v>
      </c>
      <c r="I3732" s="6">
        <v>4395573</v>
      </c>
      <c r="J3732" s="7">
        <v>483.29</v>
      </c>
      <c r="K3732" s="9">
        <f>(PricingDataTable[[#This Row],[Current Price ($)]]-PricingDataTable[[#This Row],[Prior Price ($)]])/PricingDataTable[[#This Row],[Prior Price ($)]]</f>
        <v>-6.6438862569962349E-3</v>
      </c>
      <c r="L3732" s="9">
        <f>(PricingDataTable[[#This Row],[Vendor Price ($)]]-PricingDataTable[[#This Row],[Current Price ($)]])/PricingDataTable[[#This Row],[Current Price ($)]]</f>
        <v>1.0900485708252043E-3</v>
      </c>
      <c r="M3732" t="str">
        <f t="shared" si="116"/>
        <v>STALE</v>
      </c>
      <c r="N3732" s="10" t="str">
        <f t="shared" si="117"/>
        <v>LOW</v>
      </c>
    </row>
    <row r="3733" spans="1:14">
      <c r="A3733" s="4" t="s">
        <v>7482</v>
      </c>
      <c r="B3733" s="4" t="s">
        <v>7483</v>
      </c>
      <c r="C3733" s="4" t="s">
        <v>16</v>
      </c>
      <c r="D3733" s="4" t="s">
        <v>13</v>
      </c>
      <c r="E3733" s="5">
        <v>95.908799999999999</v>
      </c>
      <c r="F3733" s="5">
        <v>97.021500000000003</v>
      </c>
      <c r="G3733" s="5">
        <v>97.122299999999996</v>
      </c>
      <c r="H3733" s="4">
        <v>0</v>
      </c>
      <c r="I3733" s="6">
        <v>2372670</v>
      </c>
      <c r="J3733" s="7">
        <v>657.44</v>
      </c>
      <c r="K3733" s="9">
        <f>(PricingDataTable[[#This Row],[Current Price ($)]]-PricingDataTable[[#This Row],[Prior Price ($)]])/PricingDataTable[[#This Row],[Prior Price ($)]]</f>
        <v>1.1601646564236064E-2</v>
      </c>
      <c r="L3733" s="9">
        <f>(PricingDataTable[[#This Row],[Vendor Price ($)]]-PricingDataTable[[#This Row],[Current Price ($)]])/PricingDataTable[[#This Row],[Current Price ($)]]</f>
        <v>1.0389449761134639E-3</v>
      </c>
      <c r="M3733" t="str">
        <f t="shared" si="116"/>
        <v>PASS</v>
      </c>
      <c r="N3733" s="10" t="str">
        <f t="shared" si="117"/>
        <v>NONE</v>
      </c>
    </row>
    <row r="3734" spans="1:14">
      <c r="A3734" s="4" t="s">
        <v>7484</v>
      </c>
      <c r="B3734" s="4" t="s">
        <v>7485</v>
      </c>
      <c r="C3734" s="4" t="s">
        <v>19</v>
      </c>
      <c r="D3734" s="4" t="s">
        <v>13</v>
      </c>
      <c r="E3734" s="5">
        <v>235.3202</v>
      </c>
      <c r="F3734" s="5">
        <v>237.0497</v>
      </c>
      <c r="G3734" s="5">
        <v>236.37610000000001</v>
      </c>
      <c r="H3734" s="4">
        <v>0</v>
      </c>
      <c r="I3734" s="6">
        <v>3414865</v>
      </c>
      <c r="J3734" s="7">
        <v>297.55</v>
      </c>
      <c r="K3734" s="9">
        <f>(PricingDataTable[[#This Row],[Current Price ($)]]-PricingDataTable[[#This Row],[Prior Price ($)]])/PricingDataTable[[#This Row],[Prior Price ($)]]</f>
        <v>7.3495603012406138E-3</v>
      </c>
      <c r="L3734" s="9">
        <f>(PricingDataTable[[#This Row],[Vendor Price ($)]]-PricingDataTable[[#This Row],[Current Price ($)]])/PricingDataTable[[#This Row],[Current Price ($)]]</f>
        <v>-2.8415981964963182E-3</v>
      </c>
      <c r="M3734" t="str">
        <f t="shared" si="116"/>
        <v>PASS</v>
      </c>
      <c r="N3734" s="10" t="str">
        <f t="shared" si="117"/>
        <v>NONE</v>
      </c>
    </row>
    <row r="3735" spans="1:14">
      <c r="A3735" s="4" t="s">
        <v>7486</v>
      </c>
      <c r="B3735" s="4" t="s">
        <v>7487</v>
      </c>
      <c r="C3735" s="4" t="s">
        <v>39</v>
      </c>
      <c r="D3735" s="4" t="s">
        <v>32</v>
      </c>
      <c r="E3735" s="5">
        <v>126.3794</v>
      </c>
      <c r="F3735" s="5">
        <v>126.85129999999999</v>
      </c>
      <c r="G3735" s="5">
        <v>126.92230000000001</v>
      </c>
      <c r="H3735" s="4">
        <v>0</v>
      </c>
      <c r="I3735" s="6">
        <v>4210411</v>
      </c>
      <c r="J3735" s="7">
        <v>577.54</v>
      </c>
      <c r="K3735" s="9">
        <f>(PricingDataTable[[#This Row],[Current Price ($)]]-PricingDataTable[[#This Row],[Prior Price ($)]])/PricingDataTable[[#This Row],[Prior Price ($)]]</f>
        <v>3.7339946225412595E-3</v>
      </c>
      <c r="L3735" s="9">
        <f>(PricingDataTable[[#This Row],[Vendor Price ($)]]-PricingDataTable[[#This Row],[Current Price ($)]])/PricingDataTable[[#This Row],[Current Price ($)]]</f>
        <v>5.5971046414196915E-4</v>
      </c>
      <c r="M3735" t="str">
        <f t="shared" si="116"/>
        <v>PASS</v>
      </c>
      <c r="N3735" s="10" t="str">
        <f t="shared" si="117"/>
        <v>NONE</v>
      </c>
    </row>
    <row r="3736" spans="1:14">
      <c r="A3736" s="4" t="s">
        <v>7488</v>
      </c>
      <c r="B3736" s="4" t="s">
        <v>7489</v>
      </c>
      <c r="C3736" s="4" t="s">
        <v>19</v>
      </c>
      <c r="D3736" s="4" t="s">
        <v>32</v>
      </c>
      <c r="E3736" s="5">
        <v>258.30430000000001</v>
      </c>
      <c r="F3736" s="5">
        <v>256.56709999999998</v>
      </c>
      <c r="G3736" s="5">
        <v>255.8785</v>
      </c>
      <c r="H3736" s="4">
        <v>0</v>
      </c>
      <c r="I3736" s="6">
        <v>860702</v>
      </c>
      <c r="J3736" s="7">
        <v>444.83</v>
      </c>
      <c r="K3736" s="9">
        <f>(PricingDataTable[[#This Row],[Current Price ($)]]-PricingDataTable[[#This Row],[Prior Price ($)]])/PricingDataTable[[#This Row],[Prior Price ($)]]</f>
        <v>-6.7254010095845473E-3</v>
      </c>
      <c r="L3736" s="9">
        <f>(PricingDataTable[[#This Row],[Vendor Price ($)]]-PricingDataTable[[#This Row],[Current Price ($)]])/PricingDataTable[[#This Row],[Current Price ($)]]</f>
        <v>-2.6838982862572003E-3</v>
      </c>
      <c r="M3736" t="str">
        <f t="shared" si="116"/>
        <v>PASS</v>
      </c>
      <c r="N3736" s="10" t="str">
        <f t="shared" si="117"/>
        <v>NONE</v>
      </c>
    </row>
    <row r="3737" spans="1:14">
      <c r="A3737" s="4" t="s">
        <v>7490</v>
      </c>
      <c r="B3737" s="4" t="s">
        <v>7491</v>
      </c>
      <c r="C3737" s="4" t="s">
        <v>16</v>
      </c>
      <c r="D3737" s="4" t="s">
        <v>13</v>
      </c>
      <c r="E3737" s="5">
        <v>98.155699999999996</v>
      </c>
      <c r="F3737" s="5">
        <v>100.1221</v>
      </c>
      <c r="G3737" s="5">
        <v>100.5213</v>
      </c>
      <c r="H3737" s="4">
        <v>2</v>
      </c>
      <c r="I3737" s="6">
        <v>1122754</v>
      </c>
      <c r="J3737" s="7">
        <v>236.81</v>
      </c>
      <c r="K3737" s="9">
        <f>(PricingDataTable[[#This Row],[Current Price ($)]]-PricingDataTable[[#This Row],[Prior Price ($)]])/PricingDataTable[[#This Row],[Prior Price ($)]]</f>
        <v>2.0033477424133365E-2</v>
      </c>
      <c r="L3737" s="9">
        <f>(PricingDataTable[[#This Row],[Vendor Price ($)]]-PricingDataTable[[#This Row],[Current Price ($)]])/PricingDataTable[[#This Row],[Current Price ($)]]</f>
        <v>3.987131712179362E-3</v>
      </c>
      <c r="M3737" t="str">
        <f t="shared" si="116"/>
        <v>PASS</v>
      </c>
      <c r="N3737" s="10" t="str">
        <f t="shared" si="117"/>
        <v>NONE</v>
      </c>
    </row>
    <row r="3738" spans="1:14">
      <c r="A3738" s="4" t="s">
        <v>7492</v>
      </c>
      <c r="B3738" s="4" t="s">
        <v>7493</v>
      </c>
      <c r="C3738" s="4" t="s">
        <v>19</v>
      </c>
      <c r="D3738" s="4" t="s">
        <v>13</v>
      </c>
      <c r="E3738" s="5">
        <v>327.8295</v>
      </c>
      <c r="F3738" s="5">
        <v>322.78910000000002</v>
      </c>
      <c r="G3738" s="5">
        <v>321.87459999999999</v>
      </c>
      <c r="H3738" s="4">
        <v>4</v>
      </c>
      <c r="I3738" s="6">
        <v>3183549</v>
      </c>
      <c r="J3738" s="7">
        <v>488.79</v>
      </c>
      <c r="K3738" s="9">
        <f>(PricingDataTable[[#This Row],[Current Price ($)]]-PricingDataTable[[#This Row],[Prior Price ($)]])/PricingDataTable[[#This Row],[Prior Price ($)]]</f>
        <v>-1.5375065392223631E-2</v>
      </c>
      <c r="L3738" s="9">
        <f>(PricingDataTable[[#This Row],[Vendor Price ($)]]-PricingDataTable[[#This Row],[Current Price ($)]])/PricingDataTable[[#This Row],[Current Price ($)]]</f>
        <v>-2.833119210035383E-3</v>
      </c>
      <c r="M3738" t="str">
        <f t="shared" si="116"/>
        <v>STALE</v>
      </c>
      <c r="N3738" s="10" t="str">
        <f t="shared" si="117"/>
        <v>LOW</v>
      </c>
    </row>
    <row r="3739" spans="1:14">
      <c r="A3739" s="4" t="s">
        <v>7494</v>
      </c>
      <c r="B3739" s="4" t="s">
        <v>7495</v>
      </c>
      <c r="C3739" s="4" t="s">
        <v>35</v>
      </c>
      <c r="D3739" s="4" t="s">
        <v>13</v>
      </c>
      <c r="E3739" s="5">
        <v>144.06370000000001</v>
      </c>
      <c r="F3739" s="5">
        <v>143.19669999999999</v>
      </c>
      <c r="G3739" s="5">
        <v>143.2475</v>
      </c>
      <c r="H3739" s="4">
        <v>0</v>
      </c>
      <c r="I3739" s="6">
        <v>4353348</v>
      </c>
      <c r="J3739" s="7">
        <v>46.54</v>
      </c>
      <c r="K3739" s="9">
        <f>(PricingDataTable[[#This Row],[Current Price ($)]]-PricingDataTable[[#This Row],[Prior Price ($)]])/PricingDataTable[[#This Row],[Prior Price ($)]]</f>
        <v>-6.0181711284662169E-3</v>
      </c>
      <c r="L3739" s="9">
        <f>(PricingDataTable[[#This Row],[Vendor Price ($)]]-PricingDataTable[[#This Row],[Current Price ($)]])/PricingDataTable[[#This Row],[Current Price ($)]]</f>
        <v>3.5475677861298134E-4</v>
      </c>
      <c r="M3739" t="str">
        <f t="shared" si="116"/>
        <v>PASS</v>
      </c>
      <c r="N3739" s="10" t="str">
        <f t="shared" si="117"/>
        <v>NONE</v>
      </c>
    </row>
    <row r="3740" spans="1:14">
      <c r="A3740" s="4" t="s">
        <v>7496</v>
      </c>
      <c r="B3740" s="4" t="s">
        <v>7497</v>
      </c>
      <c r="C3740" s="4" t="s">
        <v>19</v>
      </c>
      <c r="D3740" s="4" t="s">
        <v>237</v>
      </c>
      <c r="E3740" s="5">
        <v>115.7452</v>
      </c>
      <c r="F3740" s="5">
        <v>116.5406</v>
      </c>
      <c r="G3740" s="5">
        <v>116.27800000000001</v>
      </c>
      <c r="H3740" s="4">
        <v>1</v>
      </c>
      <c r="I3740" s="6">
        <v>1921063</v>
      </c>
      <c r="J3740" s="7">
        <v>795.13</v>
      </c>
      <c r="K3740" s="9">
        <f>(PricingDataTable[[#This Row],[Current Price ($)]]-PricingDataTable[[#This Row],[Prior Price ($)]])/PricingDataTable[[#This Row],[Prior Price ($)]]</f>
        <v>6.8719912359216694E-3</v>
      </c>
      <c r="L3740" s="9">
        <f>(PricingDataTable[[#This Row],[Vendor Price ($)]]-PricingDataTable[[#This Row],[Current Price ($)]])/PricingDataTable[[#This Row],[Current Price ($)]]</f>
        <v>-2.2532919857971554E-3</v>
      </c>
      <c r="M3740" t="str">
        <f t="shared" si="116"/>
        <v>PASS</v>
      </c>
      <c r="N3740" s="10" t="str">
        <f t="shared" si="117"/>
        <v>NONE</v>
      </c>
    </row>
    <row r="3741" spans="1:14">
      <c r="A3741" s="4" t="s">
        <v>7498</v>
      </c>
      <c r="B3741" s="4" t="s">
        <v>7499</v>
      </c>
      <c r="C3741" s="4" t="s">
        <v>19</v>
      </c>
      <c r="D3741" s="4" t="s">
        <v>13</v>
      </c>
      <c r="E3741" s="5">
        <v>349.94220000000001</v>
      </c>
      <c r="F3741" s="5">
        <v>342.50299999999999</v>
      </c>
      <c r="G3741" s="5">
        <v>341.91419999999999</v>
      </c>
      <c r="H3741" s="4">
        <v>1</v>
      </c>
      <c r="I3741" s="6">
        <v>2089478</v>
      </c>
      <c r="J3741" s="7">
        <v>322.62</v>
      </c>
      <c r="K3741" s="9">
        <f>(PricingDataTable[[#This Row],[Current Price ($)]]-PricingDataTable[[#This Row],[Prior Price ($)]])/PricingDataTable[[#This Row],[Prior Price ($)]]</f>
        <v>-2.1258367810455633E-2</v>
      </c>
      <c r="L3741" s="9">
        <f>(PricingDataTable[[#This Row],[Vendor Price ($)]]-PricingDataTable[[#This Row],[Current Price ($)]])/PricingDataTable[[#This Row],[Current Price ($)]]</f>
        <v>-1.7191090297019062E-3</v>
      </c>
      <c r="M3741" t="str">
        <f t="shared" si="116"/>
        <v>PASS</v>
      </c>
      <c r="N3741" s="10" t="str">
        <f t="shared" si="117"/>
        <v>NONE</v>
      </c>
    </row>
    <row r="3742" spans="1:14">
      <c r="A3742" s="4" t="s">
        <v>7500</v>
      </c>
      <c r="B3742" s="4" t="s">
        <v>7501</v>
      </c>
      <c r="C3742" s="4" t="s">
        <v>16</v>
      </c>
      <c r="D3742" s="4" t="s">
        <v>13</v>
      </c>
      <c r="E3742" s="5">
        <v>100.7974</v>
      </c>
      <c r="F3742" s="5">
        <v>100.8175</v>
      </c>
      <c r="G3742" s="5">
        <v>100.61190000000001</v>
      </c>
      <c r="H3742" s="4">
        <v>2</v>
      </c>
      <c r="I3742" s="6">
        <v>3582865</v>
      </c>
      <c r="J3742" s="7">
        <v>127.68</v>
      </c>
      <c r="K3742" s="9">
        <f>(PricingDataTable[[#This Row],[Current Price ($)]]-PricingDataTable[[#This Row],[Prior Price ($)]])/PricingDataTable[[#This Row],[Prior Price ($)]]</f>
        <v>1.9940990541422043E-4</v>
      </c>
      <c r="L3742" s="9">
        <f>(PricingDataTable[[#This Row],[Vendor Price ($)]]-PricingDataTable[[#This Row],[Current Price ($)]])/PricingDataTable[[#This Row],[Current Price ($)]]</f>
        <v>-2.039328489597439E-3</v>
      </c>
      <c r="M3742" t="str">
        <f t="shared" si="116"/>
        <v>PASS</v>
      </c>
      <c r="N3742" s="10" t="str">
        <f t="shared" si="117"/>
        <v>NONE</v>
      </c>
    </row>
    <row r="3743" spans="1:14">
      <c r="A3743" s="4" t="s">
        <v>7502</v>
      </c>
      <c r="B3743" s="4" t="s">
        <v>7503</v>
      </c>
      <c r="C3743" s="4" t="s">
        <v>16</v>
      </c>
      <c r="D3743" s="4" t="s">
        <v>13</v>
      </c>
      <c r="E3743" s="5">
        <v>87.971000000000004</v>
      </c>
      <c r="F3743" s="5">
        <v>87.350399999999993</v>
      </c>
      <c r="G3743" s="5">
        <v>87.836399999999998</v>
      </c>
      <c r="H3743" s="4">
        <v>0</v>
      </c>
      <c r="I3743" s="6">
        <v>515091</v>
      </c>
      <c r="J3743" s="7">
        <v>341.77</v>
      </c>
      <c r="K3743" s="9">
        <f>(PricingDataTable[[#This Row],[Current Price ($)]]-PricingDataTable[[#This Row],[Prior Price ($)]])/PricingDataTable[[#This Row],[Prior Price ($)]]</f>
        <v>-7.0545975378250815E-3</v>
      </c>
      <c r="L3743" s="9">
        <f>(PricingDataTable[[#This Row],[Vendor Price ($)]]-PricingDataTable[[#This Row],[Current Price ($)]])/PricingDataTable[[#This Row],[Current Price ($)]]</f>
        <v>5.5637982195846187E-3</v>
      </c>
      <c r="M3743" t="str">
        <f t="shared" si="116"/>
        <v>PASS</v>
      </c>
      <c r="N3743" s="10" t="str">
        <f t="shared" si="117"/>
        <v>NONE</v>
      </c>
    </row>
    <row r="3744" spans="1:14">
      <c r="A3744" s="4" t="s">
        <v>7504</v>
      </c>
      <c r="B3744" s="4" t="s">
        <v>7505</v>
      </c>
      <c r="C3744" s="4" t="s">
        <v>19</v>
      </c>
      <c r="D3744" s="4" t="s">
        <v>13</v>
      </c>
      <c r="E3744" s="5">
        <v>340.98739999999998</v>
      </c>
      <c r="F3744" s="5">
        <v>341.92219999999998</v>
      </c>
      <c r="G3744" s="5">
        <v>341.39330000000001</v>
      </c>
      <c r="H3744" s="4">
        <v>1</v>
      </c>
      <c r="I3744" s="6">
        <v>4750631</v>
      </c>
      <c r="J3744" s="7">
        <v>531.30999999999995</v>
      </c>
      <c r="K3744" s="9">
        <f>(PricingDataTable[[#This Row],[Current Price ($)]]-PricingDataTable[[#This Row],[Prior Price ($)]])/PricingDataTable[[#This Row],[Prior Price ($)]]</f>
        <v>2.741450270596496E-3</v>
      </c>
      <c r="L3744" s="9">
        <f>(PricingDataTable[[#This Row],[Vendor Price ($)]]-PricingDataTable[[#This Row],[Current Price ($)]])/PricingDataTable[[#This Row],[Current Price ($)]]</f>
        <v>-1.5468431122634466E-3</v>
      </c>
      <c r="M3744" t="str">
        <f t="shared" si="116"/>
        <v>PASS</v>
      </c>
      <c r="N3744" s="10" t="str">
        <f t="shared" si="117"/>
        <v>NONE</v>
      </c>
    </row>
    <row r="3745" spans="1:14">
      <c r="A3745" s="4" t="s">
        <v>7506</v>
      </c>
      <c r="B3745" s="4" t="s">
        <v>7507</v>
      </c>
      <c r="C3745" s="4" t="s">
        <v>35</v>
      </c>
      <c r="D3745" s="4" t="s">
        <v>13</v>
      </c>
      <c r="E3745" s="5">
        <v>55.494300000000003</v>
      </c>
      <c r="F3745" s="5">
        <v>56.969900000000003</v>
      </c>
      <c r="G3745" s="5">
        <v>56.7226</v>
      </c>
      <c r="H3745" s="4">
        <v>1</v>
      </c>
      <c r="I3745" s="6">
        <v>360694</v>
      </c>
      <c r="J3745" s="7">
        <v>521.38</v>
      </c>
      <c r="K3745" s="9">
        <f>(PricingDataTable[[#This Row],[Current Price ($)]]-PricingDataTable[[#This Row],[Prior Price ($)]])/PricingDataTable[[#This Row],[Prior Price ($)]]</f>
        <v>2.6590118264398326E-2</v>
      </c>
      <c r="L3745" s="9">
        <f>(PricingDataTable[[#This Row],[Vendor Price ($)]]-PricingDataTable[[#This Row],[Current Price ($)]])/PricingDataTable[[#This Row],[Current Price ($)]]</f>
        <v>-4.3408887851304409E-3</v>
      </c>
      <c r="M3745" t="str">
        <f t="shared" si="116"/>
        <v>PASS</v>
      </c>
      <c r="N3745" s="10" t="str">
        <f t="shared" si="117"/>
        <v>NONE</v>
      </c>
    </row>
    <row r="3746" spans="1:14">
      <c r="A3746" s="4" t="s">
        <v>7508</v>
      </c>
      <c r="B3746" s="4" t="s">
        <v>7509</v>
      </c>
      <c r="C3746" s="4" t="s">
        <v>19</v>
      </c>
      <c r="D3746" s="4" t="s">
        <v>13</v>
      </c>
      <c r="E3746" s="5">
        <v>201.95519999999999</v>
      </c>
      <c r="F3746" s="5">
        <v>204.7611</v>
      </c>
      <c r="G3746" s="5">
        <v>204.96430000000001</v>
      </c>
      <c r="H3746" s="4">
        <v>0</v>
      </c>
      <c r="I3746" s="6">
        <v>809210</v>
      </c>
      <c r="J3746" s="7">
        <v>888.95</v>
      </c>
      <c r="K3746" s="9">
        <f>(PricingDataTable[[#This Row],[Current Price ($)]]-PricingDataTable[[#This Row],[Prior Price ($)]])/PricingDataTable[[#This Row],[Prior Price ($)]]</f>
        <v>1.3893675429006078E-2</v>
      </c>
      <c r="L3746" s="9">
        <f>(PricingDataTable[[#This Row],[Vendor Price ($)]]-PricingDataTable[[#This Row],[Current Price ($)]])/PricingDataTable[[#This Row],[Current Price ($)]]</f>
        <v>9.9237599329174138E-4</v>
      </c>
      <c r="M3746" t="str">
        <f t="shared" si="116"/>
        <v>PASS</v>
      </c>
      <c r="N3746" s="10" t="str">
        <f t="shared" si="117"/>
        <v>NONE</v>
      </c>
    </row>
    <row r="3747" spans="1:14">
      <c r="A3747" s="4" t="s">
        <v>7510</v>
      </c>
      <c r="B3747" s="4" t="s">
        <v>7511</v>
      </c>
      <c r="C3747" s="4" t="s">
        <v>16</v>
      </c>
      <c r="D3747" s="4" t="s">
        <v>13</v>
      </c>
      <c r="E3747" s="5">
        <v>100.48139999999999</v>
      </c>
      <c r="F3747" s="5">
        <v>101.4605</v>
      </c>
      <c r="G3747" s="5">
        <v>101.511</v>
      </c>
      <c r="H3747" s="4">
        <v>0</v>
      </c>
      <c r="I3747" s="6">
        <v>11256</v>
      </c>
      <c r="J3747" s="7">
        <v>689.81</v>
      </c>
      <c r="K3747" s="9">
        <f>(PricingDataTable[[#This Row],[Current Price ($)]]-PricingDataTable[[#This Row],[Prior Price ($)]])/PricingDataTable[[#This Row],[Prior Price ($)]]</f>
        <v>9.7440919413941552E-3</v>
      </c>
      <c r="L3747" s="9">
        <f>(PricingDataTable[[#This Row],[Vendor Price ($)]]-PricingDataTable[[#This Row],[Current Price ($)]])/PricingDataTable[[#This Row],[Current Price ($)]]</f>
        <v>4.977306439451762E-4</v>
      </c>
      <c r="M3747" t="str">
        <f t="shared" si="116"/>
        <v>PASS</v>
      </c>
      <c r="N3747" s="10" t="str">
        <f t="shared" si="117"/>
        <v>NONE</v>
      </c>
    </row>
    <row r="3748" spans="1:14">
      <c r="A3748" s="4" t="s">
        <v>7512</v>
      </c>
      <c r="B3748" s="4" t="s">
        <v>7513</v>
      </c>
      <c r="C3748" s="4" t="s">
        <v>16</v>
      </c>
      <c r="D3748" s="4" t="s">
        <v>13</v>
      </c>
      <c r="E3748" s="5">
        <v>77.697199999999995</v>
      </c>
      <c r="F3748" s="5">
        <v>78.252899999999997</v>
      </c>
      <c r="G3748" s="5">
        <v>78.294700000000006</v>
      </c>
      <c r="H3748" s="4">
        <v>0</v>
      </c>
      <c r="I3748" s="6">
        <v>4274805</v>
      </c>
      <c r="J3748" s="7">
        <v>672.32</v>
      </c>
      <c r="K3748" s="9">
        <f>(PricingDataTable[[#This Row],[Current Price ($)]]-PricingDataTable[[#This Row],[Prior Price ($)]])/PricingDataTable[[#This Row],[Prior Price ($)]]</f>
        <v>7.1521238860602658E-3</v>
      </c>
      <c r="L3748" s="9">
        <f>(PricingDataTable[[#This Row],[Vendor Price ($)]]-PricingDataTable[[#This Row],[Current Price ($)]])/PricingDataTable[[#This Row],[Current Price ($)]]</f>
        <v>5.3416550696535421E-4</v>
      </c>
      <c r="M3748" t="str">
        <f t="shared" si="116"/>
        <v>PASS</v>
      </c>
      <c r="N3748" s="10" t="str">
        <f t="shared" si="117"/>
        <v>NONE</v>
      </c>
    </row>
    <row r="3749" spans="1:14">
      <c r="A3749" s="4" t="s">
        <v>7514</v>
      </c>
      <c r="B3749" s="4" t="s">
        <v>7515</v>
      </c>
      <c r="C3749" s="4" t="s">
        <v>16</v>
      </c>
      <c r="D3749" s="4" t="s">
        <v>237</v>
      </c>
      <c r="E3749" s="5">
        <v>119.03279999999999</v>
      </c>
      <c r="F3749" s="5">
        <v>118.6164</v>
      </c>
      <c r="G3749" s="5">
        <v>118.8805</v>
      </c>
      <c r="H3749" s="4">
        <v>0</v>
      </c>
      <c r="I3749" s="6">
        <v>1831977</v>
      </c>
      <c r="J3749" s="7">
        <v>885.95</v>
      </c>
      <c r="K3749" s="9">
        <f>(PricingDataTable[[#This Row],[Current Price ($)]]-PricingDataTable[[#This Row],[Prior Price ($)]])/PricingDataTable[[#This Row],[Prior Price ($)]]</f>
        <v>-3.4981954553702501E-3</v>
      </c>
      <c r="L3749" s="9">
        <f>(PricingDataTable[[#This Row],[Vendor Price ($)]]-PricingDataTable[[#This Row],[Current Price ($)]])/PricingDataTable[[#This Row],[Current Price ($)]]</f>
        <v>2.2265049352366041E-3</v>
      </c>
      <c r="M3749" t="str">
        <f t="shared" si="116"/>
        <v>PASS</v>
      </c>
      <c r="N3749" s="10" t="str">
        <f t="shared" si="117"/>
        <v>NONE</v>
      </c>
    </row>
    <row r="3750" spans="1:14">
      <c r="A3750" s="4" t="s">
        <v>7516</v>
      </c>
      <c r="B3750" s="4" t="s">
        <v>7517</v>
      </c>
      <c r="C3750" s="4" t="s">
        <v>39</v>
      </c>
      <c r="D3750" s="4" t="s">
        <v>13</v>
      </c>
      <c r="E3750" s="5">
        <v>252.6157</v>
      </c>
      <c r="F3750" s="5">
        <v>255.971</v>
      </c>
      <c r="G3750" s="5">
        <v>255.74449999999999</v>
      </c>
      <c r="H3750" s="4">
        <v>0</v>
      </c>
      <c r="I3750" s="6">
        <v>2329867</v>
      </c>
      <c r="J3750" s="7">
        <v>685.9</v>
      </c>
      <c r="K3750" s="9">
        <f>(PricingDataTable[[#This Row],[Current Price ($)]]-PricingDataTable[[#This Row],[Prior Price ($)]])/PricingDataTable[[#This Row],[Prior Price ($)]]</f>
        <v>1.3282230676874002E-2</v>
      </c>
      <c r="L3750" s="9">
        <f>(PricingDataTable[[#This Row],[Vendor Price ($)]]-PricingDataTable[[#This Row],[Current Price ($)]])/PricingDataTable[[#This Row],[Current Price ($)]]</f>
        <v>-8.848658637111848E-4</v>
      </c>
      <c r="M3750" t="str">
        <f t="shared" si="116"/>
        <v>PASS</v>
      </c>
      <c r="N3750" s="10" t="str">
        <f t="shared" si="117"/>
        <v>NONE</v>
      </c>
    </row>
    <row r="3751" spans="1:14">
      <c r="A3751" s="4" t="s">
        <v>7518</v>
      </c>
      <c r="B3751" s="4" t="s">
        <v>7519</v>
      </c>
      <c r="C3751" s="4" t="s">
        <v>16</v>
      </c>
      <c r="D3751" s="4" t="s">
        <v>13</v>
      </c>
      <c r="E3751" s="5">
        <v>88.571799999999996</v>
      </c>
      <c r="F3751" s="5">
        <v>89.051100000000005</v>
      </c>
      <c r="G3751" s="5">
        <v>89.131</v>
      </c>
      <c r="H3751" s="4">
        <v>0</v>
      </c>
      <c r="I3751" s="6">
        <v>4210572</v>
      </c>
      <c r="J3751" s="7">
        <v>552.17999999999995</v>
      </c>
      <c r="K3751" s="9">
        <f>(PricingDataTable[[#This Row],[Current Price ($)]]-PricingDataTable[[#This Row],[Prior Price ($)]])/PricingDataTable[[#This Row],[Prior Price ($)]]</f>
        <v>5.4114289198143109E-3</v>
      </c>
      <c r="L3751" s="9">
        <f>(PricingDataTable[[#This Row],[Vendor Price ($)]]-PricingDataTable[[#This Row],[Current Price ($)]])/PricingDataTable[[#This Row],[Current Price ($)]]</f>
        <v>8.9723765343712738E-4</v>
      </c>
      <c r="M3751" t="str">
        <f t="shared" si="116"/>
        <v>PASS</v>
      </c>
      <c r="N3751" s="10" t="str">
        <f t="shared" si="117"/>
        <v>NONE</v>
      </c>
    </row>
    <row r="3752" spans="1:14">
      <c r="A3752" s="4" t="s">
        <v>7520</v>
      </c>
      <c r="B3752" s="4" t="s">
        <v>7521</v>
      </c>
      <c r="C3752" s="4" t="s">
        <v>19</v>
      </c>
      <c r="D3752" s="4" t="s">
        <v>13</v>
      </c>
      <c r="E3752" s="5">
        <v>171.19759999999999</v>
      </c>
      <c r="F3752" s="5">
        <v>171.9265</v>
      </c>
      <c r="G3752" s="5">
        <v>172.09719999999999</v>
      </c>
      <c r="H3752" s="4">
        <v>0</v>
      </c>
      <c r="I3752" s="6">
        <v>491682</v>
      </c>
      <c r="J3752" s="7">
        <v>411.65</v>
      </c>
      <c r="K3752" s="9">
        <f>(PricingDataTable[[#This Row],[Current Price ($)]]-PricingDataTable[[#This Row],[Prior Price ($)]])/PricingDataTable[[#This Row],[Prior Price ($)]]</f>
        <v>4.2576531446703115E-3</v>
      </c>
      <c r="L3752" s="9">
        <f>(PricingDataTable[[#This Row],[Vendor Price ($)]]-PricingDataTable[[#This Row],[Current Price ($)]])/PricingDataTable[[#This Row],[Current Price ($)]]</f>
        <v>9.9286613756449584E-4</v>
      </c>
      <c r="M3752" t="str">
        <f t="shared" si="116"/>
        <v>PASS</v>
      </c>
      <c r="N3752" s="10" t="str">
        <f t="shared" si="117"/>
        <v>NONE</v>
      </c>
    </row>
    <row r="3753" spans="1:14">
      <c r="A3753" s="4" t="s">
        <v>7522</v>
      </c>
      <c r="B3753" s="4" t="s">
        <v>7523</v>
      </c>
      <c r="C3753" s="4" t="s">
        <v>39</v>
      </c>
      <c r="D3753" s="4" t="s">
        <v>13</v>
      </c>
      <c r="E3753" s="5">
        <v>314.99439999999998</v>
      </c>
      <c r="F3753" s="5">
        <v>316.32069999999999</v>
      </c>
      <c r="G3753" s="5">
        <v>315.5908</v>
      </c>
      <c r="H3753" s="4">
        <v>0</v>
      </c>
      <c r="I3753" s="6">
        <v>1935059</v>
      </c>
      <c r="J3753" s="7">
        <v>755.72</v>
      </c>
      <c r="K3753" s="9">
        <f>(PricingDataTable[[#This Row],[Current Price ($)]]-PricingDataTable[[#This Row],[Prior Price ($)]])/PricingDataTable[[#This Row],[Prior Price ($)]]</f>
        <v>4.2105510447169965E-3</v>
      </c>
      <c r="L3753" s="9">
        <f>(PricingDataTable[[#This Row],[Vendor Price ($)]]-PricingDataTable[[#This Row],[Current Price ($)]])/PricingDataTable[[#This Row],[Current Price ($)]]</f>
        <v>-2.3074683383034573E-3</v>
      </c>
      <c r="M3753" t="str">
        <f t="shared" si="116"/>
        <v>PASS</v>
      </c>
      <c r="N3753" s="10" t="str">
        <f t="shared" si="117"/>
        <v>NONE</v>
      </c>
    </row>
    <row r="3754" spans="1:14">
      <c r="A3754" s="4" t="s">
        <v>7524</v>
      </c>
      <c r="B3754" s="4" t="s">
        <v>7525</v>
      </c>
      <c r="C3754" s="4" t="s">
        <v>39</v>
      </c>
      <c r="D3754" s="4" t="s">
        <v>64</v>
      </c>
      <c r="E3754" s="5">
        <v>80.124499999999998</v>
      </c>
      <c r="F3754" s="5">
        <v>79.890100000000004</v>
      </c>
      <c r="G3754" s="5">
        <v>79.777600000000007</v>
      </c>
      <c r="H3754" s="4">
        <v>0</v>
      </c>
      <c r="I3754" s="6">
        <v>1937366</v>
      </c>
      <c r="J3754" s="7">
        <v>514.79</v>
      </c>
      <c r="K3754" s="9">
        <f>(PricingDataTable[[#This Row],[Current Price ($)]]-PricingDataTable[[#This Row],[Prior Price ($)]])/PricingDataTable[[#This Row],[Prior Price ($)]]</f>
        <v>-2.9254472726818106E-3</v>
      </c>
      <c r="L3754" s="9">
        <f>(PricingDataTable[[#This Row],[Vendor Price ($)]]-PricingDataTable[[#This Row],[Current Price ($)]])/PricingDataTable[[#This Row],[Current Price ($)]]</f>
        <v>-1.4081844934478384E-3</v>
      </c>
      <c r="M3754" t="str">
        <f t="shared" si="116"/>
        <v>PASS</v>
      </c>
      <c r="N3754" s="10" t="str">
        <f t="shared" si="117"/>
        <v>NONE</v>
      </c>
    </row>
    <row r="3755" spans="1:14">
      <c r="A3755" s="4" t="s">
        <v>7526</v>
      </c>
      <c r="B3755" s="4" t="s">
        <v>7527</v>
      </c>
      <c r="C3755" s="4" t="s">
        <v>16</v>
      </c>
      <c r="D3755" s="4" t="s">
        <v>13</v>
      </c>
      <c r="E3755" s="5">
        <v>85.686300000000003</v>
      </c>
      <c r="F3755" s="5">
        <v>85.818799999999996</v>
      </c>
      <c r="G3755" s="5">
        <v>85.842799999999997</v>
      </c>
      <c r="H3755" s="4">
        <v>0</v>
      </c>
      <c r="I3755" s="6">
        <v>3995927</v>
      </c>
      <c r="J3755" s="7">
        <v>121.89</v>
      </c>
      <c r="K3755" s="9">
        <f>(PricingDataTable[[#This Row],[Current Price ($)]]-PricingDataTable[[#This Row],[Prior Price ($)]])/PricingDataTable[[#This Row],[Prior Price ($)]]</f>
        <v>1.5463382127597197E-3</v>
      </c>
      <c r="L3755" s="9">
        <f>(PricingDataTable[[#This Row],[Vendor Price ($)]]-PricingDataTable[[#This Row],[Current Price ($)]])/PricingDataTable[[#This Row],[Current Price ($)]]</f>
        <v>2.7965900245634885E-4</v>
      </c>
      <c r="M3755" t="str">
        <f t="shared" si="116"/>
        <v>PASS</v>
      </c>
      <c r="N3755" s="10" t="str">
        <f t="shared" si="117"/>
        <v>NONE</v>
      </c>
    </row>
    <row r="3756" spans="1:14">
      <c r="A3756" s="4" t="s">
        <v>7528</v>
      </c>
      <c r="B3756" s="4" t="s">
        <v>7529</v>
      </c>
      <c r="C3756" s="4" t="s">
        <v>12</v>
      </c>
      <c r="D3756" s="4" t="s">
        <v>13</v>
      </c>
      <c r="E3756" s="5">
        <v>76.723299999999995</v>
      </c>
      <c r="F3756" s="5">
        <v>77.224100000000007</v>
      </c>
      <c r="G3756" s="5">
        <v>77.5274</v>
      </c>
      <c r="H3756" s="4">
        <v>0</v>
      </c>
      <c r="I3756" s="6">
        <v>4613010</v>
      </c>
      <c r="J3756" s="7">
        <v>703.16</v>
      </c>
      <c r="K3756" s="9">
        <f>(PricingDataTable[[#This Row],[Current Price ($)]]-PricingDataTable[[#This Row],[Prior Price ($)]])/PricingDataTable[[#This Row],[Prior Price ($)]]</f>
        <v>6.527352186363365E-3</v>
      </c>
      <c r="L3756" s="9">
        <f>(PricingDataTable[[#This Row],[Vendor Price ($)]]-PricingDataTable[[#This Row],[Current Price ($)]])/PricingDataTable[[#This Row],[Current Price ($)]]</f>
        <v>3.927530395303966E-3</v>
      </c>
      <c r="M3756" t="str">
        <f t="shared" si="116"/>
        <v>PASS</v>
      </c>
      <c r="N3756" s="10" t="str">
        <f t="shared" si="117"/>
        <v>NONE</v>
      </c>
    </row>
    <row r="3757" spans="1:14">
      <c r="A3757" s="4" t="s">
        <v>7530</v>
      </c>
      <c r="B3757" s="4" t="s">
        <v>7531</v>
      </c>
      <c r="C3757" s="4" t="s">
        <v>35</v>
      </c>
      <c r="D3757" s="4" t="s">
        <v>13</v>
      </c>
      <c r="E3757" s="5">
        <v>88.973399999999998</v>
      </c>
      <c r="F3757" s="5">
        <v>87.960899999999995</v>
      </c>
      <c r="G3757" s="5">
        <v>88.069800000000001</v>
      </c>
      <c r="H3757" s="4">
        <v>0</v>
      </c>
      <c r="I3757" s="6">
        <v>3178266</v>
      </c>
      <c r="J3757" s="7">
        <v>583.86</v>
      </c>
      <c r="K3757" s="9">
        <f>(PricingDataTable[[#This Row],[Current Price ($)]]-PricingDataTable[[#This Row],[Prior Price ($)]])/PricingDataTable[[#This Row],[Prior Price ($)]]</f>
        <v>-1.1379805649778505E-2</v>
      </c>
      <c r="L3757" s="9">
        <f>(PricingDataTable[[#This Row],[Vendor Price ($)]]-PricingDataTable[[#This Row],[Current Price ($)]])/PricingDataTable[[#This Row],[Current Price ($)]]</f>
        <v>1.238050088164236E-3</v>
      </c>
      <c r="M3757" t="str">
        <f t="shared" si="116"/>
        <v>PASS</v>
      </c>
      <c r="N3757" s="10" t="str">
        <f t="shared" si="117"/>
        <v>NONE</v>
      </c>
    </row>
    <row r="3758" spans="1:14">
      <c r="A3758" s="4" t="s">
        <v>7532</v>
      </c>
      <c r="B3758" s="4" t="s">
        <v>7533</v>
      </c>
      <c r="C3758" s="4" t="s">
        <v>12</v>
      </c>
      <c r="D3758" s="4" t="s">
        <v>13</v>
      </c>
      <c r="E3758" s="5">
        <v>111.697</v>
      </c>
      <c r="F3758" s="5">
        <v>110.52160000000001</v>
      </c>
      <c r="G3758" s="5">
        <v>110.2093</v>
      </c>
      <c r="H3758" s="4">
        <v>0</v>
      </c>
      <c r="I3758" s="6">
        <v>2011601</v>
      </c>
      <c r="J3758" s="7">
        <v>311.07</v>
      </c>
      <c r="K3758" s="9">
        <f>(PricingDataTable[[#This Row],[Current Price ($)]]-PricingDataTable[[#This Row],[Prior Price ($)]])/PricingDataTable[[#This Row],[Prior Price ($)]]</f>
        <v>-1.0523111632362518E-2</v>
      </c>
      <c r="L3758" s="9">
        <f>(PricingDataTable[[#This Row],[Vendor Price ($)]]-PricingDataTable[[#This Row],[Current Price ($)]])/PricingDataTable[[#This Row],[Current Price ($)]]</f>
        <v>-2.825691991429798E-3</v>
      </c>
      <c r="M3758" t="str">
        <f t="shared" si="116"/>
        <v>PASS</v>
      </c>
      <c r="N3758" s="10" t="str">
        <f t="shared" si="117"/>
        <v>NONE</v>
      </c>
    </row>
    <row r="3759" spans="1:14">
      <c r="A3759" s="4" t="s">
        <v>7534</v>
      </c>
      <c r="B3759" s="4" t="s">
        <v>7535</v>
      </c>
      <c r="C3759" s="4" t="s">
        <v>12</v>
      </c>
      <c r="D3759" s="4" t="s">
        <v>32</v>
      </c>
      <c r="E3759" s="5">
        <v>83.608099999999993</v>
      </c>
      <c r="F3759" s="5">
        <v>85.144400000000005</v>
      </c>
      <c r="G3759" s="5">
        <v>84.819599999999994</v>
      </c>
      <c r="H3759" s="4">
        <v>0</v>
      </c>
      <c r="I3759" s="6">
        <v>337286</v>
      </c>
      <c r="J3759" s="7">
        <v>483.92</v>
      </c>
      <c r="K3759" s="9">
        <f>(PricingDataTable[[#This Row],[Current Price ($)]]-PricingDataTable[[#This Row],[Prior Price ($)]])/PricingDataTable[[#This Row],[Prior Price ($)]]</f>
        <v>1.8375013904155357E-2</v>
      </c>
      <c r="L3759" s="9">
        <f>(PricingDataTable[[#This Row],[Vendor Price ($)]]-PricingDataTable[[#This Row],[Current Price ($)]])/PricingDataTable[[#This Row],[Current Price ($)]]</f>
        <v>-3.8146959753079519E-3</v>
      </c>
      <c r="M3759" t="str">
        <f t="shared" si="116"/>
        <v>PASS</v>
      </c>
      <c r="N3759" s="10" t="str">
        <f t="shared" si="117"/>
        <v>NONE</v>
      </c>
    </row>
    <row r="3760" spans="1:14">
      <c r="A3760" s="4" t="s">
        <v>7536</v>
      </c>
      <c r="B3760" s="4" t="s">
        <v>7537</v>
      </c>
      <c r="C3760" s="4" t="s">
        <v>19</v>
      </c>
      <c r="D3760" s="4" t="s">
        <v>13</v>
      </c>
      <c r="E3760" s="5">
        <v>88.639899999999997</v>
      </c>
      <c r="F3760" s="5">
        <v>88.639600000000002</v>
      </c>
      <c r="G3760" s="5">
        <v>88.561199999999999</v>
      </c>
      <c r="H3760" s="4">
        <v>0</v>
      </c>
      <c r="I3760" s="6">
        <v>4792970</v>
      </c>
      <c r="J3760" s="7">
        <v>475.6</v>
      </c>
      <c r="K3760" s="9">
        <f>(PricingDataTable[[#This Row],[Current Price ($)]]-PricingDataTable[[#This Row],[Prior Price ($)]])/PricingDataTable[[#This Row],[Prior Price ($)]]</f>
        <v>-3.3844803524795056E-6</v>
      </c>
      <c r="L3760" s="9">
        <f>(PricingDataTable[[#This Row],[Vendor Price ($)]]-PricingDataTable[[#This Row],[Current Price ($)]])/PricingDataTable[[#This Row],[Current Price ($)]]</f>
        <v>-8.8448052563416379E-4</v>
      </c>
      <c r="M3760" t="str">
        <f t="shared" si="116"/>
        <v>PASS</v>
      </c>
      <c r="N3760" s="10" t="str">
        <f t="shared" si="117"/>
        <v>NONE</v>
      </c>
    </row>
    <row r="3761" spans="1:14">
      <c r="A3761" s="4" t="s">
        <v>7538</v>
      </c>
      <c r="B3761" s="4" t="s">
        <v>7539</v>
      </c>
      <c r="C3761" s="4" t="s">
        <v>16</v>
      </c>
      <c r="D3761" s="4" t="s">
        <v>64</v>
      </c>
      <c r="E3761" s="5">
        <v>80.826800000000006</v>
      </c>
      <c r="F3761" s="5">
        <v>81.958600000000004</v>
      </c>
      <c r="G3761" s="5">
        <v>81.559399999999997</v>
      </c>
      <c r="H3761" s="4">
        <v>0</v>
      </c>
      <c r="I3761" s="6">
        <v>4742746</v>
      </c>
      <c r="J3761" s="7">
        <v>552.54</v>
      </c>
      <c r="K3761" s="9">
        <f>(PricingDataTable[[#This Row],[Current Price ($)]]-PricingDataTable[[#This Row],[Prior Price ($)]])/PricingDataTable[[#This Row],[Prior Price ($)]]</f>
        <v>1.400278125572209E-2</v>
      </c>
      <c r="L3761" s="9">
        <f>(PricingDataTable[[#This Row],[Vendor Price ($)]]-PricingDataTable[[#This Row],[Current Price ($)]])/PricingDataTable[[#This Row],[Current Price ($)]]</f>
        <v>-4.8707518186011907E-3</v>
      </c>
      <c r="M3761" t="str">
        <f t="shared" si="116"/>
        <v>PASS</v>
      </c>
      <c r="N3761" s="10" t="str">
        <f t="shared" si="117"/>
        <v>NONE</v>
      </c>
    </row>
    <row r="3762" spans="1:14">
      <c r="A3762" s="4" t="s">
        <v>7540</v>
      </c>
      <c r="B3762" s="4" t="s">
        <v>7541</v>
      </c>
      <c r="C3762" s="4" t="s">
        <v>35</v>
      </c>
      <c r="D3762" s="4" t="s">
        <v>13</v>
      </c>
      <c r="E3762" s="5">
        <v>9.8285999999999998</v>
      </c>
      <c r="F3762" s="5">
        <v>9.7471999999999994</v>
      </c>
      <c r="G3762" s="5">
        <v>9.7634000000000007</v>
      </c>
      <c r="H3762" s="4">
        <v>0</v>
      </c>
      <c r="I3762" s="6">
        <v>3604818</v>
      </c>
      <c r="J3762" s="7">
        <v>701</v>
      </c>
      <c r="K3762" s="9">
        <f>(PricingDataTable[[#This Row],[Current Price ($)]]-PricingDataTable[[#This Row],[Prior Price ($)]])/PricingDataTable[[#This Row],[Prior Price ($)]]</f>
        <v>-8.281952668742279E-3</v>
      </c>
      <c r="L3762" s="9">
        <f>(PricingDataTable[[#This Row],[Vendor Price ($)]]-PricingDataTable[[#This Row],[Current Price ($)]])/PricingDataTable[[#This Row],[Current Price ($)]]</f>
        <v>1.662015758371771E-3</v>
      </c>
      <c r="M3762" t="str">
        <f t="shared" si="116"/>
        <v>PASS</v>
      </c>
      <c r="N3762" s="10" t="str">
        <f t="shared" si="117"/>
        <v>NONE</v>
      </c>
    </row>
    <row r="3763" spans="1:14">
      <c r="A3763" s="4" t="s">
        <v>7542</v>
      </c>
      <c r="B3763" s="4" t="s">
        <v>7543</v>
      </c>
      <c r="C3763" s="4" t="s">
        <v>35</v>
      </c>
      <c r="D3763" s="4" t="s">
        <v>13</v>
      </c>
      <c r="E3763" s="5">
        <v>77.599699999999999</v>
      </c>
      <c r="F3763" s="5">
        <v>77.796300000000002</v>
      </c>
      <c r="G3763" s="5">
        <v>78.484399999999994</v>
      </c>
      <c r="H3763" s="4">
        <v>2</v>
      </c>
      <c r="I3763" s="6">
        <v>1672375</v>
      </c>
      <c r="J3763" s="7">
        <v>114.15</v>
      </c>
      <c r="K3763" s="9">
        <f>(PricingDataTable[[#This Row],[Current Price ($)]]-PricingDataTable[[#This Row],[Prior Price ($)]])/PricingDataTable[[#This Row],[Prior Price ($)]]</f>
        <v>2.5335149491557784E-3</v>
      </c>
      <c r="L3763" s="9">
        <f>(PricingDataTable[[#This Row],[Vendor Price ($)]]-PricingDataTable[[#This Row],[Current Price ($)]])/PricingDataTable[[#This Row],[Current Price ($)]]</f>
        <v>8.844893651754537E-3</v>
      </c>
      <c r="M3763" t="str">
        <f t="shared" si="116"/>
        <v>PASS</v>
      </c>
      <c r="N3763" s="10" t="str">
        <f t="shared" si="117"/>
        <v>NONE</v>
      </c>
    </row>
    <row r="3764" spans="1:14">
      <c r="A3764" s="4" t="s">
        <v>7544</v>
      </c>
      <c r="B3764" s="4" t="s">
        <v>7545</v>
      </c>
      <c r="C3764" s="4" t="s">
        <v>35</v>
      </c>
      <c r="D3764" s="4" t="s">
        <v>13</v>
      </c>
      <c r="E3764" s="5">
        <v>64.2059</v>
      </c>
      <c r="F3764" s="5">
        <v>64.551299999999998</v>
      </c>
      <c r="G3764" s="5">
        <v>64.422399999999996</v>
      </c>
      <c r="H3764" s="4">
        <v>0</v>
      </c>
      <c r="I3764" s="6">
        <v>2634727</v>
      </c>
      <c r="J3764" s="7">
        <v>388.26</v>
      </c>
      <c r="K3764" s="9">
        <f>(PricingDataTable[[#This Row],[Current Price ($)]]-PricingDataTable[[#This Row],[Prior Price ($)]])/PricingDataTable[[#This Row],[Prior Price ($)]]</f>
        <v>5.3795679213280703E-3</v>
      </c>
      <c r="L3764" s="9">
        <f>(PricingDataTable[[#This Row],[Vendor Price ($)]]-PricingDataTable[[#This Row],[Current Price ($)]])/PricingDataTable[[#This Row],[Current Price ($)]]</f>
        <v>-1.9968614110018167E-3</v>
      </c>
      <c r="M3764" t="str">
        <f t="shared" si="116"/>
        <v>PASS</v>
      </c>
      <c r="N3764" s="10" t="str">
        <f t="shared" si="117"/>
        <v>NONE</v>
      </c>
    </row>
    <row r="3765" spans="1:14">
      <c r="A3765" s="4" t="s">
        <v>7546</v>
      </c>
      <c r="B3765" s="4" t="s">
        <v>7547</v>
      </c>
      <c r="C3765" s="4" t="s">
        <v>16</v>
      </c>
      <c r="D3765" s="4" t="s">
        <v>13</v>
      </c>
      <c r="E3765" s="5">
        <v>94.827500000000001</v>
      </c>
      <c r="F3765" s="5">
        <v>93.725700000000003</v>
      </c>
      <c r="G3765" s="5">
        <v>93.415000000000006</v>
      </c>
      <c r="H3765" s="4">
        <v>2</v>
      </c>
      <c r="I3765" s="6">
        <v>4237476</v>
      </c>
      <c r="J3765" s="7">
        <v>274.64999999999998</v>
      </c>
      <c r="K3765" s="9">
        <f>(PricingDataTable[[#This Row],[Current Price ($)]]-PricingDataTable[[#This Row],[Prior Price ($)]])/PricingDataTable[[#This Row],[Prior Price ($)]]</f>
        <v>-1.1618992380902134E-2</v>
      </c>
      <c r="L3765" s="9">
        <f>(PricingDataTable[[#This Row],[Vendor Price ($)]]-PricingDataTable[[#This Row],[Current Price ($)]])/PricingDataTable[[#This Row],[Current Price ($)]]</f>
        <v>-3.3149925794098852E-3</v>
      </c>
      <c r="M3765" t="str">
        <f t="shared" si="116"/>
        <v>PASS</v>
      </c>
      <c r="N3765" s="10" t="str">
        <f t="shared" si="117"/>
        <v>NONE</v>
      </c>
    </row>
    <row r="3766" spans="1:14">
      <c r="A3766" s="4" t="s">
        <v>7548</v>
      </c>
      <c r="B3766" s="4" t="s">
        <v>7549</v>
      </c>
      <c r="C3766" s="4" t="s">
        <v>35</v>
      </c>
      <c r="D3766" s="4" t="s">
        <v>64</v>
      </c>
      <c r="E3766" s="5">
        <v>150.9666</v>
      </c>
      <c r="F3766" s="5">
        <v>153.32810000000001</v>
      </c>
      <c r="G3766" s="5">
        <v>153.82249999999999</v>
      </c>
      <c r="H3766" s="4">
        <v>0</v>
      </c>
      <c r="I3766" s="6">
        <v>145634</v>
      </c>
      <c r="J3766" s="7">
        <v>682.18</v>
      </c>
      <c r="K3766" s="9">
        <f>(PricingDataTable[[#This Row],[Current Price ($)]]-PricingDataTable[[#This Row],[Prior Price ($)]])/PricingDataTable[[#This Row],[Prior Price ($)]]</f>
        <v>1.5642532851637424E-2</v>
      </c>
      <c r="L3766" s="9">
        <f>(PricingDataTable[[#This Row],[Vendor Price ($)]]-PricingDataTable[[#This Row],[Current Price ($)]])/PricingDataTable[[#This Row],[Current Price ($)]]</f>
        <v>3.2244578782361787E-3</v>
      </c>
      <c r="M3766" t="str">
        <f t="shared" si="116"/>
        <v>PASS</v>
      </c>
      <c r="N3766" s="10" t="str">
        <f t="shared" si="117"/>
        <v>NONE</v>
      </c>
    </row>
    <row r="3767" spans="1:14">
      <c r="A3767" s="4" t="s">
        <v>7550</v>
      </c>
      <c r="B3767" s="4" t="s">
        <v>7551</v>
      </c>
      <c r="C3767" s="4" t="s">
        <v>39</v>
      </c>
      <c r="D3767" s="4" t="s">
        <v>13</v>
      </c>
      <c r="E3767" s="5">
        <v>69.711600000000004</v>
      </c>
      <c r="F3767" s="5">
        <v>69.101699999999994</v>
      </c>
      <c r="G3767" s="5">
        <v>69.3977</v>
      </c>
      <c r="H3767" s="4">
        <v>0</v>
      </c>
      <c r="I3767" s="6">
        <v>1380375</v>
      </c>
      <c r="J3767" s="7">
        <v>578.04999999999995</v>
      </c>
      <c r="K3767" s="9">
        <f>(PricingDataTable[[#This Row],[Current Price ($)]]-PricingDataTable[[#This Row],[Prior Price ($)]])/PricingDataTable[[#This Row],[Prior Price ($)]]</f>
        <v>-8.7489026216585226E-3</v>
      </c>
      <c r="L3767" s="9">
        <f>(PricingDataTable[[#This Row],[Vendor Price ($)]]-PricingDataTable[[#This Row],[Current Price ($)]])/PricingDataTable[[#This Row],[Current Price ($)]]</f>
        <v>4.2835415047677051E-3</v>
      </c>
      <c r="M3767" t="str">
        <f t="shared" si="116"/>
        <v>PASS</v>
      </c>
      <c r="N3767" s="10" t="str">
        <f t="shared" si="117"/>
        <v>NONE</v>
      </c>
    </row>
    <row r="3768" spans="1:14">
      <c r="A3768" s="4" t="s">
        <v>7552</v>
      </c>
      <c r="B3768" s="4" t="s">
        <v>7553</v>
      </c>
      <c r="C3768" s="4" t="s">
        <v>12</v>
      </c>
      <c r="D3768" s="4" t="s">
        <v>13</v>
      </c>
      <c r="E3768" s="5">
        <v>77.220200000000006</v>
      </c>
      <c r="F3768" s="5">
        <v>76.965000000000003</v>
      </c>
      <c r="G3768" s="5">
        <v>77.061999999999998</v>
      </c>
      <c r="H3768" s="4">
        <v>0</v>
      </c>
      <c r="I3768" s="6">
        <v>659565</v>
      </c>
      <c r="J3768" s="7">
        <v>38.26</v>
      </c>
      <c r="K3768" s="9">
        <f>(PricingDataTable[[#This Row],[Current Price ($)]]-PricingDataTable[[#This Row],[Prior Price ($)]])/PricingDataTable[[#This Row],[Prior Price ($)]]</f>
        <v>-3.304834745312782E-3</v>
      </c>
      <c r="L3768" s="9">
        <f>(PricingDataTable[[#This Row],[Vendor Price ($)]]-PricingDataTable[[#This Row],[Current Price ($)]])/PricingDataTable[[#This Row],[Current Price ($)]]</f>
        <v>1.2603131293444318E-3</v>
      </c>
      <c r="M3768" t="str">
        <f t="shared" si="116"/>
        <v>PASS</v>
      </c>
      <c r="N3768" s="10" t="str">
        <f t="shared" si="117"/>
        <v>NONE</v>
      </c>
    </row>
    <row r="3769" spans="1:14">
      <c r="A3769" s="4" t="s">
        <v>7554</v>
      </c>
      <c r="B3769" s="4" t="s">
        <v>7555</v>
      </c>
      <c r="C3769" s="4" t="s">
        <v>19</v>
      </c>
      <c r="D3769" s="4" t="s">
        <v>64</v>
      </c>
      <c r="E3769" s="5">
        <v>212.6721</v>
      </c>
      <c r="F3769" s="5">
        <v>213.4554</v>
      </c>
      <c r="G3769" s="5">
        <v>213.1935</v>
      </c>
      <c r="H3769" s="4">
        <v>1</v>
      </c>
      <c r="I3769" s="6">
        <v>1806619</v>
      </c>
      <c r="J3769" s="7">
        <v>563.02</v>
      </c>
      <c r="K3769" s="9">
        <f>(PricingDataTable[[#This Row],[Current Price ($)]]-PricingDataTable[[#This Row],[Prior Price ($)]])/PricingDataTable[[#This Row],[Prior Price ($)]]</f>
        <v>3.683134741228384E-3</v>
      </c>
      <c r="L3769" s="9">
        <f>(PricingDataTable[[#This Row],[Vendor Price ($)]]-PricingDataTable[[#This Row],[Current Price ($)]])/PricingDataTable[[#This Row],[Current Price ($)]]</f>
        <v>-1.2269542021424481E-3</v>
      </c>
      <c r="M3769" t="str">
        <f t="shared" si="116"/>
        <v>PASS</v>
      </c>
      <c r="N3769" s="10" t="str">
        <f t="shared" si="117"/>
        <v>NONE</v>
      </c>
    </row>
    <row r="3770" spans="1:14">
      <c r="A3770" s="4" t="s">
        <v>7556</v>
      </c>
      <c r="B3770" s="4" t="s">
        <v>7557</v>
      </c>
      <c r="C3770" s="4" t="s">
        <v>16</v>
      </c>
      <c r="D3770" s="4" t="s">
        <v>13</v>
      </c>
      <c r="E3770" s="5">
        <v>89.258600000000001</v>
      </c>
      <c r="F3770" s="5">
        <v>91.225999999999999</v>
      </c>
      <c r="G3770" s="5">
        <v>91.750600000000006</v>
      </c>
      <c r="H3770" s="4">
        <v>3</v>
      </c>
      <c r="I3770" s="6">
        <v>2917230</v>
      </c>
      <c r="J3770" s="7">
        <v>570.1</v>
      </c>
      <c r="K3770" s="9">
        <f>(PricingDataTable[[#This Row],[Current Price ($)]]-PricingDataTable[[#This Row],[Prior Price ($)]])/PricingDataTable[[#This Row],[Prior Price ($)]]</f>
        <v>2.2041573585066289E-2</v>
      </c>
      <c r="L3770" s="9">
        <f>(PricingDataTable[[#This Row],[Vendor Price ($)]]-PricingDataTable[[#This Row],[Current Price ($)]])/PricingDataTable[[#This Row],[Current Price ($)]]</f>
        <v>5.7505535702541671E-3</v>
      </c>
      <c r="M3770" t="str">
        <f t="shared" si="116"/>
        <v>STALE</v>
      </c>
      <c r="N3770" s="10" t="str">
        <f t="shared" si="117"/>
        <v>LOW</v>
      </c>
    </row>
    <row r="3771" spans="1:14">
      <c r="A3771" s="4" t="s">
        <v>7558</v>
      </c>
      <c r="B3771" s="4" t="s">
        <v>7559</v>
      </c>
      <c r="C3771" s="4" t="s">
        <v>19</v>
      </c>
      <c r="D3771" s="4" t="s">
        <v>13</v>
      </c>
      <c r="E3771" s="5">
        <v>172.47389999999999</v>
      </c>
      <c r="F3771" s="5">
        <v>170.5925</v>
      </c>
      <c r="G3771" s="5">
        <v>170.5976</v>
      </c>
      <c r="H3771" s="4">
        <v>0</v>
      </c>
      <c r="I3771" s="6">
        <v>4627857</v>
      </c>
      <c r="J3771" s="7">
        <v>122.4</v>
      </c>
      <c r="K3771" s="9">
        <f>(PricingDataTable[[#This Row],[Current Price ($)]]-PricingDataTable[[#This Row],[Prior Price ($)]])/PricingDataTable[[#This Row],[Prior Price ($)]]</f>
        <v>-1.0908317142477704E-2</v>
      </c>
      <c r="L3771" s="9">
        <f>(PricingDataTable[[#This Row],[Vendor Price ($)]]-PricingDataTable[[#This Row],[Current Price ($)]])/PricingDataTable[[#This Row],[Current Price ($)]]</f>
        <v>2.9895804329022508E-5</v>
      </c>
      <c r="M3771" t="str">
        <f t="shared" si="116"/>
        <v>PASS</v>
      </c>
      <c r="N3771" s="10" t="str">
        <f t="shared" si="117"/>
        <v>NONE</v>
      </c>
    </row>
    <row r="3772" spans="1:14">
      <c r="A3772" s="4" t="s">
        <v>7560</v>
      </c>
      <c r="B3772" s="4" t="s">
        <v>7561</v>
      </c>
      <c r="C3772" s="4" t="s">
        <v>19</v>
      </c>
      <c r="D3772" s="4" t="s">
        <v>32</v>
      </c>
      <c r="E3772" s="5">
        <v>104.0581</v>
      </c>
      <c r="F3772" s="5">
        <v>103.9986</v>
      </c>
      <c r="G3772" s="5">
        <v>95.550600000000003</v>
      </c>
      <c r="H3772" s="4">
        <v>0</v>
      </c>
      <c r="I3772" s="6">
        <v>2503621</v>
      </c>
      <c r="J3772" s="7">
        <v>767.38</v>
      </c>
      <c r="K3772" s="9">
        <f>(PricingDataTable[[#This Row],[Current Price ($)]]-PricingDataTable[[#This Row],[Prior Price ($)]])/PricingDataTable[[#This Row],[Prior Price ($)]]</f>
        <v>-5.7179594860947769E-4</v>
      </c>
      <c r="L3772" s="9">
        <f>(PricingDataTable[[#This Row],[Vendor Price ($)]]-PricingDataTable[[#This Row],[Current Price ($)]])/PricingDataTable[[#This Row],[Current Price ($)]]</f>
        <v>-8.1231862736613702E-2</v>
      </c>
      <c r="M3772" t="str">
        <f t="shared" si="116"/>
        <v>VENDOR DIFFERENCE</v>
      </c>
      <c r="N3772" s="10" t="str">
        <f t="shared" si="117"/>
        <v>HIGH</v>
      </c>
    </row>
    <row r="3773" spans="1:14">
      <c r="A3773" s="4" t="s">
        <v>7562</v>
      </c>
      <c r="B3773" s="4" t="s">
        <v>7563</v>
      </c>
      <c r="C3773" s="4" t="s">
        <v>19</v>
      </c>
      <c r="D3773" s="4" t="s">
        <v>13</v>
      </c>
      <c r="E3773" s="5">
        <v>333.2758</v>
      </c>
      <c r="F3773" s="5">
        <v>332.49560000000002</v>
      </c>
      <c r="G3773" s="5">
        <v>329.447</v>
      </c>
      <c r="H3773" s="4">
        <v>2</v>
      </c>
      <c r="I3773" s="6">
        <v>2094827</v>
      </c>
      <c r="J3773" s="7">
        <v>205.84</v>
      </c>
      <c r="K3773" s="9">
        <f>(PricingDataTable[[#This Row],[Current Price ($)]]-PricingDataTable[[#This Row],[Prior Price ($)]])/PricingDataTable[[#This Row],[Prior Price ($)]]</f>
        <v>-2.3410040573002282E-3</v>
      </c>
      <c r="L3773" s="9">
        <f>(PricingDataTable[[#This Row],[Vendor Price ($)]]-PricingDataTable[[#This Row],[Current Price ($)]])/PricingDataTable[[#This Row],[Current Price ($)]]</f>
        <v>-9.1688431365708947E-3</v>
      </c>
      <c r="M3773" t="str">
        <f t="shared" si="116"/>
        <v>PASS</v>
      </c>
      <c r="N3773" s="10" t="str">
        <f t="shared" si="117"/>
        <v>NONE</v>
      </c>
    </row>
    <row r="3774" spans="1:14">
      <c r="A3774" s="4" t="s">
        <v>7564</v>
      </c>
      <c r="B3774" s="4" t="s">
        <v>7565</v>
      </c>
      <c r="C3774" s="4" t="s">
        <v>19</v>
      </c>
      <c r="D3774" s="4" t="s">
        <v>13</v>
      </c>
      <c r="E3774" s="5">
        <v>73.866600000000005</v>
      </c>
      <c r="F3774" s="5">
        <v>74.578599999999994</v>
      </c>
      <c r="G3774" s="5">
        <v>74.629900000000006</v>
      </c>
      <c r="H3774" s="4">
        <v>0</v>
      </c>
      <c r="I3774" s="6">
        <v>320315</v>
      </c>
      <c r="J3774" s="7">
        <v>480.7</v>
      </c>
      <c r="K3774" s="9">
        <f>(PricingDataTable[[#This Row],[Current Price ($)]]-PricingDataTable[[#This Row],[Prior Price ($)]])/PricingDataTable[[#This Row],[Prior Price ($)]]</f>
        <v>9.6389978691315027E-3</v>
      </c>
      <c r="L3774" s="9">
        <f>(PricingDataTable[[#This Row],[Vendor Price ($)]]-PricingDataTable[[#This Row],[Current Price ($)]])/PricingDataTable[[#This Row],[Current Price ($)]]</f>
        <v>6.8786488349220686E-4</v>
      </c>
      <c r="M3774" t="str">
        <f t="shared" si="116"/>
        <v>PASS</v>
      </c>
      <c r="N3774" s="10" t="str">
        <f t="shared" si="117"/>
        <v>NONE</v>
      </c>
    </row>
    <row r="3775" spans="1:14">
      <c r="A3775" s="4" t="s">
        <v>7566</v>
      </c>
      <c r="B3775" s="4" t="s">
        <v>7567</v>
      </c>
      <c r="C3775" s="4" t="s">
        <v>12</v>
      </c>
      <c r="D3775" s="4" t="s">
        <v>13</v>
      </c>
      <c r="E3775" s="5">
        <v>90.677499999999995</v>
      </c>
      <c r="F3775" s="5">
        <v>92.121899999999997</v>
      </c>
      <c r="G3775" s="5">
        <v>91.612399999999994</v>
      </c>
      <c r="H3775" s="4">
        <v>1</v>
      </c>
      <c r="I3775" s="6">
        <v>972641</v>
      </c>
      <c r="J3775" s="7">
        <v>454.99</v>
      </c>
      <c r="K3775" s="9">
        <f>(PricingDataTable[[#This Row],[Current Price ($)]]-PricingDataTable[[#This Row],[Prior Price ($)]])/PricingDataTable[[#This Row],[Prior Price ($)]]</f>
        <v>1.5928979074191524E-2</v>
      </c>
      <c r="L3775" s="9">
        <f>(PricingDataTable[[#This Row],[Vendor Price ($)]]-PricingDataTable[[#This Row],[Current Price ($)]])/PricingDataTable[[#This Row],[Current Price ($)]]</f>
        <v>-5.530715280514218E-3</v>
      </c>
      <c r="M3775" t="str">
        <f t="shared" si="116"/>
        <v>PASS</v>
      </c>
      <c r="N3775" s="10" t="str">
        <f t="shared" si="117"/>
        <v>NONE</v>
      </c>
    </row>
    <row r="3776" spans="1:14">
      <c r="A3776" s="4" t="s">
        <v>7568</v>
      </c>
      <c r="B3776" s="4" t="s">
        <v>7569</v>
      </c>
      <c r="C3776" s="4" t="s">
        <v>19</v>
      </c>
      <c r="D3776" s="4" t="s">
        <v>237</v>
      </c>
      <c r="E3776" s="5">
        <v>139.4042</v>
      </c>
      <c r="F3776" s="5">
        <v>139.90870000000001</v>
      </c>
      <c r="G3776" s="5">
        <v>139.76300000000001</v>
      </c>
      <c r="H3776" s="4">
        <v>0</v>
      </c>
      <c r="I3776" s="6">
        <v>146979</v>
      </c>
      <c r="J3776" s="7">
        <v>888.31</v>
      </c>
      <c r="K3776" s="9">
        <f>(PricingDataTable[[#This Row],[Current Price ($)]]-PricingDataTable[[#This Row],[Prior Price ($)]])/PricingDataTable[[#This Row],[Prior Price ($)]]</f>
        <v>3.6189727425716533E-3</v>
      </c>
      <c r="L3776" s="9">
        <f>(PricingDataTable[[#This Row],[Vendor Price ($)]]-PricingDataTable[[#This Row],[Current Price ($)]])/PricingDataTable[[#This Row],[Current Price ($)]]</f>
        <v>-1.0413934229966044E-3</v>
      </c>
      <c r="M3776" t="str">
        <f t="shared" si="116"/>
        <v>PASS</v>
      </c>
      <c r="N3776" s="10" t="str">
        <f t="shared" si="117"/>
        <v>NONE</v>
      </c>
    </row>
    <row r="3777" spans="1:14">
      <c r="A3777" s="4" t="s">
        <v>7570</v>
      </c>
      <c r="B3777" s="4" t="s">
        <v>7571</v>
      </c>
      <c r="C3777" s="4" t="s">
        <v>16</v>
      </c>
      <c r="D3777" s="4" t="s">
        <v>13</v>
      </c>
      <c r="E3777" s="5">
        <v>103.1045</v>
      </c>
      <c r="F3777" s="5">
        <v>103.2337</v>
      </c>
      <c r="G3777" s="5">
        <v>103.6433</v>
      </c>
      <c r="H3777" s="4">
        <v>1</v>
      </c>
      <c r="I3777" s="6">
        <v>4851740</v>
      </c>
      <c r="J3777" s="7">
        <v>778.4</v>
      </c>
      <c r="K3777" s="9">
        <f>(PricingDataTable[[#This Row],[Current Price ($)]]-PricingDataTable[[#This Row],[Prior Price ($)]])/PricingDataTable[[#This Row],[Prior Price ($)]]</f>
        <v>1.2530975854593866E-3</v>
      </c>
      <c r="L3777" s="9">
        <f>(PricingDataTable[[#This Row],[Vendor Price ($)]]-PricingDataTable[[#This Row],[Current Price ($)]])/PricingDataTable[[#This Row],[Current Price ($)]]</f>
        <v>3.967696595200962E-3</v>
      </c>
      <c r="M3777" t="str">
        <f t="shared" si="116"/>
        <v>PASS</v>
      </c>
      <c r="N3777" s="10" t="str">
        <f t="shared" si="117"/>
        <v>NONE</v>
      </c>
    </row>
    <row r="3778" spans="1:14">
      <c r="A3778" s="4" t="s">
        <v>7572</v>
      </c>
      <c r="B3778" s="4" t="s">
        <v>7573</v>
      </c>
      <c r="C3778" s="4" t="s">
        <v>12</v>
      </c>
      <c r="D3778" s="4" t="s">
        <v>13</v>
      </c>
      <c r="E3778" s="5">
        <v>103.94329999999999</v>
      </c>
      <c r="F3778" s="5">
        <v>102.6801</v>
      </c>
      <c r="G3778" s="5">
        <v>102.6486</v>
      </c>
      <c r="H3778" s="4">
        <v>0</v>
      </c>
      <c r="I3778" s="6">
        <v>2661526</v>
      </c>
      <c r="J3778" s="7">
        <v>593.69000000000005</v>
      </c>
      <c r="K3778" s="9">
        <f>(PricingDataTable[[#This Row],[Current Price ($)]]-PricingDataTable[[#This Row],[Prior Price ($)]])/PricingDataTable[[#This Row],[Prior Price ($)]]</f>
        <v>-1.2152779448025969E-2</v>
      </c>
      <c r="L3778" s="9">
        <f>(PricingDataTable[[#This Row],[Vendor Price ($)]]-PricingDataTable[[#This Row],[Current Price ($)]])/PricingDataTable[[#This Row],[Current Price ($)]]</f>
        <v>-3.0677804170422591E-4</v>
      </c>
      <c r="M3778" t="str">
        <f t="shared" ref="M3778:M3841" si="118">IF(OR(F3778="",F3778=0),"MISSING",IF(H3778&gt;=3,"STALE",IF(ABS(K3778)&gt;=5%,"LARGE MOVE",IF(ABS(L3778)&gt;=2%,"VENDOR DIFFERENCE","PASS"))))</f>
        <v>PASS</v>
      </c>
      <c r="N3778" s="10" t="str">
        <f t="shared" ref="N3778:N3841" si="119">IF(M3778="PASS","NONE",IF(M3778="MISSING","HIGH",IF(OR(ABS(K3778)&gt;=10%,ABS(L3778)&gt;=5%),"HIGH",IF(OR(ABS(K3778)&gt;=7%,ABS(L3778)&gt;=3%,H3778&gt;=5),"MEDIUM","LOW"))))</f>
        <v>NONE</v>
      </c>
    </row>
    <row r="3779" spans="1:14">
      <c r="A3779" s="4" t="s">
        <v>7574</v>
      </c>
      <c r="B3779" s="4" t="s">
        <v>7575</v>
      </c>
      <c r="C3779" s="4" t="s">
        <v>35</v>
      </c>
      <c r="D3779" s="4" t="s">
        <v>13</v>
      </c>
      <c r="E3779" s="5">
        <v>32.185299999999998</v>
      </c>
      <c r="F3779" s="5">
        <v>32.877000000000002</v>
      </c>
      <c r="G3779" s="5">
        <v>32.909100000000002</v>
      </c>
      <c r="H3779" s="4">
        <v>0</v>
      </c>
      <c r="I3779" s="6">
        <v>4436130</v>
      </c>
      <c r="J3779" s="7">
        <v>696.46</v>
      </c>
      <c r="K3779" s="9">
        <f>(PricingDataTable[[#This Row],[Current Price ($)]]-PricingDataTable[[#This Row],[Prior Price ($)]])/PricingDataTable[[#This Row],[Prior Price ($)]]</f>
        <v>2.1491177649423945E-2</v>
      </c>
      <c r="L3779" s="9">
        <f>(PricingDataTable[[#This Row],[Vendor Price ($)]]-PricingDataTable[[#This Row],[Current Price ($)]])/PricingDataTable[[#This Row],[Current Price ($)]]</f>
        <v>9.763664567934968E-4</v>
      </c>
      <c r="M3779" t="str">
        <f t="shared" si="118"/>
        <v>PASS</v>
      </c>
      <c r="N3779" s="10" t="str">
        <f t="shared" si="119"/>
        <v>NONE</v>
      </c>
    </row>
    <row r="3780" spans="1:14">
      <c r="A3780" s="4" t="s">
        <v>7576</v>
      </c>
      <c r="B3780" s="4" t="s">
        <v>7577</v>
      </c>
      <c r="C3780" s="4" t="s">
        <v>19</v>
      </c>
      <c r="D3780" s="4" t="s">
        <v>64</v>
      </c>
      <c r="E3780" s="5">
        <v>190.86799999999999</v>
      </c>
      <c r="F3780" s="5">
        <v>189.01669999999999</v>
      </c>
      <c r="G3780" s="5">
        <v>188.25409999999999</v>
      </c>
      <c r="H3780" s="4">
        <v>0</v>
      </c>
      <c r="I3780" s="6">
        <v>2432397</v>
      </c>
      <c r="J3780" s="7">
        <v>555.47</v>
      </c>
      <c r="K3780" s="9">
        <f>(PricingDataTable[[#This Row],[Current Price ($)]]-PricingDataTable[[#This Row],[Prior Price ($)]])/PricingDataTable[[#This Row],[Prior Price ($)]]</f>
        <v>-9.6993733889389998E-3</v>
      </c>
      <c r="L3780" s="9">
        <f>(PricingDataTable[[#This Row],[Vendor Price ($)]]-PricingDataTable[[#This Row],[Current Price ($)]])/PricingDataTable[[#This Row],[Current Price ($)]]</f>
        <v>-4.0345641416869088E-3</v>
      </c>
      <c r="M3780" t="str">
        <f t="shared" si="118"/>
        <v>PASS</v>
      </c>
      <c r="N3780" s="10" t="str">
        <f t="shared" si="119"/>
        <v>NONE</v>
      </c>
    </row>
    <row r="3781" spans="1:14">
      <c r="A3781" s="4" t="s">
        <v>7578</v>
      </c>
      <c r="B3781" s="4" t="s">
        <v>7579</v>
      </c>
      <c r="C3781" s="4" t="s">
        <v>16</v>
      </c>
      <c r="D3781" s="4" t="s">
        <v>13</v>
      </c>
      <c r="E3781" s="5">
        <v>86.625500000000002</v>
      </c>
      <c r="F3781" s="5">
        <v>88.916200000000003</v>
      </c>
      <c r="G3781" s="5">
        <v>88.845699999999994</v>
      </c>
      <c r="H3781" s="4">
        <v>0</v>
      </c>
      <c r="I3781" s="6">
        <v>1373246</v>
      </c>
      <c r="J3781" s="7">
        <v>842.22</v>
      </c>
      <c r="K3781" s="9">
        <f>(PricingDataTable[[#This Row],[Current Price ($)]]-PricingDataTable[[#This Row],[Prior Price ($)]])/PricingDataTable[[#This Row],[Prior Price ($)]]</f>
        <v>2.6443714610593892E-2</v>
      </c>
      <c r="L3781" s="9">
        <f>(PricingDataTable[[#This Row],[Vendor Price ($)]]-PricingDataTable[[#This Row],[Current Price ($)]])/PricingDataTable[[#This Row],[Current Price ($)]]</f>
        <v>-7.9288138719389462E-4</v>
      </c>
      <c r="M3781" t="str">
        <f t="shared" si="118"/>
        <v>PASS</v>
      </c>
      <c r="N3781" s="10" t="str">
        <f t="shared" si="119"/>
        <v>NONE</v>
      </c>
    </row>
    <row r="3782" spans="1:14">
      <c r="A3782" s="4" t="s">
        <v>7580</v>
      </c>
      <c r="B3782" s="4" t="s">
        <v>7581</v>
      </c>
      <c r="C3782" s="4" t="s">
        <v>39</v>
      </c>
      <c r="D3782" s="4" t="s">
        <v>13</v>
      </c>
      <c r="E3782" s="5">
        <v>177.8716</v>
      </c>
      <c r="F3782" s="5">
        <v>179.40129999999999</v>
      </c>
      <c r="G3782" s="5">
        <v>178.75210000000001</v>
      </c>
      <c r="H3782" s="4">
        <v>0</v>
      </c>
      <c r="I3782" s="6">
        <v>3975767</v>
      </c>
      <c r="J3782" s="7">
        <v>77.61</v>
      </c>
      <c r="K3782" s="9">
        <f>(PricingDataTable[[#This Row],[Current Price ($)]]-PricingDataTable[[#This Row],[Prior Price ($)]])/PricingDataTable[[#This Row],[Prior Price ($)]]</f>
        <v>8.6000238374197516E-3</v>
      </c>
      <c r="L3782" s="9">
        <f>(PricingDataTable[[#This Row],[Vendor Price ($)]]-PricingDataTable[[#This Row],[Current Price ($)]])/PricingDataTable[[#This Row],[Current Price ($)]]</f>
        <v>-3.6187028745052526E-3</v>
      </c>
      <c r="M3782" t="str">
        <f t="shared" si="118"/>
        <v>PASS</v>
      </c>
      <c r="N3782" s="10" t="str">
        <f t="shared" si="119"/>
        <v>NONE</v>
      </c>
    </row>
    <row r="3783" spans="1:14">
      <c r="A3783" s="4" t="s">
        <v>7582</v>
      </c>
      <c r="B3783" s="4" t="s">
        <v>7583</v>
      </c>
      <c r="C3783" s="4" t="s">
        <v>12</v>
      </c>
      <c r="D3783" s="4" t="s">
        <v>13</v>
      </c>
      <c r="E3783" s="5">
        <v>86.295400000000001</v>
      </c>
      <c r="F3783" s="5">
        <v>86.625299999999996</v>
      </c>
      <c r="G3783" s="5">
        <v>86.648499999999999</v>
      </c>
      <c r="H3783" s="4">
        <v>0</v>
      </c>
      <c r="I3783" s="6">
        <v>2196397</v>
      </c>
      <c r="J3783" s="7">
        <v>95.11</v>
      </c>
      <c r="K3783" s="9">
        <f>(PricingDataTable[[#This Row],[Current Price ($)]]-PricingDataTable[[#This Row],[Prior Price ($)]])/PricingDataTable[[#This Row],[Prior Price ($)]]</f>
        <v>3.8229152422955912E-3</v>
      </c>
      <c r="L3783" s="9">
        <f>(PricingDataTable[[#This Row],[Vendor Price ($)]]-PricingDataTable[[#This Row],[Current Price ($)]])/PricingDataTable[[#This Row],[Current Price ($)]]</f>
        <v>2.6782014030546245E-4</v>
      </c>
      <c r="M3783" t="str">
        <f t="shared" si="118"/>
        <v>PASS</v>
      </c>
      <c r="N3783" s="10" t="str">
        <f t="shared" si="119"/>
        <v>NONE</v>
      </c>
    </row>
    <row r="3784" spans="1:14">
      <c r="A3784" s="4" t="s">
        <v>7584</v>
      </c>
      <c r="B3784" s="4" t="s">
        <v>7585</v>
      </c>
      <c r="C3784" s="4" t="s">
        <v>19</v>
      </c>
      <c r="D3784" s="4" t="s">
        <v>13</v>
      </c>
      <c r="E3784" s="5">
        <v>188.73490000000001</v>
      </c>
      <c r="F3784" s="5">
        <v>189.5412</v>
      </c>
      <c r="G3784" s="5">
        <v>189.5642</v>
      </c>
      <c r="H3784" s="4">
        <v>0</v>
      </c>
      <c r="I3784" s="6">
        <v>1414581</v>
      </c>
      <c r="J3784" s="7">
        <v>649.35</v>
      </c>
      <c r="K3784" s="9">
        <f>(PricingDataTable[[#This Row],[Current Price ($)]]-PricingDataTable[[#This Row],[Prior Price ($)]])/PricingDataTable[[#This Row],[Prior Price ($)]]</f>
        <v>4.2721298498581504E-3</v>
      </c>
      <c r="L3784" s="9">
        <f>(PricingDataTable[[#This Row],[Vendor Price ($)]]-PricingDataTable[[#This Row],[Current Price ($)]])/PricingDataTable[[#This Row],[Current Price ($)]]</f>
        <v>1.2134564938913616E-4</v>
      </c>
      <c r="M3784" t="str">
        <f t="shared" si="118"/>
        <v>PASS</v>
      </c>
      <c r="N3784" s="10" t="str">
        <f t="shared" si="119"/>
        <v>NONE</v>
      </c>
    </row>
    <row r="3785" spans="1:14">
      <c r="A3785" s="4" t="s">
        <v>7586</v>
      </c>
      <c r="B3785" s="4" t="s">
        <v>7587</v>
      </c>
      <c r="C3785" s="4" t="s">
        <v>12</v>
      </c>
      <c r="D3785" s="4" t="s">
        <v>13</v>
      </c>
      <c r="E3785" s="5">
        <v>75.401399999999995</v>
      </c>
      <c r="F3785" s="5">
        <v>76.797300000000007</v>
      </c>
      <c r="G3785" s="5">
        <v>77.034499999999994</v>
      </c>
      <c r="H3785" s="4">
        <v>0</v>
      </c>
      <c r="I3785" s="6">
        <v>4686647</v>
      </c>
      <c r="J3785" s="7">
        <v>777.99</v>
      </c>
      <c r="K3785" s="9">
        <f>(PricingDataTable[[#This Row],[Current Price ($)]]-PricingDataTable[[#This Row],[Prior Price ($)]])/PricingDataTable[[#This Row],[Prior Price ($)]]</f>
        <v>1.8512918858270694E-2</v>
      </c>
      <c r="L3785" s="9">
        <f>(PricingDataTable[[#This Row],[Vendor Price ($)]]-PricingDataTable[[#This Row],[Current Price ($)]])/PricingDataTable[[#This Row],[Current Price ($)]]</f>
        <v>3.0886502520269224E-3</v>
      </c>
      <c r="M3785" t="str">
        <f t="shared" si="118"/>
        <v>PASS</v>
      </c>
      <c r="N3785" s="10" t="str">
        <f t="shared" si="119"/>
        <v>NONE</v>
      </c>
    </row>
    <row r="3786" spans="1:14">
      <c r="A3786" s="4" t="s">
        <v>7588</v>
      </c>
      <c r="B3786" s="4" t="s">
        <v>7589</v>
      </c>
      <c r="C3786" s="4" t="s">
        <v>19</v>
      </c>
      <c r="D3786" s="4" t="s">
        <v>32</v>
      </c>
      <c r="E3786" s="5">
        <v>329.15120000000002</v>
      </c>
      <c r="F3786" s="5">
        <v>328.84010000000001</v>
      </c>
      <c r="G3786" s="5">
        <v>329.584</v>
      </c>
      <c r="H3786" s="4">
        <v>0</v>
      </c>
      <c r="I3786" s="6">
        <v>2603570</v>
      </c>
      <c r="J3786" s="7">
        <v>383.77</v>
      </c>
      <c r="K3786" s="9">
        <f>(PricingDataTable[[#This Row],[Current Price ($)]]-PricingDataTable[[#This Row],[Prior Price ($)]])/PricingDataTable[[#This Row],[Prior Price ($)]]</f>
        <v>-9.4515833452835769E-4</v>
      </c>
      <c r="L3786" s="9">
        <f>(PricingDataTable[[#This Row],[Vendor Price ($)]]-PricingDataTable[[#This Row],[Current Price ($)]])/PricingDataTable[[#This Row],[Current Price ($)]]</f>
        <v>2.262193692314278E-3</v>
      </c>
      <c r="M3786" t="str">
        <f t="shared" si="118"/>
        <v>PASS</v>
      </c>
      <c r="N3786" s="10" t="str">
        <f t="shared" si="119"/>
        <v>NONE</v>
      </c>
    </row>
    <row r="3787" spans="1:14">
      <c r="A3787" s="4" t="s">
        <v>7590</v>
      </c>
      <c r="B3787" s="4" t="s">
        <v>7591</v>
      </c>
      <c r="C3787" s="4" t="s">
        <v>16</v>
      </c>
      <c r="D3787" s="4" t="s">
        <v>13</v>
      </c>
      <c r="E3787" s="5">
        <v>102.2668</v>
      </c>
      <c r="F3787" s="5">
        <v>102.6622</v>
      </c>
      <c r="G3787" s="5">
        <v>102.4778</v>
      </c>
      <c r="H3787" s="4">
        <v>1</v>
      </c>
      <c r="I3787" s="6">
        <v>4954902</v>
      </c>
      <c r="J3787" s="7">
        <v>94.02</v>
      </c>
      <c r="K3787" s="9">
        <f>(PricingDataTable[[#This Row],[Current Price ($)]]-PricingDataTable[[#This Row],[Prior Price ($)]])/PricingDataTable[[#This Row],[Prior Price ($)]]</f>
        <v>3.8663574102249711E-3</v>
      </c>
      <c r="L3787" s="9">
        <f>(PricingDataTable[[#This Row],[Vendor Price ($)]]-PricingDataTable[[#This Row],[Current Price ($)]])/PricingDataTable[[#This Row],[Current Price ($)]]</f>
        <v>-1.7961820416861958E-3</v>
      </c>
      <c r="M3787" t="str">
        <f t="shared" si="118"/>
        <v>PASS</v>
      </c>
      <c r="N3787" s="10" t="str">
        <f t="shared" si="119"/>
        <v>NONE</v>
      </c>
    </row>
    <row r="3788" spans="1:14">
      <c r="A3788" s="4" t="s">
        <v>7592</v>
      </c>
      <c r="B3788" s="4" t="s">
        <v>7593</v>
      </c>
      <c r="C3788" s="4" t="s">
        <v>39</v>
      </c>
      <c r="D3788" s="4" t="s">
        <v>13</v>
      </c>
      <c r="E3788" s="5">
        <v>214.31399999999999</v>
      </c>
      <c r="F3788" s="5">
        <v>194.33680000000001</v>
      </c>
      <c r="G3788" s="5">
        <v>193.5812</v>
      </c>
      <c r="H3788" s="4">
        <v>0</v>
      </c>
      <c r="I3788" s="6">
        <v>1018444</v>
      </c>
      <c r="J3788" s="7">
        <v>509.99</v>
      </c>
      <c r="K3788" s="9">
        <f>(PricingDataTable[[#This Row],[Current Price ($)]]-PricingDataTable[[#This Row],[Prior Price ($)]])/PricingDataTable[[#This Row],[Prior Price ($)]]</f>
        <v>-9.3214629002304955E-2</v>
      </c>
      <c r="L3788" s="9">
        <f>(PricingDataTable[[#This Row],[Vendor Price ($)]]-PricingDataTable[[#This Row],[Current Price ($)]])/PricingDataTable[[#This Row],[Current Price ($)]]</f>
        <v>-3.8880953067047279E-3</v>
      </c>
      <c r="M3788" t="str">
        <f t="shared" si="118"/>
        <v>LARGE MOVE</v>
      </c>
      <c r="N3788" s="10" t="str">
        <f t="shared" si="119"/>
        <v>MEDIUM</v>
      </c>
    </row>
    <row r="3789" spans="1:14">
      <c r="A3789" s="4" t="s">
        <v>7594</v>
      </c>
      <c r="B3789" s="4" t="s">
        <v>7595</v>
      </c>
      <c r="C3789" s="4" t="s">
        <v>16</v>
      </c>
      <c r="D3789" s="4" t="s">
        <v>64</v>
      </c>
      <c r="E3789" s="5">
        <v>81.780799999999999</v>
      </c>
      <c r="F3789" s="5">
        <v>80.559299999999993</v>
      </c>
      <c r="G3789" s="5">
        <v>80.768900000000002</v>
      </c>
      <c r="H3789" s="4">
        <v>2</v>
      </c>
      <c r="I3789" s="6">
        <v>3839345</v>
      </c>
      <c r="J3789" s="7">
        <v>782.39</v>
      </c>
      <c r="K3789" s="9">
        <f>(PricingDataTable[[#This Row],[Current Price ($)]]-PricingDataTable[[#This Row],[Prior Price ($)]])/PricingDataTable[[#This Row],[Prior Price ($)]]</f>
        <v>-1.4936268659636565E-2</v>
      </c>
      <c r="L3789" s="9">
        <f>(PricingDataTable[[#This Row],[Vendor Price ($)]]-PricingDataTable[[#This Row],[Current Price ($)]])/PricingDataTable[[#This Row],[Current Price ($)]]</f>
        <v>2.6018100951722386E-3</v>
      </c>
      <c r="M3789" t="str">
        <f t="shared" si="118"/>
        <v>PASS</v>
      </c>
      <c r="N3789" s="10" t="str">
        <f t="shared" si="119"/>
        <v>NONE</v>
      </c>
    </row>
    <row r="3790" spans="1:14">
      <c r="A3790" s="4" t="s">
        <v>7596</v>
      </c>
      <c r="B3790" s="4" t="s">
        <v>7597</v>
      </c>
      <c r="C3790" s="4" t="s">
        <v>12</v>
      </c>
      <c r="D3790" s="4" t="s">
        <v>13</v>
      </c>
      <c r="E3790" s="5">
        <v>106.7032</v>
      </c>
      <c r="F3790" s="5">
        <v>106.289</v>
      </c>
      <c r="G3790" s="5">
        <v>105.9965</v>
      </c>
      <c r="H3790" s="4">
        <v>0</v>
      </c>
      <c r="I3790" s="6">
        <v>3775194</v>
      </c>
      <c r="J3790" s="7">
        <v>398.2</v>
      </c>
      <c r="K3790" s="9">
        <f>(PricingDataTable[[#This Row],[Current Price ($)]]-PricingDataTable[[#This Row],[Prior Price ($)]])/PricingDataTable[[#This Row],[Prior Price ($)]]</f>
        <v>-3.8817954850463147E-3</v>
      </c>
      <c r="L3790" s="9">
        <f>(PricingDataTable[[#This Row],[Vendor Price ($)]]-PricingDataTable[[#This Row],[Current Price ($)]])/PricingDataTable[[#This Row],[Current Price ($)]]</f>
        <v>-2.7519310558948148E-3</v>
      </c>
      <c r="M3790" t="str">
        <f t="shared" si="118"/>
        <v>PASS</v>
      </c>
      <c r="N3790" s="10" t="str">
        <f t="shared" si="119"/>
        <v>NONE</v>
      </c>
    </row>
    <row r="3791" spans="1:14">
      <c r="A3791" s="4" t="s">
        <v>7598</v>
      </c>
      <c r="B3791" s="4" t="s">
        <v>7599</v>
      </c>
      <c r="C3791" s="4" t="s">
        <v>35</v>
      </c>
      <c r="D3791" s="4" t="s">
        <v>13</v>
      </c>
      <c r="E3791" s="5">
        <v>79.195999999999998</v>
      </c>
      <c r="F3791" s="5">
        <v>79.511899999999997</v>
      </c>
      <c r="G3791" s="5">
        <v>79.855800000000002</v>
      </c>
      <c r="H3791" s="4">
        <v>0</v>
      </c>
      <c r="I3791" s="6">
        <v>3452713</v>
      </c>
      <c r="J3791" s="7">
        <v>472.13</v>
      </c>
      <c r="K3791" s="9">
        <f>(PricingDataTable[[#This Row],[Current Price ($)]]-PricingDataTable[[#This Row],[Prior Price ($)]])/PricingDataTable[[#This Row],[Prior Price ($)]]</f>
        <v>3.9888378200919139E-3</v>
      </c>
      <c r="L3791" s="9">
        <f>(PricingDataTable[[#This Row],[Vendor Price ($)]]-PricingDataTable[[#This Row],[Current Price ($)]])/PricingDataTable[[#This Row],[Current Price ($)]]</f>
        <v>4.3251387528156788E-3</v>
      </c>
      <c r="M3791" t="str">
        <f t="shared" si="118"/>
        <v>PASS</v>
      </c>
      <c r="N3791" s="10" t="str">
        <f t="shared" si="119"/>
        <v>NONE</v>
      </c>
    </row>
    <row r="3792" spans="1:14">
      <c r="A3792" s="4" t="s">
        <v>7600</v>
      </c>
      <c r="B3792" s="4" t="s">
        <v>7601</v>
      </c>
      <c r="C3792" s="4" t="s">
        <v>39</v>
      </c>
      <c r="D3792" s="4" t="s">
        <v>13</v>
      </c>
      <c r="E3792" s="5">
        <v>316.10129999999998</v>
      </c>
      <c r="F3792" s="5">
        <v>313.29250000000002</v>
      </c>
      <c r="G3792" s="5">
        <v>312.9864</v>
      </c>
      <c r="H3792" s="4">
        <v>3</v>
      </c>
      <c r="I3792" s="6">
        <v>4718664</v>
      </c>
      <c r="J3792" s="7">
        <v>450.2</v>
      </c>
      <c r="K3792" s="9">
        <f>(PricingDataTable[[#This Row],[Current Price ($)]]-PricingDataTable[[#This Row],[Prior Price ($)]])/PricingDataTable[[#This Row],[Prior Price ($)]]</f>
        <v>-8.8857590905192813E-3</v>
      </c>
      <c r="L3792" s="9">
        <f>(PricingDataTable[[#This Row],[Vendor Price ($)]]-PricingDataTable[[#This Row],[Current Price ($)]])/PricingDataTable[[#This Row],[Current Price ($)]]</f>
        <v>-9.7704222092777479E-4</v>
      </c>
      <c r="M3792" t="str">
        <f t="shared" si="118"/>
        <v>STALE</v>
      </c>
      <c r="N3792" s="10" t="str">
        <f t="shared" si="119"/>
        <v>LOW</v>
      </c>
    </row>
    <row r="3793" spans="1:14">
      <c r="A3793" s="4" t="s">
        <v>7602</v>
      </c>
      <c r="B3793" s="4" t="s">
        <v>7603</v>
      </c>
      <c r="C3793" s="4" t="s">
        <v>19</v>
      </c>
      <c r="D3793" s="4" t="s">
        <v>13</v>
      </c>
      <c r="E3793" s="5">
        <v>288.12290000000002</v>
      </c>
      <c r="F3793" s="5">
        <v>290.85930000000002</v>
      </c>
      <c r="G3793" s="5">
        <v>301.9538</v>
      </c>
      <c r="H3793" s="4">
        <v>4</v>
      </c>
      <c r="I3793" s="6">
        <v>1135965</v>
      </c>
      <c r="J3793" s="7">
        <v>60.23</v>
      </c>
      <c r="K3793" s="9">
        <f>(PricingDataTable[[#This Row],[Current Price ($)]]-PricingDataTable[[#This Row],[Prior Price ($)]])/PricingDataTable[[#This Row],[Prior Price ($)]]</f>
        <v>9.4973360326444135E-3</v>
      </c>
      <c r="L3793" s="9">
        <f>(PricingDataTable[[#This Row],[Vendor Price ($)]]-PricingDataTable[[#This Row],[Current Price ($)]])/PricingDataTable[[#This Row],[Current Price ($)]]</f>
        <v>3.814387231214536E-2</v>
      </c>
      <c r="M3793" t="str">
        <f t="shared" si="118"/>
        <v>STALE</v>
      </c>
      <c r="N3793" s="10" t="str">
        <f t="shared" si="119"/>
        <v>MEDIUM</v>
      </c>
    </row>
    <row r="3794" spans="1:14">
      <c r="A3794" s="4" t="s">
        <v>7604</v>
      </c>
      <c r="B3794" s="4" t="s">
        <v>7605</v>
      </c>
      <c r="C3794" s="4" t="s">
        <v>12</v>
      </c>
      <c r="D3794" s="4" t="s">
        <v>13</v>
      </c>
      <c r="E3794" s="5">
        <v>96.940700000000007</v>
      </c>
      <c r="F3794" s="5">
        <v>96.286600000000007</v>
      </c>
      <c r="G3794" s="5">
        <v>96.221800000000002</v>
      </c>
      <c r="H3794" s="4">
        <v>0</v>
      </c>
      <c r="I3794" s="6">
        <v>1313199</v>
      </c>
      <c r="J3794" s="7">
        <v>529.66</v>
      </c>
      <c r="K3794" s="9">
        <f>(PricingDataTable[[#This Row],[Current Price ($)]]-PricingDataTable[[#This Row],[Prior Price ($)]])/PricingDataTable[[#This Row],[Prior Price ($)]]</f>
        <v>-6.7474239406152383E-3</v>
      </c>
      <c r="L3794" s="9">
        <f>(PricingDataTable[[#This Row],[Vendor Price ($)]]-PricingDataTable[[#This Row],[Current Price ($)]])/PricingDataTable[[#This Row],[Current Price ($)]]</f>
        <v>-6.7299084192406101E-4</v>
      </c>
      <c r="M3794" t="str">
        <f t="shared" si="118"/>
        <v>PASS</v>
      </c>
      <c r="N3794" s="10" t="str">
        <f t="shared" si="119"/>
        <v>NONE</v>
      </c>
    </row>
    <row r="3795" spans="1:14">
      <c r="A3795" s="4" t="s">
        <v>7606</v>
      </c>
      <c r="B3795" s="4" t="s">
        <v>7607</v>
      </c>
      <c r="C3795" s="4" t="s">
        <v>39</v>
      </c>
      <c r="D3795" s="4" t="s">
        <v>64</v>
      </c>
      <c r="E3795" s="5">
        <v>178.9743</v>
      </c>
      <c r="F3795" s="5">
        <v>177.86670000000001</v>
      </c>
      <c r="G3795" s="5">
        <v>177.61320000000001</v>
      </c>
      <c r="H3795" s="4">
        <v>0</v>
      </c>
      <c r="I3795" s="6">
        <v>4884104</v>
      </c>
      <c r="J3795" s="7">
        <v>653.11</v>
      </c>
      <c r="K3795" s="9">
        <f>(PricingDataTable[[#This Row],[Current Price ($)]]-PricingDataTable[[#This Row],[Prior Price ($)]])/PricingDataTable[[#This Row],[Prior Price ($)]]</f>
        <v>-6.1885980277614763E-3</v>
      </c>
      <c r="L3795" s="9">
        <f>(PricingDataTable[[#This Row],[Vendor Price ($)]]-PricingDataTable[[#This Row],[Current Price ($)]])/PricingDataTable[[#This Row],[Current Price ($)]]</f>
        <v>-1.4252246204601675E-3</v>
      </c>
      <c r="M3795" t="str">
        <f t="shared" si="118"/>
        <v>PASS</v>
      </c>
      <c r="N3795" s="10" t="str">
        <f t="shared" si="119"/>
        <v>NONE</v>
      </c>
    </row>
    <row r="3796" spans="1:14">
      <c r="A3796" s="4" t="s">
        <v>7608</v>
      </c>
      <c r="B3796" s="4" t="s">
        <v>7609</v>
      </c>
      <c r="C3796" s="4" t="s">
        <v>39</v>
      </c>
      <c r="D3796" s="4" t="s">
        <v>13</v>
      </c>
      <c r="E3796" s="5">
        <v>51.569899999999997</v>
      </c>
      <c r="F3796" s="5">
        <v>51.214100000000002</v>
      </c>
      <c r="G3796" s="5">
        <v>51.01</v>
      </c>
      <c r="H3796" s="4">
        <v>1</v>
      </c>
      <c r="I3796" s="6">
        <v>4128731</v>
      </c>
      <c r="J3796" s="7">
        <v>279.39</v>
      </c>
      <c r="K3796" s="9">
        <f>(PricingDataTable[[#This Row],[Current Price ($)]]-PricingDataTable[[#This Row],[Prior Price ($)]])/PricingDataTable[[#This Row],[Prior Price ($)]]</f>
        <v>-6.8993734717343845E-3</v>
      </c>
      <c r="L3796" s="9">
        <f>(PricingDataTable[[#This Row],[Vendor Price ($)]]-PricingDataTable[[#This Row],[Current Price ($)]])/PricingDataTable[[#This Row],[Current Price ($)]]</f>
        <v>-3.9852306298461546E-3</v>
      </c>
      <c r="M3796" t="str">
        <f t="shared" si="118"/>
        <v>PASS</v>
      </c>
      <c r="N3796" s="10" t="str">
        <f t="shared" si="119"/>
        <v>NONE</v>
      </c>
    </row>
    <row r="3797" spans="1:14">
      <c r="A3797" s="4" t="s">
        <v>7610</v>
      </c>
      <c r="B3797" s="4" t="s">
        <v>7611</v>
      </c>
      <c r="C3797" s="4" t="s">
        <v>12</v>
      </c>
      <c r="D3797" s="4" t="s">
        <v>237</v>
      </c>
      <c r="E3797" s="5">
        <v>89.263400000000004</v>
      </c>
      <c r="F3797" s="5">
        <v>89.205500000000001</v>
      </c>
      <c r="G3797" s="5">
        <v>88.896199999999993</v>
      </c>
      <c r="H3797" s="4">
        <v>1</v>
      </c>
      <c r="I3797" s="6">
        <v>2653450</v>
      </c>
      <c r="J3797" s="7">
        <v>745.89</v>
      </c>
      <c r="K3797" s="9">
        <f>(PricingDataTable[[#This Row],[Current Price ($)]]-PricingDataTable[[#This Row],[Prior Price ($)]])/PricingDataTable[[#This Row],[Prior Price ($)]]</f>
        <v>-6.4864210863583075E-4</v>
      </c>
      <c r="L3797" s="9">
        <f>(PricingDataTable[[#This Row],[Vendor Price ($)]]-PricingDataTable[[#This Row],[Current Price ($)]])/PricingDataTable[[#This Row],[Current Price ($)]]</f>
        <v>-3.4672749998599576E-3</v>
      </c>
      <c r="M3797" t="str">
        <f t="shared" si="118"/>
        <v>PASS</v>
      </c>
      <c r="N3797" s="10" t="str">
        <f t="shared" si="119"/>
        <v>NONE</v>
      </c>
    </row>
    <row r="3798" spans="1:14">
      <c r="A3798" s="4" t="s">
        <v>7612</v>
      </c>
      <c r="B3798" s="4" t="s">
        <v>7613</v>
      </c>
      <c r="C3798" s="4" t="s">
        <v>19</v>
      </c>
      <c r="D3798" s="4" t="s">
        <v>13</v>
      </c>
      <c r="E3798" s="5">
        <v>291.98739999999998</v>
      </c>
      <c r="F3798" s="5">
        <v>298.82209999999998</v>
      </c>
      <c r="G3798" s="5">
        <v>298.53339999999997</v>
      </c>
      <c r="H3798" s="4">
        <v>0</v>
      </c>
      <c r="I3798" s="6">
        <v>3287628</v>
      </c>
      <c r="J3798" s="7">
        <v>867.56</v>
      </c>
      <c r="K3798" s="9">
        <f>(PricingDataTable[[#This Row],[Current Price ($)]]-PricingDataTable[[#This Row],[Prior Price ($)]])/PricingDataTable[[#This Row],[Prior Price ($)]]</f>
        <v>2.340751689970183E-2</v>
      </c>
      <c r="L3798" s="9">
        <f>(PricingDataTable[[#This Row],[Vendor Price ($)]]-PricingDataTable[[#This Row],[Current Price ($)]])/PricingDataTable[[#This Row],[Current Price ($)]]</f>
        <v>-9.6612666867680055E-4</v>
      </c>
      <c r="M3798" t="str">
        <f t="shared" si="118"/>
        <v>PASS</v>
      </c>
      <c r="N3798" s="10" t="str">
        <f t="shared" si="119"/>
        <v>NONE</v>
      </c>
    </row>
    <row r="3799" spans="1:14">
      <c r="A3799" s="4" t="s">
        <v>7614</v>
      </c>
      <c r="B3799" s="4" t="s">
        <v>7615</v>
      </c>
      <c r="C3799" s="4" t="s">
        <v>19</v>
      </c>
      <c r="D3799" s="4" t="s">
        <v>13</v>
      </c>
      <c r="E3799" s="5">
        <v>64.071899999999999</v>
      </c>
      <c r="F3799" s="5">
        <v>63.937600000000003</v>
      </c>
      <c r="G3799" s="5">
        <v>63.8812</v>
      </c>
      <c r="H3799" s="4">
        <v>2</v>
      </c>
      <c r="I3799" s="6">
        <v>3556479</v>
      </c>
      <c r="J3799" s="7">
        <v>404.05</v>
      </c>
      <c r="K3799" s="9">
        <f>(PricingDataTable[[#This Row],[Current Price ($)]]-PricingDataTable[[#This Row],[Prior Price ($)]])/PricingDataTable[[#This Row],[Prior Price ($)]]</f>
        <v>-2.0960826821117538E-3</v>
      </c>
      <c r="L3799" s="9">
        <f>(PricingDataTable[[#This Row],[Vendor Price ($)]]-PricingDataTable[[#This Row],[Current Price ($)]])/PricingDataTable[[#This Row],[Current Price ($)]]</f>
        <v>-8.8211005730592885E-4</v>
      </c>
      <c r="M3799" t="str">
        <f t="shared" si="118"/>
        <v>PASS</v>
      </c>
      <c r="N3799" s="10" t="str">
        <f t="shared" si="119"/>
        <v>NONE</v>
      </c>
    </row>
    <row r="3800" spans="1:14">
      <c r="A3800" s="4" t="s">
        <v>7616</v>
      </c>
      <c r="B3800" s="4" t="s">
        <v>7617</v>
      </c>
      <c r="C3800" s="4" t="s">
        <v>19</v>
      </c>
      <c r="D3800" s="4" t="s">
        <v>13</v>
      </c>
      <c r="E3800" s="5">
        <v>166.9504</v>
      </c>
      <c r="F3800" s="5">
        <v>170.4649</v>
      </c>
      <c r="G3800" s="5">
        <v>170.50579999999999</v>
      </c>
      <c r="H3800" s="4">
        <v>0</v>
      </c>
      <c r="I3800" s="6">
        <v>659589</v>
      </c>
      <c r="J3800" s="7">
        <v>819.07</v>
      </c>
      <c r="K3800" s="9">
        <f>(PricingDataTable[[#This Row],[Current Price ($)]]-PricingDataTable[[#This Row],[Prior Price ($)]])/PricingDataTable[[#This Row],[Prior Price ($)]]</f>
        <v>2.1051162500958356E-2</v>
      </c>
      <c r="L3800" s="9">
        <f>(PricingDataTable[[#This Row],[Vendor Price ($)]]-PricingDataTable[[#This Row],[Current Price ($)]])/PricingDataTable[[#This Row],[Current Price ($)]]</f>
        <v>2.3993209159183795E-4</v>
      </c>
      <c r="M3800" t="str">
        <f t="shared" si="118"/>
        <v>PASS</v>
      </c>
      <c r="N3800" s="10" t="str">
        <f t="shared" si="119"/>
        <v>NONE</v>
      </c>
    </row>
    <row r="3801" spans="1:14">
      <c r="A3801" s="4" t="s">
        <v>7618</v>
      </c>
      <c r="B3801" s="4" t="s">
        <v>7619</v>
      </c>
      <c r="C3801" s="4" t="s">
        <v>35</v>
      </c>
      <c r="D3801" s="4" t="s">
        <v>237</v>
      </c>
      <c r="E3801" s="5">
        <v>28.673200000000001</v>
      </c>
      <c r="F3801" s="5">
        <v>28.8155</v>
      </c>
      <c r="G3801" s="5">
        <v>28.834800000000001</v>
      </c>
      <c r="H3801" s="4">
        <v>0</v>
      </c>
      <c r="I3801" s="6">
        <v>3228842</v>
      </c>
      <c r="J3801" s="7">
        <v>98.27</v>
      </c>
      <c r="K3801" s="9">
        <f>(PricingDataTable[[#This Row],[Current Price ($)]]-PricingDataTable[[#This Row],[Prior Price ($)]])/PricingDataTable[[#This Row],[Prior Price ($)]]</f>
        <v>4.9628224265167043E-3</v>
      </c>
      <c r="L3801" s="9">
        <f>(PricingDataTable[[#This Row],[Vendor Price ($)]]-PricingDataTable[[#This Row],[Current Price ($)]])/PricingDataTable[[#This Row],[Current Price ($)]]</f>
        <v>6.6977841786542672E-4</v>
      </c>
      <c r="M3801" t="str">
        <f t="shared" si="118"/>
        <v>PASS</v>
      </c>
      <c r="N3801" s="10" t="str">
        <f t="shared" si="119"/>
        <v>NONE</v>
      </c>
    </row>
    <row r="3802" spans="1:14">
      <c r="A3802" s="4" t="s">
        <v>7620</v>
      </c>
      <c r="B3802" s="4" t="s">
        <v>7621</v>
      </c>
      <c r="C3802" s="4" t="s">
        <v>16</v>
      </c>
      <c r="D3802" s="4" t="s">
        <v>13</v>
      </c>
      <c r="E3802" s="5">
        <v>121.91379999999999</v>
      </c>
      <c r="F3802" s="5">
        <v>119.6361</v>
      </c>
      <c r="G3802" s="5">
        <v>119.6979</v>
      </c>
      <c r="H3802" s="4">
        <v>1</v>
      </c>
      <c r="I3802" s="6">
        <v>721506</v>
      </c>
      <c r="J3802" s="7">
        <v>725.95</v>
      </c>
      <c r="K3802" s="9">
        <f>(PricingDataTable[[#This Row],[Current Price ($)]]-PricingDataTable[[#This Row],[Prior Price ($)]])/PricingDataTable[[#This Row],[Prior Price ($)]]</f>
        <v>-1.8682872652644705E-2</v>
      </c>
      <c r="L3802" s="9">
        <f>(PricingDataTable[[#This Row],[Vendor Price ($)]]-PricingDataTable[[#This Row],[Current Price ($)]])/PricingDataTable[[#This Row],[Current Price ($)]]</f>
        <v>5.1656648787452267E-4</v>
      </c>
      <c r="M3802" t="str">
        <f t="shared" si="118"/>
        <v>PASS</v>
      </c>
      <c r="N3802" s="10" t="str">
        <f t="shared" si="119"/>
        <v>NONE</v>
      </c>
    </row>
    <row r="3803" spans="1:14">
      <c r="A3803" s="4" t="s">
        <v>7622</v>
      </c>
      <c r="B3803" s="4" t="s">
        <v>7623</v>
      </c>
      <c r="C3803" s="4" t="s">
        <v>39</v>
      </c>
      <c r="D3803" s="4" t="s">
        <v>36</v>
      </c>
      <c r="E3803" s="5">
        <v>124.3707</v>
      </c>
      <c r="F3803" s="5">
        <v>123.0504</v>
      </c>
      <c r="G3803" s="5">
        <v>122.85169999999999</v>
      </c>
      <c r="H3803" s="4">
        <v>0</v>
      </c>
      <c r="I3803" s="6">
        <v>1623234</v>
      </c>
      <c r="J3803" s="7">
        <v>21.35</v>
      </c>
      <c r="K3803" s="9">
        <f>(PricingDataTable[[#This Row],[Current Price ($)]]-PricingDataTable[[#This Row],[Prior Price ($)]])/PricingDataTable[[#This Row],[Prior Price ($)]]</f>
        <v>-1.0615844407083044E-2</v>
      </c>
      <c r="L3803" s="9">
        <f>(PricingDataTable[[#This Row],[Vendor Price ($)]]-PricingDataTable[[#This Row],[Current Price ($)]])/PricingDataTable[[#This Row],[Current Price ($)]]</f>
        <v>-1.6147854862723105E-3</v>
      </c>
      <c r="M3803" t="str">
        <f t="shared" si="118"/>
        <v>PASS</v>
      </c>
      <c r="N3803" s="10" t="str">
        <f t="shared" si="119"/>
        <v>NONE</v>
      </c>
    </row>
    <row r="3804" spans="1:14">
      <c r="A3804" s="4" t="s">
        <v>7624</v>
      </c>
      <c r="B3804" s="4" t="s">
        <v>7625</v>
      </c>
      <c r="C3804" s="4" t="s">
        <v>19</v>
      </c>
      <c r="D3804" s="4" t="s">
        <v>13</v>
      </c>
      <c r="E3804" s="5">
        <v>252.52440000000001</v>
      </c>
      <c r="F3804" s="5">
        <v>249.80279999999999</v>
      </c>
      <c r="G3804" s="5">
        <v>249.76480000000001</v>
      </c>
      <c r="H3804" s="4">
        <v>0</v>
      </c>
      <c r="I3804" s="6">
        <v>2660803</v>
      </c>
      <c r="J3804" s="7">
        <v>762.52</v>
      </c>
      <c r="K3804" s="9">
        <f>(PricingDataTable[[#This Row],[Current Price ($)]]-PricingDataTable[[#This Row],[Prior Price ($)]])/PricingDataTable[[#This Row],[Prior Price ($)]]</f>
        <v>-1.0777572385084465E-2</v>
      </c>
      <c r="L3804" s="9">
        <f>(PricingDataTable[[#This Row],[Vendor Price ($)]]-PricingDataTable[[#This Row],[Current Price ($)]])/PricingDataTable[[#This Row],[Current Price ($)]]</f>
        <v>-1.5211999224981664E-4</v>
      </c>
      <c r="M3804" t="str">
        <f t="shared" si="118"/>
        <v>PASS</v>
      </c>
      <c r="N3804" s="10" t="str">
        <f t="shared" si="119"/>
        <v>NONE</v>
      </c>
    </row>
    <row r="3805" spans="1:14">
      <c r="A3805" s="4" t="s">
        <v>7626</v>
      </c>
      <c r="B3805" s="4" t="s">
        <v>7627</v>
      </c>
      <c r="C3805" s="4" t="s">
        <v>35</v>
      </c>
      <c r="D3805" s="4" t="s">
        <v>13</v>
      </c>
      <c r="E3805" s="5">
        <v>67.128799999999998</v>
      </c>
      <c r="F3805" s="5">
        <v>66.412199999999999</v>
      </c>
      <c r="G3805" s="5">
        <v>66.545100000000005</v>
      </c>
      <c r="H3805" s="4">
        <v>0</v>
      </c>
      <c r="I3805" s="6">
        <v>4026558</v>
      </c>
      <c r="J3805" s="7">
        <v>437</v>
      </c>
      <c r="K3805" s="9">
        <f>(PricingDataTable[[#This Row],[Current Price ($)]]-PricingDataTable[[#This Row],[Prior Price ($)]])/PricingDataTable[[#This Row],[Prior Price ($)]]</f>
        <v>-1.0675000893804146E-2</v>
      </c>
      <c r="L3805" s="9">
        <f>(PricingDataTable[[#This Row],[Vendor Price ($)]]-PricingDataTable[[#This Row],[Current Price ($)]])/PricingDataTable[[#This Row],[Current Price ($)]]</f>
        <v>2.0011383450632032E-3</v>
      </c>
      <c r="M3805" t="str">
        <f t="shared" si="118"/>
        <v>PASS</v>
      </c>
      <c r="N3805" s="10" t="str">
        <f t="shared" si="119"/>
        <v>NONE</v>
      </c>
    </row>
    <row r="3806" spans="1:14">
      <c r="A3806" s="4" t="s">
        <v>7628</v>
      </c>
      <c r="B3806" s="4" t="s">
        <v>7629</v>
      </c>
      <c r="C3806" s="4" t="s">
        <v>39</v>
      </c>
      <c r="D3806" s="4" t="s">
        <v>13</v>
      </c>
      <c r="E3806" s="5">
        <v>30.061199999999999</v>
      </c>
      <c r="F3806" s="5">
        <v>30.120699999999999</v>
      </c>
      <c r="G3806" s="5">
        <v>30.071400000000001</v>
      </c>
      <c r="H3806" s="4">
        <v>3</v>
      </c>
      <c r="I3806" s="6">
        <v>2654714</v>
      </c>
      <c r="J3806" s="7">
        <v>194.62</v>
      </c>
      <c r="K3806" s="9">
        <f>(PricingDataTable[[#This Row],[Current Price ($)]]-PricingDataTable[[#This Row],[Prior Price ($)]])/PricingDataTable[[#This Row],[Prior Price ($)]]</f>
        <v>1.9792955703697751E-3</v>
      </c>
      <c r="L3806" s="9">
        <f>(PricingDataTable[[#This Row],[Vendor Price ($)]]-PricingDataTable[[#This Row],[Current Price ($)]])/PricingDataTable[[#This Row],[Current Price ($)]]</f>
        <v>-1.6367481499433543E-3</v>
      </c>
      <c r="M3806" t="str">
        <f t="shared" si="118"/>
        <v>STALE</v>
      </c>
      <c r="N3806" s="10" t="str">
        <f t="shared" si="119"/>
        <v>LOW</v>
      </c>
    </row>
    <row r="3807" spans="1:14">
      <c r="A3807" s="4" t="s">
        <v>7630</v>
      </c>
      <c r="B3807" s="4" t="s">
        <v>7631</v>
      </c>
      <c r="C3807" s="4" t="s">
        <v>19</v>
      </c>
      <c r="D3807" s="4" t="s">
        <v>13</v>
      </c>
      <c r="E3807" s="5">
        <v>337.5034</v>
      </c>
      <c r="F3807" s="5">
        <v>337.35070000000002</v>
      </c>
      <c r="G3807" s="5">
        <v>336.9504</v>
      </c>
      <c r="H3807" s="4">
        <v>2</v>
      </c>
      <c r="I3807" s="6">
        <v>2161033</v>
      </c>
      <c r="J3807" s="7">
        <v>573.36</v>
      </c>
      <c r="K3807" s="9">
        <f>(PricingDataTable[[#This Row],[Current Price ($)]]-PricingDataTable[[#This Row],[Prior Price ($)]])/PricingDataTable[[#This Row],[Prior Price ($)]]</f>
        <v>-4.5243988653145904E-4</v>
      </c>
      <c r="L3807" s="9">
        <f>(PricingDataTable[[#This Row],[Vendor Price ($)]]-PricingDataTable[[#This Row],[Current Price ($)]])/PricingDataTable[[#This Row],[Current Price ($)]]</f>
        <v>-1.1865989903089445E-3</v>
      </c>
      <c r="M3807" t="str">
        <f t="shared" si="118"/>
        <v>PASS</v>
      </c>
      <c r="N3807" s="10" t="str">
        <f t="shared" si="119"/>
        <v>NONE</v>
      </c>
    </row>
    <row r="3808" spans="1:14">
      <c r="A3808" s="4" t="s">
        <v>7632</v>
      </c>
      <c r="B3808" s="4" t="s">
        <v>7633</v>
      </c>
      <c r="C3808" s="4" t="s">
        <v>19</v>
      </c>
      <c r="D3808" s="4" t="s">
        <v>36</v>
      </c>
      <c r="E3808" s="5">
        <v>57.5154</v>
      </c>
      <c r="F3808" s="5">
        <v>57.304699999999997</v>
      </c>
      <c r="G3808" s="5">
        <v>57.319600000000001</v>
      </c>
      <c r="H3808" s="4">
        <v>0</v>
      </c>
      <c r="I3808" s="6">
        <v>2352041</v>
      </c>
      <c r="J3808" s="7">
        <v>881.33</v>
      </c>
      <c r="K3808" s="9">
        <f>(PricingDataTable[[#This Row],[Current Price ($)]]-PricingDataTable[[#This Row],[Prior Price ($)]])/PricingDataTable[[#This Row],[Prior Price ($)]]</f>
        <v>-3.6633666809237661E-3</v>
      </c>
      <c r="L3808" s="9">
        <f>(PricingDataTable[[#This Row],[Vendor Price ($)]]-PricingDataTable[[#This Row],[Current Price ($)]])/PricingDataTable[[#This Row],[Current Price ($)]]</f>
        <v>2.6001357654789842E-4</v>
      </c>
      <c r="M3808" t="str">
        <f t="shared" si="118"/>
        <v>PASS</v>
      </c>
      <c r="N3808" s="10" t="str">
        <f t="shared" si="119"/>
        <v>NONE</v>
      </c>
    </row>
    <row r="3809" spans="1:14">
      <c r="A3809" s="4" t="s">
        <v>7634</v>
      </c>
      <c r="B3809" s="4" t="s">
        <v>7635</v>
      </c>
      <c r="C3809" s="4" t="s">
        <v>19</v>
      </c>
      <c r="D3809" s="4" t="s">
        <v>13</v>
      </c>
      <c r="E3809" s="5">
        <v>16.849499999999999</v>
      </c>
      <c r="F3809" s="5">
        <v>16.778700000000001</v>
      </c>
      <c r="G3809" s="5">
        <v>16.764099999999999</v>
      </c>
      <c r="H3809" s="4">
        <v>0</v>
      </c>
      <c r="I3809" s="6">
        <v>3215447</v>
      </c>
      <c r="J3809" s="7">
        <v>772.97</v>
      </c>
      <c r="K3809" s="9">
        <f>(PricingDataTable[[#This Row],[Current Price ($)]]-PricingDataTable[[#This Row],[Prior Price ($)]])/PricingDataTable[[#This Row],[Prior Price ($)]]</f>
        <v>-4.2019051010414804E-3</v>
      </c>
      <c r="L3809" s="9">
        <f>(PricingDataTable[[#This Row],[Vendor Price ($)]]-PricingDataTable[[#This Row],[Current Price ($)]])/PricingDataTable[[#This Row],[Current Price ($)]]</f>
        <v>-8.7015084601318939E-4</v>
      </c>
      <c r="M3809" t="str">
        <f t="shared" si="118"/>
        <v>PASS</v>
      </c>
      <c r="N3809" s="10" t="str">
        <f t="shared" si="119"/>
        <v>NONE</v>
      </c>
    </row>
    <row r="3810" spans="1:14">
      <c r="A3810" s="4" t="s">
        <v>7636</v>
      </c>
      <c r="B3810" s="4" t="s">
        <v>7637</v>
      </c>
      <c r="C3810" s="4" t="s">
        <v>12</v>
      </c>
      <c r="D3810" s="4" t="s">
        <v>36</v>
      </c>
      <c r="E3810" s="5">
        <v>107.9408</v>
      </c>
      <c r="F3810" s="5">
        <v>108.908</v>
      </c>
      <c r="G3810" s="5">
        <v>108.3742</v>
      </c>
      <c r="H3810" s="4">
        <v>0</v>
      </c>
      <c r="I3810" s="6">
        <v>4108041</v>
      </c>
      <c r="J3810" s="7">
        <v>672.16</v>
      </c>
      <c r="K3810" s="9">
        <f>(PricingDataTable[[#This Row],[Current Price ($)]]-PricingDataTable[[#This Row],[Prior Price ($)]])/PricingDataTable[[#This Row],[Prior Price ($)]]</f>
        <v>8.9604672190682806E-3</v>
      </c>
      <c r="L3810" s="9">
        <f>(PricingDataTable[[#This Row],[Vendor Price ($)]]-PricingDataTable[[#This Row],[Current Price ($)]])/PricingDataTable[[#This Row],[Current Price ($)]]</f>
        <v>-4.9013846549381072E-3</v>
      </c>
      <c r="M3810" t="str">
        <f t="shared" si="118"/>
        <v>PASS</v>
      </c>
      <c r="N3810" s="10" t="str">
        <f t="shared" si="119"/>
        <v>NONE</v>
      </c>
    </row>
    <row r="3811" spans="1:14">
      <c r="A3811" s="4" t="s">
        <v>7638</v>
      </c>
      <c r="B3811" s="4" t="s">
        <v>7639</v>
      </c>
      <c r="C3811" s="4" t="s">
        <v>35</v>
      </c>
      <c r="D3811" s="4" t="s">
        <v>64</v>
      </c>
      <c r="E3811" s="5">
        <v>110.1405</v>
      </c>
      <c r="F3811" s="5">
        <v>109.1909</v>
      </c>
      <c r="G3811" s="5">
        <v>108.31359999999999</v>
      </c>
      <c r="H3811" s="4">
        <v>1</v>
      </c>
      <c r="I3811" s="6">
        <v>224090</v>
      </c>
      <c r="J3811" s="7">
        <v>384.96</v>
      </c>
      <c r="K3811" s="9">
        <f>(PricingDataTable[[#This Row],[Current Price ($)]]-PricingDataTable[[#This Row],[Prior Price ($)]])/PricingDataTable[[#This Row],[Prior Price ($)]]</f>
        <v>-8.6217149913065932E-3</v>
      </c>
      <c r="L3811" s="9">
        <f>(PricingDataTable[[#This Row],[Vendor Price ($)]]-PricingDataTable[[#This Row],[Current Price ($)]])/PricingDataTable[[#This Row],[Current Price ($)]]</f>
        <v>-8.0345523299103251E-3</v>
      </c>
      <c r="M3811" t="str">
        <f t="shared" si="118"/>
        <v>PASS</v>
      </c>
      <c r="N3811" s="10" t="str">
        <f t="shared" si="119"/>
        <v>NONE</v>
      </c>
    </row>
    <row r="3812" spans="1:14">
      <c r="A3812" s="4" t="s">
        <v>7640</v>
      </c>
      <c r="B3812" s="4" t="s">
        <v>7641</v>
      </c>
      <c r="C3812" s="4" t="s">
        <v>19</v>
      </c>
      <c r="D3812" s="4" t="s">
        <v>13</v>
      </c>
      <c r="E3812" s="5">
        <v>323.88459999999998</v>
      </c>
      <c r="F3812" s="5">
        <v>322.5591</v>
      </c>
      <c r="G3812" s="5">
        <v>322.0693</v>
      </c>
      <c r="H3812" s="4">
        <v>0</v>
      </c>
      <c r="I3812" s="6">
        <v>4808408</v>
      </c>
      <c r="J3812" s="7">
        <v>393.15</v>
      </c>
      <c r="K3812" s="9">
        <f>(PricingDataTable[[#This Row],[Current Price ($)]]-PricingDataTable[[#This Row],[Prior Price ($)]])/PricingDataTable[[#This Row],[Prior Price ($)]]</f>
        <v>-4.0925070225629034E-3</v>
      </c>
      <c r="L3812" s="9">
        <f>(PricingDataTable[[#This Row],[Vendor Price ($)]]-PricingDataTable[[#This Row],[Current Price ($)]])/PricingDataTable[[#This Row],[Current Price ($)]]</f>
        <v>-1.5184814193740077E-3</v>
      </c>
      <c r="M3812" t="str">
        <f t="shared" si="118"/>
        <v>PASS</v>
      </c>
      <c r="N3812" s="10" t="str">
        <f t="shared" si="119"/>
        <v>NONE</v>
      </c>
    </row>
    <row r="3813" spans="1:14">
      <c r="A3813" s="4" t="s">
        <v>7642</v>
      </c>
      <c r="B3813" s="4" t="s">
        <v>7643</v>
      </c>
      <c r="C3813" s="4" t="s">
        <v>39</v>
      </c>
      <c r="D3813" s="4" t="s">
        <v>13</v>
      </c>
      <c r="E3813" s="5">
        <v>56.1006</v>
      </c>
      <c r="F3813" s="5">
        <v>57.383800000000001</v>
      </c>
      <c r="G3813" s="5">
        <v>57.274500000000003</v>
      </c>
      <c r="H3813" s="4">
        <v>1</v>
      </c>
      <c r="I3813" s="6">
        <v>1758956</v>
      </c>
      <c r="J3813" s="7">
        <v>325.37</v>
      </c>
      <c r="K3813" s="9">
        <f>(PricingDataTable[[#This Row],[Current Price ($)]]-PricingDataTable[[#This Row],[Prior Price ($)]])/PricingDataTable[[#This Row],[Prior Price ($)]]</f>
        <v>2.2873195652096428E-2</v>
      </c>
      <c r="L3813" s="9">
        <f>(PricingDataTable[[#This Row],[Vendor Price ($)]]-PricingDataTable[[#This Row],[Current Price ($)]])/PricingDataTable[[#This Row],[Current Price ($)]]</f>
        <v>-1.9047187533763449E-3</v>
      </c>
      <c r="M3813" t="str">
        <f t="shared" si="118"/>
        <v>PASS</v>
      </c>
      <c r="N3813" s="10" t="str">
        <f t="shared" si="119"/>
        <v>NONE</v>
      </c>
    </row>
    <row r="3814" spans="1:14">
      <c r="A3814" s="4" t="s">
        <v>7644</v>
      </c>
      <c r="B3814" s="4" t="s">
        <v>7645</v>
      </c>
      <c r="C3814" s="4" t="s">
        <v>19</v>
      </c>
      <c r="D3814" s="4" t="s">
        <v>13</v>
      </c>
      <c r="E3814" s="5">
        <v>251.4522</v>
      </c>
      <c r="F3814" s="5">
        <v>248.2244</v>
      </c>
      <c r="G3814" s="5">
        <v>248.0016</v>
      </c>
      <c r="H3814" s="4">
        <v>0</v>
      </c>
      <c r="I3814" s="6">
        <v>2288238</v>
      </c>
      <c r="J3814" s="7">
        <v>646.92999999999995</v>
      </c>
      <c r="K3814" s="9">
        <f>(PricingDataTable[[#This Row],[Current Price ($)]]-PricingDataTable[[#This Row],[Prior Price ($)]])/PricingDataTable[[#This Row],[Prior Price ($)]]</f>
        <v>-1.2836634557184236E-2</v>
      </c>
      <c r="L3814" s="9">
        <f>(PricingDataTable[[#This Row],[Vendor Price ($)]]-PricingDataTable[[#This Row],[Current Price ($)]])/PricingDataTable[[#This Row],[Current Price ($)]]</f>
        <v>-8.9757493622708538E-4</v>
      </c>
      <c r="M3814" t="str">
        <f t="shared" si="118"/>
        <v>PASS</v>
      </c>
      <c r="N3814" s="10" t="str">
        <f t="shared" si="119"/>
        <v>NONE</v>
      </c>
    </row>
    <row r="3815" spans="1:14">
      <c r="A3815" s="4" t="s">
        <v>7646</v>
      </c>
      <c r="B3815" s="4" t="s">
        <v>7647</v>
      </c>
      <c r="C3815" s="4" t="s">
        <v>12</v>
      </c>
      <c r="D3815" s="4" t="s">
        <v>13</v>
      </c>
      <c r="E3815" s="5">
        <v>114.6687</v>
      </c>
      <c r="F3815" s="5">
        <v>114.3648</v>
      </c>
      <c r="G3815" s="5">
        <v>114.2364</v>
      </c>
      <c r="H3815" s="4">
        <v>0</v>
      </c>
      <c r="I3815" s="6">
        <v>4498660</v>
      </c>
      <c r="J3815" s="7">
        <v>585.54</v>
      </c>
      <c r="K3815" s="9">
        <f>(PricingDataTable[[#This Row],[Current Price ($)]]-PricingDataTable[[#This Row],[Prior Price ($)]])/PricingDataTable[[#This Row],[Prior Price ($)]]</f>
        <v>-2.6502437020738765E-3</v>
      </c>
      <c r="L3815" s="9">
        <f>(PricingDataTable[[#This Row],[Vendor Price ($)]]-PricingDataTable[[#This Row],[Current Price ($)]])/PricingDataTable[[#This Row],[Current Price ($)]]</f>
        <v>-1.1227230756316556E-3</v>
      </c>
      <c r="M3815" t="str">
        <f t="shared" si="118"/>
        <v>PASS</v>
      </c>
      <c r="N3815" s="10" t="str">
        <f t="shared" si="119"/>
        <v>NONE</v>
      </c>
    </row>
    <row r="3816" spans="1:14">
      <c r="A3816" s="4" t="s">
        <v>7648</v>
      </c>
      <c r="B3816" s="4" t="s">
        <v>7649</v>
      </c>
      <c r="C3816" s="4" t="s">
        <v>16</v>
      </c>
      <c r="D3816" s="4" t="s">
        <v>13</v>
      </c>
      <c r="E3816" s="5">
        <v>120.8703</v>
      </c>
      <c r="F3816" s="5">
        <v>119.73090000000001</v>
      </c>
      <c r="G3816" s="5">
        <v>132.6343</v>
      </c>
      <c r="H3816" s="4">
        <v>0</v>
      </c>
      <c r="I3816" s="6">
        <v>3685351</v>
      </c>
      <c r="J3816" s="7">
        <v>790.36</v>
      </c>
      <c r="K3816" s="9">
        <f>(PricingDataTable[[#This Row],[Current Price ($)]]-PricingDataTable[[#This Row],[Prior Price ($)]])/PricingDataTable[[#This Row],[Prior Price ($)]]</f>
        <v>-9.4266333416893559E-3</v>
      </c>
      <c r="L3816" s="9">
        <f>(PricingDataTable[[#This Row],[Vendor Price ($)]]-PricingDataTable[[#This Row],[Current Price ($)]])/PricingDataTable[[#This Row],[Current Price ($)]]</f>
        <v>0.1077700075753209</v>
      </c>
      <c r="M3816" t="str">
        <f t="shared" si="118"/>
        <v>VENDOR DIFFERENCE</v>
      </c>
      <c r="N3816" s="10" t="str">
        <f t="shared" si="119"/>
        <v>HIGH</v>
      </c>
    </row>
    <row r="3817" spans="1:14">
      <c r="A3817" s="4" t="s">
        <v>7650</v>
      </c>
      <c r="B3817" s="4" t="s">
        <v>7651</v>
      </c>
      <c r="C3817" s="4" t="s">
        <v>19</v>
      </c>
      <c r="D3817" s="4" t="s">
        <v>13</v>
      </c>
      <c r="E3817" s="5">
        <v>55.254100000000001</v>
      </c>
      <c r="F3817" s="5">
        <v>55.6372</v>
      </c>
      <c r="G3817" s="5">
        <v>55.786499999999997</v>
      </c>
      <c r="H3817" s="4">
        <v>1</v>
      </c>
      <c r="I3817" s="6">
        <v>1331106</v>
      </c>
      <c r="J3817" s="7">
        <v>306.5</v>
      </c>
      <c r="K3817" s="9">
        <f>(PricingDataTable[[#This Row],[Current Price ($)]]-PricingDataTable[[#This Row],[Prior Price ($)]])/PricingDataTable[[#This Row],[Prior Price ($)]]</f>
        <v>6.9334221351899476E-3</v>
      </c>
      <c r="L3817" s="9">
        <f>(PricingDataTable[[#This Row],[Vendor Price ($)]]-PricingDataTable[[#This Row],[Current Price ($)]])/PricingDataTable[[#This Row],[Current Price ($)]]</f>
        <v>2.6834563924855431E-3</v>
      </c>
      <c r="M3817" t="str">
        <f t="shared" si="118"/>
        <v>PASS</v>
      </c>
      <c r="N3817" s="10" t="str">
        <f t="shared" si="119"/>
        <v>NONE</v>
      </c>
    </row>
    <row r="3818" spans="1:14">
      <c r="A3818" s="4" t="s">
        <v>7652</v>
      </c>
      <c r="B3818" s="4" t="s">
        <v>7653</v>
      </c>
      <c r="C3818" s="4" t="s">
        <v>19</v>
      </c>
      <c r="D3818" s="4" t="s">
        <v>13</v>
      </c>
      <c r="E3818" s="5">
        <v>186.34479999999999</v>
      </c>
      <c r="F3818" s="5">
        <v>182.2655</v>
      </c>
      <c r="G3818" s="5">
        <v>182.35890000000001</v>
      </c>
      <c r="H3818" s="4">
        <v>0</v>
      </c>
      <c r="I3818" s="6">
        <v>758309</v>
      </c>
      <c r="J3818" s="7">
        <v>398.61</v>
      </c>
      <c r="K3818" s="9">
        <f>(PricingDataTable[[#This Row],[Current Price ($)]]-PricingDataTable[[#This Row],[Prior Price ($)]])/PricingDataTable[[#This Row],[Prior Price ($)]]</f>
        <v>-2.1891139436141977E-2</v>
      </c>
      <c r="L3818" s="9">
        <f>(PricingDataTable[[#This Row],[Vendor Price ($)]]-PricingDataTable[[#This Row],[Current Price ($)]])/PricingDataTable[[#This Row],[Current Price ($)]]</f>
        <v>5.1243927128284065E-4</v>
      </c>
      <c r="M3818" t="str">
        <f t="shared" si="118"/>
        <v>PASS</v>
      </c>
      <c r="N3818" s="10" t="str">
        <f t="shared" si="119"/>
        <v>NONE</v>
      </c>
    </row>
    <row r="3819" spans="1:14">
      <c r="A3819" s="4" t="s">
        <v>7654</v>
      </c>
      <c r="B3819" s="4" t="s">
        <v>7655</v>
      </c>
      <c r="C3819" s="4" t="s">
        <v>19</v>
      </c>
      <c r="D3819" s="4" t="s">
        <v>13</v>
      </c>
      <c r="E3819" s="5">
        <v>125.7111</v>
      </c>
      <c r="F3819" s="5">
        <v>133.97829999999999</v>
      </c>
      <c r="G3819" s="5">
        <v>133.67070000000001</v>
      </c>
      <c r="H3819" s="4">
        <v>0</v>
      </c>
      <c r="I3819" s="6">
        <v>2508407</v>
      </c>
      <c r="J3819" s="7">
        <v>752.28</v>
      </c>
      <c r="K3819" s="9">
        <f>(PricingDataTable[[#This Row],[Current Price ($)]]-PricingDataTable[[#This Row],[Prior Price ($)]])/PricingDataTable[[#This Row],[Prior Price ($)]]</f>
        <v>6.5763484688305077E-2</v>
      </c>
      <c r="L3819" s="9">
        <f>(PricingDataTable[[#This Row],[Vendor Price ($)]]-PricingDataTable[[#This Row],[Current Price ($)]])/PricingDataTable[[#This Row],[Current Price ($)]]</f>
        <v>-2.2958941858493465E-3</v>
      </c>
      <c r="M3819" t="str">
        <f t="shared" si="118"/>
        <v>LARGE MOVE</v>
      </c>
      <c r="N3819" s="10" t="str">
        <f t="shared" si="119"/>
        <v>LOW</v>
      </c>
    </row>
    <row r="3820" spans="1:14">
      <c r="A3820" s="4" t="s">
        <v>7656</v>
      </c>
      <c r="B3820" s="4" t="s">
        <v>7657</v>
      </c>
      <c r="C3820" s="4" t="s">
        <v>39</v>
      </c>
      <c r="D3820" s="4" t="s">
        <v>13</v>
      </c>
      <c r="E3820" s="5">
        <v>135.9796</v>
      </c>
      <c r="F3820" s="5">
        <v>134.0565</v>
      </c>
      <c r="G3820" s="5">
        <v>143.30860000000001</v>
      </c>
      <c r="H3820" s="4">
        <v>3</v>
      </c>
      <c r="I3820" s="6">
        <v>4562248</v>
      </c>
      <c r="J3820" s="7">
        <v>705.81</v>
      </c>
      <c r="K3820" s="9">
        <f>(PricingDataTable[[#This Row],[Current Price ($)]]-PricingDataTable[[#This Row],[Prior Price ($)]])/PricingDataTable[[#This Row],[Prior Price ($)]]</f>
        <v>-1.4142562560854754E-2</v>
      </c>
      <c r="L3820" s="9">
        <f>(PricingDataTable[[#This Row],[Vendor Price ($)]]-PricingDataTable[[#This Row],[Current Price ($)]])/PricingDataTable[[#This Row],[Current Price ($)]]</f>
        <v>6.9016422180200238E-2</v>
      </c>
      <c r="M3820" t="str">
        <f t="shared" si="118"/>
        <v>STALE</v>
      </c>
      <c r="N3820" s="10" t="str">
        <f t="shared" si="119"/>
        <v>HIGH</v>
      </c>
    </row>
    <row r="3821" spans="1:14">
      <c r="A3821" s="4" t="s">
        <v>7658</v>
      </c>
      <c r="B3821" s="4" t="s">
        <v>7659</v>
      </c>
      <c r="C3821" s="4" t="s">
        <v>12</v>
      </c>
      <c r="D3821" s="4" t="s">
        <v>13</v>
      </c>
      <c r="E3821" s="5">
        <v>96.396799999999999</v>
      </c>
      <c r="F3821" s="5">
        <v>117.4987</v>
      </c>
      <c r="G3821" s="5">
        <v>118.06010000000001</v>
      </c>
      <c r="H3821" s="4">
        <v>0</v>
      </c>
      <c r="I3821" s="6">
        <v>1048838</v>
      </c>
      <c r="J3821" s="7">
        <v>233.29</v>
      </c>
      <c r="K3821" s="9">
        <f>(PricingDataTable[[#This Row],[Current Price ($)]]-PricingDataTable[[#This Row],[Prior Price ($)]])/PricingDataTable[[#This Row],[Prior Price ($)]]</f>
        <v>0.21890664420395697</v>
      </c>
      <c r="L3821" s="9">
        <f>(PricingDataTable[[#This Row],[Vendor Price ($)]]-PricingDataTable[[#This Row],[Current Price ($)]])/PricingDataTable[[#This Row],[Current Price ($)]]</f>
        <v>4.7779252025767615E-3</v>
      </c>
      <c r="M3821" t="str">
        <f t="shared" si="118"/>
        <v>LARGE MOVE</v>
      </c>
      <c r="N3821" s="10" t="str">
        <f t="shared" si="119"/>
        <v>HIGH</v>
      </c>
    </row>
    <row r="3822" spans="1:14">
      <c r="A3822" s="4" t="s">
        <v>7660</v>
      </c>
      <c r="B3822" s="4" t="s">
        <v>7661</v>
      </c>
      <c r="C3822" s="4" t="s">
        <v>35</v>
      </c>
      <c r="D3822" s="4" t="s">
        <v>13</v>
      </c>
      <c r="E3822" s="5">
        <v>94.2029</v>
      </c>
      <c r="F3822" s="5">
        <v>93.689800000000005</v>
      </c>
      <c r="G3822" s="5">
        <v>93.614900000000006</v>
      </c>
      <c r="H3822" s="4">
        <v>0</v>
      </c>
      <c r="I3822" s="6">
        <v>1994729</v>
      </c>
      <c r="J3822" s="7">
        <v>5.42</v>
      </c>
      <c r="K3822" s="9">
        <f>(PricingDataTable[[#This Row],[Current Price ($)]]-PricingDataTable[[#This Row],[Prior Price ($)]])/PricingDataTable[[#This Row],[Prior Price ($)]]</f>
        <v>-5.4467537623575741E-3</v>
      </c>
      <c r="L3822" s="9">
        <f>(PricingDataTable[[#This Row],[Vendor Price ($)]]-PricingDataTable[[#This Row],[Current Price ($)]])/PricingDataTable[[#This Row],[Current Price ($)]]</f>
        <v>-7.9944668469779552E-4</v>
      </c>
      <c r="M3822" t="str">
        <f t="shared" si="118"/>
        <v>PASS</v>
      </c>
      <c r="N3822" s="10" t="str">
        <f t="shared" si="119"/>
        <v>NONE</v>
      </c>
    </row>
    <row r="3823" spans="1:14">
      <c r="A3823" s="4" t="s">
        <v>7662</v>
      </c>
      <c r="B3823" s="4" t="s">
        <v>7663</v>
      </c>
      <c r="C3823" s="4" t="s">
        <v>19</v>
      </c>
      <c r="D3823" s="4" t="s">
        <v>13</v>
      </c>
      <c r="E3823" s="5">
        <v>343.63799999999998</v>
      </c>
      <c r="F3823" s="5">
        <v>401.3091</v>
      </c>
      <c r="G3823" s="5">
        <v>400.17680000000001</v>
      </c>
      <c r="H3823" s="4">
        <v>0</v>
      </c>
      <c r="I3823" s="6">
        <v>303049</v>
      </c>
      <c r="J3823" s="7">
        <v>522.33000000000004</v>
      </c>
      <c r="K3823" s="9">
        <f>(PricingDataTable[[#This Row],[Current Price ($)]]-PricingDataTable[[#This Row],[Prior Price ($)]])/PricingDataTable[[#This Row],[Prior Price ($)]]</f>
        <v>0.16782515321355621</v>
      </c>
      <c r="L3823" s="9">
        <f>(PricingDataTable[[#This Row],[Vendor Price ($)]]-PricingDataTable[[#This Row],[Current Price ($)]])/PricingDataTable[[#This Row],[Current Price ($)]]</f>
        <v>-2.8215158838909623E-3</v>
      </c>
      <c r="M3823" t="str">
        <f t="shared" si="118"/>
        <v>LARGE MOVE</v>
      </c>
      <c r="N3823" s="10" t="str">
        <f t="shared" si="119"/>
        <v>HIGH</v>
      </c>
    </row>
    <row r="3824" spans="1:14">
      <c r="A3824" s="4" t="s">
        <v>7664</v>
      </c>
      <c r="B3824" s="4" t="s">
        <v>7665</v>
      </c>
      <c r="C3824" s="4" t="s">
        <v>19</v>
      </c>
      <c r="D3824" s="4" t="s">
        <v>13</v>
      </c>
      <c r="E3824" s="5">
        <v>229.1858</v>
      </c>
      <c r="F3824" s="5">
        <v>229.88570000000001</v>
      </c>
      <c r="G3824" s="5">
        <v>229.36279999999999</v>
      </c>
      <c r="H3824" s="4">
        <v>1</v>
      </c>
      <c r="I3824" s="6">
        <v>417409</v>
      </c>
      <c r="J3824" s="7">
        <v>656.83</v>
      </c>
      <c r="K3824" s="9">
        <f>(PricingDataTable[[#This Row],[Current Price ($)]]-PricingDataTable[[#This Row],[Prior Price ($)]])/PricingDataTable[[#This Row],[Prior Price ($)]]</f>
        <v>3.0538541218522865E-3</v>
      </c>
      <c r="L3824" s="9">
        <f>(PricingDataTable[[#This Row],[Vendor Price ($)]]-PricingDataTable[[#This Row],[Current Price ($)]])/PricingDataTable[[#This Row],[Current Price ($)]]</f>
        <v>-2.2746086424689366E-3</v>
      </c>
      <c r="M3824" t="str">
        <f t="shared" si="118"/>
        <v>PASS</v>
      </c>
      <c r="N3824" s="10" t="str">
        <f t="shared" si="119"/>
        <v>NONE</v>
      </c>
    </row>
    <row r="3825" spans="1:14">
      <c r="A3825" s="4" t="s">
        <v>7666</v>
      </c>
      <c r="B3825" s="4" t="s">
        <v>7667</v>
      </c>
      <c r="C3825" s="4" t="s">
        <v>19</v>
      </c>
      <c r="D3825" s="4" t="s">
        <v>64</v>
      </c>
      <c r="E3825" s="5">
        <v>206.4297</v>
      </c>
      <c r="F3825" s="5">
        <v>190.6875</v>
      </c>
      <c r="G3825" s="5">
        <v>190.89940000000001</v>
      </c>
      <c r="H3825" s="4">
        <v>3</v>
      </c>
      <c r="I3825" s="6">
        <v>3890068</v>
      </c>
      <c r="J3825" s="7">
        <v>515.04</v>
      </c>
      <c r="K3825" s="9">
        <f>(PricingDataTable[[#This Row],[Current Price ($)]]-PricingDataTable[[#This Row],[Prior Price ($)]])/PricingDataTable[[#This Row],[Prior Price ($)]]</f>
        <v>-7.625937546777424E-2</v>
      </c>
      <c r="L3825" s="9">
        <f>(PricingDataTable[[#This Row],[Vendor Price ($)]]-PricingDataTable[[#This Row],[Current Price ($)]])/PricingDataTable[[#This Row],[Current Price ($)]]</f>
        <v>1.1112422156670688E-3</v>
      </c>
      <c r="M3825" t="str">
        <f t="shared" si="118"/>
        <v>STALE</v>
      </c>
      <c r="N3825" s="10" t="str">
        <f t="shared" si="119"/>
        <v>MEDIUM</v>
      </c>
    </row>
    <row r="3826" spans="1:14">
      <c r="A3826" s="4" t="s">
        <v>7668</v>
      </c>
      <c r="B3826" s="4" t="s">
        <v>7669</v>
      </c>
      <c r="C3826" s="4" t="s">
        <v>35</v>
      </c>
      <c r="D3826" s="4" t="s">
        <v>13</v>
      </c>
      <c r="E3826" s="5">
        <v>142.41069999999999</v>
      </c>
      <c r="F3826" s="5">
        <v>141.4006</v>
      </c>
      <c r="G3826" s="5">
        <v>140.75190000000001</v>
      </c>
      <c r="H3826" s="4">
        <v>0</v>
      </c>
      <c r="I3826" s="6">
        <v>1433243</v>
      </c>
      <c r="J3826" s="7">
        <v>269.82</v>
      </c>
      <c r="K3826" s="9">
        <f>(PricingDataTable[[#This Row],[Current Price ($)]]-PricingDataTable[[#This Row],[Prior Price ($)]])/PricingDataTable[[#This Row],[Prior Price ($)]]</f>
        <v>-7.0928659152717762E-3</v>
      </c>
      <c r="L3826" s="9">
        <f>(PricingDataTable[[#This Row],[Vendor Price ($)]]-PricingDataTable[[#This Row],[Current Price ($)]])/PricingDataTable[[#This Row],[Current Price ($)]]</f>
        <v>-4.5876750169376295E-3</v>
      </c>
      <c r="M3826" t="str">
        <f t="shared" si="118"/>
        <v>PASS</v>
      </c>
      <c r="N3826" s="10" t="str">
        <f t="shared" si="119"/>
        <v>NONE</v>
      </c>
    </row>
    <row r="3827" spans="1:14">
      <c r="A3827" s="4" t="s">
        <v>7670</v>
      </c>
      <c r="B3827" s="4" t="s">
        <v>7671</v>
      </c>
      <c r="C3827" s="4" t="s">
        <v>39</v>
      </c>
      <c r="D3827" s="4" t="s">
        <v>13</v>
      </c>
      <c r="E3827" s="5">
        <v>227.50829999999999</v>
      </c>
      <c r="F3827" s="5">
        <v>230.62610000000001</v>
      </c>
      <c r="G3827" s="5">
        <v>230.6885</v>
      </c>
      <c r="H3827" s="4">
        <v>1</v>
      </c>
      <c r="I3827" s="6">
        <v>2750473</v>
      </c>
      <c r="J3827" s="7">
        <v>133.75</v>
      </c>
      <c r="K3827" s="9">
        <f>(PricingDataTable[[#This Row],[Current Price ($)]]-PricingDataTable[[#This Row],[Prior Price ($)]])/PricingDataTable[[#This Row],[Prior Price ($)]]</f>
        <v>1.3704115410294995E-2</v>
      </c>
      <c r="L3827" s="9">
        <f>(PricingDataTable[[#This Row],[Vendor Price ($)]]-PricingDataTable[[#This Row],[Current Price ($)]])/PricingDataTable[[#This Row],[Current Price ($)]]</f>
        <v>2.7056781517788612E-4</v>
      </c>
      <c r="M3827" t="str">
        <f t="shared" si="118"/>
        <v>PASS</v>
      </c>
      <c r="N3827" s="10" t="str">
        <f t="shared" si="119"/>
        <v>NONE</v>
      </c>
    </row>
    <row r="3828" spans="1:14">
      <c r="A3828" s="4" t="s">
        <v>7672</v>
      </c>
      <c r="B3828" s="4" t="s">
        <v>7673</v>
      </c>
      <c r="C3828" s="4" t="s">
        <v>16</v>
      </c>
      <c r="D3828" s="4" t="s">
        <v>36</v>
      </c>
      <c r="E3828" s="5">
        <v>103.10209999999999</v>
      </c>
      <c r="F3828" s="5">
        <v>101.128</v>
      </c>
      <c r="G3828" s="5">
        <v>100.8395</v>
      </c>
      <c r="H3828" s="4">
        <v>0</v>
      </c>
      <c r="I3828" s="6">
        <v>1567880</v>
      </c>
      <c r="J3828" s="7">
        <v>126.43</v>
      </c>
      <c r="K3828" s="9">
        <f>(PricingDataTable[[#This Row],[Current Price ($)]]-PricingDataTable[[#This Row],[Prior Price ($)]])/PricingDataTable[[#This Row],[Prior Price ($)]]</f>
        <v>-1.9147039682023869E-2</v>
      </c>
      <c r="L3828" s="9">
        <f>(PricingDataTable[[#This Row],[Vendor Price ($)]]-PricingDataTable[[#This Row],[Current Price ($)]])/PricingDataTable[[#This Row],[Current Price ($)]]</f>
        <v>-2.8528201882762351E-3</v>
      </c>
      <c r="M3828" t="str">
        <f t="shared" si="118"/>
        <v>PASS</v>
      </c>
      <c r="N3828" s="10" t="str">
        <f t="shared" si="119"/>
        <v>NONE</v>
      </c>
    </row>
    <row r="3829" spans="1:14">
      <c r="A3829" s="4" t="s">
        <v>7674</v>
      </c>
      <c r="B3829" s="4" t="s">
        <v>7675</v>
      </c>
      <c r="C3829" s="4" t="s">
        <v>35</v>
      </c>
      <c r="D3829" s="4" t="s">
        <v>237</v>
      </c>
      <c r="E3829" s="5">
        <v>5.8334000000000001</v>
      </c>
      <c r="F3829" s="5">
        <v>5.7455999999999996</v>
      </c>
      <c r="G3829" s="5">
        <v>5.7350000000000003</v>
      </c>
      <c r="H3829" s="4">
        <v>0</v>
      </c>
      <c r="I3829" s="6">
        <v>3709095</v>
      </c>
      <c r="J3829" s="7">
        <v>99.16</v>
      </c>
      <c r="K3829" s="9">
        <f>(PricingDataTable[[#This Row],[Current Price ($)]]-PricingDataTable[[#This Row],[Prior Price ($)]])/PricingDataTable[[#This Row],[Prior Price ($)]]</f>
        <v>-1.5051256557068012E-2</v>
      </c>
      <c r="L3829" s="9">
        <f>(PricingDataTable[[#This Row],[Vendor Price ($)]]-PricingDataTable[[#This Row],[Current Price ($)]])/PricingDataTable[[#This Row],[Current Price ($)]]</f>
        <v>-1.8448900027846138E-3</v>
      </c>
      <c r="M3829" t="str">
        <f t="shared" si="118"/>
        <v>PASS</v>
      </c>
      <c r="N3829" s="10" t="str">
        <f t="shared" si="119"/>
        <v>NONE</v>
      </c>
    </row>
    <row r="3830" spans="1:14">
      <c r="A3830" s="4" t="s">
        <v>7676</v>
      </c>
      <c r="B3830" s="4" t="s">
        <v>7677</v>
      </c>
      <c r="C3830" s="4" t="s">
        <v>19</v>
      </c>
      <c r="D3830" s="4" t="s">
        <v>13</v>
      </c>
      <c r="E3830" s="5">
        <v>323.00940000000003</v>
      </c>
      <c r="F3830" s="5">
        <v>322.47280000000001</v>
      </c>
      <c r="G3830" s="5">
        <v>321.75459999999998</v>
      </c>
      <c r="H3830" s="4">
        <v>1</v>
      </c>
      <c r="I3830" s="6">
        <v>887463</v>
      </c>
      <c r="J3830" s="7">
        <v>131.56</v>
      </c>
      <c r="K3830" s="9">
        <f>(PricingDataTable[[#This Row],[Current Price ($)]]-PricingDataTable[[#This Row],[Prior Price ($)]])/PricingDataTable[[#This Row],[Prior Price ($)]]</f>
        <v>-1.6612519635652127E-3</v>
      </c>
      <c r="L3830" s="9">
        <f>(PricingDataTable[[#This Row],[Vendor Price ($)]]-PricingDataTable[[#This Row],[Current Price ($)]])/PricingDataTable[[#This Row],[Current Price ($)]]</f>
        <v>-2.2271645856643549E-3</v>
      </c>
      <c r="M3830" t="str">
        <f t="shared" si="118"/>
        <v>PASS</v>
      </c>
      <c r="N3830" s="10" t="str">
        <f t="shared" si="119"/>
        <v>NONE</v>
      </c>
    </row>
    <row r="3831" spans="1:14">
      <c r="A3831" s="4" t="s">
        <v>7678</v>
      </c>
      <c r="B3831" s="4" t="s">
        <v>7679</v>
      </c>
      <c r="C3831" s="4" t="s">
        <v>16</v>
      </c>
      <c r="D3831" s="4" t="s">
        <v>13</v>
      </c>
      <c r="E3831" s="5">
        <v>109.479</v>
      </c>
      <c r="F3831" s="5">
        <v>109.3656</v>
      </c>
      <c r="G3831" s="5">
        <v>109.6007</v>
      </c>
      <c r="H3831" s="4">
        <v>1</v>
      </c>
      <c r="I3831" s="6">
        <v>3577804</v>
      </c>
      <c r="J3831" s="7">
        <v>565.91</v>
      </c>
      <c r="K3831" s="9">
        <f>(PricingDataTable[[#This Row],[Current Price ($)]]-PricingDataTable[[#This Row],[Prior Price ($)]])/PricingDataTable[[#This Row],[Prior Price ($)]]</f>
        <v>-1.0358150878250496E-3</v>
      </c>
      <c r="L3831" s="9">
        <f>(PricingDataTable[[#This Row],[Vendor Price ($)]]-PricingDataTable[[#This Row],[Current Price ($)]])/PricingDataTable[[#This Row],[Current Price ($)]]</f>
        <v>2.1496704631072546E-3</v>
      </c>
      <c r="M3831" t="str">
        <f t="shared" si="118"/>
        <v>PASS</v>
      </c>
      <c r="N3831" s="10" t="str">
        <f t="shared" si="119"/>
        <v>NONE</v>
      </c>
    </row>
    <row r="3832" spans="1:14">
      <c r="A3832" s="4" t="s">
        <v>7680</v>
      </c>
      <c r="B3832" s="4" t="s">
        <v>7681</v>
      </c>
      <c r="C3832" s="4" t="s">
        <v>19</v>
      </c>
      <c r="D3832" s="4" t="s">
        <v>36</v>
      </c>
      <c r="E3832" s="5">
        <v>232.75059999999999</v>
      </c>
      <c r="F3832" s="5">
        <v>234.83969999999999</v>
      </c>
      <c r="G3832" s="5">
        <v>236.0394</v>
      </c>
      <c r="H3832" s="4">
        <v>2</v>
      </c>
      <c r="I3832" s="6">
        <v>4991556</v>
      </c>
      <c r="J3832" s="7">
        <v>683.01</v>
      </c>
      <c r="K3832" s="9">
        <f>(PricingDataTable[[#This Row],[Current Price ($)]]-PricingDataTable[[#This Row],[Prior Price ($)]])/PricingDataTable[[#This Row],[Prior Price ($)]]</f>
        <v>8.9757018886310151E-3</v>
      </c>
      <c r="L3832" s="9">
        <f>(PricingDataTable[[#This Row],[Vendor Price ($)]]-PricingDataTable[[#This Row],[Current Price ($)]])/PricingDataTable[[#This Row],[Current Price ($)]]</f>
        <v>5.1085910942656083E-3</v>
      </c>
      <c r="M3832" t="str">
        <f t="shared" si="118"/>
        <v>PASS</v>
      </c>
      <c r="N3832" s="10" t="str">
        <f t="shared" si="119"/>
        <v>NONE</v>
      </c>
    </row>
    <row r="3833" spans="1:14">
      <c r="A3833" s="4" t="s">
        <v>7682</v>
      </c>
      <c r="B3833" s="4" t="s">
        <v>7683</v>
      </c>
      <c r="C3833" s="4" t="s">
        <v>19</v>
      </c>
      <c r="D3833" s="4" t="s">
        <v>13</v>
      </c>
      <c r="E3833" s="5">
        <v>158.24639999999999</v>
      </c>
      <c r="F3833" s="5">
        <v>159.76490000000001</v>
      </c>
      <c r="G3833" s="5">
        <v>159.3544</v>
      </c>
      <c r="H3833" s="4">
        <v>0</v>
      </c>
      <c r="I3833" s="6">
        <v>395978</v>
      </c>
      <c r="J3833" s="7">
        <v>209.12</v>
      </c>
      <c r="K3833" s="9">
        <f>(PricingDataTable[[#This Row],[Current Price ($)]]-PricingDataTable[[#This Row],[Prior Price ($)]])/PricingDataTable[[#This Row],[Prior Price ($)]]</f>
        <v>9.5957949122382393E-3</v>
      </c>
      <c r="L3833" s="9">
        <f>(PricingDataTable[[#This Row],[Vendor Price ($)]]-PricingDataTable[[#This Row],[Current Price ($)]])/PricingDataTable[[#This Row],[Current Price ($)]]</f>
        <v>-2.5694004127315398E-3</v>
      </c>
      <c r="M3833" t="str">
        <f t="shared" si="118"/>
        <v>PASS</v>
      </c>
      <c r="N3833" s="10" t="str">
        <f t="shared" si="119"/>
        <v>NONE</v>
      </c>
    </row>
    <row r="3834" spans="1:14">
      <c r="A3834" s="4" t="s">
        <v>7684</v>
      </c>
      <c r="B3834" s="4" t="s">
        <v>7685</v>
      </c>
      <c r="C3834" s="4" t="s">
        <v>16</v>
      </c>
      <c r="D3834" s="4" t="s">
        <v>13</v>
      </c>
      <c r="E3834" s="5">
        <v>92.4666</v>
      </c>
      <c r="F3834" s="5">
        <v>93.392099999999999</v>
      </c>
      <c r="G3834" s="5">
        <v>93.707700000000003</v>
      </c>
      <c r="H3834" s="4">
        <v>0</v>
      </c>
      <c r="I3834" s="6">
        <v>3128717</v>
      </c>
      <c r="J3834" s="7">
        <v>288.62</v>
      </c>
      <c r="K3834" s="9">
        <f>(PricingDataTable[[#This Row],[Current Price ($)]]-PricingDataTable[[#This Row],[Prior Price ($)]])/PricingDataTable[[#This Row],[Prior Price ($)]]</f>
        <v>1.0009019472977264E-2</v>
      </c>
      <c r="L3834" s="9">
        <f>(PricingDataTable[[#This Row],[Vendor Price ($)]]-PricingDataTable[[#This Row],[Current Price ($)]])/PricingDataTable[[#This Row],[Current Price ($)]]</f>
        <v>3.3793008188059102E-3</v>
      </c>
      <c r="M3834" t="str">
        <f t="shared" si="118"/>
        <v>PASS</v>
      </c>
      <c r="N3834" s="10" t="str">
        <f t="shared" si="119"/>
        <v>NONE</v>
      </c>
    </row>
    <row r="3835" spans="1:14">
      <c r="A3835" s="4" t="s">
        <v>7686</v>
      </c>
      <c r="B3835" s="4" t="s">
        <v>7687</v>
      </c>
      <c r="C3835" s="4" t="s">
        <v>12</v>
      </c>
      <c r="D3835" s="4" t="s">
        <v>13</v>
      </c>
      <c r="E3835" s="5">
        <v>87.380200000000002</v>
      </c>
      <c r="F3835" s="5">
        <v>90.091499999999996</v>
      </c>
      <c r="G3835" s="5">
        <v>89.758899999999997</v>
      </c>
      <c r="H3835" s="4">
        <v>0</v>
      </c>
      <c r="I3835" s="6">
        <v>2877030</v>
      </c>
      <c r="J3835" s="7">
        <v>273.64999999999998</v>
      </c>
      <c r="K3835" s="9">
        <f>(PricingDataTable[[#This Row],[Current Price ($)]]-PricingDataTable[[#This Row],[Prior Price ($)]])/PricingDataTable[[#This Row],[Prior Price ($)]]</f>
        <v>3.1028768531085923E-2</v>
      </c>
      <c r="L3835" s="9">
        <f>(PricingDataTable[[#This Row],[Vendor Price ($)]]-PricingDataTable[[#This Row],[Current Price ($)]])/PricingDataTable[[#This Row],[Current Price ($)]]</f>
        <v>-3.6918022232951984E-3</v>
      </c>
      <c r="M3835" t="str">
        <f t="shared" si="118"/>
        <v>PASS</v>
      </c>
      <c r="N3835" s="10" t="str">
        <f t="shared" si="119"/>
        <v>NONE</v>
      </c>
    </row>
    <row r="3836" spans="1:14">
      <c r="A3836" s="4" t="s">
        <v>7688</v>
      </c>
      <c r="B3836" s="4" t="s">
        <v>7689</v>
      </c>
      <c r="C3836" s="4" t="s">
        <v>39</v>
      </c>
      <c r="D3836" s="4" t="s">
        <v>13</v>
      </c>
      <c r="E3836" s="5">
        <v>267.86790000000002</v>
      </c>
      <c r="F3836" s="5">
        <v>265.74799999999999</v>
      </c>
      <c r="G3836" s="5">
        <v>265.25009999999997</v>
      </c>
      <c r="H3836" s="4">
        <v>0</v>
      </c>
      <c r="I3836" s="6">
        <v>2729325</v>
      </c>
      <c r="J3836" s="7">
        <v>604.34</v>
      </c>
      <c r="K3836" s="9">
        <f>(PricingDataTable[[#This Row],[Current Price ($)]]-PricingDataTable[[#This Row],[Prior Price ($)]])/PricingDataTable[[#This Row],[Prior Price ($)]]</f>
        <v>-7.913975508077039E-3</v>
      </c>
      <c r="L3836" s="9">
        <f>(PricingDataTable[[#This Row],[Vendor Price ($)]]-PricingDataTable[[#This Row],[Current Price ($)]])/PricingDataTable[[#This Row],[Current Price ($)]]</f>
        <v>-1.8735794813131822E-3</v>
      </c>
      <c r="M3836" t="str">
        <f t="shared" si="118"/>
        <v>PASS</v>
      </c>
      <c r="N3836" s="10" t="str">
        <f t="shared" si="119"/>
        <v>NONE</v>
      </c>
    </row>
    <row r="3837" spans="1:14">
      <c r="A3837" s="4" t="s">
        <v>7690</v>
      </c>
      <c r="B3837" s="4" t="s">
        <v>7691</v>
      </c>
      <c r="C3837" s="4" t="s">
        <v>16</v>
      </c>
      <c r="D3837" s="4" t="s">
        <v>13</v>
      </c>
      <c r="E3837" s="5">
        <v>107.70950000000001</v>
      </c>
      <c r="F3837" s="5">
        <v>106.2659</v>
      </c>
      <c r="G3837" s="5">
        <v>106.4529</v>
      </c>
      <c r="H3837" s="4">
        <v>1</v>
      </c>
      <c r="I3837" s="6">
        <v>6142</v>
      </c>
      <c r="J3837" s="7">
        <v>630.01</v>
      </c>
      <c r="K3837" s="9">
        <f>(PricingDataTable[[#This Row],[Current Price ($)]]-PricingDataTable[[#This Row],[Prior Price ($)]])/PricingDataTable[[#This Row],[Prior Price ($)]]</f>
        <v>-1.3402717494742835E-2</v>
      </c>
      <c r="L3837" s="9">
        <f>(PricingDataTable[[#This Row],[Vendor Price ($)]]-PricingDataTable[[#This Row],[Current Price ($)]])/PricingDataTable[[#This Row],[Current Price ($)]]</f>
        <v>1.7597366605844171E-3</v>
      </c>
      <c r="M3837" t="str">
        <f t="shared" si="118"/>
        <v>PASS</v>
      </c>
      <c r="N3837" s="10" t="str">
        <f t="shared" si="119"/>
        <v>NONE</v>
      </c>
    </row>
    <row r="3838" spans="1:14">
      <c r="A3838" s="4" t="s">
        <v>7692</v>
      </c>
      <c r="B3838" s="4" t="s">
        <v>7693</v>
      </c>
      <c r="C3838" s="4" t="s">
        <v>19</v>
      </c>
      <c r="D3838" s="4" t="s">
        <v>13</v>
      </c>
      <c r="E3838" s="5">
        <v>44.773000000000003</v>
      </c>
      <c r="F3838" s="5">
        <v>45.096800000000002</v>
      </c>
      <c r="G3838" s="5">
        <v>45.035299999999999</v>
      </c>
      <c r="H3838" s="4">
        <v>0</v>
      </c>
      <c r="I3838" s="6">
        <v>2228246</v>
      </c>
      <c r="J3838" s="7">
        <v>868.8</v>
      </c>
      <c r="K3838" s="9">
        <f>(PricingDataTable[[#This Row],[Current Price ($)]]-PricingDataTable[[#This Row],[Prior Price ($)]])/PricingDataTable[[#This Row],[Prior Price ($)]]</f>
        <v>7.2320371652558127E-3</v>
      </c>
      <c r="L3838" s="9">
        <f>(PricingDataTable[[#This Row],[Vendor Price ($)]]-PricingDataTable[[#This Row],[Current Price ($)]])/PricingDataTable[[#This Row],[Current Price ($)]]</f>
        <v>-1.3637331251885351E-3</v>
      </c>
      <c r="M3838" t="str">
        <f t="shared" si="118"/>
        <v>PASS</v>
      </c>
      <c r="N3838" s="10" t="str">
        <f t="shared" si="119"/>
        <v>NONE</v>
      </c>
    </row>
    <row r="3839" spans="1:14">
      <c r="A3839" s="4" t="s">
        <v>7694</v>
      </c>
      <c r="B3839" s="4" t="s">
        <v>7695</v>
      </c>
      <c r="C3839" s="4" t="s">
        <v>19</v>
      </c>
      <c r="D3839" s="4" t="s">
        <v>13</v>
      </c>
      <c r="E3839" s="5">
        <v>221.8784</v>
      </c>
      <c r="F3839" s="5">
        <v>218.06360000000001</v>
      </c>
      <c r="G3839" s="5">
        <v>218.05719999999999</v>
      </c>
      <c r="H3839" s="4">
        <v>0</v>
      </c>
      <c r="I3839" s="6">
        <v>947147</v>
      </c>
      <c r="J3839" s="7">
        <v>311.85000000000002</v>
      </c>
      <c r="K3839" s="9">
        <f>(PricingDataTable[[#This Row],[Current Price ($)]]-PricingDataTable[[#This Row],[Prior Price ($)]])/PricingDataTable[[#This Row],[Prior Price ($)]]</f>
        <v>-1.7193201321083942E-2</v>
      </c>
      <c r="L3839" s="9">
        <f>(PricingDataTable[[#This Row],[Vendor Price ($)]]-PricingDataTable[[#This Row],[Current Price ($)]])/PricingDataTable[[#This Row],[Current Price ($)]]</f>
        <v>-2.9349235727620318E-5</v>
      </c>
      <c r="M3839" t="str">
        <f t="shared" si="118"/>
        <v>PASS</v>
      </c>
      <c r="N3839" s="10" t="str">
        <f t="shared" si="119"/>
        <v>NONE</v>
      </c>
    </row>
    <row r="3840" spans="1:14">
      <c r="A3840" s="4" t="s">
        <v>7696</v>
      </c>
      <c r="B3840" s="4" t="s">
        <v>7697</v>
      </c>
      <c r="C3840" s="4" t="s">
        <v>12</v>
      </c>
      <c r="D3840" s="4" t="s">
        <v>36</v>
      </c>
      <c r="E3840" s="5">
        <v>77.040099999999995</v>
      </c>
      <c r="F3840" s="5">
        <v>76.636200000000002</v>
      </c>
      <c r="G3840" s="5">
        <v>76.512500000000003</v>
      </c>
      <c r="H3840" s="4">
        <v>0</v>
      </c>
      <c r="I3840" s="6">
        <v>2380257</v>
      </c>
      <c r="J3840" s="7">
        <v>555.39</v>
      </c>
      <c r="K3840" s="9">
        <f>(PricingDataTable[[#This Row],[Current Price ($)]]-PricingDataTable[[#This Row],[Prior Price ($)]])/PricingDataTable[[#This Row],[Prior Price ($)]]</f>
        <v>-5.2427242436081092E-3</v>
      </c>
      <c r="L3840" s="9">
        <f>(PricingDataTable[[#This Row],[Vendor Price ($)]]-PricingDataTable[[#This Row],[Current Price ($)]])/PricingDataTable[[#This Row],[Current Price ($)]]</f>
        <v>-1.6141196980017207E-3</v>
      </c>
      <c r="M3840" t="str">
        <f t="shared" si="118"/>
        <v>PASS</v>
      </c>
      <c r="N3840" s="10" t="str">
        <f t="shared" si="119"/>
        <v>NONE</v>
      </c>
    </row>
    <row r="3841" spans="1:14">
      <c r="A3841" s="4" t="s">
        <v>7698</v>
      </c>
      <c r="B3841" s="4" t="s">
        <v>7699</v>
      </c>
      <c r="C3841" s="4" t="s">
        <v>19</v>
      </c>
      <c r="D3841" s="4" t="s">
        <v>64</v>
      </c>
      <c r="E3841" s="5">
        <v>19.443100000000001</v>
      </c>
      <c r="F3841" s="5">
        <v>19.753</v>
      </c>
      <c r="G3841" s="5">
        <v>19.755800000000001</v>
      </c>
      <c r="H3841" s="4">
        <v>0</v>
      </c>
      <c r="I3841" s="6">
        <v>1600427</v>
      </c>
      <c r="J3841" s="7">
        <v>77.37</v>
      </c>
      <c r="K3841" s="9">
        <f>(PricingDataTable[[#This Row],[Current Price ($)]]-PricingDataTable[[#This Row],[Prior Price ($)]])/PricingDataTable[[#This Row],[Prior Price ($)]]</f>
        <v>1.5938816341015523E-2</v>
      </c>
      <c r="L3841" s="9">
        <f>(PricingDataTable[[#This Row],[Vendor Price ($)]]-PricingDataTable[[#This Row],[Current Price ($)]])/PricingDataTable[[#This Row],[Current Price ($)]]</f>
        <v>1.4175062015899255E-4</v>
      </c>
      <c r="M3841" t="str">
        <f t="shared" si="118"/>
        <v>PASS</v>
      </c>
      <c r="N3841" s="10" t="str">
        <f t="shared" si="119"/>
        <v>NONE</v>
      </c>
    </row>
    <row r="3842" spans="1:14">
      <c r="A3842" s="4" t="s">
        <v>7700</v>
      </c>
      <c r="B3842" s="4" t="s">
        <v>7701</v>
      </c>
      <c r="C3842" s="4" t="s">
        <v>35</v>
      </c>
      <c r="D3842" s="4" t="s">
        <v>13</v>
      </c>
      <c r="E3842" s="5">
        <v>144.26329999999999</v>
      </c>
      <c r="F3842" s="5">
        <v>143.56819999999999</v>
      </c>
      <c r="G3842" s="5">
        <v>144.2775</v>
      </c>
      <c r="H3842" s="4">
        <v>0</v>
      </c>
      <c r="I3842" s="6">
        <v>4821446</v>
      </c>
      <c r="J3842" s="7">
        <v>510.28</v>
      </c>
      <c r="K3842" s="9">
        <f>(PricingDataTable[[#This Row],[Current Price ($)]]-PricingDataTable[[#This Row],[Prior Price ($)]])/PricingDataTable[[#This Row],[Prior Price ($)]]</f>
        <v>-4.8182732545283278E-3</v>
      </c>
      <c r="L3842" s="9">
        <f>(PricingDataTable[[#This Row],[Vendor Price ($)]]-PricingDataTable[[#This Row],[Current Price ($)]])/PricingDataTable[[#This Row],[Current Price ($)]]</f>
        <v>4.9405091099561961E-3</v>
      </c>
      <c r="M3842" t="str">
        <f t="shared" ref="M3842:M3905" si="120">IF(OR(F3842="",F3842=0),"MISSING",IF(H3842&gt;=3,"STALE",IF(ABS(K3842)&gt;=5%,"LARGE MOVE",IF(ABS(L3842)&gt;=2%,"VENDOR DIFFERENCE","PASS"))))</f>
        <v>PASS</v>
      </c>
      <c r="N3842" s="10" t="str">
        <f t="shared" ref="N3842:N3905" si="121">IF(M3842="PASS","NONE",IF(M3842="MISSING","HIGH",IF(OR(ABS(K3842)&gt;=10%,ABS(L3842)&gt;=5%),"HIGH",IF(OR(ABS(K3842)&gt;=7%,ABS(L3842)&gt;=3%,H3842&gt;=5),"MEDIUM","LOW"))))</f>
        <v>NONE</v>
      </c>
    </row>
    <row r="3843" spans="1:14">
      <c r="A3843" s="4" t="s">
        <v>7702</v>
      </c>
      <c r="B3843" s="4" t="s">
        <v>7703</v>
      </c>
      <c r="C3843" s="4" t="s">
        <v>19</v>
      </c>
      <c r="D3843" s="4" t="s">
        <v>13</v>
      </c>
      <c r="E3843" s="5">
        <v>28.582699999999999</v>
      </c>
      <c r="F3843" s="5">
        <v>28.4711</v>
      </c>
      <c r="G3843" s="5">
        <v>28.480699999999999</v>
      </c>
      <c r="H3843" s="4">
        <v>0</v>
      </c>
      <c r="I3843" s="6">
        <v>2736005</v>
      </c>
      <c r="J3843" s="7">
        <v>544.86</v>
      </c>
      <c r="K3843" s="9">
        <f>(PricingDataTable[[#This Row],[Current Price ($)]]-PricingDataTable[[#This Row],[Prior Price ($)]])/PricingDataTable[[#This Row],[Prior Price ($)]]</f>
        <v>-3.904459690652012E-3</v>
      </c>
      <c r="L3843" s="9">
        <f>(PricingDataTable[[#This Row],[Vendor Price ($)]]-PricingDataTable[[#This Row],[Current Price ($)]])/PricingDataTable[[#This Row],[Current Price ($)]]</f>
        <v>3.3718402169213493E-4</v>
      </c>
      <c r="M3843" t="str">
        <f t="shared" si="120"/>
        <v>PASS</v>
      </c>
      <c r="N3843" s="10" t="str">
        <f t="shared" si="121"/>
        <v>NONE</v>
      </c>
    </row>
    <row r="3844" spans="1:14">
      <c r="A3844" s="4" t="s">
        <v>7704</v>
      </c>
      <c r="B3844" s="4" t="s">
        <v>7705</v>
      </c>
      <c r="C3844" s="4" t="s">
        <v>16</v>
      </c>
      <c r="D3844" s="4" t="s">
        <v>13</v>
      </c>
      <c r="E3844" s="5">
        <v>99.939499999999995</v>
      </c>
      <c r="F3844" s="5">
        <v>98.954599999999999</v>
      </c>
      <c r="G3844" s="5">
        <v>98.822199999999995</v>
      </c>
      <c r="H3844" s="4">
        <v>0</v>
      </c>
      <c r="I3844" s="6">
        <v>3646878</v>
      </c>
      <c r="J3844" s="7">
        <v>346.82</v>
      </c>
      <c r="K3844" s="9">
        <f>(PricingDataTable[[#This Row],[Current Price ($)]]-PricingDataTable[[#This Row],[Prior Price ($)]])/PricingDataTable[[#This Row],[Prior Price ($)]]</f>
        <v>-9.8549622521625201E-3</v>
      </c>
      <c r="L3844" s="9">
        <f>(PricingDataTable[[#This Row],[Vendor Price ($)]]-PricingDataTable[[#This Row],[Current Price ($)]])/PricingDataTable[[#This Row],[Current Price ($)]]</f>
        <v>-1.3379873194374397E-3</v>
      </c>
      <c r="M3844" t="str">
        <f t="shared" si="120"/>
        <v>PASS</v>
      </c>
      <c r="N3844" s="10" t="str">
        <f t="shared" si="121"/>
        <v>NONE</v>
      </c>
    </row>
    <row r="3845" spans="1:14">
      <c r="A3845" s="4" t="s">
        <v>7706</v>
      </c>
      <c r="B3845" s="4" t="s">
        <v>7707</v>
      </c>
      <c r="C3845" s="4" t="s">
        <v>19</v>
      </c>
      <c r="D3845" s="4" t="s">
        <v>13</v>
      </c>
      <c r="E3845" s="5">
        <v>92.0518</v>
      </c>
      <c r="F3845" s="5">
        <v>94.455200000000005</v>
      </c>
      <c r="G3845" s="5">
        <v>94.109499999999997</v>
      </c>
      <c r="H3845" s="4">
        <v>5</v>
      </c>
      <c r="I3845" s="6">
        <v>1042959</v>
      </c>
      <c r="J3845" s="7">
        <v>6.7</v>
      </c>
      <c r="K3845" s="9">
        <f>(PricingDataTable[[#This Row],[Current Price ($)]]-PricingDataTable[[#This Row],[Prior Price ($)]])/PricingDataTable[[#This Row],[Prior Price ($)]]</f>
        <v>2.6109212421701746E-2</v>
      </c>
      <c r="L3845" s="9">
        <f>(PricingDataTable[[#This Row],[Vendor Price ($)]]-PricingDataTable[[#This Row],[Current Price ($)]])/PricingDataTable[[#This Row],[Current Price ($)]]</f>
        <v>-3.659936139037426E-3</v>
      </c>
      <c r="M3845" t="str">
        <f t="shared" si="120"/>
        <v>STALE</v>
      </c>
      <c r="N3845" s="10" t="str">
        <f t="shared" si="121"/>
        <v>MEDIUM</v>
      </c>
    </row>
    <row r="3846" spans="1:14">
      <c r="A3846" s="4" t="s">
        <v>7708</v>
      </c>
      <c r="B3846" s="4" t="s">
        <v>7709</v>
      </c>
      <c r="C3846" s="4" t="s">
        <v>39</v>
      </c>
      <c r="D3846" s="4" t="s">
        <v>237</v>
      </c>
      <c r="E3846" s="5">
        <v>249.12370000000001</v>
      </c>
      <c r="F3846" s="5">
        <v>248.24469999999999</v>
      </c>
      <c r="G3846" s="5">
        <v>247.8365</v>
      </c>
      <c r="H3846" s="4">
        <v>0</v>
      </c>
      <c r="I3846" s="6">
        <v>4407044</v>
      </c>
      <c r="J3846" s="7">
        <v>108.78</v>
      </c>
      <c r="K3846" s="9">
        <f>(PricingDataTable[[#This Row],[Current Price ($)]]-PricingDataTable[[#This Row],[Prior Price ($)]])/PricingDataTable[[#This Row],[Prior Price ($)]]</f>
        <v>-3.5283676342315849E-3</v>
      </c>
      <c r="L3846" s="9">
        <f>(PricingDataTable[[#This Row],[Vendor Price ($)]]-PricingDataTable[[#This Row],[Current Price ($)]])/PricingDataTable[[#This Row],[Current Price ($)]]</f>
        <v>-1.6443452770592633E-3</v>
      </c>
      <c r="M3846" t="str">
        <f t="shared" si="120"/>
        <v>PASS</v>
      </c>
      <c r="N3846" s="10" t="str">
        <f t="shared" si="121"/>
        <v>NONE</v>
      </c>
    </row>
    <row r="3847" spans="1:14">
      <c r="A3847" s="4" t="s">
        <v>7710</v>
      </c>
      <c r="B3847" s="4" t="s">
        <v>7711</v>
      </c>
      <c r="C3847" s="4" t="s">
        <v>19</v>
      </c>
      <c r="D3847" s="4" t="s">
        <v>237</v>
      </c>
      <c r="E3847" s="5">
        <v>67.098299999999995</v>
      </c>
      <c r="F3847" s="5">
        <v>66.591700000000003</v>
      </c>
      <c r="G3847" s="5">
        <v>66.802999999999997</v>
      </c>
      <c r="H3847" s="4">
        <v>1</v>
      </c>
      <c r="I3847" s="6">
        <v>3690942</v>
      </c>
      <c r="J3847" s="7">
        <v>417.13</v>
      </c>
      <c r="K3847" s="9">
        <f>(PricingDataTable[[#This Row],[Current Price ($)]]-PricingDataTable[[#This Row],[Prior Price ($)]])/PricingDataTable[[#This Row],[Prior Price ($)]]</f>
        <v>-7.5501167689791208E-3</v>
      </c>
      <c r="L3847" s="9">
        <f>(PricingDataTable[[#This Row],[Vendor Price ($)]]-PricingDataTable[[#This Row],[Current Price ($)]])/PricingDataTable[[#This Row],[Current Price ($)]]</f>
        <v>3.1730681150953385E-3</v>
      </c>
      <c r="M3847" t="str">
        <f t="shared" si="120"/>
        <v>PASS</v>
      </c>
      <c r="N3847" s="10" t="str">
        <f t="shared" si="121"/>
        <v>NONE</v>
      </c>
    </row>
    <row r="3848" spans="1:14">
      <c r="A3848" s="4" t="s">
        <v>7712</v>
      </c>
      <c r="B3848" s="4" t="s">
        <v>7713</v>
      </c>
      <c r="C3848" s="4" t="s">
        <v>39</v>
      </c>
      <c r="D3848" s="4" t="s">
        <v>13</v>
      </c>
      <c r="E3848" s="5">
        <v>161.8468</v>
      </c>
      <c r="F3848" s="5">
        <v>160.3194</v>
      </c>
      <c r="G3848" s="5">
        <v>160.3126</v>
      </c>
      <c r="H3848" s="4">
        <v>0</v>
      </c>
      <c r="I3848" s="6">
        <v>513530</v>
      </c>
      <c r="J3848" s="7">
        <v>228.71</v>
      </c>
      <c r="K3848" s="9">
        <f>(PricingDataTable[[#This Row],[Current Price ($)]]-PricingDataTable[[#This Row],[Prior Price ($)]])/PricingDataTable[[#This Row],[Prior Price ($)]]</f>
        <v>-9.4373197369364125E-3</v>
      </c>
      <c r="L3848" s="9">
        <f>(PricingDataTable[[#This Row],[Vendor Price ($)]]-PricingDataTable[[#This Row],[Current Price ($)]])/PricingDataTable[[#This Row],[Current Price ($)]]</f>
        <v>-4.2415328400669932E-5</v>
      </c>
      <c r="M3848" t="str">
        <f t="shared" si="120"/>
        <v>PASS</v>
      </c>
      <c r="N3848" s="10" t="str">
        <f t="shared" si="121"/>
        <v>NONE</v>
      </c>
    </row>
    <row r="3849" spans="1:14">
      <c r="A3849" s="4" t="s">
        <v>7714</v>
      </c>
      <c r="B3849" s="4" t="s">
        <v>7715</v>
      </c>
      <c r="C3849" s="4" t="s">
        <v>39</v>
      </c>
      <c r="D3849" s="4" t="s">
        <v>13</v>
      </c>
      <c r="E3849" s="5">
        <v>159.7672</v>
      </c>
      <c r="F3849" s="5">
        <v>157.85990000000001</v>
      </c>
      <c r="G3849" s="5">
        <v>158.15350000000001</v>
      </c>
      <c r="H3849" s="4">
        <v>2</v>
      </c>
      <c r="I3849" s="6">
        <v>3695695</v>
      </c>
      <c r="J3849" s="7">
        <v>511.45</v>
      </c>
      <c r="K3849" s="9">
        <f>(PricingDataTable[[#This Row],[Current Price ($)]]-PricingDataTable[[#This Row],[Prior Price ($)]])/PricingDataTable[[#This Row],[Prior Price ($)]]</f>
        <v>-1.1937994782408356E-2</v>
      </c>
      <c r="L3849" s="9">
        <f>(PricingDataTable[[#This Row],[Vendor Price ($)]]-PricingDataTable[[#This Row],[Current Price ($)]])/PricingDataTable[[#This Row],[Current Price ($)]]</f>
        <v>1.8598770175326212E-3</v>
      </c>
      <c r="M3849" t="str">
        <f t="shared" si="120"/>
        <v>PASS</v>
      </c>
      <c r="N3849" s="10" t="str">
        <f t="shared" si="121"/>
        <v>NONE</v>
      </c>
    </row>
    <row r="3850" spans="1:14">
      <c r="A3850" s="4" t="s">
        <v>7716</v>
      </c>
      <c r="B3850" s="4" t="s">
        <v>7717</v>
      </c>
      <c r="C3850" s="4" t="s">
        <v>12</v>
      </c>
      <c r="D3850" s="4" t="s">
        <v>13</v>
      </c>
      <c r="E3850" s="5">
        <v>103.6824</v>
      </c>
      <c r="F3850" s="5">
        <v>103.8751</v>
      </c>
      <c r="G3850" s="5">
        <v>103.84099999999999</v>
      </c>
      <c r="H3850" s="4">
        <v>0</v>
      </c>
      <c r="I3850" s="6">
        <v>4929060</v>
      </c>
      <c r="J3850" s="7">
        <v>861.17</v>
      </c>
      <c r="K3850" s="9">
        <f>(PricingDataTable[[#This Row],[Current Price ($)]]-PricingDataTable[[#This Row],[Prior Price ($)]])/PricingDataTable[[#This Row],[Prior Price ($)]]</f>
        <v>1.8585603728308959E-3</v>
      </c>
      <c r="L3850" s="9">
        <f>(PricingDataTable[[#This Row],[Vendor Price ($)]]-PricingDataTable[[#This Row],[Current Price ($)]])/PricingDataTable[[#This Row],[Current Price ($)]]</f>
        <v>-3.2827886567627219E-4</v>
      </c>
      <c r="M3850" t="str">
        <f t="shared" si="120"/>
        <v>PASS</v>
      </c>
      <c r="N3850" s="10" t="str">
        <f t="shared" si="121"/>
        <v>NONE</v>
      </c>
    </row>
    <row r="3851" spans="1:14">
      <c r="A3851" s="4" t="s">
        <v>7718</v>
      </c>
      <c r="B3851" s="4" t="s">
        <v>7719</v>
      </c>
      <c r="C3851" s="4" t="s">
        <v>35</v>
      </c>
      <c r="D3851" s="4" t="s">
        <v>13</v>
      </c>
      <c r="E3851" s="5">
        <v>154.36930000000001</v>
      </c>
      <c r="F3851" s="5">
        <v>151.99760000000001</v>
      </c>
      <c r="G3851" s="5">
        <v>152.30539999999999</v>
      </c>
      <c r="H3851" s="4">
        <v>0</v>
      </c>
      <c r="I3851" s="6">
        <v>3832514</v>
      </c>
      <c r="J3851" s="7">
        <v>735.06</v>
      </c>
      <c r="K3851" s="9">
        <f>(PricingDataTable[[#This Row],[Current Price ($)]]-PricingDataTable[[#This Row],[Prior Price ($)]])/PricingDataTable[[#This Row],[Prior Price ($)]]</f>
        <v>-1.5363806145392924E-2</v>
      </c>
      <c r="L3851" s="9">
        <f>(PricingDataTable[[#This Row],[Vendor Price ($)]]-PricingDataTable[[#This Row],[Current Price ($)]])/PricingDataTable[[#This Row],[Current Price ($)]]</f>
        <v>2.0250319741889743E-3</v>
      </c>
      <c r="M3851" t="str">
        <f t="shared" si="120"/>
        <v>PASS</v>
      </c>
      <c r="N3851" s="10" t="str">
        <f t="shared" si="121"/>
        <v>NONE</v>
      </c>
    </row>
    <row r="3852" spans="1:14">
      <c r="A3852" s="4" t="s">
        <v>7720</v>
      </c>
      <c r="B3852" s="4" t="s">
        <v>7721</v>
      </c>
      <c r="C3852" s="4" t="s">
        <v>39</v>
      </c>
      <c r="D3852" s="4" t="s">
        <v>237</v>
      </c>
      <c r="E3852" s="5">
        <v>279.46629999999999</v>
      </c>
      <c r="F3852" s="5">
        <v>277.7407</v>
      </c>
      <c r="G3852" s="5">
        <v>276.92500000000001</v>
      </c>
      <c r="H3852" s="4">
        <v>0</v>
      </c>
      <c r="I3852" s="6">
        <v>2496665</v>
      </c>
      <c r="J3852" s="7">
        <v>163.72999999999999</v>
      </c>
      <c r="K3852" s="9">
        <f>(PricingDataTable[[#This Row],[Current Price ($)]]-PricingDataTable[[#This Row],[Prior Price ($)]])/PricingDataTable[[#This Row],[Prior Price ($)]]</f>
        <v>-6.1746264218619056E-3</v>
      </c>
      <c r="L3852" s="9">
        <f>(PricingDataTable[[#This Row],[Vendor Price ($)]]-PricingDataTable[[#This Row],[Current Price ($)]])/PricingDataTable[[#This Row],[Current Price ($)]]</f>
        <v>-2.9369120190162715E-3</v>
      </c>
      <c r="M3852" t="str">
        <f t="shared" si="120"/>
        <v>PASS</v>
      </c>
      <c r="N3852" s="10" t="str">
        <f t="shared" si="121"/>
        <v>NONE</v>
      </c>
    </row>
    <row r="3853" spans="1:14">
      <c r="A3853" s="4" t="s">
        <v>7722</v>
      </c>
      <c r="B3853" s="4" t="s">
        <v>7723</v>
      </c>
      <c r="C3853" s="4" t="s">
        <v>39</v>
      </c>
      <c r="D3853" s="4" t="s">
        <v>32</v>
      </c>
      <c r="E3853" s="5">
        <v>172.4392</v>
      </c>
      <c r="F3853" s="5">
        <v>172.2071</v>
      </c>
      <c r="G3853" s="5">
        <v>172.16839999999999</v>
      </c>
      <c r="H3853" s="4">
        <v>0</v>
      </c>
      <c r="I3853" s="6">
        <v>3094459</v>
      </c>
      <c r="J3853" s="7">
        <v>681.44</v>
      </c>
      <c r="K3853" s="9">
        <f>(PricingDataTable[[#This Row],[Current Price ($)]]-PricingDataTable[[#This Row],[Prior Price ($)]])/PricingDataTable[[#This Row],[Prior Price ($)]]</f>
        <v>-1.3459816561431661E-3</v>
      </c>
      <c r="L3853" s="9">
        <f>(PricingDataTable[[#This Row],[Vendor Price ($)]]-PricingDataTable[[#This Row],[Current Price ($)]])/PricingDataTable[[#This Row],[Current Price ($)]]</f>
        <v>-2.2472941011146306E-4</v>
      </c>
      <c r="M3853" t="str">
        <f t="shared" si="120"/>
        <v>PASS</v>
      </c>
      <c r="N3853" s="10" t="str">
        <f t="shared" si="121"/>
        <v>NONE</v>
      </c>
    </row>
    <row r="3854" spans="1:14">
      <c r="A3854" s="4" t="s">
        <v>7724</v>
      </c>
      <c r="B3854" s="4" t="s">
        <v>7725</v>
      </c>
      <c r="C3854" s="4" t="s">
        <v>16</v>
      </c>
      <c r="D3854" s="4" t="s">
        <v>13</v>
      </c>
      <c r="E3854" s="5">
        <v>91.364800000000002</v>
      </c>
      <c r="F3854" s="5">
        <v>90.673900000000003</v>
      </c>
      <c r="G3854" s="5">
        <v>90.334299999999999</v>
      </c>
      <c r="H3854" s="4">
        <v>0</v>
      </c>
      <c r="I3854" s="6">
        <v>1005638</v>
      </c>
      <c r="J3854" s="7">
        <v>687.66</v>
      </c>
      <c r="K3854" s="9">
        <f>(PricingDataTable[[#This Row],[Current Price ($)]]-PricingDataTable[[#This Row],[Prior Price ($)]])/PricingDataTable[[#This Row],[Prior Price ($)]]</f>
        <v>-7.5619932402850899E-3</v>
      </c>
      <c r="L3854" s="9">
        <f>(PricingDataTable[[#This Row],[Vendor Price ($)]]-PricingDataTable[[#This Row],[Current Price ($)]])/PricingDataTable[[#This Row],[Current Price ($)]]</f>
        <v>-3.7452894383058887E-3</v>
      </c>
      <c r="M3854" t="str">
        <f t="shared" si="120"/>
        <v>PASS</v>
      </c>
      <c r="N3854" s="10" t="str">
        <f t="shared" si="121"/>
        <v>NONE</v>
      </c>
    </row>
    <row r="3855" spans="1:14">
      <c r="A3855" s="4" t="s">
        <v>7726</v>
      </c>
      <c r="B3855" s="4" t="s">
        <v>7727</v>
      </c>
      <c r="C3855" s="4" t="s">
        <v>19</v>
      </c>
      <c r="D3855" s="4" t="s">
        <v>64</v>
      </c>
      <c r="E3855" s="5">
        <v>215.67910000000001</v>
      </c>
      <c r="F3855" s="5">
        <v>215.89439999999999</v>
      </c>
      <c r="G3855" s="5">
        <v>216.29920000000001</v>
      </c>
      <c r="H3855" s="4">
        <v>5</v>
      </c>
      <c r="I3855" s="6">
        <v>3496175</v>
      </c>
      <c r="J3855" s="7">
        <v>309.11</v>
      </c>
      <c r="K3855" s="9">
        <f>(PricingDataTable[[#This Row],[Current Price ($)]]-PricingDataTable[[#This Row],[Prior Price ($)]])/PricingDataTable[[#This Row],[Prior Price ($)]]</f>
        <v>9.9824229607776071E-4</v>
      </c>
      <c r="L3855" s="9">
        <f>(PricingDataTable[[#This Row],[Vendor Price ($)]]-PricingDataTable[[#This Row],[Current Price ($)]])/PricingDataTable[[#This Row],[Current Price ($)]]</f>
        <v>1.8749907362118838E-3</v>
      </c>
      <c r="M3855" t="str">
        <f t="shared" si="120"/>
        <v>STALE</v>
      </c>
      <c r="N3855" s="10" t="str">
        <f t="shared" si="121"/>
        <v>MEDIUM</v>
      </c>
    </row>
    <row r="3856" spans="1:14">
      <c r="A3856" s="4" t="s">
        <v>7728</v>
      </c>
      <c r="B3856" s="4" t="s">
        <v>7729</v>
      </c>
      <c r="C3856" s="4" t="s">
        <v>39</v>
      </c>
      <c r="D3856" s="4" t="s">
        <v>13</v>
      </c>
      <c r="E3856" s="5">
        <v>279.1943</v>
      </c>
      <c r="F3856" s="5">
        <v>277.20080000000002</v>
      </c>
      <c r="G3856" s="5">
        <v>277.41640000000001</v>
      </c>
      <c r="H3856" s="4">
        <v>0</v>
      </c>
      <c r="I3856" s="6">
        <v>46649</v>
      </c>
      <c r="J3856" s="7">
        <v>74.19</v>
      </c>
      <c r="K3856" s="9">
        <f>(PricingDataTable[[#This Row],[Current Price ($)]]-PricingDataTable[[#This Row],[Prior Price ($)]])/PricingDataTable[[#This Row],[Prior Price ($)]]</f>
        <v>-7.1401887502717037E-3</v>
      </c>
      <c r="L3856" s="9">
        <f>(PricingDataTable[[#This Row],[Vendor Price ($)]]-PricingDataTable[[#This Row],[Current Price ($)]])/PricingDataTable[[#This Row],[Current Price ($)]]</f>
        <v>7.7777553311532616E-4</v>
      </c>
      <c r="M3856" t="str">
        <f t="shared" si="120"/>
        <v>PASS</v>
      </c>
      <c r="N3856" s="10" t="str">
        <f t="shared" si="121"/>
        <v>NONE</v>
      </c>
    </row>
    <row r="3857" spans="1:14">
      <c r="A3857" s="4" t="s">
        <v>7730</v>
      </c>
      <c r="B3857" s="4" t="s">
        <v>7731</v>
      </c>
      <c r="C3857" s="4" t="s">
        <v>19</v>
      </c>
      <c r="D3857" s="4" t="s">
        <v>13</v>
      </c>
      <c r="E3857" s="5">
        <v>297.95420000000001</v>
      </c>
      <c r="F3857" s="5">
        <v>293.12450000000001</v>
      </c>
      <c r="G3857" s="5">
        <v>291.6198</v>
      </c>
      <c r="H3857" s="4">
        <v>3</v>
      </c>
      <c r="I3857" s="6">
        <v>3348529</v>
      </c>
      <c r="J3857" s="7">
        <v>424.05</v>
      </c>
      <c r="K3857" s="9">
        <f>(PricingDataTable[[#This Row],[Current Price ($)]]-PricingDataTable[[#This Row],[Prior Price ($)]])/PricingDataTable[[#This Row],[Prior Price ($)]]</f>
        <v>-1.6209538244468451E-2</v>
      </c>
      <c r="L3857" s="9">
        <f>(PricingDataTable[[#This Row],[Vendor Price ($)]]-PricingDataTable[[#This Row],[Current Price ($)]])/PricingDataTable[[#This Row],[Current Price ($)]]</f>
        <v>-5.1333136602365681E-3</v>
      </c>
      <c r="M3857" t="str">
        <f t="shared" si="120"/>
        <v>STALE</v>
      </c>
      <c r="N3857" s="10" t="str">
        <f t="shared" si="121"/>
        <v>LOW</v>
      </c>
    </row>
    <row r="3858" spans="1:14">
      <c r="A3858" s="4" t="s">
        <v>7732</v>
      </c>
      <c r="B3858" s="4" t="s">
        <v>7733</v>
      </c>
      <c r="C3858" s="4" t="s">
        <v>39</v>
      </c>
      <c r="D3858" s="4" t="s">
        <v>13</v>
      </c>
      <c r="E3858" s="5">
        <v>324.04020000000003</v>
      </c>
      <c r="F3858" s="5">
        <v>330.96120000000002</v>
      </c>
      <c r="G3858" s="5">
        <v>330.84010000000001</v>
      </c>
      <c r="H3858" s="4">
        <v>0</v>
      </c>
      <c r="I3858" s="6">
        <v>1845831</v>
      </c>
      <c r="J3858" s="7">
        <v>291.51</v>
      </c>
      <c r="K3858" s="9">
        <f>(PricingDataTable[[#This Row],[Current Price ($)]]-PricingDataTable[[#This Row],[Prior Price ($)]])/PricingDataTable[[#This Row],[Prior Price ($)]]</f>
        <v>2.1358461079828958E-2</v>
      </c>
      <c r="L3858" s="9">
        <f>(PricingDataTable[[#This Row],[Vendor Price ($)]]-PricingDataTable[[#This Row],[Current Price ($)]])/PricingDataTable[[#This Row],[Current Price ($)]]</f>
        <v>-3.6590391864669522E-4</v>
      </c>
      <c r="M3858" t="str">
        <f t="shared" si="120"/>
        <v>PASS</v>
      </c>
      <c r="N3858" s="10" t="str">
        <f t="shared" si="121"/>
        <v>NONE</v>
      </c>
    </row>
    <row r="3859" spans="1:14">
      <c r="A3859" s="4" t="s">
        <v>7734</v>
      </c>
      <c r="B3859" s="4" t="s">
        <v>7735</v>
      </c>
      <c r="C3859" s="4" t="s">
        <v>35</v>
      </c>
      <c r="D3859" s="4" t="s">
        <v>36</v>
      </c>
      <c r="E3859" s="5">
        <v>100.8875</v>
      </c>
      <c r="F3859" s="5">
        <v>100.11799999999999</v>
      </c>
      <c r="G3859" s="5">
        <v>100.166</v>
      </c>
      <c r="H3859" s="4">
        <v>0</v>
      </c>
      <c r="I3859" s="6">
        <v>3177743</v>
      </c>
      <c r="J3859" s="7">
        <v>259.06</v>
      </c>
      <c r="K3859" s="9">
        <f>(PricingDataTable[[#This Row],[Current Price ($)]]-PricingDataTable[[#This Row],[Prior Price ($)]])/PricingDataTable[[#This Row],[Prior Price ($)]]</f>
        <v>-7.6273076446537764E-3</v>
      </c>
      <c r="L3859" s="9">
        <f>(PricingDataTable[[#This Row],[Vendor Price ($)]]-PricingDataTable[[#This Row],[Current Price ($)]])/PricingDataTable[[#This Row],[Current Price ($)]]</f>
        <v>4.7943426756429233E-4</v>
      </c>
      <c r="M3859" t="str">
        <f t="shared" si="120"/>
        <v>PASS</v>
      </c>
      <c r="N3859" s="10" t="str">
        <f t="shared" si="121"/>
        <v>NONE</v>
      </c>
    </row>
    <row r="3860" spans="1:14">
      <c r="A3860" s="4" t="s">
        <v>7736</v>
      </c>
      <c r="B3860" s="4" t="s">
        <v>7737</v>
      </c>
      <c r="C3860" s="4" t="s">
        <v>19</v>
      </c>
      <c r="D3860" s="4" t="s">
        <v>64</v>
      </c>
      <c r="E3860" s="5">
        <v>305.70510000000002</v>
      </c>
      <c r="F3860" s="5">
        <v>303.30849999999998</v>
      </c>
      <c r="G3860" s="5">
        <v>302.94709999999998</v>
      </c>
      <c r="H3860" s="4">
        <v>0</v>
      </c>
      <c r="I3860" s="6">
        <v>1756225</v>
      </c>
      <c r="J3860" s="7">
        <v>646.85</v>
      </c>
      <c r="K3860" s="9">
        <f>(PricingDataTable[[#This Row],[Current Price ($)]]-PricingDataTable[[#This Row],[Prior Price ($)]])/PricingDataTable[[#This Row],[Prior Price ($)]]</f>
        <v>-7.8395813481686588E-3</v>
      </c>
      <c r="L3860" s="9">
        <f>(PricingDataTable[[#This Row],[Vendor Price ($)]]-PricingDataTable[[#This Row],[Current Price ($)]])/PricingDataTable[[#This Row],[Current Price ($)]]</f>
        <v>-1.1915261194460534E-3</v>
      </c>
      <c r="M3860" t="str">
        <f t="shared" si="120"/>
        <v>PASS</v>
      </c>
      <c r="N3860" s="10" t="str">
        <f t="shared" si="121"/>
        <v>NONE</v>
      </c>
    </row>
    <row r="3861" spans="1:14">
      <c r="A3861" s="4" t="s">
        <v>7738</v>
      </c>
      <c r="B3861" s="4" t="s">
        <v>7739</v>
      </c>
      <c r="C3861" s="4" t="s">
        <v>19</v>
      </c>
      <c r="D3861" s="4" t="s">
        <v>13</v>
      </c>
      <c r="E3861" s="5">
        <v>343.89440000000002</v>
      </c>
      <c r="F3861" s="5">
        <v>342.75049999999999</v>
      </c>
      <c r="G3861" s="5">
        <v>341.54950000000002</v>
      </c>
      <c r="H3861" s="4">
        <v>0</v>
      </c>
      <c r="I3861" s="6">
        <v>2806218</v>
      </c>
      <c r="J3861" s="7">
        <v>302.73</v>
      </c>
      <c r="K3861" s="9">
        <f>(PricingDataTable[[#This Row],[Current Price ($)]]-PricingDataTable[[#This Row],[Prior Price ($)]])/PricingDataTable[[#This Row],[Prior Price ($)]]</f>
        <v>-3.3263117980404174E-3</v>
      </c>
      <c r="L3861" s="9">
        <f>(PricingDataTable[[#This Row],[Vendor Price ($)]]-PricingDataTable[[#This Row],[Current Price ($)]])/PricingDataTable[[#This Row],[Current Price ($)]]</f>
        <v>-3.5040065587065958E-3</v>
      </c>
      <c r="M3861" t="str">
        <f t="shared" si="120"/>
        <v>PASS</v>
      </c>
      <c r="N3861" s="10" t="str">
        <f t="shared" si="121"/>
        <v>NONE</v>
      </c>
    </row>
    <row r="3862" spans="1:14">
      <c r="A3862" s="4" t="s">
        <v>7740</v>
      </c>
      <c r="B3862" s="4" t="s">
        <v>7741</v>
      </c>
      <c r="C3862" s="4" t="s">
        <v>35</v>
      </c>
      <c r="D3862" s="4" t="s">
        <v>36</v>
      </c>
      <c r="E3862" s="5">
        <v>136.10910000000001</v>
      </c>
      <c r="F3862" s="5">
        <v>136.72659999999999</v>
      </c>
      <c r="G3862" s="5">
        <v>136.8399</v>
      </c>
      <c r="H3862" s="4">
        <v>1</v>
      </c>
      <c r="I3862" s="6">
        <v>654914</v>
      </c>
      <c r="J3862" s="7">
        <v>422.35</v>
      </c>
      <c r="K3862" s="9">
        <f>(PricingDataTable[[#This Row],[Current Price ($)]]-PricingDataTable[[#This Row],[Prior Price ($)]])/PricingDataTable[[#This Row],[Prior Price ($)]]</f>
        <v>4.5368017274376093E-3</v>
      </c>
      <c r="L3862" s="9">
        <f>(PricingDataTable[[#This Row],[Vendor Price ($)]]-PricingDataTable[[#This Row],[Current Price ($)]])/PricingDataTable[[#This Row],[Current Price ($)]]</f>
        <v>8.2866099208207843E-4</v>
      </c>
      <c r="M3862" t="str">
        <f t="shared" si="120"/>
        <v>PASS</v>
      </c>
      <c r="N3862" s="10" t="str">
        <f t="shared" si="121"/>
        <v>NONE</v>
      </c>
    </row>
    <row r="3863" spans="1:14">
      <c r="A3863" s="4" t="s">
        <v>7742</v>
      </c>
      <c r="B3863" s="4" t="s">
        <v>7743</v>
      </c>
      <c r="C3863" s="4" t="s">
        <v>12</v>
      </c>
      <c r="D3863" s="4" t="s">
        <v>13</v>
      </c>
      <c r="E3863" s="5">
        <v>124.6892</v>
      </c>
      <c r="F3863" s="5">
        <v>124.1537</v>
      </c>
      <c r="G3863" s="5">
        <v>123.6461</v>
      </c>
      <c r="H3863" s="4">
        <v>1</v>
      </c>
      <c r="I3863" s="6">
        <v>3161977</v>
      </c>
      <c r="J3863" s="7">
        <v>135.66</v>
      </c>
      <c r="K3863" s="9">
        <f>(PricingDataTable[[#This Row],[Current Price ($)]]-PricingDataTable[[#This Row],[Prior Price ($)]])/PricingDataTable[[#This Row],[Prior Price ($)]]</f>
        <v>-4.2946782880955124E-3</v>
      </c>
      <c r="L3863" s="9">
        <f>(PricingDataTable[[#This Row],[Vendor Price ($)]]-PricingDataTable[[#This Row],[Current Price ($)]])/PricingDataTable[[#This Row],[Current Price ($)]]</f>
        <v>-4.0884806493885926E-3</v>
      </c>
      <c r="M3863" t="str">
        <f t="shared" si="120"/>
        <v>PASS</v>
      </c>
      <c r="N3863" s="10" t="str">
        <f t="shared" si="121"/>
        <v>NONE</v>
      </c>
    </row>
    <row r="3864" spans="1:14">
      <c r="A3864" s="4" t="s">
        <v>7744</v>
      </c>
      <c r="B3864" s="4" t="s">
        <v>7745</v>
      </c>
      <c r="C3864" s="4" t="s">
        <v>16</v>
      </c>
      <c r="D3864" s="4" t="s">
        <v>13</v>
      </c>
      <c r="E3864" s="5">
        <v>99.275400000000005</v>
      </c>
      <c r="F3864" s="5">
        <v>99.275000000000006</v>
      </c>
      <c r="G3864" s="5">
        <v>99.186400000000006</v>
      </c>
      <c r="H3864" s="4">
        <v>4</v>
      </c>
      <c r="I3864" s="6">
        <v>3728591</v>
      </c>
      <c r="J3864" s="7">
        <v>306.83999999999997</v>
      </c>
      <c r="K3864" s="9">
        <f>(PricingDataTable[[#This Row],[Current Price ($)]]-PricingDataTable[[#This Row],[Prior Price ($)]])/PricingDataTable[[#This Row],[Prior Price ($)]]</f>
        <v>-4.0291955509528821E-6</v>
      </c>
      <c r="L3864" s="9">
        <f>(PricingDataTable[[#This Row],[Vendor Price ($)]]-PricingDataTable[[#This Row],[Current Price ($)]])/PricingDataTable[[#This Row],[Current Price ($)]]</f>
        <v>-8.9247041047594623E-4</v>
      </c>
      <c r="M3864" t="str">
        <f t="shared" si="120"/>
        <v>STALE</v>
      </c>
      <c r="N3864" s="10" t="str">
        <f t="shared" si="121"/>
        <v>LOW</v>
      </c>
    </row>
    <row r="3865" spans="1:14">
      <c r="A3865" s="4" t="s">
        <v>7746</v>
      </c>
      <c r="B3865" s="4" t="s">
        <v>7747</v>
      </c>
      <c r="C3865" s="4" t="s">
        <v>12</v>
      </c>
      <c r="D3865" s="4" t="s">
        <v>13</v>
      </c>
      <c r="E3865" s="5">
        <v>124.7222</v>
      </c>
      <c r="F3865" s="5">
        <v>125.47880000000001</v>
      </c>
      <c r="G3865" s="5">
        <v>125.5371</v>
      </c>
      <c r="H3865" s="4">
        <v>0</v>
      </c>
      <c r="I3865" s="6">
        <v>3231095</v>
      </c>
      <c r="J3865" s="7">
        <v>280.14</v>
      </c>
      <c r="K3865" s="9">
        <f>(PricingDataTable[[#This Row],[Current Price ($)]]-PricingDataTable[[#This Row],[Prior Price ($)]])/PricingDataTable[[#This Row],[Prior Price ($)]]</f>
        <v>6.0662817044600395E-3</v>
      </c>
      <c r="L3865" s="9">
        <f>(PricingDataTable[[#This Row],[Vendor Price ($)]]-PricingDataTable[[#This Row],[Current Price ($)]])/PricingDataTable[[#This Row],[Current Price ($)]]</f>
        <v>4.6462031833256669E-4</v>
      </c>
      <c r="M3865" t="str">
        <f t="shared" si="120"/>
        <v>PASS</v>
      </c>
      <c r="N3865" s="10" t="str">
        <f t="shared" si="121"/>
        <v>NONE</v>
      </c>
    </row>
    <row r="3866" spans="1:14">
      <c r="A3866" s="4" t="s">
        <v>7748</v>
      </c>
      <c r="B3866" s="4" t="s">
        <v>7749</v>
      </c>
      <c r="C3866" s="4" t="s">
        <v>39</v>
      </c>
      <c r="D3866" s="4" t="s">
        <v>64</v>
      </c>
      <c r="E3866" s="5">
        <v>245.27619999999999</v>
      </c>
      <c r="F3866" s="5">
        <v>249.9203</v>
      </c>
      <c r="G3866" s="5">
        <v>249.23179999999999</v>
      </c>
      <c r="H3866" s="4">
        <v>1</v>
      </c>
      <c r="I3866" s="6">
        <v>2657941</v>
      </c>
      <c r="J3866" s="7">
        <v>120.31</v>
      </c>
      <c r="K3866" s="9">
        <f>(PricingDataTable[[#This Row],[Current Price ($)]]-PricingDataTable[[#This Row],[Prior Price ($)]])/PricingDataTable[[#This Row],[Prior Price ($)]]</f>
        <v>1.8934164831320807E-2</v>
      </c>
      <c r="L3866" s="9">
        <f>(PricingDataTable[[#This Row],[Vendor Price ($)]]-PricingDataTable[[#This Row],[Current Price ($)]])/PricingDataTable[[#This Row],[Current Price ($)]]</f>
        <v>-2.7548782551877729E-3</v>
      </c>
      <c r="M3866" t="str">
        <f t="shared" si="120"/>
        <v>PASS</v>
      </c>
      <c r="N3866" s="10" t="str">
        <f t="shared" si="121"/>
        <v>NONE</v>
      </c>
    </row>
    <row r="3867" spans="1:14">
      <c r="A3867" s="4" t="s">
        <v>7750</v>
      </c>
      <c r="B3867" s="4" t="s">
        <v>7751</v>
      </c>
      <c r="C3867" s="4" t="s">
        <v>16</v>
      </c>
      <c r="D3867" s="4" t="s">
        <v>64</v>
      </c>
      <c r="E3867" s="5">
        <v>116.9218</v>
      </c>
      <c r="F3867" s="5">
        <v>120.1221</v>
      </c>
      <c r="G3867" s="5">
        <v>119.9829</v>
      </c>
      <c r="H3867" s="4">
        <v>0</v>
      </c>
      <c r="I3867" s="6">
        <v>1055305</v>
      </c>
      <c r="J3867" s="7">
        <v>42.91</v>
      </c>
      <c r="K3867" s="9">
        <f>(PricingDataTable[[#This Row],[Current Price ($)]]-PricingDataTable[[#This Row],[Prior Price ($)]])/PricingDataTable[[#This Row],[Prior Price ($)]]</f>
        <v>2.7371285765357689E-2</v>
      </c>
      <c r="L3867" s="9">
        <f>(PricingDataTable[[#This Row],[Vendor Price ($)]]-PricingDataTable[[#This Row],[Current Price ($)]])/PricingDataTable[[#This Row],[Current Price ($)]]</f>
        <v>-1.1588208997345404E-3</v>
      </c>
      <c r="M3867" t="str">
        <f t="shared" si="120"/>
        <v>PASS</v>
      </c>
      <c r="N3867" s="10" t="str">
        <f t="shared" si="121"/>
        <v>NONE</v>
      </c>
    </row>
    <row r="3868" spans="1:14">
      <c r="A3868" s="4" t="s">
        <v>7752</v>
      </c>
      <c r="B3868" s="4" t="s">
        <v>7753</v>
      </c>
      <c r="C3868" s="4" t="s">
        <v>12</v>
      </c>
      <c r="D3868" s="4" t="s">
        <v>13</v>
      </c>
      <c r="E3868" s="5">
        <v>121.0087</v>
      </c>
      <c r="F3868" s="5">
        <v>122.482</v>
      </c>
      <c r="G3868" s="5">
        <v>121.85120000000001</v>
      </c>
      <c r="H3868" s="4">
        <v>0</v>
      </c>
      <c r="I3868" s="6">
        <v>2202254</v>
      </c>
      <c r="J3868" s="7">
        <v>353.25</v>
      </c>
      <c r="K3868" s="9">
        <f>(PricingDataTable[[#This Row],[Current Price ($)]]-PricingDataTable[[#This Row],[Prior Price ($)]])/PricingDataTable[[#This Row],[Prior Price ($)]]</f>
        <v>1.2175157653953763E-2</v>
      </c>
      <c r="L3868" s="9">
        <f>(PricingDataTable[[#This Row],[Vendor Price ($)]]-PricingDataTable[[#This Row],[Current Price ($)]])/PricingDataTable[[#This Row],[Current Price ($)]]</f>
        <v>-5.1501445110301398E-3</v>
      </c>
      <c r="M3868" t="str">
        <f t="shared" si="120"/>
        <v>PASS</v>
      </c>
      <c r="N3868" s="10" t="str">
        <f t="shared" si="121"/>
        <v>NONE</v>
      </c>
    </row>
    <row r="3869" spans="1:14">
      <c r="A3869" s="4" t="s">
        <v>7754</v>
      </c>
      <c r="B3869" s="4" t="s">
        <v>7755</v>
      </c>
      <c r="C3869" s="4" t="s">
        <v>19</v>
      </c>
      <c r="D3869" s="4" t="s">
        <v>36</v>
      </c>
      <c r="E3869" s="5">
        <v>114.4783</v>
      </c>
      <c r="F3869" s="5">
        <v>113.747</v>
      </c>
      <c r="G3869" s="5">
        <v>114.0316</v>
      </c>
      <c r="H3869" s="4">
        <v>1</v>
      </c>
      <c r="I3869" s="6">
        <v>3006782</v>
      </c>
      <c r="J3869" s="7">
        <v>189.66</v>
      </c>
      <c r="K3869" s="9">
        <f>(PricingDataTable[[#This Row],[Current Price ($)]]-PricingDataTable[[#This Row],[Prior Price ($)]])/PricingDataTable[[#This Row],[Prior Price ($)]]</f>
        <v>-6.3881102357390392E-3</v>
      </c>
      <c r="L3869" s="9">
        <f>(PricingDataTable[[#This Row],[Vendor Price ($)]]-PricingDataTable[[#This Row],[Current Price ($)]])/PricingDataTable[[#This Row],[Current Price ($)]]</f>
        <v>2.5020440099518888E-3</v>
      </c>
      <c r="M3869" t="str">
        <f t="shared" si="120"/>
        <v>PASS</v>
      </c>
      <c r="N3869" s="10" t="str">
        <f t="shared" si="121"/>
        <v>NONE</v>
      </c>
    </row>
    <row r="3870" spans="1:14">
      <c r="A3870" s="4" t="s">
        <v>7756</v>
      </c>
      <c r="B3870" s="4" t="s">
        <v>7757</v>
      </c>
      <c r="C3870" s="4" t="s">
        <v>19</v>
      </c>
      <c r="D3870" s="4" t="s">
        <v>32</v>
      </c>
      <c r="E3870" s="5">
        <v>274.36869999999999</v>
      </c>
      <c r="F3870" s="5">
        <v>274.90499999999997</v>
      </c>
      <c r="G3870" s="5">
        <v>275.9735</v>
      </c>
      <c r="H3870" s="4">
        <v>0</v>
      </c>
      <c r="I3870" s="6">
        <v>2247961</v>
      </c>
      <c r="J3870" s="7">
        <v>476.02</v>
      </c>
      <c r="K3870" s="9">
        <f>(PricingDataTable[[#This Row],[Current Price ($)]]-PricingDataTable[[#This Row],[Prior Price ($)]])/PricingDataTable[[#This Row],[Prior Price ($)]]</f>
        <v>1.9546690274801133E-3</v>
      </c>
      <c r="L3870" s="9">
        <f>(PricingDataTable[[#This Row],[Vendor Price ($)]]-PricingDataTable[[#This Row],[Current Price ($)]])/PricingDataTable[[#This Row],[Current Price ($)]]</f>
        <v>3.8867972572344221E-3</v>
      </c>
      <c r="M3870" t="str">
        <f t="shared" si="120"/>
        <v>PASS</v>
      </c>
      <c r="N3870" s="10" t="str">
        <f t="shared" si="121"/>
        <v>NONE</v>
      </c>
    </row>
    <row r="3871" spans="1:14">
      <c r="A3871" s="4" t="s">
        <v>7758</v>
      </c>
      <c r="B3871" s="4" t="s">
        <v>7759</v>
      </c>
      <c r="C3871" s="4" t="s">
        <v>16</v>
      </c>
      <c r="D3871" s="4" t="s">
        <v>237</v>
      </c>
      <c r="E3871" s="5">
        <v>104.9285</v>
      </c>
      <c r="F3871" s="5">
        <v>104.7187</v>
      </c>
      <c r="G3871" s="5">
        <v>104.3867</v>
      </c>
      <c r="H3871" s="4">
        <v>0</v>
      </c>
      <c r="I3871" s="6">
        <v>1378369</v>
      </c>
      <c r="J3871" s="7">
        <v>498.81</v>
      </c>
      <c r="K3871" s="9">
        <f>(PricingDataTable[[#This Row],[Current Price ($)]]-PricingDataTable[[#This Row],[Prior Price ($)]])/PricingDataTable[[#This Row],[Prior Price ($)]]</f>
        <v>-1.9994567729453992E-3</v>
      </c>
      <c r="L3871" s="9">
        <f>(PricingDataTable[[#This Row],[Vendor Price ($)]]-PricingDataTable[[#This Row],[Current Price ($)]])/PricingDataTable[[#This Row],[Current Price ($)]]</f>
        <v>-3.1703984102170258E-3</v>
      </c>
      <c r="M3871" t="str">
        <f t="shared" si="120"/>
        <v>PASS</v>
      </c>
      <c r="N3871" s="10" t="str">
        <f t="shared" si="121"/>
        <v>NONE</v>
      </c>
    </row>
    <row r="3872" spans="1:14">
      <c r="A3872" s="4" t="s">
        <v>7760</v>
      </c>
      <c r="B3872" s="4" t="s">
        <v>7761</v>
      </c>
      <c r="C3872" s="4" t="s">
        <v>16</v>
      </c>
      <c r="D3872" s="4" t="s">
        <v>32</v>
      </c>
      <c r="E3872" s="5">
        <v>83.3095</v>
      </c>
      <c r="F3872" s="5">
        <v>82.844399999999993</v>
      </c>
      <c r="G3872" s="5">
        <v>82.671499999999995</v>
      </c>
      <c r="H3872" s="4">
        <v>0</v>
      </c>
      <c r="I3872" s="6">
        <v>553021</v>
      </c>
      <c r="J3872" s="7">
        <v>854.23</v>
      </c>
      <c r="K3872" s="9">
        <f>(PricingDataTable[[#This Row],[Current Price ($)]]-PricingDataTable[[#This Row],[Prior Price ($)]])/PricingDataTable[[#This Row],[Prior Price ($)]]</f>
        <v>-5.582796679850518E-3</v>
      </c>
      <c r="L3872" s="9">
        <f>(PricingDataTable[[#This Row],[Vendor Price ($)]]-PricingDataTable[[#This Row],[Current Price ($)]])/PricingDataTable[[#This Row],[Current Price ($)]]</f>
        <v>-2.0870451110756856E-3</v>
      </c>
      <c r="M3872" t="str">
        <f t="shared" si="120"/>
        <v>PASS</v>
      </c>
      <c r="N3872" s="10" t="str">
        <f t="shared" si="121"/>
        <v>NONE</v>
      </c>
    </row>
    <row r="3873" spans="1:14">
      <c r="A3873" s="4" t="s">
        <v>7762</v>
      </c>
      <c r="B3873" s="4" t="s">
        <v>7763</v>
      </c>
      <c r="C3873" s="4" t="s">
        <v>12</v>
      </c>
      <c r="D3873" s="4" t="s">
        <v>13</v>
      </c>
      <c r="E3873" s="5">
        <v>115.3197</v>
      </c>
      <c r="F3873" s="5">
        <v>112.0776</v>
      </c>
      <c r="G3873" s="5">
        <v>111.85339999999999</v>
      </c>
      <c r="H3873" s="4">
        <v>0</v>
      </c>
      <c r="I3873" s="6">
        <v>4807491</v>
      </c>
      <c r="J3873" s="7">
        <v>718.53</v>
      </c>
      <c r="K3873" s="9">
        <f>(PricingDataTable[[#This Row],[Current Price ($)]]-PricingDataTable[[#This Row],[Prior Price ($)]])/PricingDataTable[[#This Row],[Prior Price ($)]]</f>
        <v>-2.8114016945933726E-2</v>
      </c>
      <c r="L3873" s="9">
        <f>(PricingDataTable[[#This Row],[Vendor Price ($)]]-PricingDataTable[[#This Row],[Current Price ($)]])/PricingDataTable[[#This Row],[Current Price ($)]]</f>
        <v>-2.0003997230491231E-3</v>
      </c>
      <c r="M3873" t="str">
        <f t="shared" si="120"/>
        <v>PASS</v>
      </c>
      <c r="N3873" s="10" t="str">
        <f t="shared" si="121"/>
        <v>NONE</v>
      </c>
    </row>
    <row r="3874" spans="1:14">
      <c r="A3874" s="4" t="s">
        <v>7764</v>
      </c>
      <c r="B3874" s="4" t="s">
        <v>7765</v>
      </c>
      <c r="C3874" s="4" t="s">
        <v>39</v>
      </c>
      <c r="D3874" s="4" t="s">
        <v>13</v>
      </c>
      <c r="E3874" s="5">
        <v>111.3099</v>
      </c>
      <c r="F3874" s="5">
        <v>110.89530000000001</v>
      </c>
      <c r="G3874" s="5">
        <v>111.1893</v>
      </c>
      <c r="H3874" s="4">
        <v>1</v>
      </c>
      <c r="I3874" s="6">
        <v>2757246</v>
      </c>
      <c r="J3874" s="7">
        <v>72.52</v>
      </c>
      <c r="K3874" s="9">
        <f>(PricingDataTable[[#This Row],[Current Price ($)]]-PricingDataTable[[#This Row],[Prior Price ($)]])/PricingDataTable[[#This Row],[Prior Price ($)]]</f>
        <v>-3.7247360746887111E-3</v>
      </c>
      <c r="L3874" s="9">
        <f>(PricingDataTable[[#This Row],[Vendor Price ($)]]-PricingDataTable[[#This Row],[Current Price ($)]])/PricingDataTable[[#This Row],[Current Price ($)]]</f>
        <v>2.6511493273384617E-3</v>
      </c>
      <c r="M3874" t="str">
        <f t="shared" si="120"/>
        <v>PASS</v>
      </c>
      <c r="N3874" s="10" t="str">
        <f t="shared" si="121"/>
        <v>NONE</v>
      </c>
    </row>
    <row r="3875" spans="1:14">
      <c r="A3875" s="4" t="s">
        <v>7766</v>
      </c>
      <c r="B3875" s="4" t="s">
        <v>7767</v>
      </c>
      <c r="C3875" s="4" t="s">
        <v>19</v>
      </c>
      <c r="D3875" s="4" t="s">
        <v>13</v>
      </c>
      <c r="E3875" s="5">
        <v>56.031599999999997</v>
      </c>
      <c r="F3875" s="5">
        <v>56.0184</v>
      </c>
      <c r="G3875" s="5">
        <v>55.944200000000002</v>
      </c>
      <c r="H3875" s="4">
        <v>0</v>
      </c>
      <c r="I3875" s="6">
        <v>716702</v>
      </c>
      <c r="J3875" s="7">
        <v>242.98</v>
      </c>
      <c r="K3875" s="9">
        <f>(PricingDataTable[[#This Row],[Current Price ($)]]-PricingDataTable[[#This Row],[Prior Price ($)]])/PricingDataTable[[#This Row],[Prior Price ($)]]</f>
        <v>-2.3558135052359131E-4</v>
      </c>
      <c r="L3875" s="9">
        <f>(PricingDataTable[[#This Row],[Vendor Price ($)]]-PricingDataTable[[#This Row],[Current Price ($)]])/PricingDataTable[[#This Row],[Current Price ($)]]</f>
        <v>-1.3245647858560331E-3</v>
      </c>
      <c r="M3875" t="str">
        <f t="shared" si="120"/>
        <v>PASS</v>
      </c>
      <c r="N3875" s="10" t="str">
        <f t="shared" si="121"/>
        <v>NONE</v>
      </c>
    </row>
    <row r="3876" spans="1:14">
      <c r="A3876" s="4" t="s">
        <v>7768</v>
      </c>
      <c r="B3876" s="4" t="s">
        <v>7769</v>
      </c>
      <c r="C3876" s="4" t="s">
        <v>16</v>
      </c>
      <c r="D3876" s="4" t="s">
        <v>32</v>
      </c>
      <c r="E3876" s="5">
        <v>108.1563</v>
      </c>
      <c r="F3876" s="5">
        <v>109.8134</v>
      </c>
      <c r="G3876" s="5">
        <v>110.1855</v>
      </c>
      <c r="H3876" s="4">
        <v>0</v>
      </c>
      <c r="I3876" s="6">
        <v>1236586</v>
      </c>
      <c r="J3876" s="7">
        <v>806.71</v>
      </c>
      <c r="K3876" s="9">
        <f>(PricingDataTable[[#This Row],[Current Price ($)]]-PricingDataTable[[#This Row],[Prior Price ($)]])/PricingDataTable[[#This Row],[Prior Price ($)]]</f>
        <v>1.5321345127375843E-2</v>
      </c>
      <c r="L3876" s="9">
        <f>(PricingDataTable[[#This Row],[Vendor Price ($)]]-PricingDataTable[[#This Row],[Current Price ($)]])/PricingDataTable[[#This Row],[Current Price ($)]]</f>
        <v>3.3884753591092091E-3</v>
      </c>
      <c r="M3876" t="str">
        <f t="shared" si="120"/>
        <v>PASS</v>
      </c>
      <c r="N3876" s="10" t="str">
        <f t="shared" si="121"/>
        <v>NONE</v>
      </c>
    </row>
    <row r="3877" spans="1:14">
      <c r="A3877" s="4" t="s">
        <v>7770</v>
      </c>
      <c r="B3877" s="4" t="s">
        <v>7771</v>
      </c>
      <c r="C3877" s="4" t="s">
        <v>39</v>
      </c>
      <c r="D3877" s="4" t="s">
        <v>64</v>
      </c>
      <c r="E3877" s="5">
        <v>158.9898</v>
      </c>
      <c r="F3877" s="5">
        <v>159.13659999999999</v>
      </c>
      <c r="G3877" s="5">
        <v>159.0778</v>
      </c>
      <c r="H3877" s="4">
        <v>0</v>
      </c>
      <c r="I3877" s="6">
        <v>3866978</v>
      </c>
      <c r="J3877" s="7">
        <v>505.56</v>
      </c>
      <c r="K3877" s="9">
        <f>(PricingDataTable[[#This Row],[Current Price ($)]]-PricingDataTable[[#This Row],[Prior Price ($)]])/PricingDataTable[[#This Row],[Prior Price ($)]]</f>
        <v>9.2332967272104702E-4</v>
      </c>
      <c r="L3877" s="9">
        <f>(PricingDataTable[[#This Row],[Vendor Price ($)]]-PricingDataTable[[#This Row],[Current Price ($)]])/PricingDataTable[[#This Row],[Current Price ($)]]</f>
        <v>-3.6949388135721679E-4</v>
      </c>
      <c r="M3877" t="str">
        <f t="shared" si="120"/>
        <v>PASS</v>
      </c>
      <c r="N3877" s="10" t="str">
        <f t="shared" si="121"/>
        <v>NONE</v>
      </c>
    </row>
    <row r="3878" spans="1:14">
      <c r="A3878" s="4" t="s">
        <v>7772</v>
      </c>
      <c r="B3878" s="4" t="s">
        <v>7773</v>
      </c>
      <c r="C3878" s="4" t="s">
        <v>12</v>
      </c>
      <c r="D3878" s="4" t="s">
        <v>13</v>
      </c>
      <c r="E3878" s="5">
        <v>95.0167</v>
      </c>
      <c r="F3878" s="5">
        <v>94.725399999999993</v>
      </c>
      <c r="G3878" s="5">
        <v>94.781599999999997</v>
      </c>
      <c r="H3878" s="4">
        <v>3</v>
      </c>
      <c r="I3878" s="6">
        <v>732587</v>
      </c>
      <c r="J3878" s="7">
        <v>684.73</v>
      </c>
      <c r="K3878" s="9">
        <f>(PricingDataTable[[#This Row],[Current Price ($)]]-PricingDataTable[[#This Row],[Prior Price ($)]])/PricingDataTable[[#This Row],[Prior Price ($)]]</f>
        <v>-3.0657768581734239E-3</v>
      </c>
      <c r="L3878" s="9">
        <f>(PricingDataTable[[#This Row],[Vendor Price ($)]]-PricingDataTable[[#This Row],[Current Price ($)]])/PricingDataTable[[#This Row],[Current Price ($)]]</f>
        <v>5.9329387893853214E-4</v>
      </c>
      <c r="M3878" t="str">
        <f t="shared" si="120"/>
        <v>STALE</v>
      </c>
      <c r="N3878" s="10" t="str">
        <f t="shared" si="121"/>
        <v>LOW</v>
      </c>
    </row>
    <row r="3879" spans="1:14">
      <c r="A3879" s="4" t="s">
        <v>7774</v>
      </c>
      <c r="B3879" s="4" t="s">
        <v>7775</v>
      </c>
      <c r="C3879" s="4" t="s">
        <v>35</v>
      </c>
      <c r="D3879" s="4" t="s">
        <v>13</v>
      </c>
      <c r="E3879" s="5">
        <v>30.159800000000001</v>
      </c>
      <c r="F3879" s="5">
        <v>30.587900000000001</v>
      </c>
      <c r="G3879" s="5">
        <v>30.540800000000001</v>
      </c>
      <c r="H3879" s="4">
        <v>0</v>
      </c>
      <c r="I3879" s="6">
        <v>3712221</v>
      </c>
      <c r="J3879" s="7">
        <v>212.76</v>
      </c>
      <c r="K3879" s="9">
        <f>(PricingDataTable[[#This Row],[Current Price ($)]]-PricingDataTable[[#This Row],[Prior Price ($)]])/PricingDataTable[[#This Row],[Prior Price ($)]]</f>
        <v>1.4194391209490799E-2</v>
      </c>
      <c r="L3879" s="9">
        <f>(PricingDataTable[[#This Row],[Vendor Price ($)]]-PricingDataTable[[#This Row],[Current Price ($)]])/PricingDataTable[[#This Row],[Current Price ($)]]</f>
        <v>-1.5398245711539648E-3</v>
      </c>
      <c r="M3879" t="str">
        <f t="shared" si="120"/>
        <v>PASS</v>
      </c>
      <c r="N3879" s="10" t="str">
        <f t="shared" si="121"/>
        <v>NONE</v>
      </c>
    </row>
    <row r="3880" spans="1:14">
      <c r="A3880" s="4" t="s">
        <v>7776</v>
      </c>
      <c r="B3880" s="4" t="s">
        <v>7777</v>
      </c>
      <c r="C3880" s="4" t="s">
        <v>16</v>
      </c>
      <c r="D3880" s="4" t="s">
        <v>36</v>
      </c>
      <c r="E3880" s="5">
        <v>91.9863</v>
      </c>
      <c r="F3880" s="5">
        <v>91.268199999999993</v>
      </c>
      <c r="G3880" s="5">
        <v>91.474699999999999</v>
      </c>
      <c r="H3880" s="4">
        <v>0</v>
      </c>
      <c r="I3880" s="6">
        <v>4213983</v>
      </c>
      <c r="J3880" s="7">
        <v>300.44</v>
      </c>
      <c r="K3880" s="9">
        <f>(PricingDataTable[[#This Row],[Current Price ($)]]-PricingDataTable[[#This Row],[Prior Price ($)]])/PricingDataTable[[#This Row],[Prior Price ($)]]</f>
        <v>-7.8065972867699517E-3</v>
      </c>
      <c r="L3880" s="9">
        <f>(PricingDataTable[[#This Row],[Vendor Price ($)]]-PricingDataTable[[#This Row],[Current Price ($)]])/PricingDataTable[[#This Row],[Current Price ($)]]</f>
        <v>2.2625624259052491E-3</v>
      </c>
      <c r="M3880" t="str">
        <f t="shared" si="120"/>
        <v>PASS</v>
      </c>
      <c r="N3880" s="10" t="str">
        <f t="shared" si="121"/>
        <v>NONE</v>
      </c>
    </row>
    <row r="3881" spans="1:14">
      <c r="A3881" s="4" t="s">
        <v>7778</v>
      </c>
      <c r="B3881" s="4" t="s">
        <v>7779</v>
      </c>
      <c r="C3881" s="4" t="s">
        <v>19</v>
      </c>
      <c r="D3881" s="4" t="s">
        <v>13</v>
      </c>
      <c r="E3881" s="5">
        <v>328.91910000000001</v>
      </c>
      <c r="F3881" s="5">
        <v>329.11939999999998</v>
      </c>
      <c r="G3881" s="5">
        <v>326.86700000000002</v>
      </c>
      <c r="H3881" s="4">
        <v>0</v>
      </c>
      <c r="I3881" s="6">
        <v>1033866</v>
      </c>
      <c r="J3881" s="7">
        <v>862.55</v>
      </c>
      <c r="K3881" s="9">
        <f>(PricingDataTable[[#This Row],[Current Price ($)]]-PricingDataTable[[#This Row],[Prior Price ($)]])/PricingDataTable[[#This Row],[Prior Price ($)]]</f>
        <v>6.0896433195874048E-4</v>
      </c>
      <c r="L3881" s="9">
        <f>(PricingDataTable[[#This Row],[Vendor Price ($)]]-PricingDataTable[[#This Row],[Current Price ($)]])/PricingDataTable[[#This Row],[Current Price ($)]]</f>
        <v>-6.8437169003102401E-3</v>
      </c>
      <c r="M3881" t="str">
        <f t="shared" si="120"/>
        <v>PASS</v>
      </c>
      <c r="N3881" s="10" t="str">
        <f t="shared" si="121"/>
        <v>NONE</v>
      </c>
    </row>
    <row r="3882" spans="1:14">
      <c r="A3882" s="4" t="s">
        <v>7780</v>
      </c>
      <c r="B3882" s="4" t="s">
        <v>7781</v>
      </c>
      <c r="C3882" s="4" t="s">
        <v>39</v>
      </c>
      <c r="D3882" s="4" t="s">
        <v>13</v>
      </c>
      <c r="E3882" s="5">
        <v>290.35199999999998</v>
      </c>
      <c r="F3882" s="5">
        <v>287.10680000000002</v>
      </c>
      <c r="G3882" s="5">
        <v>288.19779999999997</v>
      </c>
      <c r="H3882" s="4">
        <v>0</v>
      </c>
      <c r="I3882" s="6">
        <v>2484471</v>
      </c>
      <c r="J3882" s="7">
        <v>233.78</v>
      </c>
      <c r="K3882" s="9">
        <f>(PricingDataTable[[#This Row],[Current Price ($)]]-PricingDataTable[[#This Row],[Prior Price ($)]])/PricingDataTable[[#This Row],[Prior Price ($)]]</f>
        <v>-1.1176778530886491E-2</v>
      </c>
      <c r="L3882" s="9">
        <f>(PricingDataTable[[#This Row],[Vendor Price ($)]]-PricingDataTable[[#This Row],[Current Price ($)]])/PricingDataTable[[#This Row],[Current Price ($)]]</f>
        <v>3.799979659137127E-3</v>
      </c>
      <c r="M3882" t="str">
        <f t="shared" si="120"/>
        <v>PASS</v>
      </c>
      <c r="N3882" s="10" t="str">
        <f t="shared" si="121"/>
        <v>NONE</v>
      </c>
    </row>
    <row r="3883" spans="1:14">
      <c r="A3883" s="4" t="s">
        <v>7782</v>
      </c>
      <c r="B3883" s="4" t="s">
        <v>7783</v>
      </c>
      <c r="C3883" s="4" t="s">
        <v>19</v>
      </c>
      <c r="D3883" s="4" t="s">
        <v>13</v>
      </c>
      <c r="E3883" s="5">
        <v>118.92010000000001</v>
      </c>
      <c r="F3883" s="5">
        <v>118.8618</v>
      </c>
      <c r="G3883" s="5">
        <v>118.8869</v>
      </c>
      <c r="H3883" s="4">
        <v>0</v>
      </c>
      <c r="I3883" s="6">
        <v>4373443</v>
      </c>
      <c r="J3883" s="7">
        <v>582.41</v>
      </c>
      <c r="K3883" s="9">
        <f>(PricingDataTable[[#This Row],[Current Price ($)]]-PricingDataTable[[#This Row],[Prior Price ($)]])/PricingDataTable[[#This Row],[Prior Price ($)]]</f>
        <v>-4.9024513097451719E-4</v>
      </c>
      <c r="L3883" s="9">
        <f>(PricingDataTable[[#This Row],[Vendor Price ($)]]-PricingDataTable[[#This Row],[Current Price ($)]])/PricingDataTable[[#This Row],[Current Price ($)]]</f>
        <v>2.1116961042147092E-4</v>
      </c>
      <c r="M3883" t="str">
        <f t="shared" si="120"/>
        <v>PASS</v>
      </c>
      <c r="N3883" s="10" t="str">
        <f t="shared" si="121"/>
        <v>NONE</v>
      </c>
    </row>
    <row r="3884" spans="1:14">
      <c r="A3884" s="4" t="s">
        <v>7784</v>
      </c>
      <c r="B3884" s="4" t="s">
        <v>7785</v>
      </c>
      <c r="C3884" s="4" t="s">
        <v>16</v>
      </c>
      <c r="D3884" s="4" t="s">
        <v>13</v>
      </c>
      <c r="E3884" s="5">
        <v>81.4071</v>
      </c>
      <c r="F3884" s="5">
        <v>82.274900000000002</v>
      </c>
      <c r="G3884" s="5">
        <v>82.351699999999994</v>
      </c>
      <c r="H3884" s="4">
        <v>0</v>
      </c>
      <c r="I3884" s="6">
        <v>4747939</v>
      </c>
      <c r="J3884" s="7">
        <v>631.32000000000005</v>
      </c>
      <c r="K3884" s="9">
        <f>(PricingDataTable[[#This Row],[Current Price ($)]]-PricingDataTable[[#This Row],[Prior Price ($)]])/PricingDataTable[[#This Row],[Prior Price ($)]]</f>
        <v>1.0660003857157454E-2</v>
      </c>
      <c r="L3884" s="9">
        <f>(PricingDataTable[[#This Row],[Vendor Price ($)]]-PricingDataTable[[#This Row],[Current Price ($)]])/PricingDataTable[[#This Row],[Current Price ($)]]</f>
        <v>9.3345601149307433E-4</v>
      </c>
      <c r="M3884" t="str">
        <f t="shared" si="120"/>
        <v>PASS</v>
      </c>
      <c r="N3884" s="10" t="str">
        <f t="shared" si="121"/>
        <v>NONE</v>
      </c>
    </row>
    <row r="3885" spans="1:14">
      <c r="A3885" s="4" t="s">
        <v>7786</v>
      </c>
      <c r="B3885" s="4" t="s">
        <v>7787</v>
      </c>
      <c r="C3885" s="4" t="s">
        <v>19</v>
      </c>
      <c r="D3885" s="4" t="s">
        <v>13</v>
      </c>
      <c r="E3885" s="5">
        <v>253.37870000000001</v>
      </c>
      <c r="F3885" s="5">
        <v>258.88380000000001</v>
      </c>
      <c r="G3885" s="5">
        <v>258.14190000000002</v>
      </c>
      <c r="H3885" s="4">
        <v>3</v>
      </c>
      <c r="I3885" s="6">
        <v>3388802</v>
      </c>
      <c r="J3885" s="7">
        <v>783.74</v>
      </c>
      <c r="K3885" s="9">
        <f>(PricingDataTable[[#This Row],[Current Price ($)]]-PricingDataTable[[#This Row],[Prior Price ($)]])/PricingDataTable[[#This Row],[Prior Price ($)]]</f>
        <v>2.1726767088156969E-2</v>
      </c>
      <c r="L3885" s="9">
        <f>(PricingDataTable[[#This Row],[Vendor Price ($)]]-PricingDataTable[[#This Row],[Current Price ($)]])/PricingDataTable[[#This Row],[Current Price ($)]]</f>
        <v>-2.8657644858426324E-3</v>
      </c>
      <c r="M3885" t="str">
        <f t="shared" si="120"/>
        <v>STALE</v>
      </c>
      <c r="N3885" s="10" t="str">
        <f t="shared" si="121"/>
        <v>LOW</v>
      </c>
    </row>
    <row r="3886" spans="1:14">
      <c r="A3886" s="4" t="s">
        <v>7788</v>
      </c>
      <c r="B3886" s="4" t="s">
        <v>7789</v>
      </c>
      <c r="C3886" s="4" t="s">
        <v>19</v>
      </c>
      <c r="D3886" s="4" t="s">
        <v>13</v>
      </c>
      <c r="E3886" s="5">
        <v>249.9615</v>
      </c>
      <c r="F3886" s="5">
        <v>248.95830000000001</v>
      </c>
      <c r="G3886" s="5">
        <v>249.04230000000001</v>
      </c>
      <c r="H3886" s="4">
        <v>0</v>
      </c>
      <c r="I3886" s="6">
        <v>1858095</v>
      </c>
      <c r="J3886" s="7">
        <v>295.10000000000002</v>
      </c>
      <c r="K3886" s="9">
        <f>(PricingDataTable[[#This Row],[Current Price ($)]]-PricingDataTable[[#This Row],[Prior Price ($)]])/PricingDataTable[[#This Row],[Prior Price ($)]]</f>
        <v>-4.0134180663821926E-3</v>
      </c>
      <c r="L3886" s="9">
        <f>(PricingDataTable[[#This Row],[Vendor Price ($)]]-PricingDataTable[[#This Row],[Current Price ($)]])/PricingDataTable[[#This Row],[Current Price ($)]]</f>
        <v>3.3740590291628431E-4</v>
      </c>
      <c r="M3886" t="str">
        <f t="shared" si="120"/>
        <v>PASS</v>
      </c>
      <c r="N3886" s="10" t="str">
        <f t="shared" si="121"/>
        <v>NONE</v>
      </c>
    </row>
    <row r="3887" spans="1:14">
      <c r="A3887" s="4" t="s">
        <v>7790</v>
      </c>
      <c r="B3887" s="4" t="s">
        <v>7791</v>
      </c>
      <c r="C3887" s="4" t="s">
        <v>12</v>
      </c>
      <c r="D3887" s="4" t="s">
        <v>13</v>
      </c>
      <c r="E3887" s="5">
        <v>108.28660000000001</v>
      </c>
      <c r="F3887" s="5">
        <v>106.8657</v>
      </c>
      <c r="G3887" s="5">
        <v>106.6187</v>
      </c>
      <c r="H3887" s="4">
        <v>0</v>
      </c>
      <c r="I3887" s="6">
        <v>992240</v>
      </c>
      <c r="J3887" s="7">
        <v>145.78</v>
      </c>
      <c r="K3887" s="9">
        <f>(PricingDataTable[[#This Row],[Current Price ($)]]-PricingDataTable[[#This Row],[Prior Price ($)]])/PricingDataTable[[#This Row],[Prior Price ($)]]</f>
        <v>-1.3121660482460462E-2</v>
      </c>
      <c r="L3887" s="9">
        <f>(PricingDataTable[[#This Row],[Vendor Price ($)]]-PricingDataTable[[#This Row],[Current Price ($)]])/PricingDataTable[[#This Row],[Current Price ($)]]</f>
        <v>-2.3113122358249644E-3</v>
      </c>
      <c r="M3887" t="str">
        <f t="shared" si="120"/>
        <v>PASS</v>
      </c>
      <c r="N3887" s="10" t="str">
        <f t="shared" si="121"/>
        <v>NONE</v>
      </c>
    </row>
    <row r="3888" spans="1:14">
      <c r="A3888" s="4" t="s">
        <v>7792</v>
      </c>
      <c r="B3888" s="4" t="s">
        <v>7793</v>
      </c>
      <c r="C3888" s="4" t="s">
        <v>12</v>
      </c>
      <c r="D3888" s="4" t="s">
        <v>13</v>
      </c>
      <c r="E3888" s="5">
        <v>111.443</v>
      </c>
      <c r="F3888" s="5">
        <v>110.0912</v>
      </c>
      <c r="G3888" s="5">
        <v>110.3715</v>
      </c>
      <c r="H3888" s="4">
        <v>0</v>
      </c>
      <c r="I3888" s="6">
        <v>192851</v>
      </c>
      <c r="J3888" s="7">
        <v>189.63</v>
      </c>
      <c r="K3888" s="9">
        <f>(PricingDataTable[[#This Row],[Current Price ($)]]-PricingDataTable[[#This Row],[Prior Price ($)]])/PricingDataTable[[#This Row],[Prior Price ($)]]</f>
        <v>-1.2129967786222528E-2</v>
      </c>
      <c r="L3888" s="9">
        <f>(PricingDataTable[[#This Row],[Vendor Price ($)]]-PricingDataTable[[#This Row],[Current Price ($)]])/PricingDataTable[[#This Row],[Current Price ($)]]</f>
        <v>2.5460708939497151E-3</v>
      </c>
      <c r="M3888" t="str">
        <f t="shared" si="120"/>
        <v>PASS</v>
      </c>
      <c r="N3888" s="10" t="str">
        <f t="shared" si="121"/>
        <v>NONE</v>
      </c>
    </row>
    <row r="3889" spans="1:14">
      <c r="A3889" s="4" t="s">
        <v>7794</v>
      </c>
      <c r="B3889" s="4" t="s">
        <v>7795</v>
      </c>
      <c r="C3889" s="4" t="s">
        <v>16</v>
      </c>
      <c r="D3889" s="4" t="s">
        <v>13</v>
      </c>
      <c r="E3889" s="5">
        <v>78.702100000000002</v>
      </c>
      <c r="F3889" s="5">
        <v>78.405500000000004</v>
      </c>
      <c r="G3889" s="5">
        <v>77.894999999999996</v>
      </c>
      <c r="H3889" s="4">
        <v>1</v>
      </c>
      <c r="I3889" s="6">
        <v>2911883</v>
      </c>
      <c r="J3889" s="7">
        <v>337.61</v>
      </c>
      <c r="K3889" s="9">
        <f>(PricingDataTable[[#This Row],[Current Price ($)]]-PricingDataTable[[#This Row],[Prior Price ($)]])/PricingDataTable[[#This Row],[Prior Price ($)]]</f>
        <v>-3.7686414974949585E-3</v>
      </c>
      <c r="L3889" s="9">
        <f>(PricingDataTable[[#This Row],[Vendor Price ($)]]-PricingDataTable[[#This Row],[Current Price ($)]])/PricingDataTable[[#This Row],[Current Price ($)]]</f>
        <v>-6.5110228236540486E-3</v>
      </c>
      <c r="M3889" t="str">
        <f t="shared" si="120"/>
        <v>PASS</v>
      </c>
      <c r="N3889" s="10" t="str">
        <f t="shared" si="121"/>
        <v>NONE</v>
      </c>
    </row>
    <row r="3890" spans="1:14">
      <c r="A3890" s="4" t="s">
        <v>7796</v>
      </c>
      <c r="B3890" s="4" t="s">
        <v>7797</v>
      </c>
      <c r="C3890" s="4" t="s">
        <v>19</v>
      </c>
      <c r="D3890" s="4" t="s">
        <v>32</v>
      </c>
      <c r="E3890" s="5">
        <v>328.47280000000001</v>
      </c>
      <c r="F3890" s="5">
        <v>327.78609999999998</v>
      </c>
      <c r="G3890" s="5">
        <v>325.65320000000003</v>
      </c>
      <c r="H3890" s="4">
        <v>0</v>
      </c>
      <c r="I3890" s="6">
        <v>1293941</v>
      </c>
      <c r="J3890" s="7">
        <v>348.88</v>
      </c>
      <c r="K3890" s="9">
        <f>(PricingDataTable[[#This Row],[Current Price ($)]]-PricingDataTable[[#This Row],[Prior Price ($)]])/PricingDataTable[[#This Row],[Prior Price ($)]]</f>
        <v>-2.0905840605372201E-3</v>
      </c>
      <c r="L3890" s="9">
        <f>(PricingDataTable[[#This Row],[Vendor Price ($)]]-PricingDataTable[[#This Row],[Current Price ($)]])/PricingDataTable[[#This Row],[Current Price ($)]]</f>
        <v>-6.5069873310672714E-3</v>
      </c>
      <c r="M3890" t="str">
        <f t="shared" si="120"/>
        <v>PASS</v>
      </c>
      <c r="N3890" s="10" t="str">
        <f t="shared" si="121"/>
        <v>NONE</v>
      </c>
    </row>
    <row r="3891" spans="1:14">
      <c r="A3891" s="4" t="s">
        <v>7798</v>
      </c>
      <c r="B3891" s="4" t="s">
        <v>7799</v>
      </c>
      <c r="C3891" s="4" t="s">
        <v>39</v>
      </c>
      <c r="D3891" s="4" t="s">
        <v>13</v>
      </c>
      <c r="E3891" s="5">
        <v>338.7133</v>
      </c>
      <c r="F3891" s="5">
        <v>341.36810000000003</v>
      </c>
      <c r="G3891" s="5">
        <v>339.85879999999997</v>
      </c>
      <c r="H3891" s="4">
        <v>5</v>
      </c>
      <c r="I3891" s="6">
        <v>4837909</v>
      </c>
      <c r="J3891" s="7">
        <v>179.53</v>
      </c>
      <c r="K3891" s="9">
        <f>(PricingDataTable[[#This Row],[Current Price ($)]]-PricingDataTable[[#This Row],[Prior Price ($)]])/PricingDataTable[[#This Row],[Prior Price ($)]]</f>
        <v>7.8378971242051114E-3</v>
      </c>
      <c r="L3891" s="9">
        <f>(PricingDataTable[[#This Row],[Vendor Price ($)]]-PricingDataTable[[#This Row],[Current Price ($)]])/PricingDataTable[[#This Row],[Current Price ($)]]</f>
        <v>-4.4213270074153176E-3</v>
      </c>
      <c r="M3891" t="str">
        <f t="shared" si="120"/>
        <v>STALE</v>
      </c>
      <c r="N3891" s="10" t="str">
        <f t="shared" si="121"/>
        <v>MEDIUM</v>
      </c>
    </row>
    <row r="3892" spans="1:14">
      <c r="A3892" s="4" t="s">
        <v>7800</v>
      </c>
      <c r="B3892" s="4" t="s">
        <v>7801</v>
      </c>
      <c r="C3892" s="4" t="s">
        <v>39</v>
      </c>
      <c r="D3892" s="4" t="s">
        <v>64</v>
      </c>
      <c r="E3892" s="5">
        <v>224.9194</v>
      </c>
      <c r="F3892" s="5">
        <v>220.9556</v>
      </c>
      <c r="G3892" s="5">
        <v>220.57689999999999</v>
      </c>
      <c r="H3892" s="4">
        <v>0</v>
      </c>
      <c r="I3892" s="6">
        <v>2857455</v>
      </c>
      <c r="J3892" s="7">
        <v>846.55</v>
      </c>
      <c r="K3892" s="9">
        <f>(PricingDataTable[[#This Row],[Current Price ($)]]-PricingDataTable[[#This Row],[Prior Price ($)]])/PricingDataTable[[#This Row],[Prior Price ($)]]</f>
        <v>-1.7623201911440241E-2</v>
      </c>
      <c r="L3892" s="9">
        <f>(PricingDataTable[[#This Row],[Vendor Price ($)]]-PricingDataTable[[#This Row],[Current Price ($)]])/PricingDataTable[[#This Row],[Current Price ($)]]</f>
        <v>-1.7139189954905381E-3</v>
      </c>
      <c r="M3892" t="str">
        <f t="shared" si="120"/>
        <v>PASS</v>
      </c>
      <c r="N3892" s="10" t="str">
        <f t="shared" si="121"/>
        <v>NONE</v>
      </c>
    </row>
    <row r="3893" spans="1:14">
      <c r="A3893" s="4" t="s">
        <v>7802</v>
      </c>
      <c r="B3893" s="4" t="s">
        <v>7803</v>
      </c>
      <c r="C3893" s="4" t="s">
        <v>16</v>
      </c>
      <c r="D3893" s="4" t="s">
        <v>13</v>
      </c>
      <c r="E3893" s="5">
        <v>90.581999999999994</v>
      </c>
      <c r="F3893" s="5">
        <v>90.897900000000007</v>
      </c>
      <c r="G3893" s="5">
        <v>91.120999999999995</v>
      </c>
      <c r="H3893" s="4">
        <v>0</v>
      </c>
      <c r="I3893" s="6">
        <v>802932</v>
      </c>
      <c r="J3893" s="7">
        <v>389.07</v>
      </c>
      <c r="K3893" s="9">
        <f>(PricingDataTable[[#This Row],[Current Price ($)]]-PricingDataTable[[#This Row],[Prior Price ($)]])/PricingDataTable[[#This Row],[Prior Price ($)]]</f>
        <v>3.4874478373188205E-3</v>
      </c>
      <c r="L3893" s="9">
        <f>(PricingDataTable[[#This Row],[Vendor Price ($)]]-PricingDataTable[[#This Row],[Current Price ($)]])/PricingDataTable[[#This Row],[Current Price ($)]]</f>
        <v>2.4544021369029214E-3</v>
      </c>
      <c r="M3893" t="str">
        <f t="shared" si="120"/>
        <v>PASS</v>
      </c>
      <c r="N3893" s="10" t="str">
        <f t="shared" si="121"/>
        <v>NONE</v>
      </c>
    </row>
    <row r="3894" spans="1:14">
      <c r="A3894" s="4" t="s">
        <v>7804</v>
      </c>
      <c r="B3894" s="4" t="s">
        <v>7805</v>
      </c>
      <c r="C3894" s="4" t="s">
        <v>19</v>
      </c>
      <c r="D3894" s="4" t="s">
        <v>13</v>
      </c>
      <c r="E3894" s="5">
        <v>177.83770000000001</v>
      </c>
      <c r="F3894" s="5">
        <v>188.2517</v>
      </c>
      <c r="G3894" s="5">
        <v>188.56030000000001</v>
      </c>
      <c r="H3894" s="4">
        <v>0</v>
      </c>
      <c r="I3894" s="6">
        <v>3713359</v>
      </c>
      <c r="J3894" s="7">
        <v>513.20000000000005</v>
      </c>
      <c r="K3894" s="9">
        <f>(PricingDataTable[[#This Row],[Current Price ($)]]-PricingDataTable[[#This Row],[Prior Price ($)]])/PricingDataTable[[#This Row],[Prior Price ($)]]</f>
        <v>5.8559011953033507E-2</v>
      </c>
      <c r="L3894" s="9">
        <f>(PricingDataTable[[#This Row],[Vendor Price ($)]]-PricingDataTable[[#This Row],[Current Price ($)]])/PricingDataTable[[#This Row],[Current Price ($)]]</f>
        <v>1.6392946252278872E-3</v>
      </c>
      <c r="M3894" t="str">
        <f t="shared" si="120"/>
        <v>LARGE MOVE</v>
      </c>
      <c r="N3894" s="10" t="str">
        <f t="shared" si="121"/>
        <v>LOW</v>
      </c>
    </row>
    <row r="3895" spans="1:14">
      <c r="A3895" s="4" t="s">
        <v>7806</v>
      </c>
      <c r="B3895" s="4" t="s">
        <v>7807</v>
      </c>
      <c r="C3895" s="4" t="s">
        <v>35</v>
      </c>
      <c r="D3895" s="4" t="s">
        <v>13</v>
      </c>
      <c r="E3895" s="5">
        <v>101.8488</v>
      </c>
      <c r="F3895" s="5">
        <v>102.06189999999999</v>
      </c>
      <c r="G3895" s="5">
        <v>101.98309999999999</v>
      </c>
      <c r="H3895" s="4">
        <v>0</v>
      </c>
      <c r="I3895" s="6">
        <v>3010664</v>
      </c>
      <c r="J3895" s="7">
        <v>777.88</v>
      </c>
      <c r="K3895" s="9">
        <f>(PricingDataTable[[#This Row],[Current Price ($)]]-PricingDataTable[[#This Row],[Prior Price ($)]])/PricingDataTable[[#This Row],[Prior Price ($)]]</f>
        <v>2.0923172388874214E-3</v>
      </c>
      <c r="L3895" s="9">
        <f>(PricingDataTable[[#This Row],[Vendor Price ($)]]-PricingDataTable[[#This Row],[Current Price ($)]])/PricingDataTable[[#This Row],[Current Price ($)]]</f>
        <v>-7.7208047273273465E-4</v>
      </c>
      <c r="M3895" t="str">
        <f t="shared" si="120"/>
        <v>PASS</v>
      </c>
      <c r="N3895" s="10" t="str">
        <f t="shared" si="121"/>
        <v>NONE</v>
      </c>
    </row>
    <row r="3896" spans="1:14">
      <c r="A3896" s="4" t="s">
        <v>7808</v>
      </c>
      <c r="B3896" s="4" t="s">
        <v>7809</v>
      </c>
      <c r="C3896" s="4" t="s">
        <v>16</v>
      </c>
      <c r="D3896" s="4" t="s">
        <v>13</v>
      </c>
      <c r="E3896" s="5">
        <v>89.129099999999994</v>
      </c>
      <c r="F3896" s="5">
        <v>89.613200000000006</v>
      </c>
      <c r="G3896" s="5">
        <v>89.6477</v>
      </c>
      <c r="H3896" s="4">
        <v>0</v>
      </c>
      <c r="I3896" s="6">
        <v>4347896</v>
      </c>
      <c r="J3896" s="7">
        <v>416.76</v>
      </c>
      <c r="K3896" s="9">
        <f>(PricingDataTable[[#This Row],[Current Price ($)]]-PricingDataTable[[#This Row],[Prior Price ($)]])/PricingDataTable[[#This Row],[Prior Price ($)]]</f>
        <v>5.4314471928922454E-3</v>
      </c>
      <c r="L3896" s="9">
        <f>(PricingDataTable[[#This Row],[Vendor Price ($)]]-PricingDataTable[[#This Row],[Current Price ($)]])/PricingDataTable[[#This Row],[Current Price ($)]]</f>
        <v>3.8498792588585387E-4</v>
      </c>
      <c r="M3896" t="str">
        <f t="shared" si="120"/>
        <v>PASS</v>
      </c>
      <c r="N3896" s="10" t="str">
        <f t="shared" si="121"/>
        <v>NONE</v>
      </c>
    </row>
    <row r="3897" spans="1:14">
      <c r="A3897" s="4" t="s">
        <v>7810</v>
      </c>
      <c r="B3897" s="4" t="s">
        <v>7811</v>
      </c>
      <c r="C3897" s="4" t="s">
        <v>39</v>
      </c>
      <c r="D3897" s="4" t="s">
        <v>13</v>
      </c>
      <c r="E3897" s="5">
        <v>246.7603</v>
      </c>
      <c r="F3897" s="5">
        <v>243.5582</v>
      </c>
      <c r="G3897" s="5">
        <v>244.12780000000001</v>
      </c>
      <c r="H3897" s="4">
        <v>3</v>
      </c>
      <c r="I3897" s="6">
        <v>4885852</v>
      </c>
      <c r="J3897" s="7">
        <v>30.68</v>
      </c>
      <c r="K3897" s="9">
        <f>(PricingDataTable[[#This Row],[Current Price ($)]]-PricingDataTable[[#This Row],[Prior Price ($)]])/PricingDataTable[[#This Row],[Prior Price ($)]]</f>
        <v>-1.2976560654205728E-2</v>
      </c>
      <c r="L3897" s="9">
        <f>(PricingDataTable[[#This Row],[Vendor Price ($)]]-PricingDataTable[[#This Row],[Current Price ($)]])/PricingDataTable[[#This Row],[Current Price ($)]]</f>
        <v>2.3386607389938351E-3</v>
      </c>
      <c r="M3897" t="str">
        <f t="shared" si="120"/>
        <v>STALE</v>
      </c>
      <c r="N3897" s="10" t="str">
        <f t="shared" si="121"/>
        <v>LOW</v>
      </c>
    </row>
    <row r="3898" spans="1:14">
      <c r="A3898" s="4" t="s">
        <v>7812</v>
      </c>
      <c r="B3898" s="4" t="s">
        <v>7813</v>
      </c>
      <c r="C3898" s="4" t="s">
        <v>16</v>
      </c>
      <c r="D3898" s="4" t="s">
        <v>13</v>
      </c>
      <c r="E3898" s="5">
        <v>75.689599999999999</v>
      </c>
      <c r="F3898" s="5">
        <v>75.132999999999996</v>
      </c>
      <c r="G3898" s="5">
        <v>74.718800000000002</v>
      </c>
      <c r="H3898" s="4">
        <v>1</v>
      </c>
      <c r="I3898" s="6">
        <v>2600346</v>
      </c>
      <c r="J3898" s="7">
        <v>423.96</v>
      </c>
      <c r="K3898" s="9">
        <f>(PricingDataTable[[#This Row],[Current Price ($)]]-PricingDataTable[[#This Row],[Prior Price ($)]])/PricingDataTable[[#This Row],[Prior Price ($)]]</f>
        <v>-7.3537183443961006E-3</v>
      </c>
      <c r="L3898" s="9">
        <f>(PricingDataTable[[#This Row],[Vendor Price ($)]]-PricingDataTable[[#This Row],[Current Price ($)]])/PricingDataTable[[#This Row],[Current Price ($)]]</f>
        <v>-5.5128904742256252E-3</v>
      </c>
      <c r="M3898" t="str">
        <f t="shared" si="120"/>
        <v>PASS</v>
      </c>
      <c r="N3898" s="10" t="str">
        <f t="shared" si="121"/>
        <v>NONE</v>
      </c>
    </row>
    <row r="3899" spans="1:14">
      <c r="A3899" s="4" t="s">
        <v>7814</v>
      </c>
      <c r="B3899" s="4" t="s">
        <v>7815</v>
      </c>
      <c r="C3899" s="4" t="s">
        <v>19</v>
      </c>
      <c r="D3899" s="4" t="s">
        <v>13</v>
      </c>
      <c r="E3899" s="5">
        <v>115.5401</v>
      </c>
      <c r="F3899" s="5">
        <v>117.3562</v>
      </c>
      <c r="G3899" s="5">
        <v>117.33920000000001</v>
      </c>
      <c r="H3899" s="4">
        <v>0</v>
      </c>
      <c r="I3899" s="6">
        <v>3189109</v>
      </c>
      <c r="J3899" s="7">
        <v>441.4</v>
      </c>
      <c r="K3899" s="9">
        <f>(PricingDataTable[[#This Row],[Current Price ($)]]-PricingDataTable[[#This Row],[Prior Price ($)]])/PricingDataTable[[#This Row],[Prior Price ($)]]</f>
        <v>1.5718352329624138E-2</v>
      </c>
      <c r="L3899" s="9">
        <f>(PricingDataTable[[#This Row],[Vendor Price ($)]]-PricingDataTable[[#This Row],[Current Price ($)]])/PricingDataTable[[#This Row],[Current Price ($)]]</f>
        <v>-1.4485813276159169E-4</v>
      </c>
      <c r="M3899" t="str">
        <f t="shared" si="120"/>
        <v>PASS</v>
      </c>
      <c r="N3899" s="10" t="str">
        <f t="shared" si="121"/>
        <v>NONE</v>
      </c>
    </row>
    <row r="3900" spans="1:14">
      <c r="A3900" s="4" t="s">
        <v>7816</v>
      </c>
      <c r="B3900" s="4" t="s">
        <v>7817</v>
      </c>
      <c r="C3900" s="4" t="s">
        <v>19</v>
      </c>
      <c r="D3900" s="4" t="s">
        <v>13</v>
      </c>
      <c r="E3900" s="5">
        <v>274.28590000000003</v>
      </c>
      <c r="F3900" s="5">
        <v>273.6558</v>
      </c>
      <c r="G3900" s="5">
        <v>274.48180000000002</v>
      </c>
      <c r="H3900" s="4">
        <v>0</v>
      </c>
      <c r="I3900" s="6">
        <v>3719475</v>
      </c>
      <c r="J3900" s="7">
        <v>91.38</v>
      </c>
      <c r="K3900" s="9">
        <f>(PricingDataTable[[#This Row],[Current Price ($)]]-PricingDataTable[[#This Row],[Prior Price ($)]])/PricingDataTable[[#This Row],[Prior Price ($)]]</f>
        <v>-2.2972380279118508E-3</v>
      </c>
      <c r="L3900" s="9">
        <f>(PricingDataTable[[#This Row],[Vendor Price ($)]]-PricingDataTable[[#This Row],[Current Price ($)]])/PricingDataTable[[#This Row],[Current Price ($)]]</f>
        <v>3.0183902552038794E-3</v>
      </c>
      <c r="M3900" t="str">
        <f t="shared" si="120"/>
        <v>PASS</v>
      </c>
      <c r="N3900" s="10" t="str">
        <f t="shared" si="121"/>
        <v>NONE</v>
      </c>
    </row>
    <row r="3901" spans="1:14">
      <c r="A3901" s="4" t="s">
        <v>7818</v>
      </c>
      <c r="B3901" s="4" t="s">
        <v>7819</v>
      </c>
      <c r="C3901" s="4" t="s">
        <v>16</v>
      </c>
      <c r="D3901" s="4" t="s">
        <v>13</v>
      </c>
      <c r="E3901" s="5">
        <v>110.29519999999999</v>
      </c>
      <c r="F3901" s="5">
        <v>111.41330000000001</v>
      </c>
      <c r="G3901" s="5">
        <v>111.6036</v>
      </c>
      <c r="H3901" s="4">
        <v>0</v>
      </c>
      <c r="I3901" s="6">
        <v>4146777</v>
      </c>
      <c r="J3901" s="7">
        <v>106.08</v>
      </c>
      <c r="K3901" s="9">
        <f>(PricingDataTable[[#This Row],[Current Price ($)]]-PricingDataTable[[#This Row],[Prior Price ($)]])/PricingDataTable[[#This Row],[Prior Price ($)]]</f>
        <v>1.0137340518898488E-2</v>
      </c>
      <c r="L3901" s="9">
        <f>(PricingDataTable[[#This Row],[Vendor Price ($)]]-PricingDataTable[[#This Row],[Current Price ($)]])/PricingDataTable[[#This Row],[Current Price ($)]]</f>
        <v>1.7080546038937313E-3</v>
      </c>
      <c r="M3901" t="str">
        <f t="shared" si="120"/>
        <v>PASS</v>
      </c>
      <c r="N3901" s="10" t="str">
        <f t="shared" si="121"/>
        <v>NONE</v>
      </c>
    </row>
    <row r="3902" spans="1:14">
      <c r="A3902" s="4" t="s">
        <v>7820</v>
      </c>
      <c r="B3902" s="4" t="s">
        <v>7821</v>
      </c>
      <c r="C3902" s="4" t="s">
        <v>19</v>
      </c>
      <c r="D3902" s="4" t="s">
        <v>13</v>
      </c>
      <c r="E3902" s="5">
        <v>115.5615</v>
      </c>
      <c r="F3902" s="5">
        <v>114.8456</v>
      </c>
      <c r="G3902" s="5">
        <v>114.6358</v>
      </c>
      <c r="H3902" s="4">
        <v>0</v>
      </c>
      <c r="I3902" s="6">
        <v>1389574</v>
      </c>
      <c r="J3902" s="7">
        <v>592.29</v>
      </c>
      <c r="K3902" s="9">
        <f>(PricingDataTable[[#This Row],[Current Price ($)]]-PricingDataTable[[#This Row],[Prior Price ($)]])/PricingDataTable[[#This Row],[Prior Price ($)]]</f>
        <v>-6.1949697779969167E-3</v>
      </c>
      <c r="L3902" s="9">
        <f>(PricingDataTable[[#This Row],[Vendor Price ($)]]-PricingDataTable[[#This Row],[Current Price ($)]])/PricingDataTable[[#This Row],[Current Price ($)]]</f>
        <v>-1.8268005043293022E-3</v>
      </c>
      <c r="M3902" t="str">
        <f t="shared" si="120"/>
        <v>PASS</v>
      </c>
      <c r="N3902" s="10" t="str">
        <f t="shared" si="121"/>
        <v>NONE</v>
      </c>
    </row>
    <row r="3903" spans="1:14">
      <c r="A3903" s="4" t="s">
        <v>7822</v>
      </c>
      <c r="B3903" s="4" t="s">
        <v>7823</v>
      </c>
      <c r="C3903" s="4" t="s">
        <v>19</v>
      </c>
      <c r="D3903" s="4" t="s">
        <v>13</v>
      </c>
      <c r="E3903" s="5">
        <v>99.633600000000001</v>
      </c>
      <c r="F3903" s="5">
        <v>99.410600000000002</v>
      </c>
      <c r="G3903" s="5">
        <v>99.313900000000004</v>
      </c>
      <c r="H3903" s="4">
        <v>1</v>
      </c>
      <c r="I3903" s="6">
        <v>3804059</v>
      </c>
      <c r="J3903" s="7">
        <v>731.06</v>
      </c>
      <c r="K3903" s="9">
        <f>(PricingDataTable[[#This Row],[Current Price ($)]]-PricingDataTable[[#This Row],[Prior Price ($)]])/PricingDataTable[[#This Row],[Prior Price ($)]]</f>
        <v>-2.2382007676125218E-3</v>
      </c>
      <c r="L3903" s="9">
        <f>(PricingDataTable[[#This Row],[Vendor Price ($)]]-PricingDataTable[[#This Row],[Current Price ($)]])/PricingDataTable[[#This Row],[Current Price ($)]]</f>
        <v>-9.7273329001131123E-4</v>
      </c>
      <c r="M3903" t="str">
        <f t="shared" si="120"/>
        <v>PASS</v>
      </c>
      <c r="N3903" s="10" t="str">
        <f t="shared" si="121"/>
        <v>NONE</v>
      </c>
    </row>
    <row r="3904" spans="1:14">
      <c r="A3904" s="4" t="s">
        <v>7824</v>
      </c>
      <c r="B3904" s="4" t="s">
        <v>7825</v>
      </c>
      <c r="C3904" s="4" t="s">
        <v>12</v>
      </c>
      <c r="D3904" s="4" t="s">
        <v>13</v>
      </c>
      <c r="E3904" s="5">
        <v>90.665800000000004</v>
      </c>
      <c r="F3904" s="5">
        <v>89.515299999999996</v>
      </c>
      <c r="G3904" s="5">
        <v>89.560100000000006</v>
      </c>
      <c r="H3904" s="4">
        <v>0</v>
      </c>
      <c r="I3904" s="6">
        <v>474908</v>
      </c>
      <c r="J3904" s="7">
        <v>167.65</v>
      </c>
      <c r="K3904" s="9">
        <f>(PricingDataTable[[#This Row],[Current Price ($)]]-PricingDataTable[[#This Row],[Prior Price ($)]])/PricingDataTable[[#This Row],[Prior Price ($)]]</f>
        <v>-1.2689459531598552E-2</v>
      </c>
      <c r="L3904" s="9">
        <f>(PricingDataTable[[#This Row],[Vendor Price ($)]]-PricingDataTable[[#This Row],[Current Price ($)]])/PricingDataTable[[#This Row],[Current Price ($)]]</f>
        <v>5.0047310348073774E-4</v>
      </c>
      <c r="M3904" t="str">
        <f t="shared" si="120"/>
        <v>PASS</v>
      </c>
      <c r="N3904" s="10" t="str">
        <f t="shared" si="121"/>
        <v>NONE</v>
      </c>
    </row>
    <row r="3905" spans="1:14">
      <c r="A3905" s="4" t="s">
        <v>7826</v>
      </c>
      <c r="B3905" s="4" t="s">
        <v>7827</v>
      </c>
      <c r="C3905" s="4" t="s">
        <v>19</v>
      </c>
      <c r="D3905" s="4" t="s">
        <v>32</v>
      </c>
      <c r="E3905" s="5">
        <v>192.34639999999999</v>
      </c>
      <c r="F3905" s="5">
        <v>192.02770000000001</v>
      </c>
      <c r="G3905" s="5">
        <v>193.0265</v>
      </c>
      <c r="H3905" s="4">
        <v>0</v>
      </c>
      <c r="I3905" s="6">
        <v>3871023</v>
      </c>
      <c r="J3905" s="7">
        <v>465.76</v>
      </c>
      <c r="K3905" s="9">
        <f>(PricingDataTable[[#This Row],[Current Price ($)]]-PricingDataTable[[#This Row],[Prior Price ($)]])/PricingDataTable[[#This Row],[Prior Price ($)]]</f>
        <v>-1.6569064978599988E-3</v>
      </c>
      <c r="L3905" s="9">
        <f>(PricingDataTable[[#This Row],[Vendor Price ($)]]-PricingDataTable[[#This Row],[Current Price ($)]])/PricingDataTable[[#This Row],[Current Price ($)]]</f>
        <v>5.2013329326966295E-3</v>
      </c>
      <c r="M3905" t="str">
        <f t="shared" si="120"/>
        <v>PASS</v>
      </c>
      <c r="N3905" s="10" t="str">
        <f t="shared" si="121"/>
        <v>NONE</v>
      </c>
    </row>
    <row r="3906" spans="1:14">
      <c r="A3906" s="4" t="s">
        <v>7828</v>
      </c>
      <c r="B3906" s="4" t="s">
        <v>7829</v>
      </c>
      <c r="C3906" s="4" t="s">
        <v>19</v>
      </c>
      <c r="D3906" s="4" t="s">
        <v>13</v>
      </c>
      <c r="E3906" s="5">
        <v>245.3212</v>
      </c>
      <c r="F3906" s="5">
        <v>246.53970000000001</v>
      </c>
      <c r="G3906" s="5">
        <v>247.0471</v>
      </c>
      <c r="H3906" s="4">
        <v>0</v>
      </c>
      <c r="I3906" s="6">
        <v>907565</v>
      </c>
      <c r="J3906" s="7">
        <v>566.44000000000005</v>
      </c>
      <c r="K3906" s="9">
        <f>(PricingDataTable[[#This Row],[Current Price ($)]]-PricingDataTable[[#This Row],[Prior Price ($)]])/PricingDataTable[[#This Row],[Prior Price ($)]]</f>
        <v>4.9669576049685303E-3</v>
      </c>
      <c r="L3906" s="9">
        <f>(PricingDataTable[[#This Row],[Vendor Price ($)]]-PricingDataTable[[#This Row],[Current Price ($)]])/PricingDataTable[[#This Row],[Current Price ($)]]</f>
        <v>2.0580863852758392E-3</v>
      </c>
      <c r="M3906" t="str">
        <f t="shared" ref="M3906:M3969" si="122">IF(OR(F3906="",F3906=0),"MISSING",IF(H3906&gt;=3,"STALE",IF(ABS(K3906)&gt;=5%,"LARGE MOVE",IF(ABS(L3906)&gt;=2%,"VENDOR DIFFERENCE","PASS"))))</f>
        <v>PASS</v>
      </c>
      <c r="N3906" s="10" t="str">
        <f t="shared" ref="N3906:N3969" si="123">IF(M3906="PASS","NONE",IF(M3906="MISSING","HIGH",IF(OR(ABS(K3906)&gt;=10%,ABS(L3906)&gt;=5%),"HIGH",IF(OR(ABS(K3906)&gt;=7%,ABS(L3906)&gt;=3%,H3906&gt;=5),"MEDIUM","LOW"))))</f>
        <v>NONE</v>
      </c>
    </row>
    <row r="3907" spans="1:14">
      <c r="A3907" s="4" t="s">
        <v>7830</v>
      </c>
      <c r="B3907" s="4" t="s">
        <v>7831</v>
      </c>
      <c r="C3907" s="4" t="s">
        <v>16</v>
      </c>
      <c r="D3907" s="4" t="s">
        <v>13</v>
      </c>
      <c r="E3907" s="5">
        <v>106.2927</v>
      </c>
      <c r="F3907" s="5">
        <v>106.3544</v>
      </c>
      <c r="G3907" s="5">
        <v>106.34610000000001</v>
      </c>
      <c r="H3907" s="4">
        <v>0</v>
      </c>
      <c r="I3907" s="6">
        <v>1976456</v>
      </c>
      <c r="J3907" s="7">
        <v>630.77</v>
      </c>
      <c r="K3907" s="9">
        <f>(PricingDataTable[[#This Row],[Current Price ($)]]-PricingDataTable[[#This Row],[Prior Price ($)]])/PricingDataTable[[#This Row],[Prior Price ($)]]</f>
        <v>5.8047260065838822E-4</v>
      </c>
      <c r="L3907" s="9">
        <f>(PricingDataTable[[#This Row],[Vendor Price ($)]]-PricingDataTable[[#This Row],[Current Price ($)]])/PricingDataTable[[#This Row],[Current Price ($)]]</f>
        <v>-7.804096492473574E-5</v>
      </c>
      <c r="M3907" t="str">
        <f t="shared" si="122"/>
        <v>PASS</v>
      </c>
      <c r="N3907" s="10" t="str">
        <f t="shared" si="123"/>
        <v>NONE</v>
      </c>
    </row>
    <row r="3908" spans="1:14">
      <c r="A3908" s="4" t="s">
        <v>7832</v>
      </c>
      <c r="B3908" s="4" t="s">
        <v>7833</v>
      </c>
      <c r="C3908" s="4" t="s">
        <v>12</v>
      </c>
      <c r="D3908" s="4" t="s">
        <v>237</v>
      </c>
      <c r="E3908" s="5">
        <v>100.4387</v>
      </c>
      <c r="F3908" s="5">
        <v>98.874799999999993</v>
      </c>
      <c r="G3908" s="5">
        <v>99.118200000000002</v>
      </c>
      <c r="H3908" s="4">
        <v>1</v>
      </c>
      <c r="I3908" s="6">
        <v>3687514</v>
      </c>
      <c r="J3908" s="7">
        <v>851.4</v>
      </c>
      <c r="K3908" s="9">
        <f>(PricingDataTable[[#This Row],[Current Price ($)]]-PricingDataTable[[#This Row],[Prior Price ($)]])/PricingDataTable[[#This Row],[Prior Price ($)]]</f>
        <v>-1.5570691376929449E-2</v>
      </c>
      <c r="L3908" s="9">
        <f>(PricingDataTable[[#This Row],[Vendor Price ($)]]-PricingDataTable[[#This Row],[Current Price ($)]])/PricingDataTable[[#This Row],[Current Price ($)]]</f>
        <v>2.46169903757083E-3</v>
      </c>
      <c r="M3908" t="str">
        <f t="shared" si="122"/>
        <v>PASS</v>
      </c>
      <c r="N3908" s="10" t="str">
        <f t="shared" si="123"/>
        <v>NONE</v>
      </c>
    </row>
    <row r="3909" spans="1:14">
      <c r="A3909" s="4" t="s">
        <v>7834</v>
      </c>
      <c r="B3909" s="4" t="s">
        <v>7835</v>
      </c>
      <c r="C3909" s="4" t="s">
        <v>19</v>
      </c>
      <c r="D3909" s="4" t="s">
        <v>36</v>
      </c>
      <c r="E3909" s="5">
        <v>14.9635</v>
      </c>
      <c r="F3909" s="5">
        <v>15.028700000000001</v>
      </c>
      <c r="G3909" s="5">
        <v>15.080299999999999</v>
      </c>
      <c r="H3909" s="4">
        <v>2</v>
      </c>
      <c r="I3909" s="6">
        <v>4674500</v>
      </c>
      <c r="J3909" s="7">
        <v>272.98</v>
      </c>
      <c r="K3909" s="9">
        <f>(PricingDataTable[[#This Row],[Current Price ($)]]-PricingDataTable[[#This Row],[Prior Price ($)]])/PricingDataTable[[#This Row],[Prior Price ($)]]</f>
        <v>4.3572693554316047E-3</v>
      </c>
      <c r="L3909" s="9">
        <f>(PricingDataTable[[#This Row],[Vendor Price ($)]]-PricingDataTable[[#This Row],[Current Price ($)]])/PricingDataTable[[#This Row],[Current Price ($)]]</f>
        <v>3.4334307025889635E-3</v>
      </c>
      <c r="M3909" t="str">
        <f t="shared" si="122"/>
        <v>PASS</v>
      </c>
      <c r="N3909" s="10" t="str">
        <f t="shared" si="123"/>
        <v>NONE</v>
      </c>
    </row>
    <row r="3910" spans="1:14">
      <c r="A3910" s="4" t="s">
        <v>7836</v>
      </c>
      <c r="B3910" s="4" t="s">
        <v>7837</v>
      </c>
      <c r="C3910" s="4" t="s">
        <v>16</v>
      </c>
      <c r="D3910" s="4" t="s">
        <v>13</v>
      </c>
      <c r="E3910" s="5">
        <v>109.61150000000001</v>
      </c>
      <c r="F3910" s="5">
        <v>108.70950000000001</v>
      </c>
      <c r="G3910" s="5">
        <v>108.3618</v>
      </c>
      <c r="H3910" s="4">
        <v>0</v>
      </c>
      <c r="I3910" s="6">
        <v>2461559</v>
      </c>
      <c r="J3910" s="7">
        <v>726.9</v>
      </c>
      <c r="K3910" s="9">
        <f>(PricingDataTable[[#This Row],[Current Price ($)]]-PricingDataTable[[#This Row],[Prior Price ($)]])/PricingDataTable[[#This Row],[Prior Price ($)]]</f>
        <v>-8.2290635562874415E-3</v>
      </c>
      <c r="L3910" s="9">
        <f>(PricingDataTable[[#This Row],[Vendor Price ($)]]-PricingDataTable[[#This Row],[Current Price ($)]])/PricingDataTable[[#This Row],[Current Price ($)]]</f>
        <v>-3.19843251969702E-3</v>
      </c>
      <c r="M3910" t="str">
        <f t="shared" si="122"/>
        <v>PASS</v>
      </c>
      <c r="N3910" s="10" t="str">
        <f t="shared" si="123"/>
        <v>NONE</v>
      </c>
    </row>
    <row r="3911" spans="1:14">
      <c r="A3911" s="4" t="s">
        <v>7838</v>
      </c>
      <c r="B3911" s="4" t="s">
        <v>7839</v>
      </c>
      <c r="C3911" s="4" t="s">
        <v>19</v>
      </c>
      <c r="D3911" s="4" t="s">
        <v>13</v>
      </c>
      <c r="E3911" s="5">
        <v>119.58459999999999</v>
      </c>
      <c r="F3911" s="5">
        <v>117.85039999999999</v>
      </c>
      <c r="G3911" s="5">
        <v>118.4689</v>
      </c>
      <c r="H3911" s="4">
        <v>2</v>
      </c>
      <c r="I3911" s="6">
        <v>177707</v>
      </c>
      <c r="J3911" s="7">
        <v>806.33</v>
      </c>
      <c r="K3911" s="9">
        <f>(PricingDataTable[[#This Row],[Current Price ($)]]-PricingDataTable[[#This Row],[Prior Price ($)]])/PricingDataTable[[#This Row],[Prior Price ($)]]</f>
        <v>-1.4501867297294144E-2</v>
      </c>
      <c r="L3911" s="9">
        <f>(PricingDataTable[[#This Row],[Vendor Price ($)]]-PricingDataTable[[#This Row],[Current Price ($)]])/PricingDataTable[[#This Row],[Current Price ($)]]</f>
        <v>5.2481790473346852E-3</v>
      </c>
      <c r="M3911" t="str">
        <f t="shared" si="122"/>
        <v>PASS</v>
      </c>
      <c r="N3911" s="10" t="str">
        <f t="shared" si="123"/>
        <v>NONE</v>
      </c>
    </row>
    <row r="3912" spans="1:14">
      <c r="A3912" s="4" t="s">
        <v>7840</v>
      </c>
      <c r="B3912" s="4" t="s">
        <v>7841</v>
      </c>
      <c r="C3912" s="4" t="s">
        <v>12</v>
      </c>
      <c r="D3912" s="4" t="s">
        <v>13</v>
      </c>
      <c r="E3912" s="5">
        <v>122.9002</v>
      </c>
      <c r="F3912" s="5">
        <v>125.1208</v>
      </c>
      <c r="G3912" s="5">
        <v>125.1788</v>
      </c>
      <c r="H3912" s="4">
        <v>0</v>
      </c>
      <c r="I3912" s="6">
        <v>4633761</v>
      </c>
      <c r="J3912" s="7">
        <v>125.2</v>
      </c>
      <c r="K3912" s="9">
        <f>(PricingDataTable[[#This Row],[Current Price ($)]]-PricingDataTable[[#This Row],[Prior Price ($)]])/PricingDataTable[[#This Row],[Prior Price ($)]]</f>
        <v>1.8068318847324939E-2</v>
      </c>
      <c r="L3912" s="9">
        <f>(PricingDataTable[[#This Row],[Vendor Price ($)]]-PricingDataTable[[#This Row],[Current Price ($)]])/PricingDataTable[[#This Row],[Current Price ($)]]</f>
        <v>4.6355202332460087E-4</v>
      </c>
      <c r="M3912" t="str">
        <f t="shared" si="122"/>
        <v>PASS</v>
      </c>
      <c r="N3912" s="10" t="str">
        <f t="shared" si="123"/>
        <v>NONE</v>
      </c>
    </row>
    <row r="3913" spans="1:14">
      <c r="A3913" s="4" t="s">
        <v>7842</v>
      </c>
      <c r="B3913" s="4" t="s">
        <v>7843</v>
      </c>
      <c r="C3913" s="4" t="s">
        <v>19</v>
      </c>
      <c r="D3913" s="4" t="s">
        <v>13</v>
      </c>
      <c r="E3913" s="5">
        <v>9.6301000000000005</v>
      </c>
      <c r="F3913" s="5">
        <v>9.6739999999999995</v>
      </c>
      <c r="G3913" s="5">
        <v>9.6887000000000008</v>
      </c>
      <c r="H3913" s="4">
        <v>0</v>
      </c>
      <c r="I3913" s="6">
        <v>2687436</v>
      </c>
      <c r="J3913" s="7">
        <v>737.67</v>
      </c>
      <c r="K3913" s="9">
        <f>(PricingDataTable[[#This Row],[Current Price ($)]]-PricingDataTable[[#This Row],[Prior Price ($)]])/PricingDataTable[[#This Row],[Prior Price ($)]]</f>
        <v>4.558623482622085E-3</v>
      </c>
      <c r="L3913" s="9">
        <f>(PricingDataTable[[#This Row],[Vendor Price ($)]]-PricingDataTable[[#This Row],[Current Price ($)]])/PricingDataTable[[#This Row],[Current Price ($)]]</f>
        <v>1.519536903039205E-3</v>
      </c>
      <c r="M3913" t="str">
        <f t="shared" si="122"/>
        <v>PASS</v>
      </c>
      <c r="N3913" s="10" t="str">
        <f t="shared" si="123"/>
        <v>NONE</v>
      </c>
    </row>
    <row r="3914" spans="1:14">
      <c r="A3914" s="4" t="s">
        <v>7844</v>
      </c>
      <c r="B3914" s="4" t="s">
        <v>7845</v>
      </c>
      <c r="C3914" s="4" t="s">
        <v>12</v>
      </c>
      <c r="D3914" s="4" t="s">
        <v>13</v>
      </c>
      <c r="E3914" s="5">
        <v>83.320899999999995</v>
      </c>
      <c r="F3914" s="5">
        <v>83.849400000000003</v>
      </c>
      <c r="G3914" s="5">
        <v>84.017799999999994</v>
      </c>
      <c r="H3914" s="4">
        <v>1</v>
      </c>
      <c r="I3914" s="6">
        <v>1798498</v>
      </c>
      <c r="J3914" s="7">
        <v>500.67</v>
      </c>
      <c r="K3914" s="9">
        <f>(PricingDataTable[[#This Row],[Current Price ($)]]-PricingDataTable[[#This Row],[Prior Price ($)]])/PricingDataTable[[#This Row],[Prior Price ($)]]</f>
        <v>6.3429463675981441E-3</v>
      </c>
      <c r="L3914" s="9">
        <f>(PricingDataTable[[#This Row],[Vendor Price ($)]]-PricingDataTable[[#This Row],[Current Price ($)]])/PricingDataTable[[#This Row],[Current Price ($)]]</f>
        <v>2.0083626120162008E-3</v>
      </c>
      <c r="M3914" t="str">
        <f t="shared" si="122"/>
        <v>PASS</v>
      </c>
      <c r="N3914" s="10" t="str">
        <f t="shared" si="123"/>
        <v>NONE</v>
      </c>
    </row>
    <row r="3915" spans="1:14">
      <c r="A3915" s="4" t="s">
        <v>7846</v>
      </c>
      <c r="B3915" s="4" t="s">
        <v>7847</v>
      </c>
      <c r="C3915" s="4" t="s">
        <v>19</v>
      </c>
      <c r="D3915" s="4" t="s">
        <v>13</v>
      </c>
      <c r="E3915" s="5">
        <v>229.68119999999999</v>
      </c>
      <c r="F3915" s="5">
        <v>228.82599999999999</v>
      </c>
      <c r="G3915" s="5">
        <v>230.4289</v>
      </c>
      <c r="H3915" s="4">
        <v>0</v>
      </c>
      <c r="I3915" s="6">
        <v>4213023</v>
      </c>
      <c r="J3915" s="7">
        <v>845.5</v>
      </c>
      <c r="K3915" s="9">
        <f>(PricingDataTable[[#This Row],[Current Price ($)]]-PricingDataTable[[#This Row],[Prior Price ($)]])/PricingDataTable[[#This Row],[Prior Price ($)]]</f>
        <v>-3.7234218560334778E-3</v>
      </c>
      <c r="L3915" s="9">
        <f>(PricingDataTable[[#This Row],[Vendor Price ($)]]-PricingDataTable[[#This Row],[Current Price ($)]])/PricingDataTable[[#This Row],[Current Price ($)]]</f>
        <v>7.0048858084308836E-3</v>
      </c>
      <c r="M3915" t="str">
        <f t="shared" si="122"/>
        <v>PASS</v>
      </c>
      <c r="N3915" s="10" t="str">
        <f t="shared" si="123"/>
        <v>NONE</v>
      </c>
    </row>
    <row r="3916" spans="1:14">
      <c r="A3916" s="4" t="s">
        <v>7848</v>
      </c>
      <c r="B3916" s="4" t="s">
        <v>7849</v>
      </c>
      <c r="C3916" s="4" t="s">
        <v>39</v>
      </c>
      <c r="D3916" s="4" t="s">
        <v>237</v>
      </c>
      <c r="E3916" s="5">
        <v>48.855800000000002</v>
      </c>
      <c r="F3916" s="5">
        <v>48.305900000000001</v>
      </c>
      <c r="G3916" s="5">
        <v>48.226900000000001</v>
      </c>
      <c r="H3916" s="4">
        <v>1</v>
      </c>
      <c r="I3916" s="6">
        <v>931521</v>
      </c>
      <c r="J3916" s="7">
        <v>216.05</v>
      </c>
      <c r="K3916" s="9">
        <f>(PricingDataTable[[#This Row],[Current Price ($)]]-PricingDataTable[[#This Row],[Prior Price ($)]])/PricingDataTable[[#This Row],[Prior Price ($)]]</f>
        <v>-1.1255572521583945E-2</v>
      </c>
      <c r="L3916" s="9">
        <f>(PricingDataTable[[#This Row],[Vendor Price ($)]]-PricingDataTable[[#This Row],[Current Price ($)]])/PricingDataTable[[#This Row],[Current Price ($)]]</f>
        <v>-1.635410995344267E-3</v>
      </c>
      <c r="M3916" t="str">
        <f t="shared" si="122"/>
        <v>PASS</v>
      </c>
      <c r="N3916" s="10" t="str">
        <f t="shared" si="123"/>
        <v>NONE</v>
      </c>
    </row>
    <row r="3917" spans="1:14">
      <c r="A3917" s="4" t="s">
        <v>7850</v>
      </c>
      <c r="B3917" s="4" t="s">
        <v>7851</v>
      </c>
      <c r="C3917" s="4" t="s">
        <v>35</v>
      </c>
      <c r="D3917" s="4" t="s">
        <v>13</v>
      </c>
      <c r="E3917" s="5">
        <v>129.3912</v>
      </c>
      <c r="F3917" s="5">
        <v>128.98169999999999</v>
      </c>
      <c r="G3917" s="5">
        <v>128.76150000000001</v>
      </c>
      <c r="H3917" s="4">
        <v>0</v>
      </c>
      <c r="I3917" s="6">
        <v>1295638</v>
      </c>
      <c r="J3917" s="7">
        <v>430.37</v>
      </c>
      <c r="K3917" s="9">
        <f>(PricingDataTable[[#This Row],[Current Price ($)]]-PricingDataTable[[#This Row],[Prior Price ($)]])/PricingDataTable[[#This Row],[Prior Price ($)]]</f>
        <v>-3.1648211006622428E-3</v>
      </c>
      <c r="L3917" s="9">
        <f>(PricingDataTable[[#This Row],[Vendor Price ($)]]-PricingDataTable[[#This Row],[Current Price ($)]])/PricingDataTable[[#This Row],[Current Price ($)]]</f>
        <v>-1.7072189310574841E-3</v>
      </c>
      <c r="M3917" t="str">
        <f t="shared" si="122"/>
        <v>PASS</v>
      </c>
      <c r="N3917" s="10" t="str">
        <f t="shared" si="123"/>
        <v>NONE</v>
      </c>
    </row>
    <row r="3918" spans="1:14">
      <c r="A3918" s="4" t="s">
        <v>7852</v>
      </c>
      <c r="B3918" s="4" t="s">
        <v>7853</v>
      </c>
      <c r="C3918" s="4" t="s">
        <v>39</v>
      </c>
      <c r="D3918" s="4" t="s">
        <v>237</v>
      </c>
      <c r="E3918" s="5">
        <v>318.58150000000001</v>
      </c>
      <c r="F3918" s="5">
        <v>323.32409999999999</v>
      </c>
      <c r="G3918" s="5">
        <v>322.64659999999998</v>
      </c>
      <c r="H3918" s="4">
        <v>1</v>
      </c>
      <c r="I3918" s="6">
        <v>2880273</v>
      </c>
      <c r="J3918" s="7">
        <v>552.05999999999995</v>
      </c>
      <c r="K3918" s="9">
        <f>(PricingDataTable[[#This Row],[Current Price ($)]]-PricingDataTable[[#This Row],[Prior Price ($)]])/PricingDataTable[[#This Row],[Prior Price ($)]]</f>
        <v>1.4886614571153634E-2</v>
      </c>
      <c r="L3918" s="9">
        <f>(PricingDataTable[[#This Row],[Vendor Price ($)]]-PricingDataTable[[#This Row],[Current Price ($)]])/PricingDataTable[[#This Row],[Current Price ($)]]</f>
        <v>-2.0954206630437048E-3</v>
      </c>
      <c r="M3918" t="str">
        <f t="shared" si="122"/>
        <v>PASS</v>
      </c>
      <c r="N3918" s="10" t="str">
        <f t="shared" si="123"/>
        <v>NONE</v>
      </c>
    </row>
    <row r="3919" spans="1:14">
      <c r="A3919" s="4" t="s">
        <v>7854</v>
      </c>
      <c r="B3919" s="4" t="s">
        <v>7855</v>
      </c>
      <c r="C3919" s="4" t="s">
        <v>19</v>
      </c>
      <c r="D3919" s="4" t="s">
        <v>13</v>
      </c>
      <c r="E3919" s="5">
        <v>184.1677</v>
      </c>
      <c r="F3919" s="5">
        <v>185.26480000000001</v>
      </c>
      <c r="G3919" s="5">
        <v>184.51079999999999</v>
      </c>
      <c r="H3919" s="4">
        <v>0</v>
      </c>
      <c r="I3919" s="6">
        <v>423729</v>
      </c>
      <c r="J3919" s="7">
        <v>676.63</v>
      </c>
      <c r="K3919" s="9">
        <f>(PricingDataTable[[#This Row],[Current Price ($)]]-PricingDataTable[[#This Row],[Prior Price ($)]])/PricingDataTable[[#This Row],[Prior Price ($)]]</f>
        <v>5.9570706481104543E-3</v>
      </c>
      <c r="L3919" s="9">
        <f>(PricingDataTable[[#This Row],[Vendor Price ($)]]-PricingDataTable[[#This Row],[Current Price ($)]])/PricingDataTable[[#This Row],[Current Price ($)]]</f>
        <v>-4.069850289963442E-3</v>
      </c>
      <c r="M3919" t="str">
        <f t="shared" si="122"/>
        <v>PASS</v>
      </c>
      <c r="N3919" s="10" t="str">
        <f t="shared" si="123"/>
        <v>NONE</v>
      </c>
    </row>
    <row r="3920" spans="1:14">
      <c r="A3920" s="4" t="s">
        <v>7856</v>
      </c>
      <c r="B3920" s="4" t="s">
        <v>7857</v>
      </c>
      <c r="C3920" s="4" t="s">
        <v>12</v>
      </c>
      <c r="D3920" s="4" t="s">
        <v>64</v>
      </c>
      <c r="E3920" s="5">
        <v>114.09139999999999</v>
      </c>
      <c r="F3920" s="5">
        <v>114.1341</v>
      </c>
      <c r="G3920" s="5">
        <v>114.6228</v>
      </c>
      <c r="H3920" s="4">
        <v>0</v>
      </c>
      <c r="I3920" s="6">
        <v>3049664</v>
      </c>
      <c r="J3920" s="7">
        <v>858.88</v>
      </c>
      <c r="K3920" s="9">
        <f>(PricingDataTable[[#This Row],[Current Price ($)]]-PricingDataTable[[#This Row],[Prior Price ($)]])/PricingDataTable[[#This Row],[Prior Price ($)]]</f>
        <v>3.7426133783975495E-4</v>
      </c>
      <c r="L3920" s="9">
        <f>(PricingDataTable[[#This Row],[Vendor Price ($)]]-PricingDataTable[[#This Row],[Current Price ($)]])/PricingDataTable[[#This Row],[Current Price ($)]]</f>
        <v>4.2818053500224239E-3</v>
      </c>
      <c r="M3920" t="str">
        <f t="shared" si="122"/>
        <v>PASS</v>
      </c>
      <c r="N3920" s="10" t="str">
        <f t="shared" si="123"/>
        <v>NONE</v>
      </c>
    </row>
    <row r="3921" spans="1:14">
      <c r="A3921" s="4" t="s">
        <v>7858</v>
      </c>
      <c r="B3921" s="4" t="s">
        <v>7859</v>
      </c>
      <c r="C3921" s="4" t="s">
        <v>16</v>
      </c>
      <c r="D3921" s="4" t="s">
        <v>36</v>
      </c>
      <c r="E3921" s="5">
        <v>122.74850000000001</v>
      </c>
      <c r="F3921" s="5">
        <v>122.285</v>
      </c>
      <c r="G3921" s="5">
        <v>121.485</v>
      </c>
      <c r="H3921" s="4">
        <v>0</v>
      </c>
      <c r="I3921" s="6">
        <v>1778309</v>
      </c>
      <c r="J3921" s="7">
        <v>449.04</v>
      </c>
      <c r="K3921" s="9">
        <f>(PricingDataTable[[#This Row],[Current Price ($)]]-PricingDataTable[[#This Row],[Prior Price ($)]])/PricingDataTable[[#This Row],[Prior Price ($)]]</f>
        <v>-3.7760135561738877E-3</v>
      </c>
      <c r="L3921" s="9">
        <f>(PricingDataTable[[#This Row],[Vendor Price ($)]]-PricingDataTable[[#This Row],[Current Price ($)]])/PricingDataTable[[#This Row],[Current Price ($)]]</f>
        <v>-6.5420942879339016E-3</v>
      </c>
      <c r="M3921" t="str">
        <f t="shared" si="122"/>
        <v>PASS</v>
      </c>
      <c r="N3921" s="10" t="str">
        <f t="shared" si="123"/>
        <v>NONE</v>
      </c>
    </row>
    <row r="3922" spans="1:14">
      <c r="A3922" s="4" t="s">
        <v>7860</v>
      </c>
      <c r="B3922" s="4" t="s">
        <v>7861</v>
      </c>
      <c r="C3922" s="4" t="s">
        <v>19</v>
      </c>
      <c r="D3922" s="4" t="s">
        <v>13</v>
      </c>
      <c r="E3922" s="5">
        <v>326.14530000000002</v>
      </c>
      <c r="F3922" s="5">
        <v>326.04570000000001</v>
      </c>
      <c r="G3922" s="5">
        <v>323.87639999999999</v>
      </c>
      <c r="H3922" s="4">
        <v>0</v>
      </c>
      <c r="I3922" s="6">
        <v>3847156</v>
      </c>
      <c r="J3922" s="7">
        <v>341.96</v>
      </c>
      <c r="K3922" s="9">
        <f>(PricingDataTable[[#This Row],[Current Price ($)]]-PricingDataTable[[#This Row],[Prior Price ($)]])/PricingDataTable[[#This Row],[Prior Price ($)]]</f>
        <v>-3.0538536045133705E-4</v>
      </c>
      <c r="L3922" s="9">
        <f>(PricingDataTable[[#This Row],[Vendor Price ($)]]-PricingDataTable[[#This Row],[Current Price ($)]])/PricingDataTable[[#This Row],[Current Price ($)]]</f>
        <v>-6.6533617833328916E-3</v>
      </c>
      <c r="M3922" t="str">
        <f t="shared" si="122"/>
        <v>PASS</v>
      </c>
      <c r="N3922" s="10" t="str">
        <f t="shared" si="123"/>
        <v>NONE</v>
      </c>
    </row>
    <row r="3923" spans="1:14">
      <c r="A3923" s="4" t="s">
        <v>7862</v>
      </c>
      <c r="B3923" s="4" t="s">
        <v>7863</v>
      </c>
      <c r="C3923" s="4" t="s">
        <v>19</v>
      </c>
      <c r="D3923" s="4" t="s">
        <v>36</v>
      </c>
      <c r="E3923" s="5">
        <v>311.065</v>
      </c>
      <c r="F3923" s="5">
        <v>315.55669999999998</v>
      </c>
      <c r="G3923" s="5">
        <v>316.62369999999999</v>
      </c>
      <c r="H3923" s="4">
        <v>0</v>
      </c>
      <c r="I3923" s="6">
        <v>4819667</v>
      </c>
      <c r="J3923" s="7">
        <v>717.85</v>
      </c>
      <c r="K3923" s="9">
        <f>(PricingDataTable[[#This Row],[Current Price ($)]]-PricingDataTable[[#This Row],[Prior Price ($)]])/PricingDataTable[[#This Row],[Prior Price ($)]]</f>
        <v>1.4439747319691963E-2</v>
      </c>
      <c r="L3923" s="9">
        <f>(PricingDataTable[[#This Row],[Vendor Price ($)]]-PricingDataTable[[#This Row],[Current Price ($)]])/PricingDataTable[[#This Row],[Current Price ($)]]</f>
        <v>3.3813257649101011E-3</v>
      </c>
      <c r="M3923" t="str">
        <f t="shared" si="122"/>
        <v>PASS</v>
      </c>
      <c r="N3923" s="10" t="str">
        <f t="shared" si="123"/>
        <v>NONE</v>
      </c>
    </row>
    <row r="3924" spans="1:14">
      <c r="A3924" s="4" t="s">
        <v>7864</v>
      </c>
      <c r="B3924" s="4" t="s">
        <v>7865</v>
      </c>
      <c r="C3924" s="4" t="s">
        <v>19</v>
      </c>
      <c r="D3924" s="4" t="s">
        <v>13</v>
      </c>
      <c r="E3924" s="5">
        <v>265.99470000000002</v>
      </c>
      <c r="F3924" s="5">
        <v>265.2516</v>
      </c>
      <c r="G3924" s="5">
        <v>265.6003</v>
      </c>
      <c r="H3924" s="4">
        <v>4</v>
      </c>
      <c r="I3924" s="6">
        <v>191796</v>
      </c>
      <c r="J3924" s="7">
        <v>57.46</v>
      </c>
      <c r="K3924" s="9">
        <f>(PricingDataTable[[#This Row],[Current Price ($)]]-PricingDataTable[[#This Row],[Prior Price ($)]])/PricingDataTable[[#This Row],[Prior Price ($)]]</f>
        <v>-2.7936646858002308E-3</v>
      </c>
      <c r="L3924" s="9">
        <f>(PricingDataTable[[#This Row],[Vendor Price ($)]]-PricingDataTable[[#This Row],[Current Price ($)]])/PricingDataTable[[#This Row],[Current Price ($)]]</f>
        <v>1.3146009298341953E-3</v>
      </c>
      <c r="M3924" t="str">
        <f t="shared" si="122"/>
        <v>STALE</v>
      </c>
      <c r="N3924" s="10" t="str">
        <f t="shared" si="123"/>
        <v>LOW</v>
      </c>
    </row>
    <row r="3925" spans="1:14">
      <c r="A3925" s="4" t="s">
        <v>7866</v>
      </c>
      <c r="B3925" s="4" t="s">
        <v>7867</v>
      </c>
      <c r="C3925" s="4" t="s">
        <v>12</v>
      </c>
      <c r="D3925" s="4" t="s">
        <v>13</v>
      </c>
      <c r="E3925" s="5">
        <v>94.572800000000001</v>
      </c>
      <c r="F3925" s="5">
        <v>93.655600000000007</v>
      </c>
      <c r="G3925" s="5">
        <v>93.714399999999998</v>
      </c>
      <c r="H3925" s="4">
        <v>2</v>
      </c>
      <c r="I3925" s="6">
        <v>2493215</v>
      </c>
      <c r="J3925" s="7">
        <v>234.53</v>
      </c>
      <c r="K3925" s="9">
        <f>(PricingDataTable[[#This Row],[Current Price ($)]]-PricingDataTable[[#This Row],[Prior Price ($)]])/PricingDataTable[[#This Row],[Prior Price ($)]]</f>
        <v>-9.6983487852743498E-3</v>
      </c>
      <c r="L3925" s="9">
        <f>(PricingDataTable[[#This Row],[Vendor Price ($)]]-PricingDataTable[[#This Row],[Current Price ($)]])/PricingDataTable[[#This Row],[Current Price ($)]]</f>
        <v>6.2783218515487444E-4</v>
      </c>
      <c r="M3925" t="str">
        <f t="shared" si="122"/>
        <v>PASS</v>
      </c>
      <c r="N3925" s="10" t="str">
        <f t="shared" si="123"/>
        <v>NONE</v>
      </c>
    </row>
    <row r="3926" spans="1:14">
      <c r="A3926" s="4" t="s">
        <v>7868</v>
      </c>
      <c r="B3926" s="4" t="s">
        <v>7869</v>
      </c>
      <c r="C3926" s="4" t="s">
        <v>39</v>
      </c>
      <c r="D3926" s="4" t="s">
        <v>13</v>
      </c>
      <c r="E3926" s="5">
        <v>22.520099999999999</v>
      </c>
      <c r="F3926" s="5">
        <v>22.353000000000002</v>
      </c>
      <c r="G3926" s="5">
        <v>22.194700000000001</v>
      </c>
      <c r="H3926" s="4">
        <v>0</v>
      </c>
      <c r="I3926" s="6">
        <v>4323189</v>
      </c>
      <c r="J3926" s="7">
        <v>47.27</v>
      </c>
      <c r="K3926" s="9">
        <f>(PricingDataTable[[#This Row],[Current Price ($)]]-PricingDataTable[[#This Row],[Prior Price ($)]])/PricingDataTable[[#This Row],[Prior Price ($)]]</f>
        <v>-7.4200380992978637E-3</v>
      </c>
      <c r="L3926" s="9">
        <f>(PricingDataTable[[#This Row],[Vendor Price ($)]]-PricingDataTable[[#This Row],[Current Price ($)]])/PricingDataTable[[#This Row],[Current Price ($)]]</f>
        <v>-7.0818234688856327E-3</v>
      </c>
      <c r="M3926" t="str">
        <f t="shared" si="122"/>
        <v>PASS</v>
      </c>
      <c r="N3926" s="10" t="str">
        <f t="shared" si="123"/>
        <v>NONE</v>
      </c>
    </row>
    <row r="3927" spans="1:14">
      <c r="A3927" s="4" t="s">
        <v>7870</v>
      </c>
      <c r="B3927" s="4" t="s">
        <v>7871</v>
      </c>
      <c r="C3927" s="4" t="s">
        <v>35</v>
      </c>
      <c r="D3927" s="4" t="s">
        <v>237</v>
      </c>
      <c r="E3927" s="5">
        <v>104.4579</v>
      </c>
      <c r="F3927" s="5">
        <v>105.69499999999999</v>
      </c>
      <c r="G3927" s="5">
        <v>106.05249999999999</v>
      </c>
      <c r="H3927" s="4">
        <v>0</v>
      </c>
      <c r="I3927" s="6">
        <v>4475828</v>
      </c>
      <c r="J3927" s="7">
        <v>431.94</v>
      </c>
      <c r="K3927" s="9">
        <f>(PricingDataTable[[#This Row],[Current Price ($)]]-PricingDataTable[[#This Row],[Prior Price ($)]])/PricingDataTable[[#This Row],[Prior Price ($)]]</f>
        <v>1.1843048730636919E-2</v>
      </c>
      <c r="L3927" s="9">
        <f>(PricingDataTable[[#This Row],[Vendor Price ($)]]-PricingDataTable[[#This Row],[Current Price ($)]])/PricingDataTable[[#This Row],[Current Price ($)]]</f>
        <v>3.3823738114385896E-3</v>
      </c>
      <c r="M3927" t="str">
        <f t="shared" si="122"/>
        <v>PASS</v>
      </c>
      <c r="N3927" s="10" t="str">
        <f t="shared" si="123"/>
        <v>NONE</v>
      </c>
    </row>
    <row r="3928" spans="1:14">
      <c r="A3928" s="4" t="s">
        <v>7872</v>
      </c>
      <c r="B3928" s="4" t="s">
        <v>7873</v>
      </c>
      <c r="C3928" s="4" t="s">
        <v>12</v>
      </c>
      <c r="D3928" s="4" t="s">
        <v>32</v>
      </c>
      <c r="E3928" s="5">
        <v>75.912599999999998</v>
      </c>
      <c r="F3928" s="5">
        <v>76.369399999999999</v>
      </c>
      <c r="G3928" s="5">
        <v>76.073499999999996</v>
      </c>
      <c r="H3928" s="4">
        <v>0</v>
      </c>
      <c r="I3928" s="6">
        <v>1597972</v>
      </c>
      <c r="J3928" s="7">
        <v>676.4</v>
      </c>
      <c r="K3928" s="9">
        <f>(PricingDataTable[[#This Row],[Current Price ($)]]-PricingDataTable[[#This Row],[Prior Price ($)]])/PricingDataTable[[#This Row],[Prior Price ($)]]</f>
        <v>6.0174463791254837E-3</v>
      </c>
      <c r="L3928" s="9">
        <f>(PricingDataTable[[#This Row],[Vendor Price ($)]]-PricingDataTable[[#This Row],[Current Price ($)]])/PricingDataTable[[#This Row],[Current Price ($)]]</f>
        <v>-3.8745885132003546E-3</v>
      </c>
      <c r="M3928" t="str">
        <f t="shared" si="122"/>
        <v>PASS</v>
      </c>
      <c r="N3928" s="10" t="str">
        <f t="shared" si="123"/>
        <v>NONE</v>
      </c>
    </row>
    <row r="3929" spans="1:14">
      <c r="A3929" s="4" t="s">
        <v>7874</v>
      </c>
      <c r="B3929" s="4" t="s">
        <v>7875</v>
      </c>
      <c r="C3929" s="4" t="s">
        <v>19</v>
      </c>
      <c r="D3929" s="4" t="s">
        <v>36</v>
      </c>
      <c r="E3929" s="5">
        <v>158.8297</v>
      </c>
      <c r="F3929" s="5">
        <v>159.03370000000001</v>
      </c>
      <c r="G3929" s="5">
        <v>159.30189999999999</v>
      </c>
      <c r="H3929" s="4">
        <v>1</v>
      </c>
      <c r="I3929" s="6">
        <v>4319958</v>
      </c>
      <c r="J3929" s="7">
        <v>564.33000000000004</v>
      </c>
      <c r="K3929" s="9">
        <f>(PricingDataTable[[#This Row],[Current Price ($)]]-PricingDataTable[[#This Row],[Prior Price ($)]])/PricingDataTable[[#This Row],[Prior Price ($)]]</f>
        <v>1.2843945433379761E-3</v>
      </c>
      <c r="L3929" s="9">
        <f>(PricingDataTable[[#This Row],[Vendor Price ($)]]-PricingDataTable[[#This Row],[Current Price ($)]])/PricingDataTable[[#This Row],[Current Price ($)]]</f>
        <v>1.6864350134592786E-3</v>
      </c>
      <c r="M3929" t="str">
        <f t="shared" si="122"/>
        <v>PASS</v>
      </c>
      <c r="N3929" s="10" t="str">
        <f t="shared" si="123"/>
        <v>NONE</v>
      </c>
    </row>
    <row r="3930" spans="1:14">
      <c r="A3930" s="4" t="s">
        <v>7876</v>
      </c>
      <c r="B3930" s="4" t="s">
        <v>7877</v>
      </c>
      <c r="C3930" s="4" t="s">
        <v>19</v>
      </c>
      <c r="D3930" s="4" t="s">
        <v>13</v>
      </c>
      <c r="E3930" s="5">
        <v>178.53479999999999</v>
      </c>
      <c r="F3930" s="5">
        <v>175.78630000000001</v>
      </c>
      <c r="G3930" s="5">
        <v>176.5539</v>
      </c>
      <c r="H3930" s="4">
        <v>1</v>
      </c>
      <c r="I3930" s="6">
        <v>4035722</v>
      </c>
      <c r="J3930" s="7">
        <v>472.76</v>
      </c>
      <c r="K3930" s="9">
        <f>(PricingDataTable[[#This Row],[Current Price ($)]]-PricingDataTable[[#This Row],[Prior Price ($)]])/PricingDataTable[[#This Row],[Prior Price ($)]]</f>
        <v>-1.5394757772714221E-2</v>
      </c>
      <c r="L3930" s="9">
        <f>(PricingDataTable[[#This Row],[Vendor Price ($)]]-PricingDataTable[[#This Row],[Current Price ($)]])/PricingDataTable[[#This Row],[Current Price ($)]]</f>
        <v>4.3666656616584308E-3</v>
      </c>
      <c r="M3930" t="str">
        <f t="shared" si="122"/>
        <v>PASS</v>
      </c>
      <c r="N3930" s="10" t="str">
        <f t="shared" si="123"/>
        <v>NONE</v>
      </c>
    </row>
    <row r="3931" spans="1:14">
      <c r="A3931" s="4" t="s">
        <v>7878</v>
      </c>
      <c r="B3931" s="4" t="s">
        <v>7879</v>
      </c>
      <c r="C3931" s="4" t="s">
        <v>19</v>
      </c>
      <c r="D3931" s="4" t="s">
        <v>13</v>
      </c>
      <c r="E3931" s="5">
        <v>309.83109999999999</v>
      </c>
      <c r="F3931" s="5">
        <v>308.34410000000003</v>
      </c>
      <c r="G3931" s="5">
        <v>307.19189999999998</v>
      </c>
      <c r="H3931" s="4">
        <v>0</v>
      </c>
      <c r="I3931" s="6">
        <v>262962</v>
      </c>
      <c r="J3931" s="7">
        <v>248.94</v>
      </c>
      <c r="K3931" s="9">
        <f>(PricingDataTable[[#This Row],[Current Price ($)]]-PricingDataTable[[#This Row],[Prior Price ($)]])/PricingDataTable[[#This Row],[Prior Price ($)]]</f>
        <v>-4.7993890865054099E-3</v>
      </c>
      <c r="L3931" s="9">
        <f>(PricingDataTable[[#This Row],[Vendor Price ($)]]-PricingDataTable[[#This Row],[Current Price ($)]])/PricingDataTable[[#This Row],[Current Price ($)]]</f>
        <v>-3.7367343821401162E-3</v>
      </c>
      <c r="M3931" t="str">
        <f t="shared" si="122"/>
        <v>PASS</v>
      </c>
      <c r="N3931" s="10" t="str">
        <f t="shared" si="123"/>
        <v>NONE</v>
      </c>
    </row>
    <row r="3932" spans="1:14">
      <c r="A3932" s="4" t="s">
        <v>7880</v>
      </c>
      <c r="B3932" s="4" t="s">
        <v>7881</v>
      </c>
      <c r="C3932" s="4" t="s">
        <v>16</v>
      </c>
      <c r="D3932" s="4" t="s">
        <v>36</v>
      </c>
      <c r="E3932" s="5">
        <v>120.3899</v>
      </c>
      <c r="F3932" s="5">
        <v>120.59820000000001</v>
      </c>
      <c r="G3932" s="5">
        <v>120.1485</v>
      </c>
      <c r="H3932" s="4">
        <v>3</v>
      </c>
      <c r="I3932" s="6">
        <v>4024813</v>
      </c>
      <c r="J3932" s="7">
        <v>35.35</v>
      </c>
      <c r="K3932" s="9">
        <f>(PricingDataTable[[#This Row],[Current Price ($)]]-PricingDataTable[[#This Row],[Prior Price ($)]])/PricingDataTable[[#This Row],[Prior Price ($)]]</f>
        <v>1.7302115875169625E-3</v>
      </c>
      <c r="L3932" s="9">
        <f>(PricingDataTable[[#This Row],[Vendor Price ($)]]-PricingDataTable[[#This Row],[Current Price ($)]])/PricingDataTable[[#This Row],[Current Price ($)]]</f>
        <v>-3.7289113767867768E-3</v>
      </c>
      <c r="M3932" t="str">
        <f t="shared" si="122"/>
        <v>STALE</v>
      </c>
      <c r="N3932" s="10" t="str">
        <f t="shared" si="123"/>
        <v>LOW</v>
      </c>
    </row>
    <row r="3933" spans="1:14">
      <c r="A3933" s="4" t="s">
        <v>7882</v>
      </c>
      <c r="B3933" s="4" t="s">
        <v>7883</v>
      </c>
      <c r="C3933" s="4" t="s">
        <v>12</v>
      </c>
      <c r="D3933" s="4" t="s">
        <v>36</v>
      </c>
      <c r="E3933" s="5">
        <v>112.4892</v>
      </c>
      <c r="F3933" s="5">
        <v>113.91500000000001</v>
      </c>
      <c r="G3933" s="5">
        <v>113.3961</v>
      </c>
      <c r="H3933" s="4">
        <v>0</v>
      </c>
      <c r="I3933" s="6">
        <v>888437</v>
      </c>
      <c r="J3933" s="7">
        <v>308.87</v>
      </c>
      <c r="K3933" s="9">
        <f>(PricingDataTable[[#This Row],[Current Price ($)]]-PricingDataTable[[#This Row],[Prior Price ($)]])/PricingDataTable[[#This Row],[Prior Price ($)]]</f>
        <v>1.2674994577257279E-2</v>
      </c>
      <c r="L3933" s="9">
        <f>(PricingDataTable[[#This Row],[Vendor Price ($)]]-PricingDataTable[[#This Row],[Current Price ($)]])/PricingDataTable[[#This Row],[Current Price ($)]]</f>
        <v>-4.5551507703112159E-3</v>
      </c>
      <c r="M3933" t="str">
        <f t="shared" si="122"/>
        <v>PASS</v>
      </c>
      <c r="N3933" s="10" t="str">
        <f t="shared" si="123"/>
        <v>NONE</v>
      </c>
    </row>
    <row r="3934" spans="1:14">
      <c r="A3934" s="4" t="s">
        <v>7884</v>
      </c>
      <c r="B3934" s="4" t="s">
        <v>7885</v>
      </c>
      <c r="C3934" s="4" t="s">
        <v>16</v>
      </c>
      <c r="D3934" s="4" t="s">
        <v>237</v>
      </c>
      <c r="E3934" s="5">
        <v>91.146500000000003</v>
      </c>
      <c r="F3934" s="5">
        <v>91.746799999999993</v>
      </c>
      <c r="G3934" s="5">
        <v>91.618399999999994</v>
      </c>
      <c r="H3934" s="4">
        <v>1</v>
      </c>
      <c r="I3934" s="6">
        <v>4221823</v>
      </c>
      <c r="J3934" s="7">
        <v>271.42</v>
      </c>
      <c r="K3934" s="9">
        <f>(PricingDataTable[[#This Row],[Current Price ($)]]-PricingDataTable[[#This Row],[Prior Price ($)]])/PricingDataTable[[#This Row],[Prior Price ($)]]</f>
        <v>6.5861003988084022E-3</v>
      </c>
      <c r="L3934" s="9">
        <f>(PricingDataTable[[#This Row],[Vendor Price ($)]]-PricingDataTable[[#This Row],[Current Price ($)]])/PricingDataTable[[#This Row],[Current Price ($)]]</f>
        <v>-1.3995038519054527E-3</v>
      </c>
      <c r="M3934" t="str">
        <f t="shared" si="122"/>
        <v>PASS</v>
      </c>
      <c r="N3934" s="10" t="str">
        <f t="shared" si="123"/>
        <v>NONE</v>
      </c>
    </row>
    <row r="3935" spans="1:14">
      <c r="A3935" s="4" t="s">
        <v>7886</v>
      </c>
      <c r="B3935" s="4" t="s">
        <v>7887</v>
      </c>
      <c r="C3935" s="4" t="s">
        <v>19</v>
      </c>
      <c r="D3935" s="4" t="s">
        <v>13</v>
      </c>
      <c r="E3935" s="5">
        <v>170.5849</v>
      </c>
      <c r="F3935" s="5">
        <v>174.23009999999999</v>
      </c>
      <c r="G3935" s="5">
        <v>174.08949999999999</v>
      </c>
      <c r="H3935" s="4">
        <v>0</v>
      </c>
      <c r="I3935" s="6">
        <v>1410553</v>
      </c>
      <c r="J3935" s="7">
        <v>438.54</v>
      </c>
      <c r="K3935" s="9">
        <f>(PricingDataTable[[#This Row],[Current Price ($)]]-PricingDataTable[[#This Row],[Prior Price ($)]])/PricingDataTable[[#This Row],[Prior Price ($)]]</f>
        <v>2.1368831590603789E-2</v>
      </c>
      <c r="L3935" s="9">
        <f>(PricingDataTable[[#This Row],[Vendor Price ($)]]-PricingDataTable[[#This Row],[Current Price ($)]])/PricingDataTable[[#This Row],[Current Price ($)]]</f>
        <v>-8.0697881709306419E-4</v>
      </c>
      <c r="M3935" t="str">
        <f t="shared" si="122"/>
        <v>PASS</v>
      </c>
      <c r="N3935" s="10" t="str">
        <f t="shared" si="123"/>
        <v>NONE</v>
      </c>
    </row>
    <row r="3936" spans="1:14">
      <c r="A3936" s="4" t="s">
        <v>7888</v>
      </c>
      <c r="B3936" s="4" t="s">
        <v>7889</v>
      </c>
      <c r="C3936" s="4" t="s">
        <v>19</v>
      </c>
      <c r="D3936" s="4" t="s">
        <v>64</v>
      </c>
      <c r="E3936" s="5">
        <v>247.76349999999999</v>
      </c>
      <c r="F3936" s="5">
        <v>247.96109999999999</v>
      </c>
      <c r="G3936" s="5">
        <v>248.2354</v>
      </c>
      <c r="H3936" s="4">
        <v>0</v>
      </c>
      <c r="I3936" s="6">
        <v>3066136</v>
      </c>
      <c r="J3936" s="7">
        <v>715.2</v>
      </c>
      <c r="K3936" s="9">
        <f>(PricingDataTable[[#This Row],[Current Price ($)]]-PricingDataTable[[#This Row],[Prior Price ($)]])/PricingDataTable[[#This Row],[Prior Price ($)]]</f>
        <v>7.9753474583622776E-4</v>
      </c>
      <c r="L3936" s="9">
        <f>(PricingDataTable[[#This Row],[Vendor Price ($)]]-PricingDataTable[[#This Row],[Current Price ($)]])/PricingDataTable[[#This Row],[Current Price ($)]]</f>
        <v>1.106221903355046E-3</v>
      </c>
      <c r="M3936" t="str">
        <f t="shared" si="122"/>
        <v>PASS</v>
      </c>
      <c r="N3936" s="10" t="str">
        <f t="shared" si="123"/>
        <v>NONE</v>
      </c>
    </row>
    <row r="3937" spans="1:14">
      <c r="A3937" s="4" t="s">
        <v>7890</v>
      </c>
      <c r="B3937" s="4" t="s">
        <v>7891</v>
      </c>
      <c r="C3937" s="4" t="s">
        <v>16</v>
      </c>
      <c r="D3937" s="4" t="s">
        <v>13</v>
      </c>
      <c r="E3937" s="5">
        <v>107.67440000000001</v>
      </c>
      <c r="F3937" s="5">
        <v>88.3977</v>
      </c>
      <c r="G3937" s="5">
        <v>88.3857</v>
      </c>
      <c r="H3937" s="4">
        <v>0</v>
      </c>
      <c r="I3937" s="6">
        <v>3695072</v>
      </c>
      <c r="J3937" s="7">
        <v>257.94</v>
      </c>
      <c r="K3937" s="9">
        <f>(PricingDataTable[[#This Row],[Current Price ($)]]-PricingDataTable[[#This Row],[Prior Price ($)]])/PricingDataTable[[#This Row],[Prior Price ($)]]</f>
        <v>-0.17902769832012069</v>
      </c>
      <c r="L3937" s="9">
        <f>(PricingDataTable[[#This Row],[Vendor Price ($)]]-PricingDataTable[[#This Row],[Current Price ($)]])/PricingDataTable[[#This Row],[Current Price ($)]]</f>
        <v>-1.3575013829545852E-4</v>
      </c>
      <c r="M3937" t="str">
        <f t="shared" si="122"/>
        <v>LARGE MOVE</v>
      </c>
      <c r="N3937" s="10" t="str">
        <f t="shared" si="123"/>
        <v>HIGH</v>
      </c>
    </row>
    <row r="3938" spans="1:14">
      <c r="A3938" s="4" t="s">
        <v>7892</v>
      </c>
      <c r="B3938" s="4" t="s">
        <v>7893</v>
      </c>
      <c r="C3938" s="4" t="s">
        <v>16</v>
      </c>
      <c r="D3938" s="4" t="s">
        <v>13</v>
      </c>
      <c r="E3938" s="5">
        <v>87.978200000000001</v>
      </c>
      <c r="F3938" s="5">
        <v>86.392600000000002</v>
      </c>
      <c r="G3938" s="5">
        <v>85.879400000000004</v>
      </c>
      <c r="H3938" s="4">
        <v>0</v>
      </c>
      <c r="I3938" s="6">
        <v>3361057</v>
      </c>
      <c r="J3938" s="7">
        <v>709.81</v>
      </c>
      <c r="K3938" s="9">
        <f>(PricingDataTable[[#This Row],[Current Price ($)]]-PricingDataTable[[#This Row],[Prior Price ($)]])/PricingDataTable[[#This Row],[Prior Price ($)]]</f>
        <v>-1.8022646519251354E-2</v>
      </c>
      <c r="L3938" s="9">
        <f>(PricingDataTable[[#This Row],[Vendor Price ($)]]-PricingDataTable[[#This Row],[Current Price ($)]])/PricingDataTable[[#This Row],[Current Price ($)]]</f>
        <v>-5.9403235925298888E-3</v>
      </c>
      <c r="M3938" t="str">
        <f t="shared" si="122"/>
        <v>PASS</v>
      </c>
      <c r="N3938" s="10" t="str">
        <f t="shared" si="123"/>
        <v>NONE</v>
      </c>
    </row>
    <row r="3939" spans="1:14">
      <c r="A3939" s="4" t="s">
        <v>7894</v>
      </c>
      <c r="B3939" s="4" t="s">
        <v>7895</v>
      </c>
      <c r="C3939" s="4" t="s">
        <v>16</v>
      </c>
      <c r="D3939" s="4" t="s">
        <v>32</v>
      </c>
      <c r="E3939" s="5">
        <v>99.014399999999995</v>
      </c>
      <c r="F3939" s="5">
        <v>99.726500000000001</v>
      </c>
      <c r="G3939" s="5">
        <v>100.2059</v>
      </c>
      <c r="H3939" s="4">
        <v>0</v>
      </c>
      <c r="I3939" s="6">
        <v>540973</v>
      </c>
      <c r="J3939" s="7">
        <v>77.03</v>
      </c>
      <c r="K3939" s="9">
        <f>(PricingDataTable[[#This Row],[Current Price ($)]]-PricingDataTable[[#This Row],[Prior Price ($)]])/PricingDataTable[[#This Row],[Prior Price ($)]]</f>
        <v>7.191883200827422E-3</v>
      </c>
      <c r="L3939" s="9">
        <f>(PricingDataTable[[#This Row],[Vendor Price ($)]]-PricingDataTable[[#This Row],[Current Price ($)]])/PricingDataTable[[#This Row],[Current Price ($)]]</f>
        <v>4.8071475485452538E-3</v>
      </c>
      <c r="M3939" t="str">
        <f t="shared" si="122"/>
        <v>PASS</v>
      </c>
      <c r="N3939" s="10" t="str">
        <f t="shared" si="123"/>
        <v>NONE</v>
      </c>
    </row>
    <row r="3940" spans="1:14">
      <c r="A3940" s="4" t="s">
        <v>7896</v>
      </c>
      <c r="B3940" s="4" t="s">
        <v>7897</v>
      </c>
      <c r="C3940" s="4" t="s">
        <v>19</v>
      </c>
      <c r="D3940" s="4" t="s">
        <v>64</v>
      </c>
      <c r="E3940" s="5">
        <v>169.04409999999999</v>
      </c>
      <c r="F3940" s="5">
        <v>169.3972</v>
      </c>
      <c r="G3940" s="5">
        <v>170.43440000000001</v>
      </c>
      <c r="H3940" s="4">
        <v>5</v>
      </c>
      <c r="I3940" s="6">
        <v>2099348</v>
      </c>
      <c r="J3940" s="7">
        <v>63.81</v>
      </c>
      <c r="K3940" s="9">
        <f>(PricingDataTable[[#This Row],[Current Price ($)]]-PricingDataTable[[#This Row],[Prior Price ($)]])/PricingDataTable[[#This Row],[Prior Price ($)]]</f>
        <v>2.0888040458082358E-3</v>
      </c>
      <c r="L3940" s="9">
        <f>(PricingDataTable[[#This Row],[Vendor Price ($)]]-PricingDataTable[[#This Row],[Current Price ($)]])/PricingDataTable[[#This Row],[Current Price ($)]]</f>
        <v>6.1228875093567829E-3</v>
      </c>
      <c r="M3940" t="str">
        <f t="shared" si="122"/>
        <v>STALE</v>
      </c>
      <c r="N3940" s="10" t="str">
        <f t="shared" si="123"/>
        <v>MEDIUM</v>
      </c>
    </row>
    <row r="3941" spans="1:14">
      <c r="A3941" s="4" t="s">
        <v>7898</v>
      </c>
      <c r="B3941" s="4" t="s">
        <v>7899</v>
      </c>
      <c r="C3941" s="4" t="s">
        <v>12</v>
      </c>
      <c r="D3941" s="4" t="s">
        <v>13</v>
      </c>
      <c r="E3941" s="5">
        <v>120.57769999999999</v>
      </c>
      <c r="F3941" s="5">
        <v>120.771</v>
      </c>
      <c r="G3941" s="5">
        <v>120.8848</v>
      </c>
      <c r="H3941" s="4">
        <v>0</v>
      </c>
      <c r="I3941" s="6">
        <v>2166897</v>
      </c>
      <c r="J3941" s="7">
        <v>583.69000000000005</v>
      </c>
      <c r="K3941" s="9">
        <f>(PricingDataTable[[#This Row],[Current Price ($)]]-PricingDataTable[[#This Row],[Prior Price ($)]])/PricingDataTable[[#This Row],[Prior Price ($)]]</f>
        <v>1.6031156673249516E-3</v>
      </c>
      <c r="L3941" s="9">
        <f>(PricingDataTable[[#This Row],[Vendor Price ($)]]-PricingDataTable[[#This Row],[Current Price ($)]])/PricingDataTable[[#This Row],[Current Price ($)]]</f>
        <v>9.4227918954051617E-4</v>
      </c>
      <c r="M3941" t="str">
        <f t="shared" si="122"/>
        <v>PASS</v>
      </c>
      <c r="N3941" s="10" t="str">
        <f t="shared" si="123"/>
        <v>NONE</v>
      </c>
    </row>
    <row r="3942" spans="1:14">
      <c r="A3942" s="4" t="s">
        <v>7900</v>
      </c>
      <c r="B3942" s="4" t="s">
        <v>7901</v>
      </c>
      <c r="C3942" s="4" t="s">
        <v>12</v>
      </c>
      <c r="D3942" s="4" t="s">
        <v>13</v>
      </c>
      <c r="E3942" s="5">
        <v>123.4042</v>
      </c>
      <c r="F3942" s="5">
        <v>123.78749999999999</v>
      </c>
      <c r="G3942" s="5">
        <v>122.97410000000001</v>
      </c>
      <c r="H3942" s="4">
        <v>3</v>
      </c>
      <c r="I3942" s="6">
        <v>2435090</v>
      </c>
      <c r="J3942" s="7">
        <v>254.56</v>
      </c>
      <c r="K3942" s="9">
        <f>(PricingDataTable[[#This Row],[Current Price ($)]]-PricingDataTable[[#This Row],[Prior Price ($)]])/PricingDataTable[[#This Row],[Prior Price ($)]]</f>
        <v>3.106053116506499E-3</v>
      </c>
      <c r="L3942" s="9">
        <f>(PricingDataTable[[#This Row],[Vendor Price ($)]]-PricingDataTable[[#This Row],[Current Price ($)]])/PricingDataTable[[#This Row],[Current Price ($)]]</f>
        <v>-6.5709380995656857E-3</v>
      </c>
      <c r="M3942" t="str">
        <f t="shared" si="122"/>
        <v>STALE</v>
      </c>
      <c r="N3942" s="10" t="str">
        <f t="shared" si="123"/>
        <v>LOW</v>
      </c>
    </row>
    <row r="3943" spans="1:14">
      <c r="A3943" s="4" t="s">
        <v>7902</v>
      </c>
      <c r="B3943" s="4" t="s">
        <v>7903</v>
      </c>
      <c r="C3943" s="4" t="s">
        <v>35</v>
      </c>
      <c r="D3943" s="4" t="s">
        <v>13</v>
      </c>
      <c r="E3943" s="5">
        <v>57.502400000000002</v>
      </c>
      <c r="F3943" s="5">
        <v>56.925800000000002</v>
      </c>
      <c r="G3943" s="5">
        <v>57.018900000000002</v>
      </c>
      <c r="H3943" s="4">
        <v>0</v>
      </c>
      <c r="I3943" s="6">
        <v>3154448</v>
      </c>
      <c r="J3943" s="7">
        <v>108.72</v>
      </c>
      <c r="K3943" s="9">
        <f>(PricingDataTable[[#This Row],[Current Price ($)]]-PricingDataTable[[#This Row],[Prior Price ($)]])/PricingDataTable[[#This Row],[Prior Price ($)]]</f>
        <v>-1.0027407551684783E-2</v>
      </c>
      <c r="L3943" s="9">
        <f>(PricingDataTable[[#This Row],[Vendor Price ($)]]-PricingDataTable[[#This Row],[Current Price ($)]])/PricingDataTable[[#This Row],[Current Price ($)]]</f>
        <v>1.6354623035600682E-3</v>
      </c>
      <c r="M3943" t="str">
        <f t="shared" si="122"/>
        <v>PASS</v>
      </c>
      <c r="N3943" s="10" t="str">
        <f t="shared" si="123"/>
        <v>NONE</v>
      </c>
    </row>
    <row r="3944" spans="1:14">
      <c r="A3944" s="4" t="s">
        <v>7904</v>
      </c>
      <c r="B3944" s="4" t="s">
        <v>7905</v>
      </c>
      <c r="C3944" s="4" t="s">
        <v>12</v>
      </c>
      <c r="D3944" s="4" t="s">
        <v>13</v>
      </c>
      <c r="E3944" s="5">
        <v>83.265000000000001</v>
      </c>
      <c r="F3944" s="5">
        <v>82.861400000000003</v>
      </c>
      <c r="G3944" s="5">
        <v>82.892200000000003</v>
      </c>
      <c r="H3944" s="4">
        <v>1</v>
      </c>
      <c r="I3944" s="6">
        <v>1714831</v>
      </c>
      <c r="J3944" s="7">
        <v>820.79</v>
      </c>
      <c r="K3944" s="9">
        <f>(PricingDataTable[[#This Row],[Current Price ($)]]-PricingDataTable[[#This Row],[Prior Price ($)]])/PricingDataTable[[#This Row],[Prior Price ($)]]</f>
        <v>-4.8471746832402249E-3</v>
      </c>
      <c r="L3944" s="9">
        <f>(PricingDataTable[[#This Row],[Vendor Price ($)]]-PricingDataTable[[#This Row],[Current Price ($)]])/PricingDataTable[[#This Row],[Current Price ($)]]</f>
        <v>3.7170503998241967E-4</v>
      </c>
      <c r="M3944" t="str">
        <f t="shared" si="122"/>
        <v>PASS</v>
      </c>
      <c r="N3944" s="10" t="str">
        <f t="shared" si="123"/>
        <v>NONE</v>
      </c>
    </row>
    <row r="3945" spans="1:14">
      <c r="A3945" s="4" t="s">
        <v>7906</v>
      </c>
      <c r="B3945" s="4" t="s">
        <v>7907</v>
      </c>
      <c r="C3945" s="4" t="s">
        <v>16</v>
      </c>
      <c r="D3945" s="4" t="s">
        <v>32</v>
      </c>
      <c r="E3945" s="5">
        <v>103.1861</v>
      </c>
      <c r="F3945" s="5">
        <v>102.5616</v>
      </c>
      <c r="G3945" s="5">
        <v>102.4487</v>
      </c>
      <c r="H3945" s="4">
        <v>0</v>
      </c>
      <c r="I3945" s="6">
        <v>2652370</v>
      </c>
      <c r="J3945" s="7">
        <v>718.26</v>
      </c>
      <c r="K3945" s="9">
        <f>(PricingDataTable[[#This Row],[Current Price ($)]]-PricingDataTable[[#This Row],[Prior Price ($)]])/PricingDataTable[[#This Row],[Prior Price ($)]]</f>
        <v>-6.0521717556918774E-3</v>
      </c>
      <c r="L3945" s="9">
        <f>(PricingDataTable[[#This Row],[Vendor Price ($)]]-PricingDataTable[[#This Row],[Current Price ($)]])/PricingDataTable[[#This Row],[Current Price ($)]]</f>
        <v>-1.1008018595653367E-3</v>
      </c>
      <c r="M3945" t="str">
        <f t="shared" si="122"/>
        <v>PASS</v>
      </c>
      <c r="N3945" s="10" t="str">
        <f t="shared" si="123"/>
        <v>NONE</v>
      </c>
    </row>
    <row r="3946" spans="1:14">
      <c r="A3946" s="4" t="s">
        <v>7908</v>
      </c>
      <c r="B3946" s="4" t="s">
        <v>7909</v>
      </c>
      <c r="C3946" s="4" t="s">
        <v>19</v>
      </c>
      <c r="D3946" s="4" t="s">
        <v>13</v>
      </c>
      <c r="E3946" s="5">
        <v>33.637599999999999</v>
      </c>
      <c r="F3946" s="5">
        <v>34.043700000000001</v>
      </c>
      <c r="G3946" s="5">
        <v>34.239199999999997</v>
      </c>
      <c r="H3946" s="4">
        <v>1</v>
      </c>
      <c r="I3946" s="6">
        <v>1611571</v>
      </c>
      <c r="J3946" s="7">
        <v>285.37</v>
      </c>
      <c r="K3946" s="9">
        <f>(PricingDataTable[[#This Row],[Current Price ($)]]-PricingDataTable[[#This Row],[Prior Price ($)]])/PricingDataTable[[#This Row],[Prior Price ($)]]</f>
        <v>1.2072799486289216E-2</v>
      </c>
      <c r="L3946" s="9">
        <f>(PricingDataTable[[#This Row],[Vendor Price ($)]]-PricingDataTable[[#This Row],[Current Price ($)]])/PricingDataTable[[#This Row],[Current Price ($)]]</f>
        <v>5.7426190455207738E-3</v>
      </c>
      <c r="M3946" t="str">
        <f t="shared" si="122"/>
        <v>PASS</v>
      </c>
      <c r="N3946" s="10" t="str">
        <f t="shared" si="123"/>
        <v>NONE</v>
      </c>
    </row>
    <row r="3947" spans="1:14">
      <c r="A3947" s="4" t="s">
        <v>7910</v>
      </c>
      <c r="B3947" s="4" t="s">
        <v>7911</v>
      </c>
      <c r="C3947" s="4" t="s">
        <v>39</v>
      </c>
      <c r="D3947" s="4" t="s">
        <v>13</v>
      </c>
      <c r="E3947" s="5">
        <v>174.6482</v>
      </c>
      <c r="F3947" s="5">
        <v>175.71279999999999</v>
      </c>
      <c r="G3947" s="5">
        <v>176.31379999999999</v>
      </c>
      <c r="H3947" s="4">
        <v>0</v>
      </c>
      <c r="I3947" s="6">
        <v>2977578</v>
      </c>
      <c r="J3947" s="7">
        <v>797.2</v>
      </c>
      <c r="K3947" s="9">
        <f>(PricingDataTable[[#This Row],[Current Price ($)]]-PricingDataTable[[#This Row],[Prior Price ($)]])/PricingDataTable[[#This Row],[Prior Price ($)]]</f>
        <v>6.0956826351487416E-3</v>
      </c>
      <c r="L3947" s="9">
        <f>(PricingDataTable[[#This Row],[Vendor Price ($)]]-PricingDataTable[[#This Row],[Current Price ($)]])/PricingDataTable[[#This Row],[Current Price ($)]]</f>
        <v>3.4203541233194116E-3</v>
      </c>
      <c r="M3947" t="str">
        <f t="shared" si="122"/>
        <v>PASS</v>
      </c>
      <c r="N3947" s="10" t="str">
        <f t="shared" si="123"/>
        <v>NONE</v>
      </c>
    </row>
    <row r="3948" spans="1:14">
      <c r="A3948" s="4" t="s">
        <v>7912</v>
      </c>
      <c r="B3948" s="4" t="s">
        <v>7913</v>
      </c>
      <c r="C3948" s="4" t="s">
        <v>19</v>
      </c>
      <c r="D3948" s="4" t="s">
        <v>13</v>
      </c>
      <c r="E3948" s="5">
        <v>23.926200000000001</v>
      </c>
      <c r="F3948" s="5">
        <v>24.281700000000001</v>
      </c>
      <c r="G3948" s="5">
        <v>24.270499999999998</v>
      </c>
      <c r="H3948" s="4">
        <v>0</v>
      </c>
      <c r="I3948" s="6">
        <v>3515056</v>
      </c>
      <c r="J3948" s="7">
        <v>388.05</v>
      </c>
      <c r="K3948" s="9">
        <f>(PricingDataTable[[#This Row],[Current Price ($)]]-PricingDataTable[[#This Row],[Prior Price ($)]])/PricingDataTable[[#This Row],[Prior Price ($)]]</f>
        <v>1.4858188930962678E-2</v>
      </c>
      <c r="L3948" s="9">
        <f>(PricingDataTable[[#This Row],[Vendor Price ($)]]-PricingDataTable[[#This Row],[Current Price ($)]])/PricingDataTable[[#This Row],[Current Price ($)]]</f>
        <v>-4.6125271294852991E-4</v>
      </c>
      <c r="M3948" t="str">
        <f t="shared" si="122"/>
        <v>PASS</v>
      </c>
      <c r="N3948" s="10" t="str">
        <f t="shared" si="123"/>
        <v>NONE</v>
      </c>
    </row>
    <row r="3949" spans="1:14">
      <c r="A3949" s="4" t="s">
        <v>7914</v>
      </c>
      <c r="B3949" s="4" t="s">
        <v>7915</v>
      </c>
      <c r="C3949" s="4" t="s">
        <v>16</v>
      </c>
      <c r="D3949" s="4" t="s">
        <v>13</v>
      </c>
      <c r="E3949" s="5">
        <v>123.5761</v>
      </c>
      <c r="F3949" s="5">
        <v>121.5814</v>
      </c>
      <c r="G3949" s="5">
        <v>121.6116</v>
      </c>
      <c r="H3949" s="4">
        <v>0</v>
      </c>
      <c r="I3949" s="6">
        <v>1788773</v>
      </c>
      <c r="J3949" s="7">
        <v>438.28</v>
      </c>
      <c r="K3949" s="9">
        <f>(PricingDataTable[[#This Row],[Current Price ($)]]-PricingDataTable[[#This Row],[Prior Price ($)]])/PricingDataTable[[#This Row],[Prior Price ($)]]</f>
        <v>-1.6141470721280204E-2</v>
      </c>
      <c r="L3949" s="9">
        <f>(PricingDataTable[[#This Row],[Vendor Price ($)]]-PricingDataTable[[#This Row],[Current Price ($)]])/PricingDataTable[[#This Row],[Current Price ($)]]</f>
        <v>2.4839325752124556E-4</v>
      </c>
      <c r="M3949" t="str">
        <f t="shared" si="122"/>
        <v>PASS</v>
      </c>
      <c r="N3949" s="10" t="str">
        <f t="shared" si="123"/>
        <v>NONE</v>
      </c>
    </row>
    <row r="3950" spans="1:14">
      <c r="A3950" s="4" t="s">
        <v>7916</v>
      </c>
      <c r="B3950" s="4" t="s">
        <v>7917</v>
      </c>
      <c r="C3950" s="4" t="s">
        <v>35</v>
      </c>
      <c r="D3950" s="4" t="s">
        <v>13</v>
      </c>
      <c r="E3950" s="5">
        <v>21.995200000000001</v>
      </c>
      <c r="F3950" s="5">
        <v>21.984999999999999</v>
      </c>
      <c r="G3950" s="5">
        <v>21.954599999999999</v>
      </c>
      <c r="H3950" s="4">
        <v>0</v>
      </c>
      <c r="I3950" s="6">
        <v>4670210</v>
      </c>
      <c r="J3950" s="7">
        <v>261.64999999999998</v>
      </c>
      <c r="K3950" s="9">
        <f>(PricingDataTable[[#This Row],[Current Price ($)]]-PricingDataTable[[#This Row],[Prior Price ($)]])/PricingDataTable[[#This Row],[Prior Price ($)]]</f>
        <v>-4.6373754273664695E-4</v>
      </c>
      <c r="L3950" s="9">
        <f>(PricingDataTable[[#This Row],[Vendor Price ($)]]-PricingDataTable[[#This Row],[Current Price ($)]])/PricingDataTable[[#This Row],[Current Price ($)]]</f>
        <v>-1.3827609733909577E-3</v>
      </c>
      <c r="M3950" t="str">
        <f t="shared" si="122"/>
        <v>PASS</v>
      </c>
      <c r="N3950" s="10" t="str">
        <f t="shared" si="123"/>
        <v>NONE</v>
      </c>
    </row>
    <row r="3951" spans="1:14">
      <c r="A3951" s="4" t="s">
        <v>7918</v>
      </c>
      <c r="B3951" s="4" t="s">
        <v>7919</v>
      </c>
      <c r="C3951" s="4" t="s">
        <v>12</v>
      </c>
      <c r="D3951" s="4" t="s">
        <v>13</v>
      </c>
      <c r="E3951" s="5">
        <v>111.08669999999999</v>
      </c>
      <c r="F3951" s="5">
        <v>110.83280000000001</v>
      </c>
      <c r="G3951" s="5">
        <v>111.292</v>
      </c>
      <c r="H3951" s="4">
        <v>0</v>
      </c>
      <c r="I3951" s="6">
        <v>329898</v>
      </c>
      <c r="J3951" s="7">
        <v>336.01</v>
      </c>
      <c r="K3951" s="9">
        <f>(PricingDataTable[[#This Row],[Current Price ($)]]-PricingDataTable[[#This Row],[Prior Price ($)]])/PricingDataTable[[#This Row],[Prior Price ($)]]</f>
        <v>-2.2856021467915363E-3</v>
      </c>
      <c r="L3951" s="9">
        <f>(PricingDataTable[[#This Row],[Vendor Price ($)]]-PricingDataTable[[#This Row],[Current Price ($)]])/PricingDataTable[[#This Row],[Current Price ($)]]</f>
        <v>4.1431778318331359E-3</v>
      </c>
      <c r="M3951" t="str">
        <f t="shared" si="122"/>
        <v>PASS</v>
      </c>
      <c r="N3951" s="10" t="str">
        <f t="shared" si="123"/>
        <v>NONE</v>
      </c>
    </row>
    <row r="3952" spans="1:14">
      <c r="A3952" s="4" t="s">
        <v>7920</v>
      </c>
      <c r="B3952" s="4" t="s">
        <v>7921</v>
      </c>
      <c r="C3952" s="4" t="s">
        <v>19</v>
      </c>
      <c r="D3952" s="4" t="s">
        <v>13</v>
      </c>
      <c r="E3952" s="5">
        <v>224.76830000000001</v>
      </c>
      <c r="F3952" s="5">
        <v>229.24289999999999</v>
      </c>
      <c r="G3952" s="5">
        <v>228.5522</v>
      </c>
      <c r="H3952" s="4">
        <v>2</v>
      </c>
      <c r="I3952" s="6">
        <v>1465601</v>
      </c>
      <c r="J3952" s="7">
        <v>494.01</v>
      </c>
      <c r="K3952" s="9">
        <f>(PricingDataTable[[#This Row],[Current Price ($)]]-PricingDataTable[[#This Row],[Prior Price ($)]])/PricingDataTable[[#This Row],[Prior Price ($)]]</f>
        <v>1.9907611527070237E-2</v>
      </c>
      <c r="L3952" s="9">
        <f>(PricingDataTable[[#This Row],[Vendor Price ($)]]-PricingDataTable[[#This Row],[Current Price ($)]])/PricingDataTable[[#This Row],[Current Price ($)]]</f>
        <v>-3.0129613610715648E-3</v>
      </c>
      <c r="M3952" t="str">
        <f t="shared" si="122"/>
        <v>PASS</v>
      </c>
      <c r="N3952" s="10" t="str">
        <f t="shared" si="123"/>
        <v>NONE</v>
      </c>
    </row>
    <row r="3953" spans="1:14">
      <c r="A3953" s="4" t="s">
        <v>7922</v>
      </c>
      <c r="B3953" s="4" t="s">
        <v>7923</v>
      </c>
      <c r="C3953" s="4" t="s">
        <v>12</v>
      </c>
      <c r="D3953" s="4" t="s">
        <v>13</v>
      </c>
      <c r="E3953" s="5">
        <v>118.1867</v>
      </c>
      <c r="F3953" s="5">
        <v>119.41500000000001</v>
      </c>
      <c r="G3953" s="5">
        <v>119.1544</v>
      </c>
      <c r="H3953" s="4">
        <v>0</v>
      </c>
      <c r="I3953" s="6">
        <v>2085533</v>
      </c>
      <c r="J3953" s="7">
        <v>804.99</v>
      </c>
      <c r="K3953" s="9">
        <f>(PricingDataTable[[#This Row],[Current Price ($)]]-PricingDataTable[[#This Row],[Prior Price ($)]])/PricingDataTable[[#This Row],[Prior Price ($)]]</f>
        <v>1.0392878386485149E-2</v>
      </c>
      <c r="L3953" s="9">
        <f>(PricingDataTable[[#This Row],[Vendor Price ($)]]-PricingDataTable[[#This Row],[Current Price ($)]])/PricingDataTable[[#This Row],[Current Price ($)]]</f>
        <v>-2.1823054055186602E-3</v>
      </c>
      <c r="M3953" t="str">
        <f t="shared" si="122"/>
        <v>PASS</v>
      </c>
      <c r="N3953" s="10" t="str">
        <f t="shared" si="123"/>
        <v>NONE</v>
      </c>
    </row>
    <row r="3954" spans="1:14">
      <c r="A3954" s="4" t="s">
        <v>7924</v>
      </c>
      <c r="B3954" s="4" t="s">
        <v>7925</v>
      </c>
      <c r="C3954" s="4" t="s">
        <v>35</v>
      </c>
      <c r="D3954" s="4" t="s">
        <v>13</v>
      </c>
      <c r="E3954" s="5">
        <v>86.533600000000007</v>
      </c>
      <c r="F3954" s="5">
        <v>85.041700000000006</v>
      </c>
      <c r="G3954" s="5">
        <v>85.418400000000005</v>
      </c>
      <c r="H3954" s="4">
        <v>0</v>
      </c>
      <c r="I3954" s="6">
        <v>113066</v>
      </c>
      <c r="J3954" s="7">
        <v>407.75</v>
      </c>
      <c r="K3954" s="9">
        <f>(PricingDataTable[[#This Row],[Current Price ($)]]-PricingDataTable[[#This Row],[Prior Price ($)]])/PricingDataTable[[#This Row],[Prior Price ($)]]</f>
        <v>-1.724070187765216E-2</v>
      </c>
      <c r="L3954" s="9">
        <f>(PricingDataTable[[#This Row],[Vendor Price ($)]]-PricingDataTable[[#This Row],[Current Price ($)]])/PricingDataTable[[#This Row],[Current Price ($)]]</f>
        <v>4.4295916003560558E-3</v>
      </c>
      <c r="M3954" t="str">
        <f t="shared" si="122"/>
        <v>PASS</v>
      </c>
      <c r="N3954" s="10" t="str">
        <f t="shared" si="123"/>
        <v>NONE</v>
      </c>
    </row>
    <row r="3955" spans="1:14">
      <c r="A3955" s="4" t="s">
        <v>7926</v>
      </c>
      <c r="B3955" s="4" t="s">
        <v>7927</v>
      </c>
      <c r="C3955" s="4" t="s">
        <v>19</v>
      </c>
      <c r="D3955" s="4" t="s">
        <v>13</v>
      </c>
      <c r="E3955" s="5">
        <v>154.35749999999999</v>
      </c>
      <c r="F3955" s="5">
        <v>155.38499999999999</v>
      </c>
      <c r="G3955" s="5">
        <v>155.33019999999999</v>
      </c>
      <c r="H3955" s="4">
        <v>0</v>
      </c>
      <c r="I3955" s="6">
        <v>3723920</v>
      </c>
      <c r="J3955" s="7">
        <v>287.54000000000002</v>
      </c>
      <c r="K3955" s="9">
        <f>(PricingDataTable[[#This Row],[Current Price ($)]]-PricingDataTable[[#This Row],[Prior Price ($)]])/PricingDataTable[[#This Row],[Prior Price ($)]]</f>
        <v>6.656625042514964E-3</v>
      </c>
      <c r="L3955" s="9">
        <f>(PricingDataTable[[#This Row],[Vendor Price ($)]]-PricingDataTable[[#This Row],[Current Price ($)]])/PricingDataTable[[#This Row],[Current Price ($)]]</f>
        <v>-3.5267239437526264E-4</v>
      </c>
      <c r="M3955" t="str">
        <f t="shared" si="122"/>
        <v>PASS</v>
      </c>
      <c r="N3955" s="10" t="str">
        <f t="shared" si="123"/>
        <v>NONE</v>
      </c>
    </row>
    <row r="3956" spans="1:14">
      <c r="A3956" s="4" t="s">
        <v>7928</v>
      </c>
      <c r="B3956" s="4" t="s">
        <v>7929</v>
      </c>
      <c r="C3956" s="4" t="s">
        <v>19</v>
      </c>
      <c r="D3956" s="4" t="s">
        <v>13</v>
      </c>
      <c r="E3956" s="5">
        <v>153.7647</v>
      </c>
      <c r="F3956" s="5">
        <v>152.0171</v>
      </c>
      <c r="G3956" s="5">
        <v>141.8844</v>
      </c>
      <c r="H3956" s="4">
        <v>0</v>
      </c>
      <c r="I3956" s="6">
        <v>935183</v>
      </c>
      <c r="J3956" s="7">
        <v>449.68</v>
      </c>
      <c r="K3956" s="9">
        <f>(PricingDataTable[[#This Row],[Current Price ($)]]-PricingDataTable[[#This Row],[Prior Price ($)]])/PricingDataTable[[#This Row],[Prior Price ($)]]</f>
        <v>-1.1365417420253189E-2</v>
      </c>
      <c r="L3956" s="9">
        <f>(PricingDataTable[[#This Row],[Vendor Price ($)]]-PricingDataTable[[#This Row],[Current Price ($)]])/PricingDataTable[[#This Row],[Current Price ($)]]</f>
        <v>-6.6655001312352358E-2</v>
      </c>
      <c r="M3956" t="str">
        <f t="shared" si="122"/>
        <v>VENDOR DIFFERENCE</v>
      </c>
      <c r="N3956" s="10" t="str">
        <f t="shared" si="123"/>
        <v>HIGH</v>
      </c>
    </row>
    <row r="3957" spans="1:14">
      <c r="A3957" s="4" t="s">
        <v>7930</v>
      </c>
      <c r="B3957" s="4" t="s">
        <v>7931</v>
      </c>
      <c r="C3957" s="4" t="s">
        <v>19</v>
      </c>
      <c r="D3957" s="4" t="s">
        <v>13</v>
      </c>
      <c r="E3957" s="5">
        <v>105.7129</v>
      </c>
      <c r="F3957" s="5">
        <v>105.12560000000001</v>
      </c>
      <c r="G3957" s="5">
        <v>104.86839999999999</v>
      </c>
      <c r="H3957" s="4">
        <v>0</v>
      </c>
      <c r="I3957" s="6">
        <v>3038235</v>
      </c>
      <c r="J3957" s="7">
        <v>344.22</v>
      </c>
      <c r="K3957" s="9">
        <f>(PricingDataTable[[#This Row],[Current Price ($)]]-PricingDataTable[[#This Row],[Prior Price ($)]])/PricingDataTable[[#This Row],[Prior Price ($)]]</f>
        <v>-5.5556133641211152E-3</v>
      </c>
      <c r="L3957" s="9">
        <f>(PricingDataTable[[#This Row],[Vendor Price ($)]]-PricingDataTable[[#This Row],[Current Price ($)]])/PricingDataTable[[#This Row],[Current Price ($)]]</f>
        <v>-2.4465972132383705E-3</v>
      </c>
      <c r="M3957" t="str">
        <f t="shared" si="122"/>
        <v>PASS</v>
      </c>
      <c r="N3957" s="10" t="str">
        <f t="shared" si="123"/>
        <v>NONE</v>
      </c>
    </row>
    <row r="3958" spans="1:14">
      <c r="A3958" s="4" t="s">
        <v>7932</v>
      </c>
      <c r="B3958" s="4" t="s">
        <v>7933</v>
      </c>
      <c r="C3958" s="4" t="s">
        <v>39</v>
      </c>
      <c r="D3958" s="4" t="s">
        <v>13</v>
      </c>
      <c r="E3958" s="5">
        <v>110.8573</v>
      </c>
      <c r="F3958" s="5">
        <v>111.9081</v>
      </c>
      <c r="G3958" s="5">
        <v>111.87609999999999</v>
      </c>
      <c r="H3958" s="4">
        <v>0</v>
      </c>
      <c r="I3958" s="6">
        <v>1123106</v>
      </c>
      <c r="J3958" s="7">
        <v>121.52</v>
      </c>
      <c r="K3958" s="9">
        <f>(PricingDataTable[[#This Row],[Current Price ($)]]-PricingDataTable[[#This Row],[Prior Price ($)]])/PricingDataTable[[#This Row],[Prior Price ($)]]</f>
        <v>9.4788525428637499E-3</v>
      </c>
      <c r="L3958" s="9">
        <f>(PricingDataTable[[#This Row],[Vendor Price ($)]]-PricingDataTable[[#This Row],[Current Price ($)]])/PricingDataTable[[#This Row],[Current Price ($)]]</f>
        <v>-2.859489170132518E-4</v>
      </c>
      <c r="M3958" t="str">
        <f t="shared" si="122"/>
        <v>PASS</v>
      </c>
      <c r="N3958" s="10" t="str">
        <f t="shared" si="123"/>
        <v>NONE</v>
      </c>
    </row>
    <row r="3959" spans="1:14">
      <c r="A3959" s="4" t="s">
        <v>7934</v>
      </c>
      <c r="B3959" s="4" t="s">
        <v>7935</v>
      </c>
      <c r="C3959" s="4" t="s">
        <v>35</v>
      </c>
      <c r="D3959" s="4" t="s">
        <v>36</v>
      </c>
      <c r="E3959" s="5">
        <v>16.5974</v>
      </c>
      <c r="F3959" s="5">
        <v>16.4297</v>
      </c>
      <c r="G3959" s="5">
        <v>16.4329</v>
      </c>
      <c r="H3959" s="4">
        <v>0</v>
      </c>
      <c r="I3959" s="6">
        <v>4533562</v>
      </c>
      <c r="J3959" s="7">
        <v>661.79</v>
      </c>
      <c r="K3959" s="9">
        <f>(PricingDataTable[[#This Row],[Current Price ($)]]-PricingDataTable[[#This Row],[Prior Price ($)]])/PricingDataTable[[#This Row],[Prior Price ($)]]</f>
        <v>-1.0103992191548072E-2</v>
      </c>
      <c r="L3959" s="9">
        <f>(PricingDataTable[[#This Row],[Vendor Price ($)]]-PricingDataTable[[#This Row],[Current Price ($)]])/PricingDataTable[[#This Row],[Current Price ($)]]</f>
        <v>1.9476922889642828E-4</v>
      </c>
      <c r="M3959" t="str">
        <f t="shared" si="122"/>
        <v>PASS</v>
      </c>
      <c r="N3959" s="10" t="str">
        <f t="shared" si="123"/>
        <v>NONE</v>
      </c>
    </row>
    <row r="3960" spans="1:14">
      <c r="A3960" s="4" t="s">
        <v>7936</v>
      </c>
      <c r="B3960" s="4" t="s">
        <v>7937</v>
      </c>
      <c r="C3960" s="4" t="s">
        <v>19</v>
      </c>
      <c r="D3960" s="4" t="s">
        <v>237</v>
      </c>
      <c r="E3960" s="5">
        <v>170.30410000000001</v>
      </c>
      <c r="F3960" s="5">
        <v>168.3792</v>
      </c>
      <c r="G3960" s="5">
        <v>167.61770000000001</v>
      </c>
      <c r="H3960" s="4">
        <v>1</v>
      </c>
      <c r="I3960" s="6">
        <v>675317</v>
      </c>
      <c r="J3960" s="7">
        <v>393.89</v>
      </c>
      <c r="K3960" s="9">
        <f>(PricingDataTable[[#This Row],[Current Price ($)]]-PricingDataTable[[#This Row],[Prior Price ($)]])/PricingDataTable[[#This Row],[Prior Price ($)]]</f>
        <v>-1.1302722600336738E-2</v>
      </c>
      <c r="L3960" s="9">
        <f>(PricingDataTable[[#This Row],[Vendor Price ($)]]-PricingDataTable[[#This Row],[Current Price ($)]])/PricingDataTable[[#This Row],[Current Price ($)]]</f>
        <v>-4.5225300987294381E-3</v>
      </c>
      <c r="M3960" t="str">
        <f t="shared" si="122"/>
        <v>PASS</v>
      </c>
      <c r="N3960" s="10" t="str">
        <f t="shared" si="123"/>
        <v>NONE</v>
      </c>
    </row>
    <row r="3961" spans="1:14">
      <c r="A3961" s="4" t="s">
        <v>7938</v>
      </c>
      <c r="B3961" s="4" t="s">
        <v>7939</v>
      </c>
      <c r="C3961" s="4" t="s">
        <v>35</v>
      </c>
      <c r="D3961" s="4" t="s">
        <v>13</v>
      </c>
      <c r="E3961" s="5">
        <v>121.8546</v>
      </c>
      <c r="F3961" s="5">
        <v>121.7368</v>
      </c>
      <c r="G3961" s="5">
        <v>122.10299999999999</v>
      </c>
      <c r="H3961" s="4">
        <v>2</v>
      </c>
      <c r="I3961" s="6">
        <v>3331858</v>
      </c>
      <c r="J3961" s="7">
        <v>93.77</v>
      </c>
      <c r="K3961" s="9">
        <f>(PricingDataTable[[#This Row],[Current Price ($)]]-PricingDataTable[[#This Row],[Prior Price ($)]])/PricingDataTable[[#This Row],[Prior Price ($)]]</f>
        <v>-9.6672591761002506E-4</v>
      </c>
      <c r="L3961" s="9">
        <f>(PricingDataTable[[#This Row],[Vendor Price ($)]]-PricingDataTable[[#This Row],[Current Price ($)]])/PricingDataTable[[#This Row],[Current Price ($)]]</f>
        <v>3.008129012755322E-3</v>
      </c>
      <c r="M3961" t="str">
        <f t="shared" si="122"/>
        <v>PASS</v>
      </c>
      <c r="N3961" s="10" t="str">
        <f t="shared" si="123"/>
        <v>NONE</v>
      </c>
    </row>
    <row r="3962" spans="1:14">
      <c r="A3962" s="4" t="s">
        <v>7940</v>
      </c>
      <c r="B3962" s="4" t="s">
        <v>7941</v>
      </c>
      <c r="C3962" s="4" t="s">
        <v>19</v>
      </c>
      <c r="D3962" s="4" t="s">
        <v>13</v>
      </c>
      <c r="E3962" s="5">
        <v>251.3211</v>
      </c>
      <c r="F3962" s="5">
        <v>249.0736</v>
      </c>
      <c r="G3962" s="5">
        <v>248.63929999999999</v>
      </c>
      <c r="H3962" s="4">
        <v>0</v>
      </c>
      <c r="I3962" s="6">
        <v>4001256</v>
      </c>
      <c r="J3962" s="7">
        <v>894.86</v>
      </c>
      <c r="K3962" s="9">
        <f>(PricingDataTable[[#This Row],[Current Price ($)]]-PricingDataTable[[#This Row],[Prior Price ($)]])/PricingDataTable[[#This Row],[Prior Price ($)]]</f>
        <v>-8.9427429690543386E-3</v>
      </c>
      <c r="L3962" s="9">
        <f>(PricingDataTable[[#This Row],[Vendor Price ($)]]-PricingDataTable[[#This Row],[Current Price ($)]])/PricingDataTable[[#This Row],[Current Price ($)]]</f>
        <v>-1.7436613113553884E-3</v>
      </c>
      <c r="M3962" t="str">
        <f t="shared" si="122"/>
        <v>PASS</v>
      </c>
      <c r="N3962" s="10" t="str">
        <f t="shared" si="123"/>
        <v>NONE</v>
      </c>
    </row>
    <row r="3963" spans="1:14">
      <c r="A3963" s="4" t="s">
        <v>7942</v>
      </c>
      <c r="B3963" s="4" t="s">
        <v>7943</v>
      </c>
      <c r="C3963" s="4" t="s">
        <v>16</v>
      </c>
      <c r="D3963" s="4" t="s">
        <v>13</v>
      </c>
      <c r="E3963" s="5">
        <v>106.7471</v>
      </c>
      <c r="F3963" s="5">
        <v>105.9308</v>
      </c>
      <c r="G3963" s="5">
        <v>105.7311</v>
      </c>
      <c r="H3963" s="4">
        <v>1</v>
      </c>
      <c r="I3963" s="6">
        <v>2540612</v>
      </c>
      <c r="J3963" s="7">
        <v>634.74</v>
      </c>
      <c r="K3963" s="9">
        <f>(PricingDataTable[[#This Row],[Current Price ($)]]-PricingDataTable[[#This Row],[Prior Price ($)]])/PricingDataTable[[#This Row],[Prior Price ($)]]</f>
        <v>-7.6470461492630544E-3</v>
      </c>
      <c r="L3963" s="9">
        <f>(PricingDataTable[[#This Row],[Vendor Price ($)]]-PricingDataTable[[#This Row],[Current Price ($)]])/PricingDataTable[[#This Row],[Current Price ($)]]</f>
        <v>-1.8851929750366002E-3</v>
      </c>
      <c r="M3963" t="str">
        <f t="shared" si="122"/>
        <v>PASS</v>
      </c>
      <c r="N3963" s="10" t="str">
        <f t="shared" si="123"/>
        <v>NONE</v>
      </c>
    </row>
    <row r="3964" spans="1:14">
      <c r="A3964" s="4" t="s">
        <v>7944</v>
      </c>
      <c r="B3964" s="4" t="s">
        <v>7945</v>
      </c>
      <c r="C3964" s="4" t="s">
        <v>19</v>
      </c>
      <c r="D3964" s="4" t="s">
        <v>13</v>
      </c>
      <c r="E3964" s="5">
        <v>347.98779999999999</v>
      </c>
      <c r="F3964" s="5">
        <v>348.30900000000003</v>
      </c>
      <c r="G3964" s="5">
        <v>347.44189999999998</v>
      </c>
      <c r="H3964" s="4">
        <v>3</v>
      </c>
      <c r="I3964" s="6">
        <v>4370760</v>
      </c>
      <c r="J3964" s="7">
        <v>692.95</v>
      </c>
      <c r="K3964" s="9">
        <f>(PricingDataTable[[#This Row],[Current Price ($)]]-PricingDataTable[[#This Row],[Prior Price ($)]])/PricingDataTable[[#This Row],[Prior Price ($)]]</f>
        <v>9.2302086452465584E-4</v>
      </c>
      <c r="L3964" s="9">
        <f>(PricingDataTable[[#This Row],[Vendor Price ($)]]-PricingDataTable[[#This Row],[Current Price ($)]])/PricingDataTable[[#This Row],[Current Price ($)]]</f>
        <v>-2.4894562012467386E-3</v>
      </c>
      <c r="M3964" t="str">
        <f t="shared" si="122"/>
        <v>STALE</v>
      </c>
      <c r="N3964" s="10" t="str">
        <f t="shared" si="123"/>
        <v>LOW</v>
      </c>
    </row>
    <row r="3965" spans="1:14">
      <c r="A3965" s="4" t="s">
        <v>7946</v>
      </c>
      <c r="B3965" s="4" t="s">
        <v>7947</v>
      </c>
      <c r="C3965" s="4" t="s">
        <v>16</v>
      </c>
      <c r="D3965" s="4" t="s">
        <v>13</v>
      </c>
      <c r="E3965" s="5">
        <v>84.540599999999998</v>
      </c>
      <c r="F3965" s="5">
        <v>83.591200000000001</v>
      </c>
      <c r="G3965" s="5">
        <v>83.530500000000004</v>
      </c>
      <c r="H3965" s="4">
        <v>1</v>
      </c>
      <c r="I3965" s="6">
        <v>3064293</v>
      </c>
      <c r="J3965" s="7">
        <v>277.5</v>
      </c>
      <c r="K3965" s="9">
        <f>(PricingDataTable[[#This Row],[Current Price ($)]]-PricingDataTable[[#This Row],[Prior Price ($)]])/PricingDataTable[[#This Row],[Prior Price ($)]]</f>
        <v>-1.1230107191101046E-2</v>
      </c>
      <c r="L3965" s="9">
        <f>(PricingDataTable[[#This Row],[Vendor Price ($)]]-PricingDataTable[[#This Row],[Current Price ($)]])/PricingDataTable[[#This Row],[Current Price ($)]]</f>
        <v>-7.2615299218096031E-4</v>
      </c>
      <c r="M3965" t="str">
        <f t="shared" si="122"/>
        <v>PASS</v>
      </c>
      <c r="N3965" s="10" t="str">
        <f t="shared" si="123"/>
        <v>NONE</v>
      </c>
    </row>
    <row r="3966" spans="1:14">
      <c r="A3966" s="4" t="s">
        <v>7948</v>
      </c>
      <c r="B3966" s="4" t="s">
        <v>7949</v>
      </c>
      <c r="C3966" s="4" t="s">
        <v>16</v>
      </c>
      <c r="D3966" s="4" t="s">
        <v>13</v>
      </c>
      <c r="E3966" s="5">
        <v>97.697100000000006</v>
      </c>
      <c r="F3966" s="5">
        <v>100.0142</v>
      </c>
      <c r="G3966" s="5">
        <v>99.656300000000002</v>
      </c>
      <c r="H3966" s="4">
        <v>0</v>
      </c>
      <c r="I3966" s="6">
        <v>4736284</v>
      </c>
      <c r="J3966" s="7">
        <v>484.08</v>
      </c>
      <c r="K3966" s="9">
        <f>(PricingDataTable[[#This Row],[Current Price ($)]]-PricingDataTable[[#This Row],[Prior Price ($)]])/PricingDataTable[[#This Row],[Prior Price ($)]]</f>
        <v>2.3717183007479201E-2</v>
      </c>
      <c r="L3966" s="9">
        <f>(PricingDataTable[[#This Row],[Vendor Price ($)]]-PricingDataTable[[#This Row],[Current Price ($)]])/PricingDataTable[[#This Row],[Current Price ($)]]</f>
        <v>-3.5784918541567172E-3</v>
      </c>
      <c r="M3966" t="str">
        <f t="shared" si="122"/>
        <v>PASS</v>
      </c>
      <c r="N3966" s="10" t="str">
        <f t="shared" si="123"/>
        <v>NONE</v>
      </c>
    </row>
    <row r="3967" spans="1:14">
      <c r="A3967" s="4" t="s">
        <v>7950</v>
      </c>
      <c r="B3967" s="4" t="s">
        <v>7951</v>
      </c>
      <c r="C3967" s="4" t="s">
        <v>39</v>
      </c>
      <c r="D3967" s="4" t="s">
        <v>13</v>
      </c>
      <c r="E3967" s="5">
        <v>345.58460000000002</v>
      </c>
      <c r="F3967" s="5">
        <v>344.76609999999999</v>
      </c>
      <c r="G3967" s="5">
        <v>344.6404</v>
      </c>
      <c r="H3967" s="4">
        <v>0</v>
      </c>
      <c r="I3967" s="6">
        <v>2329559</v>
      </c>
      <c r="J3967" s="7">
        <v>839.08</v>
      </c>
      <c r="K3967" s="9">
        <f>(PricingDataTable[[#This Row],[Current Price ($)]]-PricingDataTable[[#This Row],[Prior Price ($)]])/PricingDataTable[[#This Row],[Prior Price ($)]]</f>
        <v>-2.3684504459979658E-3</v>
      </c>
      <c r="L3967" s="9">
        <f>(PricingDataTable[[#This Row],[Vendor Price ($)]]-PricingDataTable[[#This Row],[Current Price ($)]])/PricingDataTable[[#This Row],[Current Price ($)]]</f>
        <v>-3.6459501093638505E-4</v>
      </c>
      <c r="M3967" t="str">
        <f t="shared" si="122"/>
        <v>PASS</v>
      </c>
      <c r="N3967" s="10" t="str">
        <f t="shared" si="123"/>
        <v>NONE</v>
      </c>
    </row>
    <row r="3968" spans="1:14">
      <c r="A3968" s="4" t="s">
        <v>7952</v>
      </c>
      <c r="B3968" s="4" t="s">
        <v>7953</v>
      </c>
      <c r="C3968" s="4" t="s">
        <v>16</v>
      </c>
      <c r="D3968" s="4" t="s">
        <v>13</v>
      </c>
      <c r="E3968" s="5">
        <v>106.7294</v>
      </c>
      <c r="F3968" s="5">
        <v>105.9402</v>
      </c>
      <c r="G3968" s="5">
        <v>105.8567</v>
      </c>
      <c r="H3968" s="4">
        <v>0</v>
      </c>
      <c r="I3968" s="6">
        <v>4369067</v>
      </c>
      <c r="J3968" s="7">
        <v>181.64</v>
      </c>
      <c r="K3968" s="9">
        <f>(PricingDataTable[[#This Row],[Current Price ($)]]-PricingDataTable[[#This Row],[Prior Price ($)]])/PricingDataTable[[#This Row],[Prior Price ($)]]</f>
        <v>-7.3944011678131229E-3</v>
      </c>
      <c r="L3968" s="9">
        <f>(PricingDataTable[[#This Row],[Vendor Price ($)]]-PricingDataTable[[#This Row],[Current Price ($)]])/PricingDataTable[[#This Row],[Current Price ($)]]</f>
        <v>-7.8818050183028531E-4</v>
      </c>
      <c r="M3968" t="str">
        <f t="shared" si="122"/>
        <v>PASS</v>
      </c>
      <c r="N3968" s="10" t="str">
        <f t="shared" si="123"/>
        <v>NONE</v>
      </c>
    </row>
    <row r="3969" spans="1:14">
      <c r="A3969" s="4" t="s">
        <v>7954</v>
      </c>
      <c r="B3969" s="4" t="s">
        <v>7955</v>
      </c>
      <c r="C3969" s="4" t="s">
        <v>12</v>
      </c>
      <c r="D3969" s="4" t="s">
        <v>13</v>
      </c>
      <c r="E3969" s="5">
        <v>87.449799999999996</v>
      </c>
      <c r="F3969" s="5">
        <v>88.604200000000006</v>
      </c>
      <c r="G3969" s="5">
        <v>89.032600000000002</v>
      </c>
      <c r="H3969" s="4">
        <v>1</v>
      </c>
      <c r="I3969" s="6">
        <v>1459423</v>
      </c>
      <c r="J3969" s="7">
        <v>670.86</v>
      </c>
      <c r="K3969" s="9">
        <f>(PricingDataTable[[#This Row],[Current Price ($)]]-PricingDataTable[[#This Row],[Prior Price ($)]])/PricingDataTable[[#This Row],[Prior Price ($)]]</f>
        <v>1.3200716296664026E-2</v>
      </c>
      <c r="L3969" s="9">
        <f>(PricingDataTable[[#This Row],[Vendor Price ($)]]-PricingDataTable[[#This Row],[Current Price ($)]])/PricingDataTable[[#This Row],[Current Price ($)]]</f>
        <v>4.8349852490062132E-3</v>
      </c>
      <c r="M3969" t="str">
        <f t="shared" si="122"/>
        <v>PASS</v>
      </c>
      <c r="N3969" s="10" t="str">
        <f t="shared" si="123"/>
        <v>NONE</v>
      </c>
    </row>
    <row r="3970" spans="1:14">
      <c r="A3970" s="4" t="s">
        <v>7956</v>
      </c>
      <c r="B3970" s="4" t="s">
        <v>7957</v>
      </c>
      <c r="C3970" s="4" t="s">
        <v>16</v>
      </c>
      <c r="D3970" s="4" t="s">
        <v>13</v>
      </c>
      <c r="E3970" s="5">
        <v>99.999799999999993</v>
      </c>
      <c r="F3970" s="5">
        <v>98.239699999999999</v>
      </c>
      <c r="G3970" s="5">
        <v>98.384799999999998</v>
      </c>
      <c r="H3970" s="4">
        <v>0</v>
      </c>
      <c r="I3970" s="6">
        <v>2009</v>
      </c>
      <c r="J3970" s="7">
        <v>35.520000000000003</v>
      </c>
      <c r="K3970" s="9">
        <f>(PricingDataTable[[#This Row],[Current Price ($)]]-PricingDataTable[[#This Row],[Prior Price ($)]])/PricingDataTable[[#This Row],[Prior Price ($)]]</f>
        <v>-1.7601035202070348E-2</v>
      </c>
      <c r="L3970" s="9">
        <f>(PricingDataTable[[#This Row],[Vendor Price ($)]]-PricingDataTable[[#This Row],[Current Price ($)]])/PricingDataTable[[#This Row],[Current Price ($)]]</f>
        <v>1.4769996243880971E-3</v>
      </c>
      <c r="M3970" t="str">
        <f t="shared" ref="M3970:M4033" si="124">IF(OR(F3970="",F3970=0),"MISSING",IF(H3970&gt;=3,"STALE",IF(ABS(K3970)&gt;=5%,"LARGE MOVE",IF(ABS(L3970)&gt;=2%,"VENDOR DIFFERENCE","PASS"))))</f>
        <v>PASS</v>
      </c>
      <c r="N3970" s="10" t="str">
        <f t="shared" ref="N3970:N4033" si="125">IF(M3970="PASS","NONE",IF(M3970="MISSING","HIGH",IF(OR(ABS(K3970)&gt;=10%,ABS(L3970)&gt;=5%),"HIGH",IF(OR(ABS(K3970)&gt;=7%,ABS(L3970)&gt;=3%,H3970&gt;=5),"MEDIUM","LOW"))))</f>
        <v>NONE</v>
      </c>
    </row>
    <row r="3971" spans="1:14">
      <c r="A3971" s="4" t="s">
        <v>7958</v>
      </c>
      <c r="B3971" s="4" t="s">
        <v>7959</v>
      </c>
      <c r="C3971" s="4" t="s">
        <v>39</v>
      </c>
      <c r="D3971" s="4" t="s">
        <v>13</v>
      </c>
      <c r="E3971" s="5">
        <v>298.38560000000001</v>
      </c>
      <c r="F3971" s="5">
        <v>297.81740000000002</v>
      </c>
      <c r="G3971" s="5">
        <v>297.84769999999997</v>
      </c>
      <c r="H3971" s="4">
        <v>1</v>
      </c>
      <c r="I3971" s="6">
        <v>4869312</v>
      </c>
      <c r="J3971" s="7">
        <v>803.54</v>
      </c>
      <c r="K3971" s="9">
        <f>(PricingDataTable[[#This Row],[Current Price ($)]]-PricingDataTable[[#This Row],[Prior Price ($)]])/PricingDataTable[[#This Row],[Prior Price ($)]]</f>
        <v>-1.9042473899544424E-3</v>
      </c>
      <c r="L3971" s="9">
        <f>(PricingDataTable[[#This Row],[Vendor Price ($)]]-PricingDataTable[[#This Row],[Current Price ($)]])/PricingDataTable[[#This Row],[Current Price ($)]]</f>
        <v>1.0174019382331002E-4</v>
      </c>
      <c r="M3971" t="str">
        <f t="shared" si="124"/>
        <v>PASS</v>
      </c>
      <c r="N3971" s="10" t="str">
        <f t="shared" si="125"/>
        <v>NONE</v>
      </c>
    </row>
    <row r="3972" spans="1:14">
      <c r="A3972" s="4" t="s">
        <v>7960</v>
      </c>
      <c r="B3972" s="4" t="s">
        <v>7961</v>
      </c>
      <c r="C3972" s="4" t="s">
        <v>35</v>
      </c>
      <c r="D3972" s="4" t="s">
        <v>13</v>
      </c>
      <c r="E3972" s="5">
        <v>140.51230000000001</v>
      </c>
      <c r="F3972" s="5">
        <v>139.97300000000001</v>
      </c>
      <c r="G3972" s="5">
        <v>140.1688</v>
      </c>
      <c r="H3972" s="4">
        <v>3</v>
      </c>
      <c r="I3972" s="6">
        <v>714668</v>
      </c>
      <c r="J3972" s="7">
        <v>138.88999999999999</v>
      </c>
      <c r="K3972" s="9">
        <f>(PricingDataTable[[#This Row],[Current Price ($)]]-PricingDataTable[[#This Row],[Prior Price ($)]])/PricingDataTable[[#This Row],[Prior Price ($)]]</f>
        <v>-3.838098159378198E-3</v>
      </c>
      <c r="L3972" s="9">
        <f>(PricingDataTable[[#This Row],[Vendor Price ($)]]-PricingDataTable[[#This Row],[Current Price ($)]])/PricingDataTable[[#This Row],[Current Price ($)]]</f>
        <v>1.3988412050894908E-3</v>
      </c>
      <c r="M3972" t="str">
        <f t="shared" si="124"/>
        <v>STALE</v>
      </c>
      <c r="N3972" s="10" t="str">
        <f t="shared" si="125"/>
        <v>LOW</v>
      </c>
    </row>
    <row r="3973" spans="1:14">
      <c r="A3973" s="4" t="s">
        <v>7962</v>
      </c>
      <c r="B3973" s="4" t="s">
        <v>7963</v>
      </c>
      <c r="C3973" s="4" t="s">
        <v>16</v>
      </c>
      <c r="D3973" s="4" t="s">
        <v>13</v>
      </c>
      <c r="E3973" s="5">
        <v>85.138099999999994</v>
      </c>
      <c r="F3973" s="5">
        <v>84.502200000000002</v>
      </c>
      <c r="G3973" s="5">
        <v>84.799300000000002</v>
      </c>
      <c r="H3973" s="4">
        <v>0</v>
      </c>
      <c r="I3973" s="6">
        <v>3309268</v>
      </c>
      <c r="J3973" s="7">
        <v>817.26</v>
      </c>
      <c r="K3973" s="9">
        <f>(PricingDataTable[[#This Row],[Current Price ($)]]-PricingDataTable[[#This Row],[Prior Price ($)]])/PricingDataTable[[#This Row],[Prior Price ($)]]</f>
        <v>-7.4690414749682271E-3</v>
      </c>
      <c r="L3973" s="9">
        <f>(PricingDataTable[[#This Row],[Vendor Price ($)]]-PricingDataTable[[#This Row],[Current Price ($)]])/PricingDataTable[[#This Row],[Current Price ($)]]</f>
        <v>3.515884793532007E-3</v>
      </c>
      <c r="M3973" t="str">
        <f t="shared" si="124"/>
        <v>PASS</v>
      </c>
      <c r="N3973" s="10" t="str">
        <f t="shared" si="125"/>
        <v>NONE</v>
      </c>
    </row>
    <row r="3974" spans="1:14">
      <c r="A3974" s="4" t="s">
        <v>7964</v>
      </c>
      <c r="B3974" s="4" t="s">
        <v>7965</v>
      </c>
      <c r="C3974" s="4" t="s">
        <v>19</v>
      </c>
      <c r="D3974" s="4" t="s">
        <v>13</v>
      </c>
      <c r="E3974" s="5">
        <v>277.00540000000001</v>
      </c>
      <c r="F3974" s="5">
        <v>277.17910000000001</v>
      </c>
      <c r="G3974" s="5">
        <v>277.36059999999998</v>
      </c>
      <c r="H3974" s="4">
        <v>1</v>
      </c>
      <c r="I3974" s="6">
        <v>3679641</v>
      </c>
      <c r="J3974" s="7">
        <v>414.98</v>
      </c>
      <c r="K3974" s="9">
        <f>(PricingDataTable[[#This Row],[Current Price ($)]]-PricingDataTable[[#This Row],[Prior Price ($)]])/PricingDataTable[[#This Row],[Prior Price ($)]]</f>
        <v>6.2706358793004262E-4</v>
      </c>
      <c r="L3974" s="9">
        <f>(PricingDataTable[[#This Row],[Vendor Price ($)]]-PricingDataTable[[#This Row],[Current Price ($)]])/PricingDataTable[[#This Row],[Current Price ($)]]</f>
        <v>6.5481127545320467E-4</v>
      </c>
      <c r="M3974" t="str">
        <f t="shared" si="124"/>
        <v>PASS</v>
      </c>
      <c r="N3974" s="10" t="str">
        <f t="shared" si="125"/>
        <v>NONE</v>
      </c>
    </row>
    <row r="3975" spans="1:14">
      <c r="A3975" s="4" t="s">
        <v>7966</v>
      </c>
      <c r="B3975" s="4" t="s">
        <v>7967</v>
      </c>
      <c r="C3975" s="4" t="s">
        <v>16</v>
      </c>
      <c r="D3975" s="4" t="s">
        <v>13</v>
      </c>
      <c r="E3975" s="5">
        <v>89.800899999999999</v>
      </c>
      <c r="F3975" s="5">
        <v>88.826999999999998</v>
      </c>
      <c r="G3975" s="5">
        <v>88.733099999999993</v>
      </c>
      <c r="H3975" s="4">
        <v>0</v>
      </c>
      <c r="I3975" s="6">
        <v>1697236</v>
      </c>
      <c r="J3975" s="7">
        <v>85.83</v>
      </c>
      <c r="K3975" s="9">
        <f>(PricingDataTable[[#This Row],[Current Price ($)]]-PricingDataTable[[#This Row],[Prior Price ($)]])/PricingDataTable[[#This Row],[Prior Price ($)]]</f>
        <v>-1.0845102888723838E-2</v>
      </c>
      <c r="L3975" s="9">
        <f>(PricingDataTable[[#This Row],[Vendor Price ($)]]-PricingDataTable[[#This Row],[Current Price ($)]])/PricingDataTable[[#This Row],[Current Price ($)]]</f>
        <v>-1.0571110135432354E-3</v>
      </c>
      <c r="M3975" t="str">
        <f t="shared" si="124"/>
        <v>PASS</v>
      </c>
      <c r="N3975" s="10" t="str">
        <f t="shared" si="125"/>
        <v>NONE</v>
      </c>
    </row>
    <row r="3976" spans="1:14">
      <c r="A3976" s="4" t="s">
        <v>7968</v>
      </c>
      <c r="B3976" s="4" t="s">
        <v>7969</v>
      </c>
      <c r="C3976" s="4" t="s">
        <v>19</v>
      </c>
      <c r="D3976" s="4" t="s">
        <v>64</v>
      </c>
      <c r="E3976" s="5">
        <v>299.98869999999999</v>
      </c>
      <c r="F3976" s="5">
        <v>300.7115</v>
      </c>
      <c r="G3976" s="5">
        <v>301.91680000000002</v>
      </c>
      <c r="H3976" s="4">
        <v>0</v>
      </c>
      <c r="I3976" s="6">
        <v>1857238</v>
      </c>
      <c r="J3976" s="7">
        <v>407.39</v>
      </c>
      <c r="K3976" s="9">
        <f>(PricingDataTable[[#This Row],[Current Price ($)]]-PricingDataTable[[#This Row],[Prior Price ($)]])/PricingDataTable[[#This Row],[Prior Price ($)]]</f>
        <v>2.4094240883073483E-3</v>
      </c>
      <c r="L3976" s="9">
        <f>(PricingDataTable[[#This Row],[Vendor Price ($)]]-PricingDataTable[[#This Row],[Current Price ($)]])/PricingDataTable[[#This Row],[Current Price ($)]]</f>
        <v>4.0081606456687634E-3</v>
      </c>
      <c r="M3976" t="str">
        <f t="shared" si="124"/>
        <v>PASS</v>
      </c>
      <c r="N3976" s="10" t="str">
        <f t="shared" si="125"/>
        <v>NONE</v>
      </c>
    </row>
    <row r="3977" spans="1:14">
      <c r="A3977" s="4" t="s">
        <v>7970</v>
      </c>
      <c r="B3977" s="4" t="s">
        <v>7971</v>
      </c>
      <c r="C3977" s="4" t="s">
        <v>19</v>
      </c>
      <c r="D3977" s="4" t="s">
        <v>13</v>
      </c>
      <c r="E3977" s="5">
        <v>258.62670000000003</v>
      </c>
      <c r="F3977" s="5">
        <v>256.06220000000002</v>
      </c>
      <c r="G3977" s="5">
        <v>256.47430000000003</v>
      </c>
      <c r="H3977" s="4">
        <v>3</v>
      </c>
      <c r="I3977" s="6">
        <v>1617267</v>
      </c>
      <c r="J3977" s="7">
        <v>857.97</v>
      </c>
      <c r="K3977" s="9">
        <f>(PricingDataTable[[#This Row],[Current Price ($)]]-PricingDataTable[[#This Row],[Prior Price ($)]])/PricingDataTable[[#This Row],[Prior Price ($)]]</f>
        <v>-9.9158362226328886E-3</v>
      </c>
      <c r="L3977" s="9">
        <f>(PricingDataTable[[#This Row],[Vendor Price ($)]]-PricingDataTable[[#This Row],[Current Price ($)]])/PricingDataTable[[#This Row],[Current Price ($)]]</f>
        <v>1.6093745972658574E-3</v>
      </c>
      <c r="M3977" t="str">
        <f t="shared" si="124"/>
        <v>STALE</v>
      </c>
      <c r="N3977" s="10" t="str">
        <f t="shared" si="125"/>
        <v>LOW</v>
      </c>
    </row>
    <row r="3978" spans="1:14">
      <c r="A3978" s="4" t="s">
        <v>7972</v>
      </c>
      <c r="B3978" s="4" t="s">
        <v>7973</v>
      </c>
      <c r="C3978" s="4" t="s">
        <v>16</v>
      </c>
      <c r="D3978" s="4" t="s">
        <v>13</v>
      </c>
      <c r="E3978" s="5">
        <v>115.611</v>
      </c>
      <c r="F3978" s="5">
        <v>115.1297</v>
      </c>
      <c r="G3978" s="5">
        <v>115.598</v>
      </c>
      <c r="H3978" s="4">
        <v>0</v>
      </c>
      <c r="I3978" s="6">
        <v>141887</v>
      </c>
      <c r="J3978" s="7">
        <v>61.41</v>
      </c>
      <c r="K3978" s="9">
        <f>(PricingDataTable[[#This Row],[Current Price ($)]]-PricingDataTable[[#This Row],[Prior Price ($)]])/PricingDataTable[[#This Row],[Prior Price ($)]]</f>
        <v>-4.1630986670818911E-3</v>
      </c>
      <c r="L3978" s="9">
        <f>(PricingDataTable[[#This Row],[Vendor Price ($)]]-PricingDataTable[[#This Row],[Current Price ($)]])/PricingDataTable[[#This Row],[Current Price ($)]]</f>
        <v>4.0675863830097643E-3</v>
      </c>
      <c r="M3978" t="str">
        <f t="shared" si="124"/>
        <v>PASS</v>
      </c>
      <c r="N3978" s="10" t="str">
        <f t="shared" si="125"/>
        <v>NONE</v>
      </c>
    </row>
    <row r="3979" spans="1:14">
      <c r="A3979" s="4" t="s">
        <v>7974</v>
      </c>
      <c r="B3979" s="4" t="s">
        <v>7975</v>
      </c>
      <c r="C3979" s="4" t="s">
        <v>12</v>
      </c>
      <c r="D3979" s="4" t="s">
        <v>13</v>
      </c>
      <c r="E3979" s="5">
        <v>79.047200000000004</v>
      </c>
      <c r="F3979" s="5">
        <v>80.176900000000003</v>
      </c>
      <c r="G3979" s="5">
        <v>80.029600000000002</v>
      </c>
      <c r="H3979" s="4">
        <v>0</v>
      </c>
      <c r="I3979" s="6">
        <v>1985969</v>
      </c>
      <c r="J3979" s="7">
        <v>849.4</v>
      </c>
      <c r="K3979" s="9">
        <f>(PricingDataTable[[#This Row],[Current Price ($)]]-PricingDataTable[[#This Row],[Prior Price ($)]])/PricingDataTable[[#This Row],[Prior Price ($)]]</f>
        <v>1.4291461304132211E-2</v>
      </c>
      <c r="L3979" s="9">
        <f>(PricingDataTable[[#This Row],[Vendor Price ($)]]-PricingDataTable[[#This Row],[Current Price ($)]])/PricingDataTable[[#This Row],[Current Price ($)]]</f>
        <v>-1.83718751909841E-3</v>
      </c>
      <c r="M3979" t="str">
        <f t="shared" si="124"/>
        <v>PASS</v>
      </c>
      <c r="N3979" s="10" t="str">
        <f t="shared" si="125"/>
        <v>NONE</v>
      </c>
    </row>
    <row r="3980" spans="1:14">
      <c r="A3980" s="4" t="s">
        <v>7976</v>
      </c>
      <c r="B3980" s="4" t="s">
        <v>7977</v>
      </c>
      <c r="C3980" s="4" t="s">
        <v>16</v>
      </c>
      <c r="D3980" s="4" t="s">
        <v>13</v>
      </c>
      <c r="E3980" s="5">
        <v>111.5192</v>
      </c>
      <c r="F3980" s="5">
        <v>113.7332</v>
      </c>
      <c r="G3980" s="5">
        <v>113.94889999999999</v>
      </c>
      <c r="H3980" s="4">
        <v>0</v>
      </c>
      <c r="I3980" s="6">
        <v>841812</v>
      </c>
      <c r="J3980" s="7">
        <v>233.96</v>
      </c>
      <c r="K3980" s="9">
        <f>(PricingDataTable[[#This Row],[Current Price ($)]]-PricingDataTable[[#This Row],[Prior Price ($)]])/PricingDataTable[[#This Row],[Prior Price ($)]]</f>
        <v>1.9853083594573839E-2</v>
      </c>
      <c r="L3980" s="9">
        <f>(PricingDataTable[[#This Row],[Vendor Price ($)]]-PricingDataTable[[#This Row],[Current Price ($)]])/PricingDataTable[[#This Row],[Current Price ($)]]</f>
        <v>1.8965438412002673E-3</v>
      </c>
      <c r="M3980" t="str">
        <f t="shared" si="124"/>
        <v>PASS</v>
      </c>
      <c r="N3980" s="10" t="str">
        <f t="shared" si="125"/>
        <v>NONE</v>
      </c>
    </row>
    <row r="3981" spans="1:14">
      <c r="A3981" s="4" t="s">
        <v>7978</v>
      </c>
      <c r="B3981" s="4" t="s">
        <v>7979</v>
      </c>
      <c r="C3981" s="4" t="s">
        <v>19</v>
      </c>
      <c r="D3981" s="4" t="s">
        <v>13</v>
      </c>
      <c r="E3981" s="5">
        <v>268.32920000000001</v>
      </c>
      <c r="F3981" s="5">
        <v>280.29969999999997</v>
      </c>
      <c r="G3981" s="5">
        <v>280.2654</v>
      </c>
      <c r="H3981" s="4">
        <v>0</v>
      </c>
      <c r="I3981" s="6">
        <v>1103435</v>
      </c>
      <c r="J3981" s="7">
        <v>60.21</v>
      </c>
      <c r="K3981" s="9">
        <f>(PricingDataTable[[#This Row],[Current Price ($)]]-PricingDataTable[[#This Row],[Prior Price ($)]])/PricingDataTable[[#This Row],[Prior Price ($)]]</f>
        <v>4.4611246185655373E-2</v>
      </c>
      <c r="L3981" s="9">
        <f>(PricingDataTable[[#This Row],[Vendor Price ($)]]-PricingDataTable[[#This Row],[Current Price ($)]])/PricingDataTable[[#This Row],[Current Price ($)]]</f>
        <v>-1.2236902144373811E-4</v>
      </c>
      <c r="M3981" t="str">
        <f t="shared" si="124"/>
        <v>PASS</v>
      </c>
      <c r="N3981" s="10" t="str">
        <f t="shared" si="125"/>
        <v>NONE</v>
      </c>
    </row>
    <row r="3982" spans="1:14">
      <c r="A3982" s="4" t="s">
        <v>7980</v>
      </c>
      <c r="B3982" s="4" t="s">
        <v>7981</v>
      </c>
      <c r="C3982" s="4" t="s">
        <v>19</v>
      </c>
      <c r="D3982" s="4" t="s">
        <v>13</v>
      </c>
      <c r="E3982" s="5">
        <v>173.91669999999999</v>
      </c>
      <c r="F3982" s="5">
        <v>172.77029999999999</v>
      </c>
      <c r="G3982" s="5">
        <v>172.8218</v>
      </c>
      <c r="H3982" s="4">
        <v>0</v>
      </c>
      <c r="I3982" s="6">
        <v>2912268</v>
      </c>
      <c r="J3982" s="7">
        <v>610</v>
      </c>
      <c r="K3982" s="9">
        <f>(PricingDataTable[[#This Row],[Current Price ($)]]-PricingDataTable[[#This Row],[Prior Price ($)]])/PricingDataTable[[#This Row],[Prior Price ($)]]</f>
        <v>-6.5916614103188479E-3</v>
      </c>
      <c r="L3982" s="9">
        <f>(PricingDataTable[[#This Row],[Vendor Price ($)]]-PricingDataTable[[#This Row],[Current Price ($)]])/PricingDataTable[[#This Row],[Current Price ($)]]</f>
        <v>2.9808364053314908E-4</v>
      </c>
      <c r="M3982" t="str">
        <f t="shared" si="124"/>
        <v>PASS</v>
      </c>
      <c r="N3982" s="10" t="str">
        <f t="shared" si="125"/>
        <v>NONE</v>
      </c>
    </row>
    <row r="3983" spans="1:14">
      <c r="A3983" s="4" t="s">
        <v>7982</v>
      </c>
      <c r="B3983" s="4" t="s">
        <v>7983</v>
      </c>
      <c r="C3983" s="4" t="s">
        <v>35</v>
      </c>
      <c r="D3983" s="4" t="s">
        <v>13</v>
      </c>
      <c r="E3983" s="5">
        <v>146.67060000000001</v>
      </c>
      <c r="F3983" s="5">
        <v>147.67019999999999</v>
      </c>
      <c r="G3983" s="5">
        <v>148.2303</v>
      </c>
      <c r="H3983" s="4">
        <v>1</v>
      </c>
      <c r="I3983" s="6">
        <v>743463</v>
      </c>
      <c r="J3983" s="7">
        <v>16.11</v>
      </c>
      <c r="K3983" s="9">
        <f>(PricingDataTable[[#This Row],[Current Price ($)]]-PricingDataTable[[#This Row],[Prior Price ($)]])/PricingDataTable[[#This Row],[Prior Price ($)]]</f>
        <v>6.8152717722569263E-3</v>
      </c>
      <c r="L3983" s="9">
        <f>(PricingDataTable[[#This Row],[Vendor Price ($)]]-PricingDataTable[[#This Row],[Current Price ($)]])/PricingDataTable[[#This Row],[Current Price ($)]]</f>
        <v>3.79291150144041E-3</v>
      </c>
      <c r="M3983" t="str">
        <f t="shared" si="124"/>
        <v>PASS</v>
      </c>
      <c r="N3983" s="10" t="str">
        <f t="shared" si="125"/>
        <v>NONE</v>
      </c>
    </row>
    <row r="3984" spans="1:14">
      <c r="A3984" s="4" t="s">
        <v>7984</v>
      </c>
      <c r="B3984" s="4" t="s">
        <v>7985</v>
      </c>
      <c r="C3984" s="4" t="s">
        <v>19</v>
      </c>
      <c r="D3984" s="4" t="s">
        <v>32</v>
      </c>
      <c r="E3984" s="5">
        <v>220.05850000000001</v>
      </c>
      <c r="F3984" s="5">
        <v>218.51769999999999</v>
      </c>
      <c r="G3984" s="5">
        <v>217.38919999999999</v>
      </c>
      <c r="H3984" s="4">
        <v>0</v>
      </c>
      <c r="I3984" s="6">
        <v>2108097</v>
      </c>
      <c r="J3984" s="7">
        <v>611.65</v>
      </c>
      <c r="K3984" s="9">
        <f>(PricingDataTable[[#This Row],[Current Price ($)]]-PricingDataTable[[#This Row],[Prior Price ($)]])/PricingDataTable[[#This Row],[Prior Price ($)]]</f>
        <v>-7.0017745281369202E-3</v>
      </c>
      <c r="L3984" s="9">
        <f>(PricingDataTable[[#This Row],[Vendor Price ($)]]-PricingDataTable[[#This Row],[Current Price ($)]])/PricingDataTable[[#This Row],[Current Price ($)]]</f>
        <v>-5.1643413782956832E-3</v>
      </c>
      <c r="M3984" t="str">
        <f t="shared" si="124"/>
        <v>PASS</v>
      </c>
      <c r="N3984" s="10" t="str">
        <f t="shared" si="125"/>
        <v>NONE</v>
      </c>
    </row>
    <row r="3985" spans="1:14">
      <c r="A3985" s="4" t="s">
        <v>7986</v>
      </c>
      <c r="B3985" s="4" t="s">
        <v>7987</v>
      </c>
      <c r="C3985" s="4" t="s">
        <v>19</v>
      </c>
      <c r="D3985" s="4" t="s">
        <v>13</v>
      </c>
      <c r="E3985" s="5">
        <v>267.48930000000001</v>
      </c>
      <c r="F3985" s="5">
        <v>277.0985</v>
      </c>
      <c r="G3985" s="5">
        <v>276.51220000000001</v>
      </c>
      <c r="H3985" s="4">
        <v>0</v>
      </c>
      <c r="I3985" s="6">
        <v>2800976</v>
      </c>
      <c r="J3985" s="7">
        <v>74.540000000000006</v>
      </c>
      <c r="K3985" s="9">
        <f>(PricingDataTable[[#This Row],[Current Price ($)]]-PricingDataTable[[#This Row],[Prior Price ($)]])/PricingDataTable[[#This Row],[Prior Price ($)]]</f>
        <v>3.5923679937851671E-2</v>
      </c>
      <c r="L3985" s="9">
        <f>(PricingDataTable[[#This Row],[Vendor Price ($)]]-PricingDataTable[[#This Row],[Current Price ($)]])/PricingDataTable[[#This Row],[Current Price ($)]]</f>
        <v>-2.1158541096396922E-3</v>
      </c>
      <c r="M3985" t="str">
        <f t="shared" si="124"/>
        <v>PASS</v>
      </c>
      <c r="N3985" s="10" t="str">
        <f t="shared" si="125"/>
        <v>NONE</v>
      </c>
    </row>
    <row r="3986" spans="1:14">
      <c r="A3986" s="4" t="s">
        <v>7988</v>
      </c>
      <c r="B3986" s="4" t="s">
        <v>7989</v>
      </c>
      <c r="C3986" s="4" t="s">
        <v>19</v>
      </c>
      <c r="D3986" s="4" t="s">
        <v>13</v>
      </c>
      <c r="E3986" s="5">
        <v>15.9358</v>
      </c>
      <c r="F3986" s="5">
        <v>17.747499999999999</v>
      </c>
      <c r="G3986" s="5">
        <v>17.7805</v>
      </c>
      <c r="H3986" s="4">
        <v>0</v>
      </c>
      <c r="I3986" s="6">
        <v>4582559</v>
      </c>
      <c r="J3986" s="7">
        <v>142.03</v>
      </c>
      <c r="K3986" s="9">
        <f>(PricingDataTable[[#This Row],[Current Price ($)]]-PricingDataTable[[#This Row],[Prior Price ($)]])/PricingDataTable[[#This Row],[Prior Price ($)]]</f>
        <v>0.11368742077586304</v>
      </c>
      <c r="L3986" s="9">
        <f>(PricingDataTable[[#This Row],[Vendor Price ($)]]-PricingDataTable[[#This Row],[Current Price ($)]])/PricingDataTable[[#This Row],[Current Price ($)]]</f>
        <v>1.8594168192703903E-3</v>
      </c>
      <c r="M3986" t="str">
        <f t="shared" si="124"/>
        <v>LARGE MOVE</v>
      </c>
      <c r="N3986" s="10" t="str">
        <f t="shared" si="125"/>
        <v>HIGH</v>
      </c>
    </row>
    <row r="3987" spans="1:14">
      <c r="A3987" s="4" t="s">
        <v>7990</v>
      </c>
      <c r="B3987" s="4" t="s">
        <v>7991</v>
      </c>
      <c r="C3987" s="4" t="s">
        <v>19</v>
      </c>
      <c r="D3987" s="4" t="s">
        <v>13</v>
      </c>
      <c r="E3987" s="5">
        <v>246.29040000000001</v>
      </c>
      <c r="F3987" s="5">
        <v>242.1259</v>
      </c>
      <c r="G3987" s="5">
        <v>242.92339999999999</v>
      </c>
      <c r="H3987" s="4">
        <v>0</v>
      </c>
      <c r="I3987" s="6">
        <v>1770240</v>
      </c>
      <c r="J3987" s="7">
        <v>410.02</v>
      </c>
      <c r="K3987" s="9">
        <f>(PricingDataTable[[#This Row],[Current Price ($)]]-PricingDataTable[[#This Row],[Prior Price ($)]])/PricingDataTable[[#This Row],[Prior Price ($)]]</f>
        <v>-1.6908901037149655E-2</v>
      </c>
      <c r="L3987" s="9">
        <f>(PricingDataTable[[#This Row],[Vendor Price ($)]]-PricingDataTable[[#This Row],[Current Price ($)]])/PricingDataTable[[#This Row],[Current Price ($)]]</f>
        <v>3.2937409835130617E-3</v>
      </c>
      <c r="M3987" t="str">
        <f t="shared" si="124"/>
        <v>PASS</v>
      </c>
      <c r="N3987" s="10" t="str">
        <f t="shared" si="125"/>
        <v>NONE</v>
      </c>
    </row>
    <row r="3988" spans="1:14">
      <c r="A3988" s="4" t="s">
        <v>7992</v>
      </c>
      <c r="B3988" s="4" t="s">
        <v>7993</v>
      </c>
      <c r="C3988" s="4" t="s">
        <v>35</v>
      </c>
      <c r="D3988" s="4" t="s">
        <v>13</v>
      </c>
      <c r="E3988" s="5">
        <v>2.5055000000000001</v>
      </c>
      <c r="F3988" s="5">
        <v>2.5009000000000001</v>
      </c>
      <c r="G3988" s="5">
        <v>2.5192000000000001</v>
      </c>
      <c r="H3988" s="4">
        <v>3</v>
      </c>
      <c r="I3988" s="6">
        <v>472411</v>
      </c>
      <c r="J3988" s="7">
        <v>714.6</v>
      </c>
      <c r="K3988" s="9">
        <f>(PricingDataTable[[#This Row],[Current Price ($)]]-PricingDataTable[[#This Row],[Prior Price ($)]])/PricingDataTable[[#This Row],[Prior Price ($)]]</f>
        <v>-1.8359608860506636E-3</v>
      </c>
      <c r="L3988" s="9">
        <f>(PricingDataTable[[#This Row],[Vendor Price ($)]]-PricingDataTable[[#This Row],[Current Price ($)]])/PricingDataTable[[#This Row],[Current Price ($)]]</f>
        <v>7.3173657483305938E-3</v>
      </c>
      <c r="M3988" t="str">
        <f t="shared" si="124"/>
        <v>STALE</v>
      </c>
      <c r="N3988" s="10" t="str">
        <f t="shared" si="125"/>
        <v>LOW</v>
      </c>
    </row>
    <row r="3989" spans="1:14">
      <c r="A3989" s="4" t="s">
        <v>7994</v>
      </c>
      <c r="B3989" s="4" t="s">
        <v>7995</v>
      </c>
      <c r="C3989" s="4" t="s">
        <v>35</v>
      </c>
      <c r="D3989" s="4" t="s">
        <v>13</v>
      </c>
      <c r="E3989" s="5">
        <v>58.1355</v>
      </c>
      <c r="F3989" s="5">
        <v>58.3795</v>
      </c>
      <c r="G3989" s="5">
        <v>58.483800000000002</v>
      </c>
      <c r="H3989" s="4">
        <v>1</v>
      </c>
      <c r="I3989" s="6">
        <v>2318356</v>
      </c>
      <c r="J3989" s="7">
        <v>680.1</v>
      </c>
      <c r="K3989" s="9">
        <f>(PricingDataTable[[#This Row],[Current Price ($)]]-PricingDataTable[[#This Row],[Prior Price ($)]])/PricingDataTable[[#This Row],[Prior Price ($)]]</f>
        <v>4.1970912781346984E-3</v>
      </c>
      <c r="L3989" s="9">
        <f>(PricingDataTable[[#This Row],[Vendor Price ($)]]-PricingDataTable[[#This Row],[Current Price ($)]])/PricingDataTable[[#This Row],[Current Price ($)]]</f>
        <v>1.7865860447588975E-3</v>
      </c>
      <c r="M3989" t="str">
        <f t="shared" si="124"/>
        <v>PASS</v>
      </c>
      <c r="N3989" s="10" t="str">
        <f t="shared" si="125"/>
        <v>NONE</v>
      </c>
    </row>
    <row r="3990" spans="1:14">
      <c r="A3990" s="4" t="s">
        <v>7996</v>
      </c>
      <c r="B3990" s="4" t="s">
        <v>7997</v>
      </c>
      <c r="C3990" s="4" t="s">
        <v>19</v>
      </c>
      <c r="D3990" s="4" t="s">
        <v>32</v>
      </c>
      <c r="E3990" s="5">
        <v>207.6978</v>
      </c>
      <c r="F3990" s="5">
        <v>210.80160000000001</v>
      </c>
      <c r="G3990" s="5">
        <v>211.0762</v>
      </c>
      <c r="H3990" s="4">
        <v>0</v>
      </c>
      <c r="I3990" s="6">
        <v>166538</v>
      </c>
      <c r="J3990" s="7">
        <v>49.55</v>
      </c>
      <c r="K3990" s="9">
        <f>(PricingDataTable[[#This Row],[Current Price ($)]]-PricingDataTable[[#This Row],[Prior Price ($)]])/PricingDataTable[[#This Row],[Prior Price ($)]]</f>
        <v>1.4943827041018281E-2</v>
      </c>
      <c r="L3990" s="9">
        <f>(PricingDataTable[[#This Row],[Vendor Price ($)]]-PricingDataTable[[#This Row],[Current Price ($)]])/PricingDataTable[[#This Row],[Current Price ($)]]</f>
        <v>1.302646659228357E-3</v>
      </c>
      <c r="M3990" t="str">
        <f t="shared" si="124"/>
        <v>PASS</v>
      </c>
      <c r="N3990" s="10" t="str">
        <f t="shared" si="125"/>
        <v>NONE</v>
      </c>
    </row>
    <row r="3991" spans="1:14">
      <c r="A3991" s="4" t="s">
        <v>7998</v>
      </c>
      <c r="B3991" s="4" t="s">
        <v>7999</v>
      </c>
      <c r="C3991" s="4" t="s">
        <v>39</v>
      </c>
      <c r="D3991" s="4" t="s">
        <v>13</v>
      </c>
      <c r="E3991" s="5">
        <v>107.7715</v>
      </c>
      <c r="F3991" s="5">
        <v>106.5384</v>
      </c>
      <c r="G3991" s="5">
        <v>106.4867</v>
      </c>
      <c r="H3991" s="4">
        <v>0</v>
      </c>
      <c r="I3991" s="6">
        <v>3273808</v>
      </c>
      <c r="J3991" s="7">
        <v>470.41</v>
      </c>
      <c r="K3991" s="9">
        <f>(PricingDataTable[[#This Row],[Current Price ($)]]-PricingDataTable[[#This Row],[Prior Price ($)]])/PricingDataTable[[#This Row],[Prior Price ($)]]</f>
        <v>-1.1441800476007177E-2</v>
      </c>
      <c r="L3991" s="9">
        <f>(PricingDataTable[[#This Row],[Vendor Price ($)]]-PricingDataTable[[#This Row],[Current Price ($)]])/PricingDataTable[[#This Row],[Current Price ($)]]</f>
        <v>-4.8527103842367403E-4</v>
      </c>
      <c r="M3991" t="str">
        <f t="shared" si="124"/>
        <v>PASS</v>
      </c>
      <c r="N3991" s="10" t="str">
        <f t="shared" si="125"/>
        <v>NONE</v>
      </c>
    </row>
    <row r="3992" spans="1:14">
      <c r="A3992" s="4" t="s">
        <v>8000</v>
      </c>
      <c r="B3992" s="4" t="s">
        <v>8001</v>
      </c>
      <c r="C3992" s="4" t="s">
        <v>16</v>
      </c>
      <c r="D3992" s="4" t="s">
        <v>13</v>
      </c>
      <c r="E3992" s="5">
        <v>113.40819999999999</v>
      </c>
      <c r="F3992" s="5">
        <v>112.4457</v>
      </c>
      <c r="G3992" s="5">
        <v>113.3019</v>
      </c>
      <c r="H3992" s="4">
        <v>0</v>
      </c>
      <c r="I3992" s="6">
        <v>3017195</v>
      </c>
      <c r="J3992" s="7">
        <v>117.62</v>
      </c>
      <c r="K3992" s="9">
        <f>(PricingDataTable[[#This Row],[Current Price ($)]]-PricingDataTable[[#This Row],[Prior Price ($)]])/PricingDataTable[[#This Row],[Prior Price ($)]]</f>
        <v>-8.4870406196376584E-3</v>
      </c>
      <c r="L3992" s="9">
        <f>(PricingDataTable[[#This Row],[Vendor Price ($)]]-PricingDataTable[[#This Row],[Current Price ($)]])/PricingDataTable[[#This Row],[Current Price ($)]]</f>
        <v>7.6143418556690132E-3</v>
      </c>
      <c r="M3992" t="str">
        <f t="shared" si="124"/>
        <v>PASS</v>
      </c>
      <c r="N3992" s="10" t="str">
        <f t="shared" si="125"/>
        <v>NONE</v>
      </c>
    </row>
    <row r="3993" spans="1:14">
      <c r="A3993" s="4" t="s">
        <v>8002</v>
      </c>
      <c r="B3993" s="4" t="s">
        <v>8003</v>
      </c>
      <c r="C3993" s="4" t="s">
        <v>19</v>
      </c>
      <c r="D3993" s="4" t="s">
        <v>13</v>
      </c>
      <c r="E3993" s="5">
        <v>301.47300000000001</v>
      </c>
      <c r="F3993" s="5">
        <v>301.65550000000002</v>
      </c>
      <c r="G3993" s="5">
        <v>301.0994</v>
      </c>
      <c r="H3993" s="4">
        <v>4</v>
      </c>
      <c r="I3993" s="6">
        <v>859252</v>
      </c>
      <c r="J3993" s="7">
        <v>877.97</v>
      </c>
      <c r="K3993" s="9">
        <f>(PricingDataTable[[#This Row],[Current Price ($)]]-PricingDataTable[[#This Row],[Prior Price ($)]])/PricingDataTable[[#This Row],[Prior Price ($)]]</f>
        <v>6.0536101077046547E-4</v>
      </c>
      <c r="L3993" s="9">
        <f>(PricingDataTable[[#This Row],[Vendor Price ($)]]-PricingDataTable[[#This Row],[Current Price ($)]])/PricingDataTable[[#This Row],[Current Price ($)]]</f>
        <v>-1.8434936541850385E-3</v>
      </c>
      <c r="M3993" t="str">
        <f t="shared" si="124"/>
        <v>STALE</v>
      </c>
      <c r="N3993" s="10" t="str">
        <f t="shared" si="125"/>
        <v>LOW</v>
      </c>
    </row>
    <row r="3994" spans="1:14">
      <c r="A3994" s="4" t="s">
        <v>8004</v>
      </c>
      <c r="B3994" s="4" t="s">
        <v>8005</v>
      </c>
      <c r="C3994" s="4" t="s">
        <v>16</v>
      </c>
      <c r="D3994" s="4" t="s">
        <v>13</v>
      </c>
      <c r="E3994" s="5">
        <v>84.081400000000002</v>
      </c>
      <c r="F3994" s="5">
        <v>86.303899999999999</v>
      </c>
      <c r="G3994" s="5">
        <v>86.382300000000001</v>
      </c>
      <c r="H3994" s="4">
        <v>2</v>
      </c>
      <c r="I3994" s="6">
        <v>1484249</v>
      </c>
      <c r="J3994" s="7">
        <v>228.25</v>
      </c>
      <c r="K3994" s="9">
        <f>(PricingDataTable[[#This Row],[Current Price ($)]]-PricingDataTable[[#This Row],[Prior Price ($)]])/PricingDataTable[[#This Row],[Prior Price ($)]]</f>
        <v>2.643271877014413E-2</v>
      </c>
      <c r="L3994" s="9">
        <f>(PricingDataTable[[#This Row],[Vendor Price ($)]]-PricingDataTable[[#This Row],[Current Price ($)]])/PricingDataTable[[#This Row],[Current Price ($)]]</f>
        <v>9.0841781194131465E-4</v>
      </c>
      <c r="M3994" t="str">
        <f t="shared" si="124"/>
        <v>PASS</v>
      </c>
      <c r="N3994" s="10" t="str">
        <f t="shared" si="125"/>
        <v>NONE</v>
      </c>
    </row>
    <row r="3995" spans="1:14">
      <c r="A3995" s="4" t="s">
        <v>8006</v>
      </c>
      <c r="B3995" s="4" t="s">
        <v>8007</v>
      </c>
      <c r="C3995" s="4" t="s">
        <v>19</v>
      </c>
      <c r="D3995" s="4" t="s">
        <v>13</v>
      </c>
      <c r="E3995" s="5">
        <v>338.13679999999999</v>
      </c>
      <c r="F3995" s="5">
        <v>333.32819999999998</v>
      </c>
      <c r="G3995" s="5">
        <v>334.51299999999998</v>
      </c>
      <c r="H3995" s="4">
        <v>0</v>
      </c>
      <c r="I3995" s="6">
        <v>3918138</v>
      </c>
      <c r="J3995" s="7">
        <v>180.25</v>
      </c>
      <c r="K3995" s="9">
        <f>(PricingDataTable[[#This Row],[Current Price ($)]]-PricingDataTable[[#This Row],[Prior Price ($)]])/PricingDataTable[[#This Row],[Prior Price ($)]]</f>
        <v>-1.4220871552578757E-2</v>
      </c>
      <c r="L3995" s="9">
        <f>(PricingDataTable[[#This Row],[Vendor Price ($)]]-PricingDataTable[[#This Row],[Current Price ($)]])/PricingDataTable[[#This Row],[Current Price ($)]]</f>
        <v>3.5544547386029616E-3</v>
      </c>
      <c r="M3995" t="str">
        <f t="shared" si="124"/>
        <v>PASS</v>
      </c>
      <c r="N3995" s="10" t="str">
        <f t="shared" si="125"/>
        <v>NONE</v>
      </c>
    </row>
    <row r="3996" spans="1:14">
      <c r="A3996" s="4" t="s">
        <v>8008</v>
      </c>
      <c r="B3996" s="4" t="s">
        <v>8009</v>
      </c>
      <c r="C3996" s="4" t="s">
        <v>35</v>
      </c>
      <c r="D3996" s="4" t="s">
        <v>13</v>
      </c>
      <c r="E3996" s="5">
        <v>40.749600000000001</v>
      </c>
      <c r="F3996" s="5">
        <v>41.293100000000003</v>
      </c>
      <c r="G3996" s="5">
        <v>41.1524</v>
      </c>
      <c r="H3996" s="4">
        <v>0</v>
      </c>
      <c r="I3996" s="6">
        <v>3617379</v>
      </c>
      <c r="J3996" s="7">
        <v>892.15</v>
      </c>
      <c r="K3996" s="9">
        <f>(PricingDataTable[[#This Row],[Current Price ($)]]-PricingDataTable[[#This Row],[Prior Price ($)]])/PricingDataTable[[#This Row],[Prior Price ($)]]</f>
        <v>1.3337554233661229E-2</v>
      </c>
      <c r="L3996" s="9">
        <f>(PricingDataTable[[#This Row],[Vendor Price ($)]]-PricingDataTable[[#This Row],[Current Price ($)]])/PricingDataTable[[#This Row],[Current Price ($)]]</f>
        <v>-3.4073489275448557E-3</v>
      </c>
      <c r="M3996" t="str">
        <f t="shared" si="124"/>
        <v>PASS</v>
      </c>
      <c r="N3996" s="10" t="str">
        <f t="shared" si="125"/>
        <v>NONE</v>
      </c>
    </row>
    <row r="3997" spans="1:14">
      <c r="A3997" s="4" t="s">
        <v>8010</v>
      </c>
      <c r="B3997" s="4" t="s">
        <v>8011</v>
      </c>
      <c r="C3997" s="4" t="s">
        <v>39</v>
      </c>
      <c r="D3997" s="4" t="s">
        <v>36</v>
      </c>
      <c r="E3997" s="5">
        <v>208.67830000000001</v>
      </c>
      <c r="F3997" s="5">
        <v>212.1009</v>
      </c>
      <c r="G3997" s="5">
        <v>212.4957</v>
      </c>
      <c r="H3997" s="4">
        <v>0</v>
      </c>
      <c r="I3997" s="6">
        <v>4125006</v>
      </c>
      <c r="J3997" s="7">
        <v>677.93</v>
      </c>
      <c r="K3997" s="9">
        <f>(PricingDataTable[[#This Row],[Current Price ($)]]-PricingDataTable[[#This Row],[Prior Price ($)]])/PricingDataTable[[#This Row],[Prior Price ($)]]</f>
        <v>1.6401322034921641E-2</v>
      </c>
      <c r="L3997" s="9">
        <f>(PricingDataTable[[#This Row],[Vendor Price ($)]]-PricingDataTable[[#This Row],[Current Price ($)]])/PricingDataTable[[#This Row],[Current Price ($)]]</f>
        <v>1.861378240262081E-3</v>
      </c>
      <c r="M3997" t="str">
        <f t="shared" si="124"/>
        <v>PASS</v>
      </c>
      <c r="N3997" s="10" t="str">
        <f t="shared" si="125"/>
        <v>NONE</v>
      </c>
    </row>
    <row r="3998" spans="1:14">
      <c r="A3998" s="4" t="s">
        <v>8012</v>
      </c>
      <c r="B3998" s="4" t="s">
        <v>8013</v>
      </c>
      <c r="C3998" s="4" t="s">
        <v>35</v>
      </c>
      <c r="D3998" s="4" t="s">
        <v>36</v>
      </c>
      <c r="E3998" s="5">
        <v>121.1422</v>
      </c>
      <c r="F3998" s="5">
        <v>119.8163</v>
      </c>
      <c r="G3998" s="5">
        <v>119.1585</v>
      </c>
      <c r="H3998" s="4">
        <v>3</v>
      </c>
      <c r="I3998" s="6">
        <v>3425519</v>
      </c>
      <c r="J3998" s="7">
        <v>479.01</v>
      </c>
      <c r="K3998" s="9">
        <f>(PricingDataTable[[#This Row],[Current Price ($)]]-PricingDataTable[[#This Row],[Prior Price ($)]])/PricingDataTable[[#This Row],[Prior Price ($)]]</f>
        <v>-1.094498861668357E-2</v>
      </c>
      <c r="L3998" s="9">
        <f>(PricingDataTable[[#This Row],[Vendor Price ($)]]-PricingDataTable[[#This Row],[Current Price ($)]])/PricingDataTable[[#This Row],[Current Price ($)]]</f>
        <v>-5.4900710504329929E-3</v>
      </c>
      <c r="M3998" t="str">
        <f t="shared" si="124"/>
        <v>STALE</v>
      </c>
      <c r="N3998" s="10" t="str">
        <f t="shared" si="125"/>
        <v>LOW</v>
      </c>
    </row>
    <row r="3999" spans="1:14">
      <c r="A3999" s="4" t="s">
        <v>8014</v>
      </c>
      <c r="B3999" s="4" t="s">
        <v>8015</v>
      </c>
      <c r="C3999" s="4" t="s">
        <v>12</v>
      </c>
      <c r="D3999" s="4" t="s">
        <v>13</v>
      </c>
      <c r="E3999" s="5">
        <v>76.179199999999994</v>
      </c>
      <c r="F3999" s="5">
        <v>75.847800000000007</v>
      </c>
      <c r="G3999" s="5">
        <v>75.911100000000005</v>
      </c>
      <c r="H3999" s="4">
        <v>0</v>
      </c>
      <c r="I3999" s="6">
        <v>2509305</v>
      </c>
      <c r="J3999" s="7">
        <v>725.98</v>
      </c>
      <c r="K3999" s="9">
        <f>(PricingDataTable[[#This Row],[Current Price ($)]]-PricingDataTable[[#This Row],[Prior Price ($)]])/PricingDataTable[[#This Row],[Prior Price ($)]]</f>
        <v>-4.3502688397881305E-3</v>
      </c>
      <c r="L3999" s="9">
        <f>(PricingDataTable[[#This Row],[Vendor Price ($)]]-PricingDataTable[[#This Row],[Current Price ($)]])/PricingDataTable[[#This Row],[Current Price ($)]]</f>
        <v>8.3456606519896593E-4</v>
      </c>
      <c r="M3999" t="str">
        <f t="shared" si="124"/>
        <v>PASS</v>
      </c>
      <c r="N3999" s="10" t="str">
        <f t="shared" si="125"/>
        <v>NONE</v>
      </c>
    </row>
    <row r="4000" spans="1:14">
      <c r="A4000" s="4" t="s">
        <v>8016</v>
      </c>
      <c r="B4000" s="4" t="s">
        <v>8017</v>
      </c>
      <c r="C4000" s="4" t="s">
        <v>19</v>
      </c>
      <c r="D4000" s="4" t="s">
        <v>13</v>
      </c>
      <c r="E4000" s="5">
        <v>279.96879999999999</v>
      </c>
      <c r="F4000" s="5">
        <v>277.37819999999999</v>
      </c>
      <c r="G4000" s="5">
        <v>276.87540000000001</v>
      </c>
      <c r="H4000" s="4">
        <v>0</v>
      </c>
      <c r="I4000" s="6">
        <v>4218761</v>
      </c>
      <c r="J4000" s="7">
        <v>394.65</v>
      </c>
      <c r="K4000" s="9">
        <f>(PricingDataTable[[#This Row],[Current Price ($)]]-PricingDataTable[[#This Row],[Prior Price ($)]])/PricingDataTable[[#This Row],[Prior Price ($)]]</f>
        <v>-9.2531739250944923E-3</v>
      </c>
      <c r="L4000" s="9">
        <f>(PricingDataTable[[#This Row],[Vendor Price ($)]]-PricingDataTable[[#This Row],[Current Price ($)]])/PricingDataTable[[#This Row],[Current Price ($)]]</f>
        <v>-1.812687514736123E-3</v>
      </c>
      <c r="M4000" t="str">
        <f t="shared" si="124"/>
        <v>PASS</v>
      </c>
      <c r="N4000" s="10" t="str">
        <f t="shared" si="125"/>
        <v>NONE</v>
      </c>
    </row>
    <row r="4001" spans="1:14">
      <c r="A4001" s="4" t="s">
        <v>8018</v>
      </c>
      <c r="B4001" s="4" t="s">
        <v>8019</v>
      </c>
      <c r="C4001" s="4" t="s">
        <v>16</v>
      </c>
      <c r="D4001" s="4" t="s">
        <v>13</v>
      </c>
      <c r="E4001" s="5">
        <v>78.959599999999995</v>
      </c>
      <c r="F4001" s="5">
        <v>79.342699999999994</v>
      </c>
      <c r="G4001" s="5">
        <v>79.569500000000005</v>
      </c>
      <c r="H4001" s="4">
        <v>1</v>
      </c>
      <c r="I4001" s="6">
        <v>1562266</v>
      </c>
      <c r="J4001" s="7">
        <v>54.42</v>
      </c>
      <c r="K4001" s="9">
        <f>(PricingDataTable[[#This Row],[Current Price ($)]]-PricingDataTable[[#This Row],[Prior Price ($)]])/PricingDataTable[[#This Row],[Prior Price ($)]]</f>
        <v>4.8518482869720578E-3</v>
      </c>
      <c r="L4001" s="9">
        <f>(PricingDataTable[[#This Row],[Vendor Price ($)]]-PricingDataTable[[#This Row],[Current Price ($)]])/PricingDataTable[[#This Row],[Current Price ($)]]</f>
        <v>2.8584860358925454E-3</v>
      </c>
      <c r="M4001" t="str">
        <f t="shared" si="124"/>
        <v>PASS</v>
      </c>
      <c r="N4001" s="10" t="str">
        <f t="shared" si="125"/>
        <v>NONE</v>
      </c>
    </row>
    <row r="4002" spans="1:14">
      <c r="A4002" s="4" t="s">
        <v>8020</v>
      </c>
      <c r="B4002" s="4" t="s">
        <v>8021</v>
      </c>
      <c r="C4002" s="4" t="s">
        <v>12</v>
      </c>
      <c r="D4002" s="4" t="s">
        <v>237</v>
      </c>
      <c r="E4002" s="5">
        <v>113.9025</v>
      </c>
      <c r="F4002" s="5">
        <v>111.9794</v>
      </c>
      <c r="G4002" s="5">
        <v>112.306</v>
      </c>
      <c r="H4002" s="4">
        <v>0</v>
      </c>
      <c r="I4002" s="6">
        <v>3402223</v>
      </c>
      <c r="J4002" s="7">
        <v>788.71</v>
      </c>
      <c r="K4002" s="9">
        <f>(PricingDataTable[[#This Row],[Current Price ($)]]-PricingDataTable[[#This Row],[Prior Price ($)]])/PricingDataTable[[#This Row],[Prior Price ($)]]</f>
        <v>-1.6883738284936722E-2</v>
      </c>
      <c r="L4002" s="9">
        <f>(PricingDataTable[[#This Row],[Vendor Price ($)]]-PricingDataTable[[#This Row],[Current Price ($)]])/PricingDataTable[[#This Row],[Current Price ($)]]</f>
        <v>2.9166078760914874E-3</v>
      </c>
      <c r="M4002" t="str">
        <f t="shared" si="124"/>
        <v>PASS</v>
      </c>
      <c r="N4002" s="10" t="str">
        <f t="shared" si="125"/>
        <v>NONE</v>
      </c>
    </row>
    <row r="4003" spans="1:14">
      <c r="A4003" s="4" t="s">
        <v>8022</v>
      </c>
      <c r="B4003" s="4" t="s">
        <v>8023</v>
      </c>
      <c r="C4003" s="4" t="s">
        <v>12</v>
      </c>
      <c r="D4003" s="4" t="s">
        <v>64</v>
      </c>
      <c r="E4003" s="5">
        <v>110.5158</v>
      </c>
      <c r="F4003" s="5">
        <v>112.3841</v>
      </c>
      <c r="G4003" s="5">
        <v>112.6592</v>
      </c>
      <c r="H4003" s="4">
        <v>0</v>
      </c>
      <c r="I4003" s="6">
        <v>3975901</v>
      </c>
      <c r="J4003" s="7">
        <v>703.55</v>
      </c>
      <c r="K4003" s="9">
        <f>(PricingDataTable[[#This Row],[Current Price ($)]]-PricingDataTable[[#This Row],[Prior Price ($)]])/PricingDataTable[[#This Row],[Prior Price ($)]]</f>
        <v>1.6905275082838879E-2</v>
      </c>
      <c r="L4003" s="9">
        <f>(PricingDataTable[[#This Row],[Vendor Price ($)]]-PricingDataTable[[#This Row],[Current Price ($)]])/PricingDataTable[[#This Row],[Current Price ($)]]</f>
        <v>2.4478551681242702E-3</v>
      </c>
      <c r="M4003" t="str">
        <f t="shared" si="124"/>
        <v>PASS</v>
      </c>
      <c r="N4003" s="10" t="str">
        <f t="shared" si="125"/>
        <v>NONE</v>
      </c>
    </row>
    <row r="4004" spans="1:14">
      <c r="A4004" s="4" t="s">
        <v>8024</v>
      </c>
      <c r="B4004" s="4" t="s">
        <v>8025</v>
      </c>
      <c r="C4004" s="4" t="s">
        <v>35</v>
      </c>
      <c r="D4004" s="4" t="s">
        <v>13</v>
      </c>
      <c r="E4004" s="5">
        <v>150.05799999999999</v>
      </c>
      <c r="F4004" s="5">
        <v>150.8853</v>
      </c>
      <c r="G4004" s="5">
        <v>151.08160000000001</v>
      </c>
      <c r="H4004" s="4">
        <v>0</v>
      </c>
      <c r="I4004" s="6">
        <v>516343</v>
      </c>
      <c r="J4004" s="7">
        <v>292.3</v>
      </c>
      <c r="K4004" s="9">
        <f>(PricingDataTable[[#This Row],[Current Price ($)]]-PricingDataTable[[#This Row],[Prior Price ($)]])/PricingDataTable[[#This Row],[Prior Price ($)]]</f>
        <v>5.5132015620627233E-3</v>
      </c>
      <c r="L4004" s="9">
        <f>(PricingDataTable[[#This Row],[Vendor Price ($)]]-PricingDataTable[[#This Row],[Current Price ($)]])/PricingDataTable[[#This Row],[Current Price ($)]]</f>
        <v>1.3009882341090081E-3</v>
      </c>
      <c r="M4004" t="str">
        <f t="shared" si="124"/>
        <v>PASS</v>
      </c>
      <c r="N4004" s="10" t="str">
        <f t="shared" si="125"/>
        <v>NONE</v>
      </c>
    </row>
    <row r="4005" spans="1:14">
      <c r="A4005" s="4" t="s">
        <v>8026</v>
      </c>
      <c r="B4005" s="4" t="s">
        <v>8027</v>
      </c>
      <c r="C4005" s="4" t="s">
        <v>35</v>
      </c>
      <c r="D4005" s="4" t="s">
        <v>13</v>
      </c>
      <c r="E4005" s="5">
        <v>174.7775</v>
      </c>
      <c r="F4005" s="5">
        <v>175.7722</v>
      </c>
      <c r="G4005" s="5">
        <v>175.91300000000001</v>
      </c>
      <c r="H4005" s="4">
        <v>0</v>
      </c>
      <c r="I4005" s="6">
        <v>1758678</v>
      </c>
      <c r="J4005" s="7">
        <v>693.82</v>
      </c>
      <c r="K4005" s="9">
        <f>(PricingDataTable[[#This Row],[Current Price ($)]]-PricingDataTable[[#This Row],[Prior Price ($)]])/PricingDataTable[[#This Row],[Prior Price ($)]]</f>
        <v>5.6912360000571849E-3</v>
      </c>
      <c r="L4005" s="9">
        <f>(PricingDataTable[[#This Row],[Vendor Price ($)]]-PricingDataTable[[#This Row],[Current Price ($)]])/PricingDataTable[[#This Row],[Current Price ($)]]</f>
        <v>8.0103679649007591E-4</v>
      </c>
      <c r="M4005" t="str">
        <f t="shared" si="124"/>
        <v>PASS</v>
      </c>
      <c r="N4005" s="10" t="str">
        <f t="shared" si="125"/>
        <v>NONE</v>
      </c>
    </row>
    <row r="4006" spans="1:14">
      <c r="A4006" s="4" t="s">
        <v>8028</v>
      </c>
      <c r="B4006" s="4" t="s">
        <v>8029</v>
      </c>
      <c r="C4006" s="4" t="s">
        <v>16</v>
      </c>
      <c r="D4006" s="4" t="s">
        <v>13</v>
      </c>
      <c r="E4006" s="5">
        <v>119.4139</v>
      </c>
      <c r="F4006" s="5">
        <v>119.1656</v>
      </c>
      <c r="G4006" s="5">
        <v>119.1836</v>
      </c>
      <c r="H4006" s="4">
        <v>0</v>
      </c>
      <c r="I4006" s="6">
        <v>2680835</v>
      </c>
      <c r="J4006" s="7">
        <v>270.95999999999998</v>
      </c>
      <c r="K4006" s="9">
        <f>(PricingDataTable[[#This Row],[Current Price ($)]]-PricingDataTable[[#This Row],[Prior Price ($)]])/PricingDataTable[[#This Row],[Prior Price ($)]]</f>
        <v>-2.079322423938925E-3</v>
      </c>
      <c r="L4006" s="9">
        <f>(PricingDataTable[[#This Row],[Vendor Price ($)]]-PricingDataTable[[#This Row],[Current Price ($)]])/PricingDataTable[[#This Row],[Current Price ($)]]</f>
        <v>1.5105030310761397E-4</v>
      </c>
      <c r="M4006" t="str">
        <f t="shared" si="124"/>
        <v>PASS</v>
      </c>
      <c r="N4006" s="10" t="str">
        <f t="shared" si="125"/>
        <v>NONE</v>
      </c>
    </row>
    <row r="4007" spans="1:14">
      <c r="A4007" s="4" t="s">
        <v>8030</v>
      </c>
      <c r="B4007" s="4" t="s">
        <v>8031</v>
      </c>
      <c r="C4007" s="4" t="s">
        <v>12</v>
      </c>
      <c r="D4007" s="4" t="s">
        <v>13</v>
      </c>
      <c r="E4007" s="5">
        <v>80.330200000000005</v>
      </c>
      <c r="F4007" s="5">
        <v>80.868799999999993</v>
      </c>
      <c r="G4007" s="5">
        <v>80.845100000000002</v>
      </c>
      <c r="H4007" s="4">
        <v>4</v>
      </c>
      <c r="I4007" s="6">
        <v>2147729</v>
      </c>
      <c r="J4007" s="7">
        <v>740.81</v>
      </c>
      <c r="K4007" s="9">
        <f>(PricingDataTable[[#This Row],[Current Price ($)]]-PricingDataTable[[#This Row],[Prior Price ($)]])/PricingDataTable[[#This Row],[Prior Price ($)]]</f>
        <v>6.7048258313808281E-3</v>
      </c>
      <c r="L4007" s="9">
        <f>(PricingDataTable[[#This Row],[Vendor Price ($)]]-PricingDataTable[[#This Row],[Current Price ($)]])/PricingDataTable[[#This Row],[Current Price ($)]]</f>
        <v>-2.9306728923875403E-4</v>
      </c>
      <c r="M4007" t="str">
        <f t="shared" si="124"/>
        <v>STALE</v>
      </c>
      <c r="N4007" s="10" t="str">
        <f t="shared" si="125"/>
        <v>LOW</v>
      </c>
    </row>
    <row r="4008" spans="1:14">
      <c r="A4008" s="4" t="s">
        <v>8032</v>
      </c>
      <c r="B4008" s="4" t="s">
        <v>8033</v>
      </c>
      <c r="C4008" s="4" t="s">
        <v>12</v>
      </c>
      <c r="D4008" s="4" t="s">
        <v>32</v>
      </c>
      <c r="E4008" s="5">
        <v>121.62009999999999</v>
      </c>
      <c r="F4008" s="5">
        <v>121.59099999999999</v>
      </c>
      <c r="G4008" s="5">
        <v>121.6314</v>
      </c>
      <c r="H4008" s="4">
        <v>1</v>
      </c>
      <c r="I4008" s="6">
        <v>3227149</v>
      </c>
      <c r="J4008" s="7">
        <v>622.67999999999995</v>
      </c>
      <c r="K4008" s="9">
        <f>(PricingDataTable[[#This Row],[Current Price ($)]]-PricingDataTable[[#This Row],[Prior Price ($)]])/PricingDataTable[[#This Row],[Prior Price ($)]]</f>
        <v>-2.392696601959683E-4</v>
      </c>
      <c r="L4008" s="9">
        <f>(PricingDataTable[[#This Row],[Vendor Price ($)]]-PricingDataTable[[#This Row],[Current Price ($)]])/PricingDataTable[[#This Row],[Current Price ($)]]</f>
        <v>3.322614338232708E-4</v>
      </c>
      <c r="M4008" t="str">
        <f t="shared" si="124"/>
        <v>PASS</v>
      </c>
      <c r="N4008" s="10" t="str">
        <f t="shared" si="125"/>
        <v>NONE</v>
      </c>
    </row>
    <row r="4009" spans="1:14">
      <c r="A4009" s="4" t="s">
        <v>8034</v>
      </c>
      <c r="B4009" s="4" t="s">
        <v>8035</v>
      </c>
      <c r="C4009" s="4" t="s">
        <v>19</v>
      </c>
      <c r="D4009" s="4" t="s">
        <v>13</v>
      </c>
      <c r="E4009" s="5">
        <v>243.9639</v>
      </c>
      <c r="F4009" s="5">
        <v>244.87389999999999</v>
      </c>
      <c r="G4009" s="5">
        <v>245.44479999999999</v>
      </c>
      <c r="H4009" s="4">
        <v>0</v>
      </c>
      <c r="I4009" s="6">
        <v>70896</v>
      </c>
      <c r="J4009" s="7">
        <v>700.88</v>
      </c>
      <c r="K4009" s="9">
        <f>(PricingDataTable[[#This Row],[Current Price ($)]]-PricingDataTable[[#This Row],[Prior Price ($)]])/PricingDataTable[[#This Row],[Prior Price ($)]]</f>
        <v>3.7300600621649211E-3</v>
      </c>
      <c r="L4009" s="9">
        <f>(PricingDataTable[[#This Row],[Vendor Price ($)]]-PricingDataTable[[#This Row],[Current Price ($)]])/PricingDataTable[[#This Row],[Current Price ($)]]</f>
        <v>2.3314040410186412E-3</v>
      </c>
      <c r="M4009" t="str">
        <f t="shared" si="124"/>
        <v>PASS</v>
      </c>
      <c r="N4009" s="10" t="str">
        <f t="shared" si="125"/>
        <v>NONE</v>
      </c>
    </row>
    <row r="4010" spans="1:14">
      <c r="A4010" s="4" t="s">
        <v>8036</v>
      </c>
      <c r="B4010" s="4" t="s">
        <v>8037</v>
      </c>
      <c r="C4010" s="4" t="s">
        <v>39</v>
      </c>
      <c r="D4010" s="4" t="s">
        <v>13</v>
      </c>
      <c r="E4010" s="5">
        <v>189.9357</v>
      </c>
      <c r="F4010" s="5">
        <v>189.9297</v>
      </c>
      <c r="G4010" s="5">
        <v>191.1129</v>
      </c>
      <c r="H4010" s="4">
        <v>0</v>
      </c>
      <c r="I4010" s="6">
        <v>1356731</v>
      </c>
      <c r="J4010" s="7">
        <v>399.25</v>
      </c>
      <c r="K4010" s="9">
        <f>(PricingDataTable[[#This Row],[Current Price ($)]]-PricingDataTable[[#This Row],[Prior Price ($)]])/PricingDataTable[[#This Row],[Prior Price ($)]]</f>
        <v>-3.1589637966955277E-5</v>
      </c>
      <c r="L4010" s="9">
        <f>(PricingDataTable[[#This Row],[Vendor Price ($)]]-PricingDataTable[[#This Row],[Current Price ($)]])/PricingDataTable[[#This Row],[Current Price ($)]]</f>
        <v>6.2296734002107064E-3</v>
      </c>
      <c r="M4010" t="str">
        <f t="shared" si="124"/>
        <v>PASS</v>
      </c>
      <c r="N4010" s="10" t="str">
        <f t="shared" si="125"/>
        <v>NONE</v>
      </c>
    </row>
    <row r="4011" spans="1:14">
      <c r="A4011" s="4" t="s">
        <v>8038</v>
      </c>
      <c r="B4011" s="4" t="s">
        <v>8039</v>
      </c>
      <c r="C4011" s="4" t="s">
        <v>12</v>
      </c>
      <c r="D4011" s="4" t="s">
        <v>13</v>
      </c>
      <c r="E4011" s="5">
        <v>102.7004</v>
      </c>
      <c r="F4011" s="5">
        <v>104.6551</v>
      </c>
      <c r="G4011" s="5">
        <v>104.8322</v>
      </c>
      <c r="H4011" s="4">
        <v>0</v>
      </c>
      <c r="I4011" s="6">
        <v>2381058</v>
      </c>
      <c r="J4011" s="7">
        <v>229.14</v>
      </c>
      <c r="K4011" s="9">
        <f>(PricingDataTable[[#This Row],[Current Price ($)]]-PricingDataTable[[#This Row],[Prior Price ($)]])/PricingDataTable[[#This Row],[Prior Price ($)]]</f>
        <v>1.9033032003770215E-2</v>
      </c>
      <c r="L4011" s="9">
        <f>(PricingDataTable[[#This Row],[Vendor Price ($)]]-PricingDataTable[[#This Row],[Current Price ($)]])/PricingDataTable[[#This Row],[Current Price ($)]]</f>
        <v>1.692225223615436E-3</v>
      </c>
      <c r="M4011" t="str">
        <f t="shared" si="124"/>
        <v>PASS</v>
      </c>
      <c r="N4011" s="10" t="str">
        <f t="shared" si="125"/>
        <v>NONE</v>
      </c>
    </row>
    <row r="4012" spans="1:14">
      <c r="A4012" s="4" t="s">
        <v>8040</v>
      </c>
      <c r="B4012" s="4" t="s">
        <v>8041</v>
      </c>
      <c r="C4012" s="4" t="s">
        <v>35</v>
      </c>
      <c r="D4012" s="4" t="s">
        <v>13</v>
      </c>
      <c r="E4012" s="5">
        <v>145.20439999999999</v>
      </c>
      <c r="F4012" s="5"/>
      <c r="G4012" s="5">
        <v>147.14009999999999</v>
      </c>
      <c r="H4012" s="4">
        <v>1</v>
      </c>
      <c r="I4012" s="6">
        <v>4670724</v>
      </c>
      <c r="J4012" s="7">
        <v>173.2</v>
      </c>
      <c r="K4012" s="9">
        <f>(PricingDataTable[[#This Row],[Current Price ($)]]-PricingDataTable[[#This Row],[Prior Price ($)]])/PricingDataTable[[#This Row],[Prior Price ($)]]</f>
        <v>-1</v>
      </c>
      <c r="L4012" s="9" t="e">
        <f>(PricingDataTable[[#This Row],[Vendor Price ($)]]-PricingDataTable[[#This Row],[Current Price ($)]])/PricingDataTable[[#This Row],[Current Price ($)]]</f>
        <v>#DIV/0!</v>
      </c>
      <c r="M4012" t="str">
        <f t="shared" si="124"/>
        <v>MISSING</v>
      </c>
      <c r="N4012" s="10" t="str">
        <f t="shared" si="125"/>
        <v>HIGH</v>
      </c>
    </row>
    <row r="4013" spans="1:14">
      <c r="A4013" s="4" t="s">
        <v>8042</v>
      </c>
      <c r="B4013" s="4" t="s">
        <v>8043</v>
      </c>
      <c r="C4013" s="4" t="s">
        <v>12</v>
      </c>
      <c r="D4013" s="4" t="s">
        <v>13</v>
      </c>
      <c r="E4013" s="5">
        <v>116.7161</v>
      </c>
      <c r="F4013" s="5">
        <v>116.43940000000001</v>
      </c>
      <c r="G4013" s="5">
        <v>116.4438</v>
      </c>
      <c r="H4013" s="4">
        <v>0</v>
      </c>
      <c r="I4013" s="6">
        <v>2262351</v>
      </c>
      <c r="J4013" s="7">
        <v>166.93</v>
      </c>
      <c r="K4013" s="9">
        <f>(PricingDataTable[[#This Row],[Current Price ($)]]-PricingDataTable[[#This Row],[Prior Price ($)]])/PricingDataTable[[#This Row],[Prior Price ($)]]</f>
        <v>-2.3707097821122456E-3</v>
      </c>
      <c r="L4013" s="9">
        <f>(PricingDataTable[[#This Row],[Vendor Price ($)]]-PricingDataTable[[#This Row],[Current Price ($)]])/PricingDataTable[[#This Row],[Current Price ($)]]</f>
        <v>3.7787896536651216E-5</v>
      </c>
      <c r="M4013" t="str">
        <f t="shared" si="124"/>
        <v>PASS</v>
      </c>
      <c r="N4013" s="10" t="str">
        <f t="shared" si="125"/>
        <v>NONE</v>
      </c>
    </row>
    <row r="4014" spans="1:14">
      <c r="A4014" s="4" t="s">
        <v>8044</v>
      </c>
      <c r="B4014" s="4" t="s">
        <v>8045</v>
      </c>
      <c r="C4014" s="4" t="s">
        <v>35</v>
      </c>
      <c r="D4014" s="4" t="s">
        <v>13</v>
      </c>
      <c r="E4014" s="5">
        <v>124.5249</v>
      </c>
      <c r="F4014" s="5">
        <v>123.01309999999999</v>
      </c>
      <c r="G4014" s="5">
        <v>122.8501</v>
      </c>
      <c r="H4014" s="4">
        <v>0</v>
      </c>
      <c r="I4014" s="6">
        <v>1627008</v>
      </c>
      <c r="J4014" s="7">
        <v>149.44999999999999</v>
      </c>
      <c r="K4014" s="9">
        <f>(PricingDataTable[[#This Row],[Current Price ($)]]-PricingDataTable[[#This Row],[Prior Price ($)]])/PricingDataTable[[#This Row],[Prior Price ($)]]</f>
        <v>-1.2140543778794506E-2</v>
      </c>
      <c r="L4014" s="9">
        <f>(PricingDataTable[[#This Row],[Vendor Price ($)]]-PricingDataTable[[#This Row],[Current Price ($)]])/PricingDataTable[[#This Row],[Current Price ($)]]</f>
        <v>-1.3250621275294804E-3</v>
      </c>
      <c r="M4014" t="str">
        <f t="shared" si="124"/>
        <v>PASS</v>
      </c>
      <c r="N4014" s="10" t="str">
        <f t="shared" si="125"/>
        <v>NONE</v>
      </c>
    </row>
    <row r="4015" spans="1:14">
      <c r="A4015" s="4" t="s">
        <v>8046</v>
      </c>
      <c r="B4015" s="4" t="s">
        <v>8047</v>
      </c>
      <c r="C4015" s="4" t="s">
        <v>19</v>
      </c>
      <c r="D4015" s="4" t="s">
        <v>13</v>
      </c>
      <c r="E4015" s="5">
        <v>340.91250000000002</v>
      </c>
      <c r="F4015" s="5">
        <v>336.70839999999998</v>
      </c>
      <c r="G4015" s="5">
        <v>337.06540000000001</v>
      </c>
      <c r="H4015" s="4">
        <v>0</v>
      </c>
      <c r="I4015" s="6">
        <v>929480</v>
      </c>
      <c r="J4015" s="7">
        <v>197.91</v>
      </c>
      <c r="K4015" s="9">
        <f>(PricingDataTable[[#This Row],[Current Price ($)]]-PricingDataTable[[#This Row],[Prior Price ($)]])/PricingDataTable[[#This Row],[Prior Price ($)]]</f>
        <v>-1.2331903347633306E-2</v>
      </c>
      <c r="L4015" s="9">
        <f>(PricingDataTable[[#This Row],[Vendor Price ($)]]-PricingDataTable[[#This Row],[Current Price ($)]])/PricingDataTable[[#This Row],[Current Price ($)]]</f>
        <v>1.0602646087832313E-3</v>
      </c>
      <c r="M4015" t="str">
        <f t="shared" si="124"/>
        <v>PASS</v>
      </c>
      <c r="N4015" s="10" t="str">
        <f t="shared" si="125"/>
        <v>NONE</v>
      </c>
    </row>
    <row r="4016" spans="1:14">
      <c r="A4016" s="4" t="s">
        <v>8048</v>
      </c>
      <c r="B4016" s="4" t="s">
        <v>8049</v>
      </c>
      <c r="C4016" s="4" t="s">
        <v>19</v>
      </c>
      <c r="D4016" s="4" t="s">
        <v>64</v>
      </c>
      <c r="E4016" s="5">
        <v>308.8854</v>
      </c>
      <c r="F4016" s="5">
        <v>307.47910000000002</v>
      </c>
      <c r="G4016" s="5">
        <v>306.03179999999998</v>
      </c>
      <c r="H4016" s="4">
        <v>0</v>
      </c>
      <c r="I4016" s="6">
        <v>1344491</v>
      </c>
      <c r="J4016" s="7">
        <v>881</v>
      </c>
      <c r="K4016" s="9">
        <f>(PricingDataTable[[#This Row],[Current Price ($)]]-PricingDataTable[[#This Row],[Prior Price ($)]])/PricingDataTable[[#This Row],[Prior Price ($)]]</f>
        <v>-4.5528212081243965E-3</v>
      </c>
      <c r="L4016" s="9">
        <f>(PricingDataTable[[#This Row],[Vendor Price ($)]]-PricingDataTable[[#This Row],[Current Price ($)]])/PricingDataTable[[#This Row],[Current Price ($)]]</f>
        <v>-4.7069865886820959E-3</v>
      </c>
      <c r="M4016" t="str">
        <f t="shared" si="124"/>
        <v>PASS</v>
      </c>
      <c r="N4016" s="10" t="str">
        <f t="shared" si="125"/>
        <v>NONE</v>
      </c>
    </row>
    <row r="4017" spans="1:14">
      <c r="A4017" s="4" t="s">
        <v>8050</v>
      </c>
      <c r="B4017" s="4" t="s">
        <v>8051</v>
      </c>
      <c r="C4017" s="4" t="s">
        <v>39</v>
      </c>
      <c r="D4017" s="4" t="s">
        <v>13</v>
      </c>
      <c r="E4017" s="5">
        <v>59.4041</v>
      </c>
      <c r="F4017" s="5">
        <v>59.0991</v>
      </c>
      <c r="G4017" s="5">
        <v>58.976599999999998</v>
      </c>
      <c r="H4017" s="4">
        <v>0</v>
      </c>
      <c r="I4017" s="6">
        <v>1769431</v>
      </c>
      <c r="J4017" s="7">
        <v>497.81</v>
      </c>
      <c r="K4017" s="9">
        <f>(PricingDataTable[[#This Row],[Current Price ($)]]-PricingDataTable[[#This Row],[Prior Price ($)]])/PricingDataTable[[#This Row],[Prior Price ($)]]</f>
        <v>-5.1343257451926675E-3</v>
      </c>
      <c r="L4017" s="9">
        <f>(PricingDataTable[[#This Row],[Vendor Price ($)]]-PricingDataTable[[#This Row],[Current Price ($)]])/PricingDataTable[[#This Row],[Current Price ($)]]</f>
        <v>-2.0727896025489775E-3</v>
      </c>
      <c r="M4017" t="str">
        <f t="shared" si="124"/>
        <v>PASS</v>
      </c>
      <c r="N4017" s="10" t="str">
        <f t="shared" si="125"/>
        <v>NONE</v>
      </c>
    </row>
    <row r="4018" spans="1:14">
      <c r="A4018" s="4" t="s">
        <v>8052</v>
      </c>
      <c r="B4018" s="4" t="s">
        <v>8053</v>
      </c>
      <c r="C4018" s="4" t="s">
        <v>16</v>
      </c>
      <c r="D4018" s="4" t="s">
        <v>13</v>
      </c>
      <c r="E4018" s="5">
        <v>77.7166</v>
      </c>
      <c r="F4018" s="5">
        <v>78.845100000000002</v>
      </c>
      <c r="G4018" s="5">
        <v>79.044799999999995</v>
      </c>
      <c r="H4018" s="4">
        <v>0</v>
      </c>
      <c r="I4018" s="6">
        <v>1584135</v>
      </c>
      <c r="J4018" s="7">
        <v>366.51</v>
      </c>
      <c r="K4018" s="9">
        <f>(PricingDataTable[[#This Row],[Current Price ($)]]-PricingDataTable[[#This Row],[Prior Price ($)]])/PricingDataTable[[#This Row],[Prior Price ($)]]</f>
        <v>1.4520707287760948E-2</v>
      </c>
      <c r="L4018" s="9">
        <f>(PricingDataTable[[#This Row],[Vendor Price ($)]]-PricingDataTable[[#This Row],[Current Price ($)]])/PricingDataTable[[#This Row],[Current Price ($)]]</f>
        <v>2.5328143410306143E-3</v>
      </c>
      <c r="M4018" t="str">
        <f t="shared" si="124"/>
        <v>PASS</v>
      </c>
      <c r="N4018" s="10" t="str">
        <f t="shared" si="125"/>
        <v>NONE</v>
      </c>
    </row>
    <row r="4019" spans="1:14">
      <c r="A4019" s="4" t="s">
        <v>8054</v>
      </c>
      <c r="B4019" s="4" t="s">
        <v>8055</v>
      </c>
      <c r="C4019" s="4" t="s">
        <v>16</v>
      </c>
      <c r="D4019" s="4" t="s">
        <v>13</v>
      </c>
      <c r="E4019" s="5">
        <v>90.209800000000001</v>
      </c>
      <c r="F4019" s="5">
        <v>91.491200000000006</v>
      </c>
      <c r="G4019" s="5">
        <v>91.6464</v>
      </c>
      <c r="H4019" s="4">
        <v>2</v>
      </c>
      <c r="I4019" s="6">
        <v>2597963</v>
      </c>
      <c r="J4019" s="7">
        <v>264.52</v>
      </c>
      <c r="K4019" s="9">
        <f>(PricingDataTable[[#This Row],[Current Price ($)]]-PricingDataTable[[#This Row],[Prior Price ($)]])/PricingDataTable[[#This Row],[Prior Price ($)]]</f>
        <v>1.4204665125075159E-2</v>
      </c>
      <c r="L4019" s="9">
        <f>(PricingDataTable[[#This Row],[Vendor Price ($)]]-PricingDataTable[[#This Row],[Current Price ($)]])/PricingDataTable[[#This Row],[Current Price ($)]]</f>
        <v>1.6963380084641317E-3</v>
      </c>
      <c r="M4019" t="str">
        <f t="shared" si="124"/>
        <v>PASS</v>
      </c>
      <c r="N4019" s="10" t="str">
        <f t="shared" si="125"/>
        <v>NONE</v>
      </c>
    </row>
    <row r="4020" spans="1:14">
      <c r="A4020" s="4" t="s">
        <v>8056</v>
      </c>
      <c r="B4020" s="4" t="s">
        <v>8057</v>
      </c>
      <c r="C4020" s="4" t="s">
        <v>19</v>
      </c>
      <c r="D4020" s="4" t="s">
        <v>13</v>
      </c>
      <c r="E4020" s="5">
        <v>141.3372</v>
      </c>
      <c r="F4020" s="5">
        <v>139.3647</v>
      </c>
      <c r="G4020" s="5">
        <v>139.37280000000001</v>
      </c>
      <c r="H4020" s="4">
        <v>2</v>
      </c>
      <c r="I4020" s="6">
        <v>4561261</v>
      </c>
      <c r="J4020" s="7">
        <v>472.91</v>
      </c>
      <c r="K4020" s="9">
        <f>(PricingDataTable[[#This Row],[Current Price ($)]]-PricingDataTable[[#This Row],[Prior Price ($)]])/PricingDataTable[[#This Row],[Prior Price ($)]]</f>
        <v>-1.3955986109813953E-2</v>
      </c>
      <c r="L4020" s="9">
        <f>(PricingDataTable[[#This Row],[Vendor Price ($)]]-PricingDataTable[[#This Row],[Current Price ($)]])/PricingDataTable[[#This Row],[Current Price ($)]]</f>
        <v>5.8120887140094275E-5</v>
      </c>
      <c r="M4020" t="str">
        <f t="shared" si="124"/>
        <v>PASS</v>
      </c>
      <c r="N4020" s="10" t="str">
        <f t="shared" si="125"/>
        <v>NONE</v>
      </c>
    </row>
    <row r="4021" spans="1:14">
      <c r="A4021" s="4" t="s">
        <v>8058</v>
      </c>
      <c r="B4021" s="4" t="s">
        <v>8059</v>
      </c>
      <c r="C4021" s="4" t="s">
        <v>16</v>
      </c>
      <c r="D4021" s="4" t="s">
        <v>13</v>
      </c>
      <c r="E4021" s="5">
        <v>86.478999999999999</v>
      </c>
      <c r="F4021" s="5">
        <v>86.736800000000002</v>
      </c>
      <c r="G4021" s="5">
        <v>86.583500000000001</v>
      </c>
      <c r="H4021" s="4">
        <v>0</v>
      </c>
      <c r="I4021" s="6">
        <v>3181306</v>
      </c>
      <c r="J4021" s="7">
        <v>459.68</v>
      </c>
      <c r="K4021" s="9">
        <f>(PricingDataTable[[#This Row],[Current Price ($)]]-PricingDataTable[[#This Row],[Prior Price ($)]])/PricingDataTable[[#This Row],[Prior Price ($)]]</f>
        <v>2.981070548919427E-3</v>
      </c>
      <c r="L4021" s="9">
        <f>(PricingDataTable[[#This Row],[Vendor Price ($)]]-PricingDataTable[[#This Row],[Current Price ($)]])/PricingDataTable[[#This Row],[Current Price ($)]]</f>
        <v>-1.7674159065125938E-3</v>
      </c>
      <c r="M4021" t="str">
        <f t="shared" si="124"/>
        <v>PASS</v>
      </c>
      <c r="N4021" s="10" t="str">
        <f t="shared" si="125"/>
        <v>NONE</v>
      </c>
    </row>
    <row r="4022" spans="1:14">
      <c r="A4022" s="4" t="s">
        <v>8060</v>
      </c>
      <c r="B4022" s="4" t="s">
        <v>8061</v>
      </c>
      <c r="C4022" s="4" t="s">
        <v>39</v>
      </c>
      <c r="D4022" s="4" t="s">
        <v>13</v>
      </c>
      <c r="E4022" s="5">
        <v>266.61160000000001</v>
      </c>
      <c r="F4022" s="5">
        <v>265.51949999999999</v>
      </c>
      <c r="G4022" s="5">
        <v>264.96570000000003</v>
      </c>
      <c r="H4022" s="4">
        <v>1</v>
      </c>
      <c r="I4022" s="6">
        <v>3596552</v>
      </c>
      <c r="J4022" s="7">
        <v>334.25</v>
      </c>
      <c r="K4022" s="9">
        <f>(PricingDataTable[[#This Row],[Current Price ($)]]-PricingDataTable[[#This Row],[Prior Price ($)]])/PricingDataTable[[#This Row],[Prior Price ($)]]</f>
        <v>-4.0962208696096354E-3</v>
      </c>
      <c r="L4022" s="9">
        <f>(PricingDataTable[[#This Row],[Vendor Price ($)]]-PricingDataTable[[#This Row],[Current Price ($)]])/PricingDataTable[[#This Row],[Current Price ($)]]</f>
        <v>-2.0857225175550833E-3</v>
      </c>
      <c r="M4022" t="str">
        <f t="shared" si="124"/>
        <v>PASS</v>
      </c>
      <c r="N4022" s="10" t="str">
        <f t="shared" si="125"/>
        <v>NONE</v>
      </c>
    </row>
    <row r="4023" spans="1:14">
      <c r="A4023" s="4" t="s">
        <v>8062</v>
      </c>
      <c r="B4023" s="4" t="s">
        <v>8063</v>
      </c>
      <c r="C4023" s="4" t="s">
        <v>16</v>
      </c>
      <c r="D4023" s="4" t="s">
        <v>13</v>
      </c>
      <c r="E4023" s="5">
        <v>84.075000000000003</v>
      </c>
      <c r="F4023" s="5">
        <v>85.232799999999997</v>
      </c>
      <c r="G4023" s="5">
        <v>85.227599999999995</v>
      </c>
      <c r="H4023" s="4">
        <v>0</v>
      </c>
      <c r="I4023" s="6">
        <v>2991250</v>
      </c>
      <c r="J4023" s="7">
        <v>723.11</v>
      </c>
      <c r="K4023" s="9">
        <f>(PricingDataTable[[#This Row],[Current Price ($)]]-PricingDataTable[[#This Row],[Prior Price ($)]])/PricingDataTable[[#This Row],[Prior Price ($)]]</f>
        <v>1.3771037763901215E-2</v>
      </c>
      <c r="L4023" s="9">
        <f>(PricingDataTable[[#This Row],[Vendor Price ($)]]-PricingDataTable[[#This Row],[Current Price ($)]])/PricingDataTable[[#This Row],[Current Price ($)]]</f>
        <v>-6.1009376671916116E-5</v>
      </c>
      <c r="M4023" t="str">
        <f t="shared" si="124"/>
        <v>PASS</v>
      </c>
      <c r="N4023" s="10" t="str">
        <f t="shared" si="125"/>
        <v>NONE</v>
      </c>
    </row>
    <row r="4024" spans="1:14">
      <c r="A4024" s="4" t="s">
        <v>8064</v>
      </c>
      <c r="B4024" s="4" t="s">
        <v>8065</v>
      </c>
      <c r="C4024" s="4" t="s">
        <v>19</v>
      </c>
      <c r="D4024" s="4" t="s">
        <v>13</v>
      </c>
      <c r="E4024" s="5">
        <v>328.1216</v>
      </c>
      <c r="F4024" s="5">
        <v>321.87130000000002</v>
      </c>
      <c r="G4024" s="5">
        <v>322.80099999999999</v>
      </c>
      <c r="H4024" s="4">
        <v>0</v>
      </c>
      <c r="I4024" s="6">
        <v>2808296</v>
      </c>
      <c r="J4024" s="7">
        <v>623.21</v>
      </c>
      <c r="K4024" s="9">
        <f>(PricingDataTable[[#This Row],[Current Price ($)]]-PricingDataTable[[#This Row],[Prior Price ($)]])/PricingDataTable[[#This Row],[Prior Price ($)]]</f>
        <v>-1.9048730714466774E-2</v>
      </c>
      <c r="L4024" s="9">
        <f>(PricingDataTable[[#This Row],[Vendor Price ($)]]-PricingDataTable[[#This Row],[Current Price ($)]])/PricingDataTable[[#This Row],[Current Price ($)]]</f>
        <v>2.8884215523408531E-3</v>
      </c>
      <c r="M4024" t="str">
        <f t="shared" si="124"/>
        <v>PASS</v>
      </c>
      <c r="N4024" s="10" t="str">
        <f t="shared" si="125"/>
        <v>NONE</v>
      </c>
    </row>
    <row r="4025" spans="1:14">
      <c r="A4025" s="4" t="s">
        <v>8066</v>
      </c>
      <c r="B4025" s="4" t="s">
        <v>8067</v>
      </c>
      <c r="C4025" s="4" t="s">
        <v>12</v>
      </c>
      <c r="D4025" s="4" t="s">
        <v>64</v>
      </c>
      <c r="E4025" s="5">
        <v>117.2941</v>
      </c>
      <c r="F4025" s="5">
        <v>113.82170000000001</v>
      </c>
      <c r="G4025" s="5">
        <v>113.25749999999999</v>
      </c>
      <c r="H4025" s="4">
        <v>0</v>
      </c>
      <c r="I4025" s="6">
        <v>3054717</v>
      </c>
      <c r="J4025" s="7">
        <v>603.05999999999995</v>
      </c>
      <c r="K4025" s="9">
        <f>(PricingDataTable[[#This Row],[Current Price ($)]]-PricingDataTable[[#This Row],[Prior Price ($)]])/PricingDataTable[[#This Row],[Prior Price ($)]]</f>
        <v>-2.960421709190823E-2</v>
      </c>
      <c r="L4025" s="9">
        <f>(PricingDataTable[[#This Row],[Vendor Price ($)]]-PricingDataTable[[#This Row],[Current Price ($)]])/PricingDataTable[[#This Row],[Current Price ($)]]</f>
        <v>-4.9568755342787336E-3</v>
      </c>
      <c r="M4025" t="str">
        <f t="shared" si="124"/>
        <v>PASS</v>
      </c>
      <c r="N4025" s="10" t="str">
        <f t="shared" si="125"/>
        <v>NONE</v>
      </c>
    </row>
    <row r="4026" spans="1:14">
      <c r="A4026" s="4" t="s">
        <v>8068</v>
      </c>
      <c r="B4026" s="4" t="s">
        <v>8069</v>
      </c>
      <c r="C4026" s="4" t="s">
        <v>19</v>
      </c>
      <c r="D4026" s="4" t="s">
        <v>13</v>
      </c>
      <c r="E4026" s="5">
        <v>195.477</v>
      </c>
      <c r="F4026" s="5">
        <v>196.2724</v>
      </c>
      <c r="G4026" s="5">
        <v>197.26769999999999</v>
      </c>
      <c r="H4026" s="4">
        <v>0</v>
      </c>
      <c r="I4026" s="6">
        <v>4878551</v>
      </c>
      <c r="J4026" s="7">
        <v>658.84</v>
      </c>
      <c r="K4026" s="9">
        <f>(PricingDataTable[[#This Row],[Current Price ($)]]-PricingDataTable[[#This Row],[Prior Price ($)]])/PricingDataTable[[#This Row],[Prior Price ($)]]</f>
        <v>4.0690209078305924E-3</v>
      </c>
      <c r="L4026" s="9">
        <f>(PricingDataTable[[#This Row],[Vendor Price ($)]]-PricingDataTable[[#This Row],[Current Price ($)]])/PricingDataTable[[#This Row],[Current Price ($)]]</f>
        <v>5.0710135505551779E-3</v>
      </c>
      <c r="M4026" t="str">
        <f t="shared" si="124"/>
        <v>PASS</v>
      </c>
      <c r="N4026" s="10" t="str">
        <f t="shared" si="125"/>
        <v>NONE</v>
      </c>
    </row>
    <row r="4027" spans="1:14">
      <c r="A4027" s="4" t="s">
        <v>8070</v>
      </c>
      <c r="B4027" s="4" t="s">
        <v>8071</v>
      </c>
      <c r="C4027" s="4" t="s">
        <v>12</v>
      </c>
      <c r="D4027" s="4" t="s">
        <v>13</v>
      </c>
      <c r="E4027" s="5">
        <v>83.250399999999999</v>
      </c>
      <c r="F4027" s="5">
        <v>81.891099999999994</v>
      </c>
      <c r="G4027" s="5">
        <v>81.596000000000004</v>
      </c>
      <c r="H4027" s="4">
        <v>0</v>
      </c>
      <c r="I4027" s="6">
        <v>1339466</v>
      </c>
      <c r="J4027" s="7">
        <v>551.89</v>
      </c>
      <c r="K4027" s="9">
        <f>(PricingDataTable[[#This Row],[Current Price ($)]]-PricingDataTable[[#This Row],[Prior Price ($)]])/PricingDataTable[[#This Row],[Prior Price ($)]]</f>
        <v>-1.6327849475798371E-2</v>
      </c>
      <c r="L4027" s="9">
        <f>(PricingDataTable[[#This Row],[Vendor Price ($)]]-PricingDataTable[[#This Row],[Current Price ($)]])/PricingDataTable[[#This Row],[Current Price ($)]]</f>
        <v>-3.6035661995014213E-3</v>
      </c>
      <c r="M4027" t="str">
        <f t="shared" si="124"/>
        <v>PASS</v>
      </c>
      <c r="N4027" s="10" t="str">
        <f t="shared" si="125"/>
        <v>NONE</v>
      </c>
    </row>
    <row r="4028" spans="1:14">
      <c r="A4028" s="4" t="s">
        <v>8072</v>
      </c>
      <c r="B4028" s="4" t="s">
        <v>8073</v>
      </c>
      <c r="C4028" s="4" t="s">
        <v>19</v>
      </c>
      <c r="D4028" s="4" t="s">
        <v>32</v>
      </c>
      <c r="E4028" s="5">
        <v>248.01410000000001</v>
      </c>
      <c r="F4028" s="5">
        <v>246.66329999999999</v>
      </c>
      <c r="G4028" s="5">
        <v>245.83930000000001</v>
      </c>
      <c r="H4028" s="4">
        <v>1</v>
      </c>
      <c r="I4028" s="6">
        <v>3665403</v>
      </c>
      <c r="J4028" s="7">
        <v>750.41</v>
      </c>
      <c r="K4028" s="9">
        <f>(PricingDataTable[[#This Row],[Current Price ($)]]-PricingDataTable[[#This Row],[Prior Price ($)]])/PricingDataTable[[#This Row],[Prior Price ($)]]</f>
        <v>-5.4464645356857569E-3</v>
      </c>
      <c r="L4028" s="9">
        <f>(PricingDataTable[[#This Row],[Vendor Price ($)]]-PricingDataTable[[#This Row],[Current Price ($)]])/PricingDataTable[[#This Row],[Current Price ($)]]</f>
        <v>-3.3405861350269128E-3</v>
      </c>
      <c r="M4028" t="str">
        <f t="shared" si="124"/>
        <v>PASS</v>
      </c>
      <c r="N4028" s="10" t="str">
        <f t="shared" si="125"/>
        <v>NONE</v>
      </c>
    </row>
    <row r="4029" spans="1:14">
      <c r="A4029" s="4" t="s">
        <v>8074</v>
      </c>
      <c r="B4029" s="4" t="s">
        <v>8075</v>
      </c>
      <c r="C4029" s="4" t="s">
        <v>19</v>
      </c>
      <c r="D4029" s="4" t="s">
        <v>13</v>
      </c>
      <c r="E4029" s="5">
        <v>189.90819999999999</v>
      </c>
      <c r="F4029" s="5">
        <v>192.19929999999999</v>
      </c>
      <c r="G4029" s="5">
        <v>192.11</v>
      </c>
      <c r="H4029" s="4">
        <v>0</v>
      </c>
      <c r="I4029" s="6">
        <v>4179429</v>
      </c>
      <c r="J4029" s="7">
        <v>847.87</v>
      </c>
      <c r="K4029" s="9">
        <f>(PricingDataTable[[#This Row],[Current Price ($)]]-PricingDataTable[[#This Row],[Prior Price ($)]])/PricingDataTable[[#This Row],[Prior Price ($)]]</f>
        <v>1.2064249990258452E-2</v>
      </c>
      <c r="L4029" s="9">
        <f>(PricingDataTable[[#This Row],[Vendor Price ($)]]-PricingDataTable[[#This Row],[Current Price ($)]])/PricingDataTable[[#This Row],[Current Price ($)]]</f>
        <v>-4.646218794760448E-4</v>
      </c>
      <c r="M4029" t="str">
        <f t="shared" si="124"/>
        <v>PASS</v>
      </c>
      <c r="N4029" s="10" t="str">
        <f t="shared" si="125"/>
        <v>NONE</v>
      </c>
    </row>
    <row r="4030" spans="1:14">
      <c r="A4030" s="4" t="s">
        <v>8076</v>
      </c>
      <c r="B4030" s="4" t="s">
        <v>8077</v>
      </c>
      <c r="C4030" s="4" t="s">
        <v>16</v>
      </c>
      <c r="D4030" s="4" t="s">
        <v>32</v>
      </c>
      <c r="E4030" s="5">
        <v>109.3261</v>
      </c>
      <c r="F4030" s="5">
        <v>109.0528</v>
      </c>
      <c r="G4030" s="5">
        <v>108.76090000000001</v>
      </c>
      <c r="H4030" s="4">
        <v>0</v>
      </c>
      <c r="I4030" s="6">
        <v>2281580</v>
      </c>
      <c r="J4030" s="7">
        <v>69.709999999999994</v>
      </c>
      <c r="K4030" s="9">
        <f>(PricingDataTable[[#This Row],[Current Price ($)]]-PricingDataTable[[#This Row],[Prior Price ($)]])/PricingDataTable[[#This Row],[Prior Price ($)]]</f>
        <v>-2.4998605090640925E-3</v>
      </c>
      <c r="L4030" s="9">
        <f>(PricingDataTable[[#This Row],[Vendor Price ($)]]-PricingDataTable[[#This Row],[Current Price ($)]])/PricingDataTable[[#This Row],[Current Price ($)]]</f>
        <v>-2.6766850553126397E-3</v>
      </c>
      <c r="M4030" t="str">
        <f t="shared" si="124"/>
        <v>PASS</v>
      </c>
      <c r="N4030" s="10" t="str">
        <f t="shared" si="125"/>
        <v>NONE</v>
      </c>
    </row>
    <row r="4031" spans="1:14">
      <c r="A4031" s="4" t="s">
        <v>8078</v>
      </c>
      <c r="B4031" s="4" t="s">
        <v>8079</v>
      </c>
      <c r="C4031" s="4" t="s">
        <v>39</v>
      </c>
      <c r="D4031" s="4" t="s">
        <v>32</v>
      </c>
      <c r="E4031" s="5">
        <v>207.4084</v>
      </c>
      <c r="F4031" s="5">
        <v>206.63399999999999</v>
      </c>
      <c r="G4031" s="5">
        <v>205.69399999999999</v>
      </c>
      <c r="H4031" s="4">
        <v>1</v>
      </c>
      <c r="I4031" s="6">
        <v>2422435</v>
      </c>
      <c r="J4031" s="7">
        <v>151.97</v>
      </c>
      <c r="K4031" s="9">
        <f>(PricingDataTable[[#This Row],[Current Price ($)]]-PricingDataTable[[#This Row],[Prior Price ($)]])/PricingDataTable[[#This Row],[Prior Price ($)]]</f>
        <v>-3.7336964173100714E-3</v>
      </c>
      <c r="L4031" s="9">
        <f>(PricingDataTable[[#This Row],[Vendor Price ($)]]-PricingDataTable[[#This Row],[Current Price ($)]])/PricingDataTable[[#This Row],[Current Price ($)]]</f>
        <v>-4.5491061490364497E-3</v>
      </c>
      <c r="M4031" t="str">
        <f t="shared" si="124"/>
        <v>PASS</v>
      </c>
      <c r="N4031" s="10" t="str">
        <f t="shared" si="125"/>
        <v>NONE</v>
      </c>
    </row>
    <row r="4032" spans="1:14">
      <c r="A4032" s="4" t="s">
        <v>8080</v>
      </c>
      <c r="B4032" s="4" t="s">
        <v>8081</v>
      </c>
      <c r="C4032" s="4" t="s">
        <v>19</v>
      </c>
      <c r="D4032" s="4" t="s">
        <v>36</v>
      </c>
      <c r="E4032" s="5">
        <v>114.1212</v>
      </c>
      <c r="F4032" s="5">
        <v>113.9576</v>
      </c>
      <c r="G4032" s="5">
        <v>114.0929</v>
      </c>
      <c r="H4032" s="4">
        <v>1</v>
      </c>
      <c r="I4032" s="6">
        <v>4207469</v>
      </c>
      <c r="J4032" s="7">
        <v>509.23</v>
      </c>
      <c r="K4032" s="9">
        <f>(PricingDataTable[[#This Row],[Current Price ($)]]-PricingDataTable[[#This Row],[Prior Price ($)]])/PricingDataTable[[#This Row],[Prior Price ($)]]</f>
        <v>-1.4335636148235596E-3</v>
      </c>
      <c r="L4032" s="9">
        <f>(PricingDataTable[[#This Row],[Vendor Price ($)]]-PricingDataTable[[#This Row],[Current Price ($)]])/PricingDataTable[[#This Row],[Current Price ($)]]</f>
        <v>1.1872836914782416E-3</v>
      </c>
      <c r="M4032" t="str">
        <f t="shared" si="124"/>
        <v>PASS</v>
      </c>
      <c r="N4032" s="10" t="str">
        <f t="shared" si="125"/>
        <v>NONE</v>
      </c>
    </row>
    <row r="4033" spans="1:14">
      <c r="A4033" s="4" t="s">
        <v>8082</v>
      </c>
      <c r="B4033" s="4" t="s">
        <v>8083</v>
      </c>
      <c r="C4033" s="4" t="s">
        <v>19</v>
      </c>
      <c r="D4033" s="4" t="s">
        <v>13</v>
      </c>
      <c r="E4033" s="5">
        <v>262.20490000000001</v>
      </c>
      <c r="F4033" s="5">
        <v>259.5059</v>
      </c>
      <c r="G4033" s="5">
        <v>260.47980000000001</v>
      </c>
      <c r="H4033" s="4">
        <v>0</v>
      </c>
      <c r="I4033" s="6">
        <v>4886466</v>
      </c>
      <c r="J4033" s="7">
        <v>835.99</v>
      </c>
      <c r="K4033" s="9">
        <f>(PricingDataTable[[#This Row],[Current Price ($)]]-PricingDataTable[[#This Row],[Prior Price ($)]])/PricingDataTable[[#This Row],[Prior Price ($)]]</f>
        <v>-1.0293476590254463E-2</v>
      </c>
      <c r="L4033" s="9">
        <f>(PricingDataTable[[#This Row],[Vendor Price ($)]]-PricingDataTable[[#This Row],[Current Price ($)]])/PricingDataTable[[#This Row],[Current Price ($)]]</f>
        <v>3.7529011864470699E-3</v>
      </c>
      <c r="M4033" t="str">
        <f t="shared" si="124"/>
        <v>PASS</v>
      </c>
      <c r="N4033" s="10" t="str">
        <f t="shared" si="125"/>
        <v>NONE</v>
      </c>
    </row>
    <row r="4034" spans="1:14">
      <c r="A4034" s="4" t="s">
        <v>8084</v>
      </c>
      <c r="B4034" s="4" t="s">
        <v>8085</v>
      </c>
      <c r="C4034" s="4" t="s">
        <v>19</v>
      </c>
      <c r="D4034" s="4" t="s">
        <v>32</v>
      </c>
      <c r="E4034" s="5">
        <v>312.02109999999999</v>
      </c>
      <c r="F4034" s="5">
        <v>316.57729999999998</v>
      </c>
      <c r="G4034" s="5">
        <v>316.30630000000002</v>
      </c>
      <c r="H4034" s="4">
        <v>0</v>
      </c>
      <c r="I4034" s="6">
        <v>3839365</v>
      </c>
      <c r="J4034" s="7">
        <v>811</v>
      </c>
      <c r="K4034" s="9">
        <f>(PricingDataTable[[#This Row],[Current Price ($)]]-PricingDataTable[[#This Row],[Prior Price ($)]])/PricingDataTable[[#This Row],[Prior Price ($)]]</f>
        <v>1.4602217606437481E-2</v>
      </c>
      <c r="L4034" s="9">
        <f>(PricingDataTable[[#This Row],[Vendor Price ($)]]-PricingDataTable[[#This Row],[Current Price ($)]])/PricingDataTable[[#This Row],[Current Price ($)]]</f>
        <v>-8.5603105465855626E-4</v>
      </c>
      <c r="M4034" t="str">
        <f t="shared" ref="M4034:M4097" si="126">IF(OR(F4034="",F4034=0),"MISSING",IF(H4034&gt;=3,"STALE",IF(ABS(K4034)&gt;=5%,"LARGE MOVE",IF(ABS(L4034)&gt;=2%,"VENDOR DIFFERENCE","PASS"))))</f>
        <v>PASS</v>
      </c>
      <c r="N4034" s="10" t="str">
        <f t="shared" ref="N4034:N4097" si="127">IF(M4034="PASS","NONE",IF(M4034="MISSING","HIGH",IF(OR(ABS(K4034)&gt;=10%,ABS(L4034)&gt;=5%),"HIGH",IF(OR(ABS(K4034)&gt;=7%,ABS(L4034)&gt;=3%,H4034&gt;=5),"MEDIUM","LOW"))))</f>
        <v>NONE</v>
      </c>
    </row>
    <row r="4035" spans="1:14">
      <c r="A4035" s="4" t="s">
        <v>8086</v>
      </c>
      <c r="B4035" s="4" t="s">
        <v>8087</v>
      </c>
      <c r="C4035" s="4" t="s">
        <v>19</v>
      </c>
      <c r="D4035" s="4" t="s">
        <v>13</v>
      </c>
      <c r="E4035" s="5">
        <v>183.09989999999999</v>
      </c>
      <c r="F4035" s="5">
        <v>185.4442</v>
      </c>
      <c r="G4035" s="5">
        <v>185.4736</v>
      </c>
      <c r="H4035" s="4">
        <v>3</v>
      </c>
      <c r="I4035" s="6">
        <v>3012798</v>
      </c>
      <c r="J4035" s="7">
        <v>742.97</v>
      </c>
      <c r="K4035" s="9">
        <f>(PricingDataTable[[#This Row],[Current Price ($)]]-PricingDataTable[[#This Row],[Prior Price ($)]])/PricingDataTable[[#This Row],[Prior Price ($)]]</f>
        <v>1.2803393120367648E-2</v>
      </c>
      <c r="L4035" s="9">
        <f>(PricingDataTable[[#This Row],[Vendor Price ($)]]-PricingDataTable[[#This Row],[Current Price ($)]])/PricingDataTable[[#This Row],[Current Price ($)]]</f>
        <v>1.5853825571255202E-4</v>
      </c>
      <c r="M4035" t="str">
        <f t="shared" si="126"/>
        <v>STALE</v>
      </c>
      <c r="N4035" s="10" t="str">
        <f t="shared" si="127"/>
        <v>LOW</v>
      </c>
    </row>
    <row r="4036" spans="1:14">
      <c r="A4036" s="4" t="s">
        <v>8088</v>
      </c>
      <c r="B4036" s="4" t="s">
        <v>8089</v>
      </c>
      <c r="C4036" s="4" t="s">
        <v>19</v>
      </c>
      <c r="D4036" s="4" t="s">
        <v>13</v>
      </c>
      <c r="E4036" s="5">
        <v>103.3152</v>
      </c>
      <c r="F4036" s="5">
        <v>105.5688</v>
      </c>
      <c r="G4036" s="5">
        <v>105.7403</v>
      </c>
      <c r="H4036" s="4">
        <v>0</v>
      </c>
      <c r="I4036" s="6">
        <v>4202441</v>
      </c>
      <c r="J4036" s="7">
        <v>252.06</v>
      </c>
      <c r="K4036" s="9">
        <f>(PricingDataTable[[#This Row],[Current Price ($)]]-PricingDataTable[[#This Row],[Prior Price ($)]])/PricingDataTable[[#This Row],[Prior Price ($)]]</f>
        <v>2.18128600631852E-2</v>
      </c>
      <c r="L4036" s="9">
        <f>(PricingDataTable[[#This Row],[Vendor Price ($)]]-PricingDataTable[[#This Row],[Current Price ($)]])/PricingDataTable[[#This Row],[Current Price ($)]]</f>
        <v>1.6245330059639672E-3</v>
      </c>
      <c r="M4036" t="str">
        <f t="shared" si="126"/>
        <v>PASS</v>
      </c>
      <c r="N4036" s="10" t="str">
        <f t="shared" si="127"/>
        <v>NONE</v>
      </c>
    </row>
    <row r="4037" spans="1:14">
      <c r="A4037" s="4" t="s">
        <v>8090</v>
      </c>
      <c r="B4037" s="4" t="s">
        <v>8091</v>
      </c>
      <c r="C4037" s="4" t="s">
        <v>35</v>
      </c>
      <c r="D4037" s="4" t="s">
        <v>13</v>
      </c>
      <c r="E4037" s="5">
        <v>112.8929</v>
      </c>
      <c r="F4037" s="5">
        <v>114.79040000000001</v>
      </c>
      <c r="G4037" s="5">
        <v>115.0505</v>
      </c>
      <c r="H4037" s="4">
        <v>4</v>
      </c>
      <c r="I4037" s="6">
        <v>1475072</v>
      </c>
      <c r="J4037" s="7">
        <v>72.61</v>
      </c>
      <c r="K4037" s="9">
        <f>(PricingDataTable[[#This Row],[Current Price ($)]]-PricingDataTable[[#This Row],[Prior Price ($)]])/PricingDataTable[[#This Row],[Prior Price ($)]]</f>
        <v>1.6807965779956118E-2</v>
      </c>
      <c r="L4037" s="9">
        <f>(PricingDataTable[[#This Row],[Vendor Price ($)]]-PricingDataTable[[#This Row],[Current Price ($)]])/PricingDataTable[[#This Row],[Current Price ($)]]</f>
        <v>2.2658689228367023E-3</v>
      </c>
      <c r="M4037" t="str">
        <f t="shared" si="126"/>
        <v>STALE</v>
      </c>
      <c r="N4037" s="10" t="str">
        <f t="shared" si="127"/>
        <v>LOW</v>
      </c>
    </row>
    <row r="4038" spans="1:14">
      <c r="A4038" s="4" t="s">
        <v>8092</v>
      </c>
      <c r="B4038" s="4" t="s">
        <v>8093</v>
      </c>
      <c r="C4038" s="4" t="s">
        <v>16</v>
      </c>
      <c r="D4038" s="4" t="s">
        <v>13</v>
      </c>
      <c r="E4038" s="5">
        <v>105.11279999999999</v>
      </c>
      <c r="F4038" s="5">
        <v>103.7929</v>
      </c>
      <c r="G4038" s="5">
        <v>103.3826</v>
      </c>
      <c r="H4038" s="4">
        <v>0</v>
      </c>
      <c r="I4038" s="6">
        <v>2268968</v>
      </c>
      <c r="J4038" s="7">
        <v>640.88</v>
      </c>
      <c r="K4038" s="9">
        <f>(PricingDataTable[[#This Row],[Current Price ($)]]-PricingDataTable[[#This Row],[Prior Price ($)]])/PricingDataTable[[#This Row],[Prior Price ($)]]</f>
        <v>-1.2556986399372768E-2</v>
      </c>
      <c r="L4038" s="9">
        <f>(PricingDataTable[[#This Row],[Vendor Price ($)]]-PricingDataTable[[#This Row],[Current Price ($)]])/PricingDataTable[[#This Row],[Current Price ($)]]</f>
        <v>-3.9530642269365876E-3</v>
      </c>
      <c r="M4038" t="str">
        <f t="shared" si="126"/>
        <v>PASS</v>
      </c>
      <c r="N4038" s="10" t="str">
        <f t="shared" si="127"/>
        <v>NONE</v>
      </c>
    </row>
    <row r="4039" spans="1:14">
      <c r="A4039" s="4" t="s">
        <v>8094</v>
      </c>
      <c r="B4039" s="4" t="s">
        <v>8095</v>
      </c>
      <c r="C4039" s="4" t="s">
        <v>19</v>
      </c>
      <c r="D4039" s="4" t="s">
        <v>13</v>
      </c>
      <c r="E4039" s="5">
        <v>334.1748</v>
      </c>
      <c r="F4039" s="5">
        <v>325.90039999999999</v>
      </c>
      <c r="G4039" s="5">
        <v>325.6678</v>
      </c>
      <c r="H4039" s="4">
        <v>0</v>
      </c>
      <c r="I4039" s="6">
        <v>4253250</v>
      </c>
      <c r="J4039" s="7">
        <v>252.31</v>
      </c>
      <c r="K4039" s="9">
        <f>(PricingDataTable[[#This Row],[Current Price ($)]]-PricingDataTable[[#This Row],[Prior Price ($)]])/PricingDataTable[[#This Row],[Prior Price ($)]]</f>
        <v>-2.4760694103804399E-2</v>
      </c>
      <c r="L4039" s="9">
        <f>(PricingDataTable[[#This Row],[Vendor Price ($)]]-PricingDataTable[[#This Row],[Current Price ($)]])/PricingDataTable[[#This Row],[Current Price ($)]]</f>
        <v>-7.1371498776924124E-4</v>
      </c>
      <c r="M4039" t="str">
        <f t="shared" si="126"/>
        <v>PASS</v>
      </c>
      <c r="N4039" s="10" t="str">
        <f t="shared" si="127"/>
        <v>NONE</v>
      </c>
    </row>
    <row r="4040" spans="1:14">
      <c r="A4040" s="4" t="s">
        <v>8096</v>
      </c>
      <c r="B4040" s="4" t="s">
        <v>8097</v>
      </c>
      <c r="C4040" s="4" t="s">
        <v>35</v>
      </c>
      <c r="D4040" s="4" t="s">
        <v>13</v>
      </c>
      <c r="E4040" s="5">
        <v>173.57409999999999</v>
      </c>
      <c r="F4040" s="5">
        <v>173.52440000000001</v>
      </c>
      <c r="G4040" s="5">
        <v>173.3535</v>
      </c>
      <c r="H4040" s="4">
        <v>0</v>
      </c>
      <c r="I4040" s="6">
        <v>2054630</v>
      </c>
      <c r="J4040" s="7">
        <v>885.58</v>
      </c>
      <c r="K4040" s="9">
        <f>(PricingDataTable[[#This Row],[Current Price ($)]]-PricingDataTable[[#This Row],[Prior Price ($)]])/PricingDataTable[[#This Row],[Prior Price ($)]]</f>
        <v>-2.8633304162298977E-4</v>
      </c>
      <c r="L4040" s="9">
        <f>(PricingDataTable[[#This Row],[Vendor Price ($)]]-PricingDataTable[[#This Row],[Current Price ($)]])/PricingDataTable[[#This Row],[Current Price ($)]]</f>
        <v>-9.8487590217869857E-4</v>
      </c>
      <c r="M4040" t="str">
        <f t="shared" si="126"/>
        <v>PASS</v>
      </c>
      <c r="N4040" s="10" t="str">
        <f t="shared" si="127"/>
        <v>NONE</v>
      </c>
    </row>
    <row r="4041" spans="1:14">
      <c r="A4041" s="4" t="s">
        <v>8098</v>
      </c>
      <c r="B4041" s="4" t="s">
        <v>8099</v>
      </c>
      <c r="C4041" s="4" t="s">
        <v>16</v>
      </c>
      <c r="D4041" s="4" t="s">
        <v>13</v>
      </c>
      <c r="E4041" s="5">
        <v>96.731399999999994</v>
      </c>
      <c r="F4041" s="5">
        <v>95.798000000000002</v>
      </c>
      <c r="G4041" s="5">
        <v>95.92</v>
      </c>
      <c r="H4041" s="4">
        <v>4</v>
      </c>
      <c r="I4041" s="6">
        <v>1937226</v>
      </c>
      <c r="J4041" s="7">
        <v>660.04</v>
      </c>
      <c r="K4041" s="9">
        <f>(PricingDataTable[[#This Row],[Current Price ($)]]-PricingDataTable[[#This Row],[Prior Price ($)]])/PricingDataTable[[#This Row],[Prior Price ($)]]</f>
        <v>-9.6494002981450892E-3</v>
      </c>
      <c r="L4041" s="9">
        <f>(PricingDataTable[[#This Row],[Vendor Price ($)]]-PricingDataTable[[#This Row],[Current Price ($)]])/PricingDataTable[[#This Row],[Current Price ($)]]</f>
        <v>1.2735130169732132E-3</v>
      </c>
      <c r="M4041" t="str">
        <f t="shared" si="126"/>
        <v>STALE</v>
      </c>
      <c r="N4041" s="10" t="str">
        <f t="shared" si="127"/>
        <v>LOW</v>
      </c>
    </row>
    <row r="4042" spans="1:14">
      <c r="A4042" s="4" t="s">
        <v>8100</v>
      </c>
      <c r="B4042" s="4" t="s">
        <v>8101</v>
      </c>
      <c r="C4042" s="4" t="s">
        <v>16</v>
      </c>
      <c r="D4042" s="4" t="s">
        <v>13</v>
      </c>
      <c r="E4042" s="5">
        <v>85.768699999999995</v>
      </c>
      <c r="F4042" s="5">
        <v>85.9559</v>
      </c>
      <c r="G4042" s="5">
        <v>86.134799999999998</v>
      </c>
      <c r="H4042" s="4">
        <v>0</v>
      </c>
      <c r="I4042" s="6">
        <v>182124</v>
      </c>
      <c r="J4042" s="7">
        <v>223.26</v>
      </c>
      <c r="K4042" s="9">
        <f>(PricingDataTable[[#This Row],[Current Price ($)]]-PricingDataTable[[#This Row],[Prior Price ($)]])/PricingDataTable[[#This Row],[Prior Price ($)]]</f>
        <v>2.1826144036228164E-3</v>
      </c>
      <c r="L4042" s="9">
        <f>(PricingDataTable[[#This Row],[Vendor Price ($)]]-PricingDataTable[[#This Row],[Current Price ($)]])/PricingDataTable[[#This Row],[Current Price ($)]]</f>
        <v>2.0812998293310726E-3</v>
      </c>
      <c r="M4042" t="str">
        <f t="shared" si="126"/>
        <v>PASS</v>
      </c>
      <c r="N4042" s="10" t="str">
        <f t="shared" si="127"/>
        <v>NONE</v>
      </c>
    </row>
    <row r="4043" spans="1:14">
      <c r="A4043" s="4" t="s">
        <v>8102</v>
      </c>
      <c r="B4043" s="4" t="s">
        <v>8103</v>
      </c>
      <c r="C4043" s="4" t="s">
        <v>35</v>
      </c>
      <c r="D4043" s="4" t="s">
        <v>13</v>
      </c>
      <c r="E4043" s="5">
        <v>130.4075</v>
      </c>
      <c r="F4043" s="5">
        <v>132.42230000000001</v>
      </c>
      <c r="G4043" s="5">
        <v>131.9357</v>
      </c>
      <c r="H4043" s="4">
        <v>4</v>
      </c>
      <c r="I4043" s="6">
        <v>3297369</v>
      </c>
      <c r="J4043" s="7">
        <v>481.65</v>
      </c>
      <c r="K4043" s="9">
        <f>(PricingDataTable[[#This Row],[Current Price ($)]]-PricingDataTable[[#This Row],[Prior Price ($)]])/PricingDataTable[[#This Row],[Prior Price ($)]]</f>
        <v>1.5450031631616342E-2</v>
      </c>
      <c r="L4043" s="9">
        <f>(PricingDataTable[[#This Row],[Vendor Price ($)]]-PricingDataTable[[#This Row],[Current Price ($)]])/PricingDataTable[[#This Row],[Current Price ($)]]</f>
        <v>-3.6746076755954991E-3</v>
      </c>
      <c r="M4043" t="str">
        <f t="shared" si="126"/>
        <v>STALE</v>
      </c>
      <c r="N4043" s="10" t="str">
        <f t="shared" si="127"/>
        <v>LOW</v>
      </c>
    </row>
    <row r="4044" spans="1:14">
      <c r="A4044" s="4" t="s">
        <v>8104</v>
      </c>
      <c r="B4044" s="4" t="s">
        <v>8105</v>
      </c>
      <c r="C4044" s="4" t="s">
        <v>19</v>
      </c>
      <c r="D4044" s="4" t="s">
        <v>13</v>
      </c>
      <c r="E4044" s="5">
        <v>35.209099999999999</v>
      </c>
      <c r="F4044" s="5">
        <v>35.613100000000003</v>
      </c>
      <c r="G4044" s="5">
        <v>35.663400000000003</v>
      </c>
      <c r="H4044" s="4">
        <v>0</v>
      </c>
      <c r="I4044" s="6">
        <v>1230664</v>
      </c>
      <c r="J4044" s="7">
        <v>35.57</v>
      </c>
      <c r="K4044" s="9">
        <f>(PricingDataTable[[#This Row],[Current Price ($)]]-PricingDataTable[[#This Row],[Prior Price ($)]])/PricingDataTable[[#This Row],[Prior Price ($)]]</f>
        <v>1.1474306358299515E-2</v>
      </c>
      <c r="L4044" s="9">
        <f>(PricingDataTable[[#This Row],[Vendor Price ($)]]-PricingDataTable[[#This Row],[Current Price ($)]])/PricingDataTable[[#This Row],[Current Price ($)]]</f>
        <v>1.4124016162591858E-3</v>
      </c>
      <c r="M4044" t="str">
        <f t="shared" si="126"/>
        <v>PASS</v>
      </c>
      <c r="N4044" s="10" t="str">
        <f t="shared" si="127"/>
        <v>NONE</v>
      </c>
    </row>
    <row r="4045" spans="1:14">
      <c r="A4045" s="4" t="s">
        <v>8106</v>
      </c>
      <c r="B4045" s="4" t="s">
        <v>8107</v>
      </c>
      <c r="C4045" s="4" t="s">
        <v>19</v>
      </c>
      <c r="D4045" s="4" t="s">
        <v>13</v>
      </c>
      <c r="E4045" s="5">
        <v>156.46350000000001</v>
      </c>
      <c r="F4045" s="5">
        <v>156.79830000000001</v>
      </c>
      <c r="G4045" s="5">
        <v>157.25479999999999</v>
      </c>
      <c r="H4045" s="4">
        <v>4</v>
      </c>
      <c r="I4045" s="6">
        <v>1752994</v>
      </c>
      <c r="J4045" s="7">
        <v>824.81</v>
      </c>
      <c r="K4045" s="9">
        <f>(PricingDataTable[[#This Row],[Current Price ($)]]-PricingDataTable[[#This Row],[Prior Price ($)]])/PricingDataTable[[#This Row],[Prior Price ($)]]</f>
        <v>2.1397961824962453E-3</v>
      </c>
      <c r="L4045" s="9">
        <f>(PricingDataTable[[#This Row],[Vendor Price ($)]]-PricingDataTable[[#This Row],[Current Price ($)]])/PricingDataTable[[#This Row],[Current Price ($)]]</f>
        <v>2.9113836055619036E-3</v>
      </c>
      <c r="M4045" t="str">
        <f t="shared" si="126"/>
        <v>STALE</v>
      </c>
      <c r="N4045" s="10" t="str">
        <f t="shared" si="127"/>
        <v>LOW</v>
      </c>
    </row>
    <row r="4046" spans="1:14">
      <c r="A4046" s="4" t="s">
        <v>8108</v>
      </c>
      <c r="B4046" s="4" t="s">
        <v>8109</v>
      </c>
      <c r="C4046" s="4" t="s">
        <v>35</v>
      </c>
      <c r="D4046" s="4" t="s">
        <v>13</v>
      </c>
      <c r="E4046" s="5">
        <v>12.345000000000001</v>
      </c>
      <c r="F4046" s="5">
        <v>12.292</v>
      </c>
      <c r="G4046" s="5">
        <v>12.352499999999999</v>
      </c>
      <c r="H4046" s="4">
        <v>0</v>
      </c>
      <c r="I4046" s="6">
        <v>1561138</v>
      </c>
      <c r="J4046" s="7">
        <v>813.37</v>
      </c>
      <c r="K4046" s="9">
        <f>(PricingDataTable[[#This Row],[Current Price ($)]]-PricingDataTable[[#This Row],[Prior Price ($)]])/PricingDataTable[[#This Row],[Prior Price ($)]]</f>
        <v>-4.2932361279871059E-3</v>
      </c>
      <c r="L4046" s="9">
        <f>(PricingDataTable[[#This Row],[Vendor Price ($)]]-PricingDataTable[[#This Row],[Current Price ($)]])/PricingDataTable[[#This Row],[Current Price ($)]]</f>
        <v>4.9219004230393213E-3</v>
      </c>
      <c r="M4046" t="str">
        <f t="shared" si="126"/>
        <v>PASS</v>
      </c>
      <c r="N4046" s="10" t="str">
        <f t="shared" si="127"/>
        <v>NONE</v>
      </c>
    </row>
    <row r="4047" spans="1:14">
      <c r="A4047" s="4" t="s">
        <v>8110</v>
      </c>
      <c r="B4047" s="4" t="s">
        <v>8111</v>
      </c>
      <c r="C4047" s="4" t="s">
        <v>16</v>
      </c>
      <c r="D4047" s="4" t="s">
        <v>36</v>
      </c>
      <c r="E4047" s="5">
        <v>111.8587</v>
      </c>
      <c r="F4047" s="5">
        <v>111.447</v>
      </c>
      <c r="G4047" s="5">
        <v>111.44799999999999</v>
      </c>
      <c r="H4047" s="4">
        <v>0</v>
      </c>
      <c r="I4047" s="6">
        <v>4773084</v>
      </c>
      <c r="J4047" s="7">
        <v>730.71</v>
      </c>
      <c r="K4047" s="9">
        <f>(PricingDataTable[[#This Row],[Current Price ($)]]-PricingDataTable[[#This Row],[Prior Price ($)]])/PricingDataTable[[#This Row],[Prior Price ($)]]</f>
        <v>-3.6805362479627977E-3</v>
      </c>
      <c r="L4047" s="9">
        <f>(PricingDataTable[[#This Row],[Vendor Price ($)]]-PricingDataTable[[#This Row],[Current Price ($)]])/PricingDataTable[[#This Row],[Current Price ($)]]</f>
        <v>8.9728749987937218E-6</v>
      </c>
      <c r="M4047" t="str">
        <f t="shared" si="126"/>
        <v>PASS</v>
      </c>
      <c r="N4047" s="10" t="str">
        <f t="shared" si="127"/>
        <v>NONE</v>
      </c>
    </row>
    <row r="4048" spans="1:14">
      <c r="A4048" s="4" t="s">
        <v>8112</v>
      </c>
      <c r="B4048" s="4" t="s">
        <v>8113</v>
      </c>
      <c r="C4048" s="4" t="s">
        <v>39</v>
      </c>
      <c r="D4048" s="4" t="s">
        <v>13</v>
      </c>
      <c r="E4048" s="5">
        <v>250.24539999999999</v>
      </c>
      <c r="F4048" s="5">
        <v>250.04390000000001</v>
      </c>
      <c r="G4048" s="5">
        <v>250.11600000000001</v>
      </c>
      <c r="H4048" s="4">
        <v>1</v>
      </c>
      <c r="I4048" s="6">
        <v>202810</v>
      </c>
      <c r="J4048" s="7">
        <v>61.32</v>
      </c>
      <c r="K4048" s="9">
        <f>(PricingDataTable[[#This Row],[Current Price ($)]]-PricingDataTable[[#This Row],[Prior Price ($)]])/PricingDataTable[[#This Row],[Prior Price ($)]]</f>
        <v>-8.0520960625043091E-4</v>
      </c>
      <c r="L4048" s="9">
        <f>(PricingDataTable[[#This Row],[Vendor Price ($)]]-PricingDataTable[[#This Row],[Current Price ($)]])/PricingDataTable[[#This Row],[Current Price ($)]]</f>
        <v>2.8834936585138068E-4</v>
      </c>
      <c r="M4048" t="str">
        <f t="shared" si="126"/>
        <v>PASS</v>
      </c>
      <c r="N4048" s="10" t="str">
        <f t="shared" si="127"/>
        <v>NONE</v>
      </c>
    </row>
    <row r="4049" spans="1:14">
      <c r="A4049" s="4" t="s">
        <v>8114</v>
      </c>
      <c r="B4049" s="4" t="s">
        <v>8115</v>
      </c>
      <c r="C4049" s="4" t="s">
        <v>19</v>
      </c>
      <c r="D4049" s="4" t="s">
        <v>13</v>
      </c>
      <c r="E4049" s="5">
        <v>310.12150000000003</v>
      </c>
      <c r="F4049" s="5">
        <v>314.46940000000001</v>
      </c>
      <c r="G4049" s="5">
        <v>313.46440000000001</v>
      </c>
      <c r="H4049" s="4">
        <v>0</v>
      </c>
      <c r="I4049" s="6">
        <v>2489910</v>
      </c>
      <c r="J4049" s="7">
        <v>541.80999999999995</v>
      </c>
      <c r="K4049" s="9">
        <f>(PricingDataTable[[#This Row],[Current Price ($)]]-PricingDataTable[[#This Row],[Prior Price ($)]])/PricingDataTable[[#This Row],[Prior Price ($)]]</f>
        <v>1.4019988939818687E-2</v>
      </c>
      <c r="L4049" s="9">
        <f>(PricingDataTable[[#This Row],[Vendor Price ($)]]-PricingDataTable[[#This Row],[Current Price ($)]])/PricingDataTable[[#This Row],[Current Price ($)]]</f>
        <v>-3.1958594381519966E-3</v>
      </c>
      <c r="M4049" t="str">
        <f t="shared" si="126"/>
        <v>PASS</v>
      </c>
      <c r="N4049" s="10" t="str">
        <f t="shared" si="127"/>
        <v>NONE</v>
      </c>
    </row>
    <row r="4050" spans="1:14">
      <c r="A4050" s="4" t="s">
        <v>8116</v>
      </c>
      <c r="B4050" s="4" t="s">
        <v>8117</v>
      </c>
      <c r="C4050" s="4" t="s">
        <v>35</v>
      </c>
      <c r="D4050" s="4" t="s">
        <v>13</v>
      </c>
      <c r="E4050" s="5">
        <v>97.862899999999996</v>
      </c>
      <c r="F4050" s="5">
        <v>98.9726</v>
      </c>
      <c r="G4050" s="5">
        <v>99.772400000000005</v>
      </c>
      <c r="H4050" s="4">
        <v>0</v>
      </c>
      <c r="I4050" s="6">
        <v>3630305</v>
      </c>
      <c r="J4050" s="7">
        <v>504.96</v>
      </c>
      <c r="K4050" s="9">
        <f>(PricingDataTable[[#This Row],[Current Price ($)]]-PricingDataTable[[#This Row],[Prior Price ($)]])/PricingDataTable[[#This Row],[Prior Price ($)]]</f>
        <v>1.1339332883043561E-2</v>
      </c>
      <c r="L4050" s="9">
        <f>(PricingDataTable[[#This Row],[Vendor Price ($)]]-PricingDataTable[[#This Row],[Current Price ($)]])/PricingDataTable[[#This Row],[Current Price ($)]]</f>
        <v>8.0810244451495136E-3</v>
      </c>
      <c r="M4050" t="str">
        <f t="shared" si="126"/>
        <v>PASS</v>
      </c>
      <c r="N4050" s="10" t="str">
        <f t="shared" si="127"/>
        <v>NONE</v>
      </c>
    </row>
    <row r="4051" spans="1:14">
      <c r="A4051" s="4" t="s">
        <v>8118</v>
      </c>
      <c r="B4051" s="4" t="s">
        <v>8119</v>
      </c>
      <c r="C4051" s="4" t="s">
        <v>16</v>
      </c>
      <c r="D4051" s="4" t="s">
        <v>13</v>
      </c>
      <c r="E4051" s="5">
        <v>110.7129</v>
      </c>
      <c r="F4051" s="5">
        <v>110.9134</v>
      </c>
      <c r="G4051" s="5">
        <v>111.1606</v>
      </c>
      <c r="H4051" s="4">
        <v>0</v>
      </c>
      <c r="I4051" s="6">
        <v>1668039</v>
      </c>
      <c r="J4051" s="7">
        <v>849.89</v>
      </c>
      <c r="K4051" s="9">
        <f>(PricingDataTable[[#This Row],[Current Price ($)]]-PricingDataTable[[#This Row],[Prior Price ($)]])/PricingDataTable[[#This Row],[Prior Price ($)]]</f>
        <v>1.8109904085250319E-3</v>
      </c>
      <c r="L4051" s="9">
        <f>(PricingDataTable[[#This Row],[Vendor Price ($)]]-PricingDataTable[[#This Row],[Current Price ($)]])/PricingDataTable[[#This Row],[Current Price ($)]]</f>
        <v>2.2287658659819872E-3</v>
      </c>
      <c r="M4051" t="str">
        <f t="shared" si="126"/>
        <v>PASS</v>
      </c>
      <c r="N4051" s="10" t="str">
        <f t="shared" si="127"/>
        <v>NONE</v>
      </c>
    </row>
    <row r="4052" spans="1:14">
      <c r="A4052" s="4" t="s">
        <v>8120</v>
      </c>
      <c r="B4052" s="4" t="s">
        <v>8121</v>
      </c>
      <c r="C4052" s="4" t="s">
        <v>19</v>
      </c>
      <c r="D4052" s="4" t="s">
        <v>36</v>
      </c>
      <c r="E4052" s="5">
        <v>105.0788</v>
      </c>
      <c r="F4052" s="5">
        <v>104.8454</v>
      </c>
      <c r="G4052" s="5">
        <v>104.7342</v>
      </c>
      <c r="H4052" s="4">
        <v>2</v>
      </c>
      <c r="I4052" s="6">
        <v>2681699</v>
      </c>
      <c r="J4052" s="7">
        <v>482.44</v>
      </c>
      <c r="K4052" s="9">
        <f>(PricingDataTable[[#This Row],[Current Price ($)]]-PricingDataTable[[#This Row],[Prior Price ($)]])/PricingDataTable[[#This Row],[Prior Price ($)]]</f>
        <v>-2.2211901925031801E-3</v>
      </c>
      <c r="L4052" s="9">
        <f>(PricingDataTable[[#This Row],[Vendor Price ($)]]-PricingDataTable[[#This Row],[Current Price ($)]])/PricingDataTable[[#This Row],[Current Price ($)]]</f>
        <v>-1.0606092398903208E-3</v>
      </c>
      <c r="M4052" t="str">
        <f t="shared" si="126"/>
        <v>PASS</v>
      </c>
      <c r="N4052" s="10" t="str">
        <f t="shared" si="127"/>
        <v>NONE</v>
      </c>
    </row>
    <row r="4053" spans="1:14">
      <c r="A4053" s="4" t="s">
        <v>8122</v>
      </c>
      <c r="B4053" s="4" t="s">
        <v>8123</v>
      </c>
      <c r="C4053" s="4" t="s">
        <v>12</v>
      </c>
      <c r="D4053" s="4" t="s">
        <v>13</v>
      </c>
      <c r="E4053" s="5">
        <v>109.9729</v>
      </c>
      <c r="F4053" s="5">
        <v>109.13200000000001</v>
      </c>
      <c r="G4053" s="5">
        <v>108.96040000000001</v>
      </c>
      <c r="H4053" s="4">
        <v>2</v>
      </c>
      <c r="I4053" s="6">
        <v>1980333</v>
      </c>
      <c r="J4053" s="7">
        <v>57.33</v>
      </c>
      <c r="K4053" s="9">
        <f>(PricingDataTable[[#This Row],[Current Price ($)]]-PricingDataTable[[#This Row],[Prior Price ($)]])/PricingDataTable[[#This Row],[Prior Price ($)]]</f>
        <v>-7.6464292566622389E-3</v>
      </c>
      <c r="L4053" s="9">
        <f>(PricingDataTable[[#This Row],[Vendor Price ($)]]-PricingDataTable[[#This Row],[Current Price ($)]])/PricingDataTable[[#This Row],[Current Price ($)]]</f>
        <v>-1.5724077264230288E-3</v>
      </c>
      <c r="M4053" t="str">
        <f t="shared" si="126"/>
        <v>PASS</v>
      </c>
      <c r="N4053" s="10" t="str">
        <f t="shared" si="127"/>
        <v>NONE</v>
      </c>
    </row>
    <row r="4054" spans="1:14">
      <c r="A4054" s="4" t="s">
        <v>8124</v>
      </c>
      <c r="B4054" s="4" t="s">
        <v>8125</v>
      </c>
      <c r="C4054" s="4" t="s">
        <v>39</v>
      </c>
      <c r="D4054" s="4" t="s">
        <v>13</v>
      </c>
      <c r="E4054" s="5">
        <v>319.7432</v>
      </c>
      <c r="F4054" s="5">
        <v>316.56459999999998</v>
      </c>
      <c r="G4054" s="5">
        <v>317.755</v>
      </c>
      <c r="H4054" s="4">
        <v>0</v>
      </c>
      <c r="I4054" s="6">
        <v>326195</v>
      </c>
      <c r="J4054" s="7">
        <v>896.13</v>
      </c>
      <c r="K4054" s="9">
        <f>(PricingDataTable[[#This Row],[Current Price ($)]]-PricingDataTable[[#This Row],[Prior Price ($)]])/PricingDataTable[[#This Row],[Prior Price ($)]]</f>
        <v>-9.9411027349448466E-3</v>
      </c>
      <c r="L4054" s="9">
        <f>(PricingDataTable[[#This Row],[Vendor Price ($)]]-PricingDataTable[[#This Row],[Current Price ($)]])/PricingDataTable[[#This Row],[Current Price ($)]]</f>
        <v>3.7603699213367859E-3</v>
      </c>
      <c r="M4054" t="str">
        <f t="shared" si="126"/>
        <v>PASS</v>
      </c>
      <c r="N4054" s="10" t="str">
        <f t="shared" si="127"/>
        <v>NONE</v>
      </c>
    </row>
    <row r="4055" spans="1:14">
      <c r="A4055" s="4" t="s">
        <v>8126</v>
      </c>
      <c r="B4055" s="4" t="s">
        <v>8127</v>
      </c>
      <c r="C4055" s="4" t="s">
        <v>39</v>
      </c>
      <c r="D4055" s="4" t="s">
        <v>13</v>
      </c>
      <c r="E4055" s="5">
        <v>322.14530000000002</v>
      </c>
      <c r="F4055" s="5">
        <v>319.37299999999999</v>
      </c>
      <c r="G4055" s="5">
        <v>319.45639999999997</v>
      </c>
      <c r="H4055" s="4">
        <v>2</v>
      </c>
      <c r="I4055" s="6">
        <v>4176152</v>
      </c>
      <c r="J4055" s="7">
        <v>270.14</v>
      </c>
      <c r="K4055" s="9">
        <f>(PricingDataTable[[#This Row],[Current Price ($)]]-PricingDataTable[[#This Row],[Prior Price ($)]])/PricingDataTable[[#This Row],[Prior Price ($)]]</f>
        <v>-8.6057440540030523E-3</v>
      </c>
      <c r="L4055" s="9">
        <f>(PricingDataTable[[#This Row],[Vendor Price ($)]]-PricingDataTable[[#This Row],[Current Price ($)]])/PricingDataTable[[#This Row],[Current Price ($)]]</f>
        <v>2.6113666465225069E-4</v>
      </c>
      <c r="M4055" t="str">
        <f t="shared" si="126"/>
        <v>PASS</v>
      </c>
      <c r="N4055" s="10" t="str">
        <f t="shared" si="127"/>
        <v>NONE</v>
      </c>
    </row>
    <row r="4056" spans="1:14">
      <c r="A4056" s="4" t="s">
        <v>8128</v>
      </c>
      <c r="B4056" s="4" t="s">
        <v>8129</v>
      </c>
      <c r="C4056" s="4" t="s">
        <v>16</v>
      </c>
      <c r="D4056" s="4" t="s">
        <v>32</v>
      </c>
      <c r="E4056" s="5">
        <v>79.532600000000002</v>
      </c>
      <c r="F4056" s="5">
        <v>80.165499999999994</v>
      </c>
      <c r="G4056" s="5">
        <v>80.033900000000003</v>
      </c>
      <c r="H4056" s="4">
        <v>0</v>
      </c>
      <c r="I4056" s="6">
        <v>2101270</v>
      </c>
      <c r="J4056" s="7">
        <v>136.49</v>
      </c>
      <c r="K4056" s="9">
        <f>(PricingDataTable[[#This Row],[Current Price ($)]]-PricingDataTable[[#This Row],[Prior Price ($)]])/PricingDataTable[[#This Row],[Prior Price ($)]]</f>
        <v>7.957743114144291E-3</v>
      </c>
      <c r="L4056" s="9">
        <f>(PricingDataTable[[#This Row],[Vendor Price ($)]]-PricingDataTable[[#This Row],[Current Price ($)]])/PricingDataTable[[#This Row],[Current Price ($)]]</f>
        <v>-1.6416039318658492E-3</v>
      </c>
      <c r="M4056" t="str">
        <f t="shared" si="126"/>
        <v>PASS</v>
      </c>
      <c r="N4056" s="10" t="str">
        <f t="shared" si="127"/>
        <v>NONE</v>
      </c>
    </row>
    <row r="4057" spans="1:14">
      <c r="A4057" s="4" t="s">
        <v>8130</v>
      </c>
      <c r="B4057" s="4" t="s">
        <v>8131</v>
      </c>
      <c r="C4057" s="4" t="s">
        <v>19</v>
      </c>
      <c r="D4057" s="4" t="s">
        <v>13</v>
      </c>
      <c r="E4057" s="5">
        <v>267.26089999999999</v>
      </c>
      <c r="F4057" s="5">
        <v>270.40350000000001</v>
      </c>
      <c r="G4057" s="5">
        <v>270.92290000000003</v>
      </c>
      <c r="H4057" s="4">
        <v>1</v>
      </c>
      <c r="I4057" s="6">
        <v>1096470</v>
      </c>
      <c r="J4057" s="7">
        <v>456.3</v>
      </c>
      <c r="K4057" s="9">
        <f>(PricingDataTable[[#This Row],[Current Price ($)]]-PricingDataTable[[#This Row],[Prior Price ($)]])/PricingDataTable[[#This Row],[Prior Price ($)]]</f>
        <v>1.1758547546610881E-2</v>
      </c>
      <c r="L4057" s="9">
        <f>(PricingDataTable[[#This Row],[Vendor Price ($)]]-PricingDataTable[[#This Row],[Current Price ($)]])/PricingDataTable[[#This Row],[Current Price ($)]]</f>
        <v>1.9208331253109472E-3</v>
      </c>
      <c r="M4057" t="str">
        <f t="shared" si="126"/>
        <v>PASS</v>
      </c>
      <c r="N4057" s="10" t="str">
        <f t="shared" si="127"/>
        <v>NONE</v>
      </c>
    </row>
    <row r="4058" spans="1:14">
      <c r="A4058" s="4" t="s">
        <v>8132</v>
      </c>
      <c r="B4058" s="4" t="s">
        <v>8133</v>
      </c>
      <c r="C4058" s="4" t="s">
        <v>19</v>
      </c>
      <c r="D4058" s="4" t="s">
        <v>13</v>
      </c>
      <c r="E4058" s="5">
        <v>135.97110000000001</v>
      </c>
      <c r="F4058" s="5">
        <v>137.84909999999999</v>
      </c>
      <c r="G4058" s="5">
        <v>137.55860000000001</v>
      </c>
      <c r="H4058" s="4">
        <v>0</v>
      </c>
      <c r="I4058" s="6">
        <v>1468662</v>
      </c>
      <c r="J4058" s="7">
        <v>835.85</v>
      </c>
      <c r="K4058" s="9">
        <f>(PricingDataTable[[#This Row],[Current Price ($)]]-PricingDataTable[[#This Row],[Prior Price ($)]])/PricingDataTable[[#This Row],[Prior Price ($)]]</f>
        <v>1.3811758528098881E-2</v>
      </c>
      <c r="L4058" s="9">
        <f>(PricingDataTable[[#This Row],[Vendor Price ($)]]-PricingDataTable[[#This Row],[Current Price ($)]])/PricingDataTable[[#This Row],[Current Price ($)]]</f>
        <v>-2.1073768345239849E-3</v>
      </c>
      <c r="M4058" t="str">
        <f t="shared" si="126"/>
        <v>PASS</v>
      </c>
      <c r="N4058" s="10" t="str">
        <f t="shared" si="127"/>
        <v>NONE</v>
      </c>
    </row>
    <row r="4059" spans="1:14">
      <c r="A4059" s="4" t="s">
        <v>8134</v>
      </c>
      <c r="B4059" s="4" t="s">
        <v>8135</v>
      </c>
      <c r="C4059" s="4" t="s">
        <v>35</v>
      </c>
      <c r="D4059" s="4" t="s">
        <v>13</v>
      </c>
      <c r="E4059" s="5">
        <v>135.04560000000001</v>
      </c>
      <c r="F4059" s="5">
        <v>136.86060000000001</v>
      </c>
      <c r="G4059" s="5">
        <v>137.51509999999999</v>
      </c>
      <c r="H4059" s="4">
        <v>0</v>
      </c>
      <c r="I4059" s="6">
        <v>3159686</v>
      </c>
      <c r="J4059" s="7">
        <v>686.37</v>
      </c>
      <c r="K4059" s="9">
        <f>(PricingDataTable[[#This Row],[Current Price ($)]]-PricingDataTable[[#This Row],[Prior Price ($)]])/PricingDataTable[[#This Row],[Prior Price ($)]]</f>
        <v>1.3439904743286695E-2</v>
      </c>
      <c r="L4059" s="9">
        <f>(PricingDataTable[[#This Row],[Vendor Price ($)]]-PricingDataTable[[#This Row],[Current Price ($)]])/PricingDataTable[[#This Row],[Current Price ($)]]</f>
        <v>4.7822382774880753E-3</v>
      </c>
      <c r="M4059" t="str">
        <f t="shared" si="126"/>
        <v>PASS</v>
      </c>
      <c r="N4059" s="10" t="str">
        <f t="shared" si="127"/>
        <v>NONE</v>
      </c>
    </row>
    <row r="4060" spans="1:14">
      <c r="A4060" s="4" t="s">
        <v>8136</v>
      </c>
      <c r="B4060" s="4" t="s">
        <v>8137</v>
      </c>
      <c r="C4060" s="4" t="s">
        <v>19</v>
      </c>
      <c r="D4060" s="4" t="s">
        <v>36</v>
      </c>
      <c r="E4060" s="5">
        <v>331.49310000000003</v>
      </c>
      <c r="F4060" s="5">
        <v>324.66359999999997</v>
      </c>
      <c r="G4060" s="5">
        <v>324.9984</v>
      </c>
      <c r="H4060" s="4">
        <v>3</v>
      </c>
      <c r="I4060" s="6">
        <v>3935496</v>
      </c>
      <c r="J4060" s="7">
        <v>833.66</v>
      </c>
      <c r="K4060" s="9">
        <f>(PricingDataTable[[#This Row],[Current Price ($)]]-PricingDataTable[[#This Row],[Prior Price ($)]])/PricingDataTable[[#This Row],[Prior Price ($)]]</f>
        <v>-2.0602238779630865E-2</v>
      </c>
      <c r="L4060" s="9">
        <f>(PricingDataTable[[#This Row],[Vendor Price ($)]]-PricingDataTable[[#This Row],[Current Price ($)]])/PricingDataTable[[#This Row],[Current Price ($)]]</f>
        <v>1.0312212394614911E-3</v>
      </c>
      <c r="M4060" t="str">
        <f t="shared" si="126"/>
        <v>STALE</v>
      </c>
      <c r="N4060" s="10" t="str">
        <f t="shared" si="127"/>
        <v>LOW</v>
      </c>
    </row>
    <row r="4061" spans="1:14">
      <c r="A4061" s="4" t="s">
        <v>8138</v>
      </c>
      <c r="B4061" s="4" t="s">
        <v>8139</v>
      </c>
      <c r="C4061" s="4" t="s">
        <v>16</v>
      </c>
      <c r="D4061" s="4" t="s">
        <v>13</v>
      </c>
      <c r="E4061" s="5">
        <v>122.8552</v>
      </c>
      <c r="F4061" s="5">
        <v>124.9517</v>
      </c>
      <c r="G4061" s="5">
        <v>125.48699999999999</v>
      </c>
      <c r="H4061" s="4">
        <v>0</v>
      </c>
      <c r="I4061" s="6">
        <v>740136</v>
      </c>
      <c r="J4061" s="7">
        <v>52.43</v>
      </c>
      <c r="K4061" s="9">
        <f>(PricingDataTable[[#This Row],[Current Price ($)]]-PricingDataTable[[#This Row],[Prior Price ($)]])/PricingDataTable[[#This Row],[Prior Price ($)]]</f>
        <v>1.7064804745749517E-2</v>
      </c>
      <c r="L4061" s="9">
        <f>(PricingDataTable[[#This Row],[Vendor Price ($)]]-PricingDataTable[[#This Row],[Current Price ($)]])/PricingDataTable[[#This Row],[Current Price ($)]]</f>
        <v>4.2840553589906525E-3</v>
      </c>
      <c r="M4061" t="str">
        <f t="shared" si="126"/>
        <v>PASS</v>
      </c>
      <c r="N4061" s="10" t="str">
        <f t="shared" si="127"/>
        <v>NONE</v>
      </c>
    </row>
    <row r="4062" spans="1:14">
      <c r="A4062" s="4" t="s">
        <v>8140</v>
      </c>
      <c r="B4062" s="4" t="s">
        <v>8141</v>
      </c>
      <c r="C4062" s="4" t="s">
        <v>19</v>
      </c>
      <c r="D4062" s="4" t="s">
        <v>32</v>
      </c>
      <c r="E4062" s="5">
        <v>188.27070000000001</v>
      </c>
      <c r="F4062" s="5">
        <v>190.2354</v>
      </c>
      <c r="G4062" s="5">
        <v>190.0669</v>
      </c>
      <c r="H4062" s="4">
        <v>0</v>
      </c>
      <c r="I4062" s="6">
        <v>3470276</v>
      </c>
      <c r="J4062" s="7">
        <v>501.87</v>
      </c>
      <c r="K4062" s="9">
        <f>(PricingDataTable[[#This Row],[Current Price ($)]]-PricingDataTable[[#This Row],[Prior Price ($)]])/PricingDataTable[[#This Row],[Prior Price ($)]]</f>
        <v>1.0435505896562733E-2</v>
      </c>
      <c r="L4062" s="9">
        <f>(PricingDataTable[[#This Row],[Vendor Price ($)]]-PricingDataTable[[#This Row],[Current Price ($)]])/PricingDataTable[[#This Row],[Current Price ($)]]</f>
        <v>-8.8574471418040247E-4</v>
      </c>
      <c r="M4062" t="str">
        <f t="shared" si="126"/>
        <v>PASS</v>
      </c>
      <c r="N4062" s="10" t="str">
        <f t="shared" si="127"/>
        <v>NONE</v>
      </c>
    </row>
    <row r="4063" spans="1:14">
      <c r="A4063" s="4" t="s">
        <v>8142</v>
      </c>
      <c r="B4063" s="4" t="s">
        <v>8143</v>
      </c>
      <c r="C4063" s="4" t="s">
        <v>19</v>
      </c>
      <c r="D4063" s="4" t="s">
        <v>13</v>
      </c>
      <c r="E4063" s="5">
        <v>279.59120000000001</v>
      </c>
      <c r="F4063" s="5">
        <v>278.8193</v>
      </c>
      <c r="G4063" s="5">
        <v>278.81319999999999</v>
      </c>
      <c r="H4063" s="4">
        <v>0</v>
      </c>
      <c r="I4063" s="6">
        <v>3515071</v>
      </c>
      <c r="J4063" s="7">
        <v>507.6</v>
      </c>
      <c r="K4063" s="9">
        <f>(PricingDataTable[[#This Row],[Current Price ($)]]-PricingDataTable[[#This Row],[Prior Price ($)]])/PricingDataTable[[#This Row],[Prior Price ($)]]</f>
        <v>-2.760816506385095E-3</v>
      </c>
      <c r="L4063" s="9">
        <f>(PricingDataTable[[#This Row],[Vendor Price ($)]]-PricingDataTable[[#This Row],[Current Price ($)]])/PricingDataTable[[#This Row],[Current Price ($)]]</f>
        <v>-2.187796899283352E-5</v>
      </c>
      <c r="M4063" t="str">
        <f t="shared" si="126"/>
        <v>PASS</v>
      </c>
      <c r="N4063" s="10" t="str">
        <f t="shared" si="127"/>
        <v>NONE</v>
      </c>
    </row>
    <row r="4064" spans="1:14">
      <c r="A4064" s="4" t="s">
        <v>8144</v>
      </c>
      <c r="B4064" s="4" t="s">
        <v>8145</v>
      </c>
      <c r="C4064" s="4" t="s">
        <v>16</v>
      </c>
      <c r="D4064" s="4" t="s">
        <v>13</v>
      </c>
      <c r="E4064" s="5">
        <v>104.3432</v>
      </c>
      <c r="F4064" s="5">
        <v>101.642</v>
      </c>
      <c r="G4064" s="5">
        <v>102.7668</v>
      </c>
      <c r="H4064" s="4">
        <v>3</v>
      </c>
      <c r="I4064" s="6">
        <v>2373477</v>
      </c>
      <c r="J4064" s="7">
        <v>431.54</v>
      </c>
      <c r="K4064" s="9">
        <f>(PricingDataTable[[#This Row],[Current Price ($)]]-PricingDataTable[[#This Row],[Prior Price ($)]])/PricingDataTable[[#This Row],[Prior Price ($)]]</f>
        <v>-2.5887647685714069E-2</v>
      </c>
      <c r="L4064" s="9">
        <f>(PricingDataTable[[#This Row],[Vendor Price ($)]]-PricingDataTable[[#This Row],[Current Price ($)]])/PricingDataTable[[#This Row],[Current Price ($)]]</f>
        <v>1.106629149367395E-2</v>
      </c>
      <c r="M4064" t="str">
        <f t="shared" si="126"/>
        <v>STALE</v>
      </c>
      <c r="N4064" s="10" t="str">
        <f t="shared" si="127"/>
        <v>LOW</v>
      </c>
    </row>
    <row r="4065" spans="1:14">
      <c r="A4065" s="4" t="s">
        <v>8146</v>
      </c>
      <c r="B4065" s="4" t="s">
        <v>8147</v>
      </c>
      <c r="C4065" s="4" t="s">
        <v>39</v>
      </c>
      <c r="D4065" s="4" t="s">
        <v>13</v>
      </c>
      <c r="E4065" s="5">
        <v>289.08960000000002</v>
      </c>
      <c r="F4065" s="5">
        <v>288.2045</v>
      </c>
      <c r="G4065" s="5">
        <v>288.59719999999999</v>
      </c>
      <c r="H4065" s="4">
        <v>1</v>
      </c>
      <c r="I4065" s="6">
        <v>1954970</v>
      </c>
      <c r="J4065" s="7">
        <v>207.81</v>
      </c>
      <c r="K4065" s="9">
        <f>(PricingDataTable[[#This Row],[Current Price ($)]]-PricingDataTable[[#This Row],[Prior Price ($)]])/PricingDataTable[[#This Row],[Prior Price ($)]]</f>
        <v>-3.0616805308804696E-3</v>
      </c>
      <c r="L4065" s="9">
        <f>(PricingDataTable[[#This Row],[Vendor Price ($)]]-PricingDataTable[[#This Row],[Current Price ($)]])/PricingDataTable[[#This Row],[Current Price ($)]]</f>
        <v>1.3625741444009054E-3</v>
      </c>
      <c r="M4065" t="str">
        <f t="shared" si="126"/>
        <v>PASS</v>
      </c>
      <c r="N4065" s="10" t="str">
        <f t="shared" si="127"/>
        <v>NONE</v>
      </c>
    </row>
    <row r="4066" spans="1:14">
      <c r="A4066" s="4" t="s">
        <v>8148</v>
      </c>
      <c r="B4066" s="4" t="s">
        <v>8149</v>
      </c>
      <c r="C4066" s="4" t="s">
        <v>16</v>
      </c>
      <c r="D4066" s="4" t="s">
        <v>13</v>
      </c>
      <c r="E4066" s="5">
        <v>83.750399999999999</v>
      </c>
      <c r="F4066" s="5">
        <v>84.061700000000002</v>
      </c>
      <c r="G4066" s="5">
        <v>84.020200000000003</v>
      </c>
      <c r="H4066" s="4">
        <v>0</v>
      </c>
      <c r="I4066" s="6">
        <v>4553593</v>
      </c>
      <c r="J4066" s="7">
        <v>125.63</v>
      </c>
      <c r="K4066" s="9">
        <f>(PricingDataTable[[#This Row],[Current Price ($)]]-PricingDataTable[[#This Row],[Prior Price ($)]])/PricingDataTable[[#This Row],[Prior Price ($)]]</f>
        <v>3.7169971725508513E-3</v>
      </c>
      <c r="L4066" s="9">
        <f>(PricingDataTable[[#This Row],[Vendor Price ($)]]-PricingDataTable[[#This Row],[Current Price ($)]])/PricingDataTable[[#This Row],[Current Price ($)]]</f>
        <v>-4.9368499566388975E-4</v>
      </c>
      <c r="M4066" t="str">
        <f t="shared" si="126"/>
        <v>PASS</v>
      </c>
      <c r="N4066" s="10" t="str">
        <f t="shared" si="127"/>
        <v>NONE</v>
      </c>
    </row>
    <row r="4067" spans="1:14">
      <c r="A4067" s="4" t="s">
        <v>8150</v>
      </c>
      <c r="B4067" s="4" t="s">
        <v>8151</v>
      </c>
      <c r="C4067" s="4" t="s">
        <v>16</v>
      </c>
      <c r="D4067" s="4" t="s">
        <v>13</v>
      </c>
      <c r="E4067" s="5">
        <v>108.4616</v>
      </c>
      <c r="F4067" s="5">
        <v>108.3323</v>
      </c>
      <c r="G4067" s="5">
        <v>107.7188</v>
      </c>
      <c r="H4067" s="4">
        <v>2</v>
      </c>
      <c r="I4067" s="6">
        <v>4453717</v>
      </c>
      <c r="J4067" s="7">
        <v>181.67</v>
      </c>
      <c r="K4067" s="9">
        <f>(PricingDataTable[[#This Row],[Current Price ($)]]-PricingDataTable[[#This Row],[Prior Price ($)]])/PricingDataTable[[#This Row],[Prior Price ($)]]</f>
        <v>-1.19212698319037E-3</v>
      </c>
      <c r="L4067" s="9">
        <f>(PricingDataTable[[#This Row],[Vendor Price ($)]]-PricingDataTable[[#This Row],[Current Price ($)]])/PricingDataTable[[#This Row],[Current Price ($)]]</f>
        <v>-5.6631309406336055E-3</v>
      </c>
      <c r="M4067" t="str">
        <f t="shared" si="126"/>
        <v>PASS</v>
      </c>
      <c r="N4067" s="10" t="str">
        <f t="shared" si="127"/>
        <v>NONE</v>
      </c>
    </row>
    <row r="4068" spans="1:14">
      <c r="A4068" s="4" t="s">
        <v>8152</v>
      </c>
      <c r="B4068" s="4" t="s">
        <v>8153</v>
      </c>
      <c r="C4068" s="4" t="s">
        <v>39</v>
      </c>
      <c r="D4068" s="4" t="s">
        <v>13</v>
      </c>
      <c r="E4068" s="5">
        <v>138.1446</v>
      </c>
      <c r="F4068" s="5">
        <v>137.57239999999999</v>
      </c>
      <c r="G4068" s="5">
        <v>137.92179999999999</v>
      </c>
      <c r="H4068" s="4">
        <v>0</v>
      </c>
      <c r="I4068" s="6">
        <v>4220461</v>
      </c>
      <c r="J4068" s="7">
        <v>515.17999999999995</v>
      </c>
      <c r="K4068" s="9">
        <f>(PricingDataTable[[#This Row],[Current Price ($)]]-PricingDataTable[[#This Row],[Prior Price ($)]])/PricingDataTable[[#This Row],[Prior Price ($)]]</f>
        <v>-4.1420366775104444E-3</v>
      </c>
      <c r="L4068" s="9">
        <f>(PricingDataTable[[#This Row],[Vendor Price ($)]]-PricingDataTable[[#This Row],[Current Price ($)]])/PricingDataTable[[#This Row],[Current Price ($)]]</f>
        <v>2.5397536133701442E-3</v>
      </c>
      <c r="M4068" t="str">
        <f t="shared" si="126"/>
        <v>PASS</v>
      </c>
      <c r="N4068" s="10" t="str">
        <f t="shared" si="127"/>
        <v>NONE</v>
      </c>
    </row>
    <row r="4069" spans="1:14">
      <c r="A4069" s="4" t="s">
        <v>8154</v>
      </c>
      <c r="B4069" s="4" t="s">
        <v>8155</v>
      </c>
      <c r="C4069" s="4" t="s">
        <v>12</v>
      </c>
      <c r="D4069" s="4" t="s">
        <v>13</v>
      </c>
      <c r="E4069" s="5">
        <v>89.317599999999999</v>
      </c>
      <c r="F4069" s="5">
        <v>88.530199999999994</v>
      </c>
      <c r="G4069" s="5">
        <v>88.636300000000006</v>
      </c>
      <c r="H4069" s="4">
        <v>0</v>
      </c>
      <c r="I4069" s="6">
        <v>370905</v>
      </c>
      <c r="J4069" s="7">
        <v>599.79999999999995</v>
      </c>
      <c r="K4069" s="9">
        <f>(PricingDataTable[[#This Row],[Current Price ($)]]-PricingDataTable[[#This Row],[Prior Price ($)]])/PricingDataTable[[#This Row],[Prior Price ($)]]</f>
        <v>-8.8157317258861102E-3</v>
      </c>
      <c r="L4069" s="9">
        <f>(PricingDataTable[[#This Row],[Vendor Price ($)]]-PricingDataTable[[#This Row],[Current Price ($)]])/PricingDataTable[[#This Row],[Current Price ($)]]</f>
        <v>1.1984610901140185E-3</v>
      </c>
      <c r="M4069" t="str">
        <f t="shared" si="126"/>
        <v>PASS</v>
      </c>
      <c r="N4069" s="10" t="str">
        <f t="shared" si="127"/>
        <v>NONE</v>
      </c>
    </row>
    <row r="4070" spans="1:14">
      <c r="A4070" s="4" t="s">
        <v>8156</v>
      </c>
      <c r="B4070" s="4" t="s">
        <v>8157</v>
      </c>
      <c r="C4070" s="4" t="s">
        <v>16</v>
      </c>
      <c r="D4070" s="4" t="s">
        <v>13</v>
      </c>
      <c r="E4070" s="5">
        <v>80.914599999999993</v>
      </c>
      <c r="F4070" s="5">
        <v>79.440100000000001</v>
      </c>
      <c r="G4070" s="5">
        <v>81.780900000000003</v>
      </c>
      <c r="H4070" s="4">
        <v>0</v>
      </c>
      <c r="I4070" s="6">
        <v>281205</v>
      </c>
      <c r="J4070" s="7">
        <v>660.4</v>
      </c>
      <c r="K4070" s="9">
        <f>(PricingDataTable[[#This Row],[Current Price ($)]]-PricingDataTable[[#This Row],[Prior Price ($)]])/PricingDataTable[[#This Row],[Prior Price ($)]]</f>
        <v>-1.8222916507033244E-2</v>
      </c>
      <c r="L4070" s="9">
        <f>(PricingDataTable[[#This Row],[Vendor Price ($)]]-PricingDataTable[[#This Row],[Current Price ($)]])/PricingDataTable[[#This Row],[Current Price ($)]]</f>
        <v>2.9466226754498063E-2</v>
      </c>
      <c r="M4070" t="str">
        <f t="shared" si="126"/>
        <v>VENDOR DIFFERENCE</v>
      </c>
      <c r="N4070" s="10" t="str">
        <f t="shared" si="127"/>
        <v>LOW</v>
      </c>
    </row>
    <row r="4071" spans="1:14">
      <c r="A4071" s="4" t="s">
        <v>8158</v>
      </c>
      <c r="B4071" s="4" t="s">
        <v>8159</v>
      </c>
      <c r="C4071" s="4" t="s">
        <v>19</v>
      </c>
      <c r="D4071" s="4" t="s">
        <v>13</v>
      </c>
      <c r="E4071" s="5">
        <v>202.73490000000001</v>
      </c>
      <c r="F4071" s="5">
        <v>203.8467</v>
      </c>
      <c r="G4071" s="5">
        <v>203.47450000000001</v>
      </c>
      <c r="H4071" s="4">
        <v>0</v>
      </c>
      <c r="I4071" s="6">
        <v>1718014</v>
      </c>
      <c r="J4071" s="7">
        <v>627.53</v>
      </c>
      <c r="K4071" s="9">
        <f>(PricingDataTable[[#This Row],[Current Price ($)]]-PricingDataTable[[#This Row],[Prior Price ($)]])/PricingDataTable[[#This Row],[Prior Price ($)]]</f>
        <v>5.4840089200230849E-3</v>
      </c>
      <c r="L4071" s="9">
        <f>(PricingDataTable[[#This Row],[Vendor Price ($)]]-PricingDataTable[[#This Row],[Current Price ($)]])/PricingDataTable[[#This Row],[Current Price ($)]]</f>
        <v>-1.8258819004673232E-3</v>
      </c>
      <c r="M4071" t="str">
        <f t="shared" si="126"/>
        <v>PASS</v>
      </c>
      <c r="N4071" s="10" t="str">
        <f t="shared" si="127"/>
        <v>NONE</v>
      </c>
    </row>
    <row r="4072" spans="1:14">
      <c r="A4072" s="4" t="s">
        <v>8160</v>
      </c>
      <c r="B4072" s="4" t="s">
        <v>8161</v>
      </c>
      <c r="C4072" s="4" t="s">
        <v>19</v>
      </c>
      <c r="D4072" s="4" t="s">
        <v>32</v>
      </c>
      <c r="E4072" s="5">
        <v>124.62779999999999</v>
      </c>
      <c r="F4072" s="5">
        <v>123.0154</v>
      </c>
      <c r="G4072" s="5">
        <v>114.95959999999999</v>
      </c>
      <c r="H4072" s="4">
        <v>0</v>
      </c>
      <c r="I4072" s="6">
        <v>4837475</v>
      </c>
      <c r="J4072" s="7">
        <v>788.18</v>
      </c>
      <c r="K4072" s="9">
        <f>(PricingDataTable[[#This Row],[Current Price ($)]]-PricingDataTable[[#This Row],[Prior Price ($)]])/PricingDataTable[[#This Row],[Prior Price ($)]]</f>
        <v>-1.2937723365091849E-2</v>
      </c>
      <c r="L4072" s="9">
        <f>(PricingDataTable[[#This Row],[Vendor Price ($)]]-PricingDataTable[[#This Row],[Current Price ($)]])/PricingDataTable[[#This Row],[Current Price ($)]]</f>
        <v>-6.5486109869170889E-2</v>
      </c>
      <c r="M4072" t="str">
        <f t="shared" si="126"/>
        <v>VENDOR DIFFERENCE</v>
      </c>
      <c r="N4072" s="10" t="str">
        <f t="shared" si="127"/>
        <v>HIGH</v>
      </c>
    </row>
    <row r="4073" spans="1:14">
      <c r="A4073" s="4" t="s">
        <v>8162</v>
      </c>
      <c r="B4073" s="4" t="s">
        <v>8163</v>
      </c>
      <c r="C4073" s="4" t="s">
        <v>12</v>
      </c>
      <c r="D4073" s="4" t="s">
        <v>13</v>
      </c>
      <c r="E4073" s="5">
        <v>117.922</v>
      </c>
      <c r="F4073" s="5">
        <v>120.1645</v>
      </c>
      <c r="G4073" s="5">
        <v>120.0009</v>
      </c>
      <c r="H4073" s="4">
        <v>0</v>
      </c>
      <c r="I4073" s="6">
        <v>834922</v>
      </c>
      <c r="J4073" s="7">
        <v>229.66</v>
      </c>
      <c r="K4073" s="9">
        <f>(PricingDataTable[[#This Row],[Current Price ($)]]-PricingDataTable[[#This Row],[Prior Price ($)]])/PricingDataTable[[#This Row],[Prior Price ($)]]</f>
        <v>1.9016807720357583E-2</v>
      </c>
      <c r="L4073" s="9">
        <f>(PricingDataTable[[#This Row],[Vendor Price ($)]]-PricingDataTable[[#This Row],[Current Price ($)]])/PricingDataTable[[#This Row],[Current Price ($)]]</f>
        <v>-1.3614669890025957E-3</v>
      </c>
      <c r="M4073" t="str">
        <f t="shared" si="126"/>
        <v>PASS</v>
      </c>
      <c r="N4073" s="10" t="str">
        <f t="shared" si="127"/>
        <v>NONE</v>
      </c>
    </row>
    <row r="4074" spans="1:14">
      <c r="A4074" s="4" t="s">
        <v>8164</v>
      </c>
      <c r="B4074" s="4" t="s">
        <v>8165</v>
      </c>
      <c r="C4074" s="4" t="s">
        <v>19</v>
      </c>
      <c r="D4074" s="4" t="s">
        <v>32</v>
      </c>
      <c r="E4074" s="5">
        <v>21.895700000000001</v>
      </c>
      <c r="F4074" s="5">
        <v>21.350300000000001</v>
      </c>
      <c r="G4074" s="5">
        <v>21.3904</v>
      </c>
      <c r="H4074" s="4">
        <v>0</v>
      </c>
      <c r="I4074" s="6">
        <v>3533941</v>
      </c>
      <c r="J4074" s="7">
        <v>568.17999999999995</v>
      </c>
      <c r="K4074" s="9">
        <f>(PricingDataTable[[#This Row],[Current Price ($)]]-PricingDataTable[[#This Row],[Prior Price ($)]])/PricingDataTable[[#This Row],[Prior Price ($)]]</f>
        <v>-2.4909000397338323E-2</v>
      </c>
      <c r="L4074" s="9">
        <f>(PricingDataTable[[#This Row],[Vendor Price ($)]]-PricingDataTable[[#This Row],[Current Price ($)]])/PricingDataTable[[#This Row],[Current Price ($)]]</f>
        <v>1.8781937490339204E-3</v>
      </c>
      <c r="M4074" t="str">
        <f t="shared" si="126"/>
        <v>PASS</v>
      </c>
      <c r="N4074" s="10" t="str">
        <f t="shared" si="127"/>
        <v>NONE</v>
      </c>
    </row>
    <row r="4075" spans="1:14">
      <c r="A4075" s="4" t="s">
        <v>8166</v>
      </c>
      <c r="B4075" s="4" t="s">
        <v>8167</v>
      </c>
      <c r="C4075" s="4" t="s">
        <v>16</v>
      </c>
      <c r="D4075" s="4" t="s">
        <v>32</v>
      </c>
      <c r="E4075" s="5">
        <v>86.020700000000005</v>
      </c>
      <c r="F4075" s="5">
        <v>87.848699999999994</v>
      </c>
      <c r="G4075" s="5">
        <v>88.233800000000002</v>
      </c>
      <c r="H4075" s="4">
        <v>0</v>
      </c>
      <c r="I4075" s="6">
        <v>800699</v>
      </c>
      <c r="J4075" s="7">
        <v>331.4</v>
      </c>
      <c r="K4075" s="9">
        <f>(PricingDataTable[[#This Row],[Current Price ($)]]-PricingDataTable[[#This Row],[Prior Price ($)]])/PricingDataTable[[#This Row],[Prior Price ($)]]</f>
        <v>2.1250698959668878E-2</v>
      </c>
      <c r="L4075" s="9">
        <f>(PricingDataTable[[#This Row],[Vendor Price ($)]]-PricingDataTable[[#This Row],[Current Price ($)]])/PricingDataTable[[#This Row],[Current Price ($)]]</f>
        <v>4.3836732928319768E-3</v>
      </c>
      <c r="M4075" t="str">
        <f t="shared" si="126"/>
        <v>PASS</v>
      </c>
      <c r="N4075" s="10" t="str">
        <f t="shared" si="127"/>
        <v>NONE</v>
      </c>
    </row>
    <row r="4076" spans="1:14">
      <c r="A4076" s="4" t="s">
        <v>8168</v>
      </c>
      <c r="B4076" s="4" t="s">
        <v>8169</v>
      </c>
      <c r="C4076" s="4" t="s">
        <v>39</v>
      </c>
      <c r="D4076" s="4" t="s">
        <v>32</v>
      </c>
      <c r="E4076" s="5">
        <v>303.3877</v>
      </c>
      <c r="F4076" s="5">
        <v>302.6653</v>
      </c>
      <c r="G4076" s="5">
        <v>303.0453</v>
      </c>
      <c r="H4076" s="4">
        <v>5</v>
      </c>
      <c r="I4076" s="6">
        <v>1552299</v>
      </c>
      <c r="J4076" s="7">
        <v>841.8</v>
      </c>
      <c r="K4076" s="9">
        <f>(PricingDataTable[[#This Row],[Current Price ($)]]-PricingDataTable[[#This Row],[Prior Price ($)]])/PricingDataTable[[#This Row],[Prior Price ($)]]</f>
        <v>-2.3811116930580684E-3</v>
      </c>
      <c r="L4076" s="9">
        <f>(PricingDataTable[[#This Row],[Vendor Price ($)]]-PricingDataTable[[#This Row],[Current Price ($)]])/PricingDataTable[[#This Row],[Current Price ($)]]</f>
        <v>1.2555122770928661E-3</v>
      </c>
      <c r="M4076" t="str">
        <f t="shared" si="126"/>
        <v>STALE</v>
      </c>
      <c r="N4076" s="10" t="str">
        <f t="shared" si="127"/>
        <v>MEDIUM</v>
      </c>
    </row>
    <row r="4077" spans="1:14">
      <c r="A4077" s="4" t="s">
        <v>8170</v>
      </c>
      <c r="B4077" s="4" t="s">
        <v>8171</v>
      </c>
      <c r="C4077" s="4" t="s">
        <v>35</v>
      </c>
      <c r="D4077" s="4" t="s">
        <v>36</v>
      </c>
      <c r="E4077" s="5">
        <v>116.1056</v>
      </c>
      <c r="F4077" s="5">
        <v>116.82259999999999</v>
      </c>
      <c r="G4077" s="5">
        <v>116.8775</v>
      </c>
      <c r="H4077" s="4">
        <v>1</v>
      </c>
      <c r="I4077" s="6">
        <v>1913339</v>
      </c>
      <c r="J4077" s="7">
        <v>309.42</v>
      </c>
      <c r="K4077" s="9">
        <f>(PricingDataTable[[#This Row],[Current Price ($)]]-PricingDataTable[[#This Row],[Prior Price ($)]])/PricingDataTable[[#This Row],[Prior Price ($)]]</f>
        <v>6.1754127277237171E-3</v>
      </c>
      <c r="L4077" s="9">
        <f>(PricingDataTable[[#This Row],[Vendor Price ($)]]-PricingDataTable[[#This Row],[Current Price ($)]])/PricingDataTable[[#This Row],[Current Price ($)]]</f>
        <v>4.6994331576256227E-4</v>
      </c>
      <c r="M4077" t="str">
        <f t="shared" si="126"/>
        <v>PASS</v>
      </c>
      <c r="N4077" s="10" t="str">
        <f t="shared" si="127"/>
        <v>NONE</v>
      </c>
    </row>
    <row r="4078" spans="1:14">
      <c r="A4078" s="4" t="s">
        <v>8172</v>
      </c>
      <c r="B4078" s="4" t="s">
        <v>8173</v>
      </c>
      <c r="C4078" s="4" t="s">
        <v>19</v>
      </c>
      <c r="D4078" s="4" t="s">
        <v>13</v>
      </c>
      <c r="E4078" s="5">
        <v>333.97039999999998</v>
      </c>
      <c r="F4078" s="5">
        <v>332.77730000000003</v>
      </c>
      <c r="G4078" s="5">
        <v>335.4905</v>
      </c>
      <c r="H4078" s="4">
        <v>5</v>
      </c>
      <c r="I4078" s="6">
        <v>2191984</v>
      </c>
      <c r="J4078" s="7">
        <v>782.81</v>
      </c>
      <c r="K4078" s="9">
        <f>(PricingDataTable[[#This Row],[Current Price ($)]]-PricingDataTable[[#This Row],[Prior Price ($)]])/PricingDataTable[[#This Row],[Prior Price ($)]]</f>
        <v>-3.5724722909573981E-3</v>
      </c>
      <c r="L4078" s="9">
        <f>(PricingDataTable[[#This Row],[Vendor Price ($)]]-PricingDataTable[[#This Row],[Current Price ($)]])/PricingDataTable[[#This Row],[Current Price ($)]]</f>
        <v>8.1532003535096046E-3</v>
      </c>
      <c r="M4078" t="str">
        <f t="shared" si="126"/>
        <v>STALE</v>
      </c>
      <c r="N4078" s="10" t="str">
        <f t="shared" si="127"/>
        <v>MEDIUM</v>
      </c>
    </row>
    <row r="4079" spans="1:14">
      <c r="A4079" s="4" t="s">
        <v>8174</v>
      </c>
      <c r="B4079" s="4" t="s">
        <v>8175</v>
      </c>
      <c r="C4079" s="4" t="s">
        <v>19</v>
      </c>
      <c r="D4079" s="4" t="s">
        <v>13</v>
      </c>
      <c r="E4079" s="5">
        <v>238.3758</v>
      </c>
      <c r="F4079" s="5">
        <v>237.9307</v>
      </c>
      <c r="G4079" s="5">
        <v>237.524</v>
      </c>
      <c r="H4079" s="4">
        <v>0</v>
      </c>
      <c r="I4079" s="6">
        <v>4283645</v>
      </c>
      <c r="J4079" s="7">
        <v>267.39999999999998</v>
      </c>
      <c r="K4079" s="9">
        <f>(PricingDataTable[[#This Row],[Current Price ($)]]-PricingDataTable[[#This Row],[Prior Price ($)]])/PricingDataTable[[#This Row],[Prior Price ($)]]</f>
        <v>-1.8672197429436901E-3</v>
      </c>
      <c r="L4079" s="9">
        <f>(PricingDataTable[[#This Row],[Vendor Price ($)]]-PricingDataTable[[#This Row],[Current Price ($)]])/PricingDataTable[[#This Row],[Current Price ($)]]</f>
        <v>-1.7093212435385628E-3</v>
      </c>
      <c r="M4079" t="str">
        <f t="shared" si="126"/>
        <v>PASS</v>
      </c>
      <c r="N4079" s="10" t="str">
        <f t="shared" si="127"/>
        <v>NONE</v>
      </c>
    </row>
    <row r="4080" spans="1:14">
      <c r="A4080" s="4" t="s">
        <v>8176</v>
      </c>
      <c r="B4080" s="4" t="s">
        <v>8177</v>
      </c>
      <c r="C4080" s="4" t="s">
        <v>35</v>
      </c>
      <c r="D4080" s="4" t="s">
        <v>13</v>
      </c>
      <c r="E4080" s="5">
        <v>157.8083</v>
      </c>
      <c r="F4080" s="5">
        <v>155.06870000000001</v>
      </c>
      <c r="G4080" s="5">
        <v>155.10589999999999</v>
      </c>
      <c r="H4080" s="4">
        <v>0</v>
      </c>
      <c r="I4080" s="6">
        <v>1668075</v>
      </c>
      <c r="J4080" s="7">
        <v>555.97</v>
      </c>
      <c r="K4080" s="9">
        <f>(PricingDataTable[[#This Row],[Current Price ($)]]-PricingDataTable[[#This Row],[Prior Price ($)]])/PricingDataTable[[#This Row],[Prior Price ($)]]</f>
        <v>-1.7360303608872255E-2</v>
      </c>
      <c r="L4080" s="9">
        <f>(PricingDataTable[[#This Row],[Vendor Price ($)]]-PricingDataTable[[#This Row],[Current Price ($)]])/PricingDataTable[[#This Row],[Current Price ($)]]</f>
        <v>2.3989367293325057E-4</v>
      </c>
      <c r="M4080" t="str">
        <f t="shared" si="126"/>
        <v>PASS</v>
      </c>
      <c r="N4080" s="10" t="str">
        <f t="shared" si="127"/>
        <v>NONE</v>
      </c>
    </row>
    <row r="4081" spans="1:14">
      <c r="A4081" s="4" t="s">
        <v>8178</v>
      </c>
      <c r="B4081" s="4" t="s">
        <v>8179</v>
      </c>
      <c r="C4081" s="4" t="s">
        <v>19</v>
      </c>
      <c r="D4081" s="4" t="s">
        <v>64</v>
      </c>
      <c r="E4081" s="5">
        <v>293.83730000000003</v>
      </c>
      <c r="F4081" s="5">
        <v>295.65460000000002</v>
      </c>
      <c r="G4081" s="5">
        <v>294.2706</v>
      </c>
      <c r="H4081" s="4">
        <v>1</v>
      </c>
      <c r="I4081" s="6">
        <v>1939100</v>
      </c>
      <c r="J4081" s="7">
        <v>10.199999999999999</v>
      </c>
      <c r="K4081" s="9">
        <f>(PricingDataTable[[#This Row],[Current Price ($)]]-PricingDataTable[[#This Row],[Prior Price ($)]])/PricingDataTable[[#This Row],[Prior Price ($)]]</f>
        <v>6.1847151467835726E-3</v>
      </c>
      <c r="L4081" s="9">
        <f>(PricingDataTable[[#This Row],[Vendor Price ($)]]-PricingDataTable[[#This Row],[Current Price ($)]])/PricingDataTable[[#This Row],[Current Price ($)]]</f>
        <v>-4.6811380577201044E-3</v>
      </c>
      <c r="M4081" t="str">
        <f t="shared" si="126"/>
        <v>PASS</v>
      </c>
      <c r="N4081" s="10" t="str">
        <f t="shared" si="127"/>
        <v>NONE</v>
      </c>
    </row>
    <row r="4082" spans="1:14">
      <c r="A4082" s="4" t="s">
        <v>8180</v>
      </c>
      <c r="B4082" s="4" t="s">
        <v>8181</v>
      </c>
      <c r="C4082" s="4" t="s">
        <v>12</v>
      </c>
      <c r="D4082" s="4" t="s">
        <v>13</v>
      </c>
      <c r="E4082" s="5">
        <v>93.083299999999994</v>
      </c>
      <c r="F4082" s="5">
        <v>90.805199999999999</v>
      </c>
      <c r="G4082" s="5">
        <v>90.555899999999994</v>
      </c>
      <c r="H4082" s="4">
        <v>0</v>
      </c>
      <c r="I4082" s="6">
        <v>4132199</v>
      </c>
      <c r="J4082" s="7">
        <v>815.89</v>
      </c>
      <c r="K4082" s="9">
        <f>(PricingDataTable[[#This Row],[Current Price ($)]]-PricingDataTable[[#This Row],[Prior Price ($)]])/PricingDataTable[[#This Row],[Prior Price ($)]]</f>
        <v>-2.4473777788282056E-2</v>
      </c>
      <c r="L4082" s="9">
        <f>(PricingDataTable[[#This Row],[Vendor Price ($)]]-PricingDataTable[[#This Row],[Current Price ($)]])/PricingDataTable[[#This Row],[Current Price ($)]]</f>
        <v>-2.7454374859590112E-3</v>
      </c>
      <c r="M4082" t="str">
        <f t="shared" si="126"/>
        <v>PASS</v>
      </c>
      <c r="N4082" s="10" t="str">
        <f t="shared" si="127"/>
        <v>NONE</v>
      </c>
    </row>
    <row r="4083" spans="1:14">
      <c r="A4083" s="4" t="s">
        <v>8182</v>
      </c>
      <c r="B4083" s="4" t="s">
        <v>8183</v>
      </c>
      <c r="C4083" s="4" t="s">
        <v>35</v>
      </c>
      <c r="D4083" s="4" t="s">
        <v>13</v>
      </c>
      <c r="E4083" s="5">
        <v>4.0148000000000001</v>
      </c>
      <c r="F4083" s="5">
        <v>3.2473999999999998</v>
      </c>
      <c r="G4083" s="5">
        <v>3.2429999999999999</v>
      </c>
      <c r="H4083" s="4">
        <v>0</v>
      </c>
      <c r="I4083" s="6">
        <v>2514772</v>
      </c>
      <c r="J4083" s="7">
        <v>11.41</v>
      </c>
      <c r="K4083" s="9">
        <f>(PricingDataTable[[#This Row],[Current Price ($)]]-PricingDataTable[[#This Row],[Prior Price ($)]])/PricingDataTable[[#This Row],[Prior Price ($)]]</f>
        <v>-0.19114277174454525</v>
      </c>
      <c r="L4083" s="9">
        <f>(PricingDataTable[[#This Row],[Vendor Price ($)]]-PricingDataTable[[#This Row],[Current Price ($)]])/PricingDataTable[[#This Row],[Current Price ($)]]</f>
        <v>-1.3549300979244811E-3</v>
      </c>
      <c r="M4083" t="str">
        <f t="shared" si="126"/>
        <v>LARGE MOVE</v>
      </c>
      <c r="N4083" s="10" t="str">
        <f t="shared" si="127"/>
        <v>HIGH</v>
      </c>
    </row>
    <row r="4084" spans="1:14">
      <c r="A4084" s="4" t="s">
        <v>8184</v>
      </c>
      <c r="B4084" s="4" t="s">
        <v>8185</v>
      </c>
      <c r="C4084" s="4" t="s">
        <v>35</v>
      </c>
      <c r="D4084" s="4" t="s">
        <v>13</v>
      </c>
      <c r="E4084" s="5">
        <v>143.0908</v>
      </c>
      <c r="F4084" s="5">
        <v>144.74029999999999</v>
      </c>
      <c r="G4084" s="5">
        <v>145.47929999999999</v>
      </c>
      <c r="H4084" s="4">
        <v>0</v>
      </c>
      <c r="I4084" s="6">
        <v>498870</v>
      </c>
      <c r="J4084" s="7">
        <v>300.36</v>
      </c>
      <c r="K4084" s="9">
        <f>(PricingDataTable[[#This Row],[Current Price ($)]]-PricingDataTable[[#This Row],[Prior Price ($)]])/PricingDataTable[[#This Row],[Prior Price ($)]]</f>
        <v>1.1527645383211143E-2</v>
      </c>
      <c r="L4084" s="9">
        <f>(PricingDataTable[[#This Row],[Vendor Price ($)]]-PricingDataTable[[#This Row],[Current Price ($)]])/PricingDataTable[[#This Row],[Current Price ($)]]</f>
        <v>5.1056962020944018E-3</v>
      </c>
      <c r="M4084" t="str">
        <f t="shared" si="126"/>
        <v>PASS</v>
      </c>
      <c r="N4084" s="10" t="str">
        <f t="shared" si="127"/>
        <v>NONE</v>
      </c>
    </row>
    <row r="4085" spans="1:14">
      <c r="A4085" s="4" t="s">
        <v>8186</v>
      </c>
      <c r="B4085" s="4" t="s">
        <v>8187</v>
      </c>
      <c r="C4085" s="4" t="s">
        <v>35</v>
      </c>
      <c r="D4085" s="4" t="s">
        <v>13</v>
      </c>
      <c r="E4085" s="5">
        <v>87.220299999999995</v>
      </c>
      <c r="F4085" s="5">
        <v>86.712999999999994</v>
      </c>
      <c r="G4085" s="5">
        <v>86.921199999999999</v>
      </c>
      <c r="H4085" s="4">
        <v>0</v>
      </c>
      <c r="I4085" s="6">
        <v>4684511</v>
      </c>
      <c r="J4085" s="7">
        <v>87.9</v>
      </c>
      <c r="K4085" s="9">
        <f>(PricingDataTable[[#This Row],[Current Price ($)]]-PricingDataTable[[#This Row],[Prior Price ($)]])/PricingDataTable[[#This Row],[Prior Price ($)]]</f>
        <v>-5.8163065249718328E-3</v>
      </c>
      <c r="L4085" s="9">
        <f>(PricingDataTable[[#This Row],[Vendor Price ($)]]-PricingDataTable[[#This Row],[Current Price ($)]])/PricingDataTable[[#This Row],[Current Price ($)]]</f>
        <v>2.4010240679022184E-3</v>
      </c>
      <c r="M4085" t="str">
        <f t="shared" si="126"/>
        <v>PASS</v>
      </c>
      <c r="N4085" s="10" t="str">
        <f t="shared" si="127"/>
        <v>NONE</v>
      </c>
    </row>
    <row r="4086" spans="1:14">
      <c r="A4086" s="4" t="s">
        <v>8188</v>
      </c>
      <c r="B4086" s="4" t="s">
        <v>8189</v>
      </c>
      <c r="C4086" s="4" t="s">
        <v>19</v>
      </c>
      <c r="D4086" s="4" t="s">
        <v>13</v>
      </c>
      <c r="E4086" s="5">
        <v>37.154200000000003</v>
      </c>
      <c r="F4086" s="5">
        <v>37.661099999999998</v>
      </c>
      <c r="G4086" s="5">
        <v>37.547400000000003</v>
      </c>
      <c r="H4086" s="4">
        <v>0</v>
      </c>
      <c r="I4086" s="6">
        <v>4065728</v>
      </c>
      <c r="J4086" s="7">
        <v>110.01</v>
      </c>
      <c r="K4086" s="9">
        <f>(PricingDataTable[[#This Row],[Current Price ($)]]-PricingDataTable[[#This Row],[Prior Price ($)]])/PricingDataTable[[#This Row],[Prior Price ($)]]</f>
        <v>1.3643141286853021E-2</v>
      </c>
      <c r="L4086" s="9">
        <f>(PricingDataTable[[#This Row],[Vendor Price ($)]]-PricingDataTable[[#This Row],[Current Price ($)]])/PricingDataTable[[#This Row],[Current Price ($)]]</f>
        <v>-3.0190302460627642E-3</v>
      </c>
      <c r="M4086" t="str">
        <f t="shared" si="126"/>
        <v>PASS</v>
      </c>
      <c r="N4086" s="10" t="str">
        <f t="shared" si="127"/>
        <v>NONE</v>
      </c>
    </row>
    <row r="4087" spans="1:14">
      <c r="A4087" s="4" t="s">
        <v>8190</v>
      </c>
      <c r="B4087" s="4" t="s">
        <v>8191</v>
      </c>
      <c r="C4087" s="4" t="s">
        <v>19</v>
      </c>
      <c r="D4087" s="4" t="s">
        <v>13</v>
      </c>
      <c r="E4087" s="5">
        <v>190.64080000000001</v>
      </c>
      <c r="F4087" s="5">
        <v>188.0993</v>
      </c>
      <c r="G4087" s="5">
        <v>188.3716</v>
      </c>
      <c r="H4087" s="4">
        <v>0</v>
      </c>
      <c r="I4087" s="6">
        <v>3724749</v>
      </c>
      <c r="J4087" s="7">
        <v>159.66</v>
      </c>
      <c r="K4087" s="9">
        <f>(PricingDataTable[[#This Row],[Current Price ($)]]-PricingDataTable[[#This Row],[Prior Price ($)]])/PricingDataTable[[#This Row],[Prior Price ($)]]</f>
        <v>-1.3331354043835387E-2</v>
      </c>
      <c r="L4087" s="9">
        <f>(PricingDataTable[[#This Row],[Vendor Price ($)]]-PricingDataTable[[#This Row],[Current Price ($)]])/PricingDataTable[[#This Row],[Current Price ($)]]</f>
        <v>1.4476396243898904E-3</v>
      </c>
      <c r="M4087" t="str">
        <f t="shared" si="126"/>
        <v>PASS</v>
      </c>
      <c r="N4087" s="10" t="str">
        <f t="shared" si="127"/>
        <v>NONE</v>
      </c>
    </row>
    <row r="4088" spans="1:14">
      <c r="A4088" s="4" t="s">
        <v>8192</v>
      </c>
      <c r="B4088" s="4" t="s">
        <v>8193</v>
      </c>
      <c r="C4088" s="4" t="s">
        <v>19</v>
      </c>
      <c r="D4088" s="4" t="s">
        <v>13</v>
      </c>
      <c r="E4088" s="5">
        <v>60.979399999999998</v>
      </c>
      <c r="F4088" s="5">
        <v>61.160200000000003</v>
      </c>
      <c r="G4088" s="5">
        <v>61.206600000000002</v>
      </c>
      <c r="H4088" s="4">
        <v>2</v>
      </c>
      <c r="I4088" s="6">
        <v>239339</v>
      </c>
      <c r="J4088" s="7">
        <v>144.15</v>
      </c>
      <c r="K4088" s="9">
        <f>(PricingDataTable[[#This Row],[Current Price ($)]]-PricingDataTable[[#This Row],[Prior Price ($)]])/PricingDataTable[[#This Row],[Prior Price ($)]]</f>
        <v>2.9649356995969946E-3</v>
      </c>
      <c r="L4088" s="9">
        <f>(PricingDataTable[[#This Row],[Vendor Price ($)]]-PricingDataTable[[#This Row],[Current Price ($)]])/PricingDataTable[[#This Row],[Current Price ($)]]</f>
        <v>7.5866331372360517E-4</v>
      </c>
      <c r="M4088" t="str">
        <f t="shared" si="126"/>
        <v>PASS</v>
      </c>
      <c r="N4088" s="10" t="str">
        <f t="shared" si="127"/>
        <v>NONE</v>
      </c>
    </row>
    <row r="4089" spans="1:14">
      <c r="A4089" s="4" t="s">
        <v>8194</v>
      </c>
      <c r="B4089" s="4" t="s">
        <v>8195</v>
      </c>
      <c r="C4089" s="4" t="s">
        <v>16</v>
      </c>
      <c r="D4089" s="4" t="s">
        <v>13</v>
      </c>
      <c r="E4089" s="5">
        <v>88.115300000000005</v>
      </c>
      <c r="F4089" s="5">
        <v>87.799199999999999</v>
      </c>
      <c r="G4089" s="5">
        <v>87.768199999999993</v>
      </c>
      <c r="H4089" s="4">
        <v>0</v>
      </c>
      <c r="I4089" s="6">
        <v>2344790</v>
      </c>
      <c r="J4089" s="7">
        <v>648.75</v>
      </c>
      <c r="K4089" s="9">
        <f>(PricingDataTable[[#This Row],[Current Price ($)]]-PricingDataTable[[#This Row],[Prior Price ($)]])/PricingDataTable[[#This Row],[Prior Price ($)]]</f>
        <v>-3.5873452170055121E-3</v>
      </c>
      <c r="L4089" s="9">
        <f>(PricingDataTable[[#This Row],[Vendor Price ($)]]-PricingDataTable[[#This Row],[Current Price ($)]])/PricingDataTable[[#This Row],[Current Price ($)]]</f>
        <v>-3.5307838795804416E-4</v>
      </c>
      <c r="M4089" t="str">
        <f t="shared" si="126"/>
        <v>PASS</v>
      </c>
      <c r="N4089" s="10" t="str">
        <f t="shared" si="127"/>
        <v>NONE</v>
      </c>
    </row>
    <row r="4090" spans="1:14">
      <c r="A4090" s="4" t="s">
        <v>8196</v>
      </c>
      <c r="B4090" s="4" t="s">
        <v>8197</v>
      </c>
      <c r="C4090" s="4" t="s">
        <v>39</v>
      </c>
      <c r="D4090" s="4" t="s">
        <v>32</v>
      </c>
      <c r="E4090" s="5">
        <v>277.1782</v>
      </c>
      <c r="F4090" s="5">
        <v>277.0813</v>
      </c>
      <c r="G4090" s="5">
        <v>278.30110000000002</v>
      </c>
      <c r="H4090" s="4">
        <v>0</v>
      </c>
      <c r="I4090" s="6">
        <v>4851343</v>
      </c>
      <c r="J4090" s="7">
        <v>41.71</v>
      </c>
      <c r="K4090" s="9">
        <f>(PricingDataTable[[#This Row],[Current Price ($)]]-PricingDataTable[[#This Row],[Prior Price ($)]])/PricingDataTable[[#This Row],[Prior Price ($)]]</f>
        <v>-3.4959459293698093E-4</v>
      </c>
      <c r="L4090" s="9">
        <f>(PricingDataTable[[#This Row],[Vendor Price ($)]]-PricingDataTable[[#This Row],[Current Price ($)]])/PricingDataTable[[#This Row],[Current Price ($)]]</f>
        <v>4.402318020018026E-3</v>
      </c>
      <c r="M4090" t="str">
        <f t="shared" si="126"/>
        <v>PASS</v>
      </c>
      <c r="N4090" s="10" t="str">
        <f t="shared" si="127"/>
        <v>NONE</v>
      </c>
    </row>
    <row r="4091" spans="1:14">
      <c r="A4091" s="4" t="s">
        <v>8198</v>
      </c>
      <c r="B4091" s="4" t="s">
        <v>8199</v>
      </c>
      <c r="C4091" s="4" t="s">
        <v>12</v>
      </c>
      <c r="D4091" s="4" t="s">
        <v>13</v>
      </c>
      <c r="E4091" s="5">
        <v>79.556600000000003</v>
      </c>
      <c r="F4091" s="5">
        <v>80.966300000000004</v>
      </c>
      <c r="G4091" s="5">
        <v>80.572100000000006</v>
      </c>
      <c r="H4091" s="4">
        <v>0</v>
      </c>
      <c r="I4091" s="6">
        <v>2485613</v>
      </c>
      <c r="J4091" s="7">
        <v>683.72</v>
      </c>
      <c r="K4091" s="9">
        <f>(PricingDataTable[[#This Row],[Current Price ($)]]-PricingDataTable[[#This Row],[Prior Price ($)]])/PricingDataTable[[#This Row],[Prior Price ($)]]</f>
        <v>1.7719460107646641E-2</v>
      </c>
      <c r="L4091" s="9">
        <f>(PricingDataTable[[#This Row],[Vendor Price ($)]]-PricingDataTable[[#This Row],[Current Price ($)]])/PricingDataTable[[#This Row],[Current Price ($)]]</f>
        <v>-4.8686922830856521E-3</v>
      </c>
      <c r="M4091" t="str">
        <f t="shared" si="126"/>
        <v>PASS</v>
      </c>
      <c r="N4091" s="10" t="str">
        <f t="shared" si="127"/>
        <v>NONE</v>
      </c>
    </row>
    <row r="4092" spans="1:14">
      <c r="A4092" s="4" t="s">
        <v>8200</v>
      </c>
      <c r="B4092" s="4" t="s">
        <v>8201</v>
      </c>
      <c r="C4092" s="4" t="s">
        <v>35</v>
      </c>
      <c r="D4092" s="4" t="s">
        <v>32</v>
      </c>
      <c r="E4092" s="5">
        <v>174.58629999999999</v>
      </c>
      <c r="F4092" s="5">
        <v>175.79740000000001</v>
      </c>
      <c r="G4092" s="5">
        <v>176.0044</v>
      </c>
      <c r="H4092" s="4">
        <v>1</v>
      </c>
      <c r="I4092" s="6">
        <v>2698872</v>
      </c>
      <c r="J4092" s="7">
        <v>290</v>
      </c>
      <c r="K4092" s="9">
        <f>(PricingDataTable[[#This Row],[Current Price ($)]]-PricingDataTable[[#This Row],[Prior Price ($)]])/PricingDataTable[[#This Row],[Prior Price ($)]]</f>
        <v>6.9369704266601454E-3</v>
      </c>
      <c r="L4092" s="9">
        <f>(PricingDataTable[[#This Row],[Vendor Price ($)]]-PricingDataTable[[#This Row],[Current Price ($)]])/PricingDataTable[[#This Row],[Current Price ($)]]</f>
        <v>1.1774918172850885E-3</v>
      </c>
      <c r="M4092" t="str">
        <f t="shared" si="126"/>
        <v>PASS</v>
      </c>
      <c r="N4092" s="10" t="str">
        <f t="shared" si="127"/>
        <v>NONE</v>
      </c>
    </row>
    <row r="4093" spans="1:14">
      <c r="A4093" s="4" t="s">
        <v>8202</v>
      </c>
      <c r="B4093" s="4" t="s">
        <v>8203</v>
      </c>
      <c r="C4093" s="4" t="s">
        <v>19</v>
      </c>
      <c r="D4093" s="4" t="s">
        <v>13</v>
      </c>
      <c r="E4093" s="5">
        <v>48.924900000000001</v>
      </c>
      <c r="F4093" s="5">
        <v>48.815300000000001</v>
      </c>
      <c r="G4093" s="5">
        <v>49.101700000000001</v>
      </c>
      <c r="H4093" s="4">
        <v>0</v>
      </c>
      <c r="I4093" s="6">
        <v>3776655</v>
      </c>
      <c r="J4093" s="7">
        <v>823.73</v>
      </c>
      <c r="K4093" s="9">
        <f>(PricingDataTable[[#This Row],[Current Price ($)]]-PricingDataTable[[#This Row],[Prior Price ($)]])/PricingDataTable[[#This Row],[Prior Price ($)]]</f>
        <v>-2.2401680943650443E-3</v>
      </c>
      <c r="L4093" s="9">
        <f>(PricingDataTable[[#This Row],[Vendor Price ($)]]-PricingDataTable[[#This Row],[Current Price ($)]])/PricingDataTable[[#This Row],[Current Price ($)]]</f>
        <v>5.867013006168157E-3</v>
      </c>
      <c r="M4093" t="str">
        <f t="shared" si="126"/>
        <v>PASS</v>
      </c>
      <c r="N4093" s="10" t="str">
        <f t="shared" si="127"/>
        <v>NONE</v>
      </c>
    </row>
    <row r="4094" spans="1:14">
      <c r="A4094" s="4" t="s">
        <v>8204</v>
      </c>
      <c r="B4094" s="4" t="s">
        <v>8205</v>
      </c>
      <c r="C4094" s="4" t="s">
        <v>19</v>
      </c>
      <c r="D4094" s="4" t="s">
        <v>13</v>
      </c>
      <c r="E4094" s="5">
        <v>325.84359999999998</v>
      </c>
      <c r="F4094" s="5">
        <v>329.86919999999998</v>
      </c>
      <c r="G4094" s="5">
        <v>328.94619999999998</v>
      </c>
      <c r="H4094" s="4">
        <v>0</v>
      </c>
      <c r="I4094" s="6">
        <v>2173721</v>
      </c>
      <c r="J4094" s="7">
        <v>95.88</v>
      </c>
      <c r="K4094" s="9">
        <f>(PricingDataTable[[#This Row],[Current Price ($)]]-PricingDataTable[[#This Row],[Prior Price ($)]])/PricingDataTable[[#This Row],[Prior Price ($)]]</f>
        <v>1.2354393334716402E-2</v>
      </c>
      <c r="L4094" s="9">
        <f>(PricingDataTable[[#This Row],[Vendor Price ($)]]-PricingDataTable[[#This Row],[Current Price ($)]])/PricingDataTable[[#This Row],[Current Price ($)]]</f>
        <v>-2.798078753639327E-3</v>
      </c>
      <c r="M4094" t="str">
        <f t="shared" si="126"/>
        <v>PASS</v>
      </c>
      <c r="N4094" s="10" t="str">
        <f t="shared" si="127"/>
        <v>NONE</v>
      </c>
    </row>
    <row r="4095" spans="1:14">
      <c r="A4095" s="4" t="s">
        <v>8206</v>
      </c>
      <c r="B4095" s="4" t="s">
        <v>8207</v>
      </c>
      <c r="C4095" s="4" t="s">
        <v>39</v>
      </c>
      <c r="D4095" s="4" t="s">
        <v>36</v>
      </c>
      <c r="E4095" s="5">
        <v>270.49180000000001</v>
      </c>
      <c r="F4095" s="5">
        <v>267.80799999999999</v>
      </c>
      <c r="G4095" s="5">
        <v>268.03410000000002</v>
      </c>
      <c r="H4095" s="4">
        <v>0</v>
      </c>
      <c r="I4095" s="6">
        <v>1260641</v>
      </c>
      <c r="J4095" s="7">
        <v>896.18</v>
      </c>
      <c r="K4095" s="9">
        <f>(PricingDataTable[[#This Row],[Current Price ($)]]-PricingDataTable[[#This Row],[Prior Price ($)]])/PricingDataTable[[#This Row],[Prior Price ($)]]</f>
        <v>-9.9219273929931299E-3</v>
      </c>
      <c r="L4095" s="9">
        <f>(PricingDataTable[[#This Row],[Vendor Price ($)]]-PricingDataTable[[#This Row],[Current Price ($)]])/PricingDataTable[[#This Row],[Current Price ($)]]</f>
        <v>8.442615605210854E-4</v>
      </c>
      <c r="M4095" t="str">
        <f t="shared" si="126"/>
        <v>PASS</v>
      </c>
      <c r="N4095" s="10" t="str">
        <f t="shared" si="127"/>
        <v>NONE</v>
      </c>
    </row>
    <row r="4096" spans="1:14">
      <c r="A4096" s="4" t="s">
        <v>8208</v>
      </c>
      <c r="B4096" s="4" t="s">
        <v>8209</v>
      </c>
      <c r="C4096" s="4" t="s">
        <v>16</v>
      </c>
      <c r="D4096" s="4" t="s">
        <v>13</v>
      </c>
      <c r="E4096" s="5">
        <v>86.3459</v>
      </c>
      <c r="F4096" s="5">
        <v>87.256100000000004</v>
      </c>
      <c r="G4096" s="5">
        <v>86.848299999999995</v>
      </c>
      <c r="H4096" s="4">
        <v>0</v>
      </c>
      <c r="I4096" s="6">
        <v>942566</v>
      </c>
      <c r="J4096" s="7">
        <v>162.85</v>
      </c>
      <c r="K4096" s="9">
        <f>(PricingDataTable[[#This Row],[Current Price ($)]]-PricingDataTable[[#This Row],[Prior Price ($)]])/PricingDataTable[[#This Row],[Prior Price ($)]]</f>
        <v>1.0541322749545759E-2</v>
      </c>
      <c r="L4096" s="9">
        <f>(PricingDataTable[[#This Row],[Vendor Price ($)]]-PricingDataTable[[#This Row],[Current Price ($)]])/PricingDataTable[[#This Row],[Current Price ($)]]</f>
        <v>-4.6735987512621906E-3</v>
      </c>
      <c r="M4096" t="str">
        <f t="shared" si="126"/>
        <v>PASS</v>
      </c>
      <c r="N4096" s="10" t="str">
        <f t="shared" si="127"/>
        <v>NONE</v>
      </c>
    </row>
    <row r="4097" spans="1:14">
      <c r="A4097" s="4" t="s">
        <v>8210</v>
      </c>
      <c r="B4097" s="4" t="s">
        <v>8211</v>
      </c>
      <c r="C4097" s="4" t="s">
        <v>19</v>
      </c>
      <c r="D4097" s="4" t="s">
        <v>13</v>
      </c>
      <c r="E4097" s="5">
        <v>229.9111</v>
      </c>
      <c r="F4097" s="5">
        <v>237.54300000000001</v>
      </c>
      <c r="G4097" s="5">
        <v>238.29490000000001</v>
      </c>
      <c r="H4097" s="4">
        <v>0</v>
      </c>
      <c r="I4097" s="6">
        <v>3293923</v>
      </c>
      <c r="J4097" s="7">
        <v>195.42</v>
      </c>
      <c r="K4097" s="9">
        <f>(PricingDataTable[[#This Row],[Current Price ($)]]-PricingDataTable[[#This Row],[Prior Price ($)]])/PricingDataTable[[#This Row],[Prior Price ($)]]</f>
        <v>3.3195004503914778E-2</v>
      </c>
      <c r="L4097" s="9">
        <f>(PricingDataTable[[#This Row],[Vendor Price ($)]]-PricingDataTable[[#This Row],[Current Price ($)]])/PricingDataTable[[#This Row],[Current Price ($)]]</f>
        <v>3.1653216470281433E-3</v>
      </c>
      <c r="M4097" t="str">
        <f t="shared" si="126"/>
        <v>PASS</v>
      </c>
      <c r="N4097" s="10" t="str">
        <f t="shared" si="127"/>
        <v>NONE</v>
      </c>
    </row>
    <row r="4098" spans="1:14">
      <c r="A4098" s="4" t="s">
        <v>8212</v>
      </c>
      <c r="B4098" s="4" t="s">
        <v>8213</v>
      </c>
      <c r="C4098" s="4" t="s">
        <v>19</v>
      </c>
      <c r="D4098" s="4" t="s">
        <v>13</v>
      </c>
      <c r="E4098" s="5">
        <v>243.29390000000001</v>
      </c>
      <c r="F4098" s="5">
        <v>246.4967</v>
      </c>
      <c r="G4098" s="5">
        <v>246.19049999999999</v>
      </c>
      <c r="H4098" s="4">
        <v>0</v>
      </c>
      <c r="I4098" s="6">
        <v>2733485</v>
      </c>
      <c r="J4098" s="7">
        <v>851.08</v>
      </c>
      <c r="K4098" s="9">
        <f>(PricingDataTable[[#This Row],[Current Price ($)]]-PricingDataTable[[#This Row],[Prior Price ($)]])/PricingDataTable[[#This Row],[Prior Price ($)]]</f>
        <v>1.3164325122824684E-2</v>
      </c>
      <c r="L4098" s="9">
        <f>(PricingDataTable[[#This Row],[Vendor Price ($)]]-PricingDataTable[[#This Row],[Current Price ($)]])/PricingDataTable[[#This Row],[Current Price ($)]]</f>
        <v>-1.2422072993270022E-3</v>
      </c>
      <c r="M4098" t="str">
        <f t="shared" ref="M4098:M4161" si="128">IF(OR(F4098="",F4098=0),"MISSING",IF(H4098&gt;=3,"STALE",IF(ABS(K4098)&gt;=5%,"LARGE MOVE",IF(ABS(L4098)&gt;=2%,"VENDOR DIFFERENCE","PASS"))))</f>
        <v>PASS</v>
      </c>
      <c r="N4098" s="10" t="str">
        <f t="shared" ref="N4098:N4161" si="129">IF(M4098="PASS","NONE",IF(M4098="MISSING","HIGH",IF(OR(ABS(K4098)&gt;=10%,ABS(L4098)&gt;=5%),"HIGH",IF(OR(ABS(K4098)&gt;=7%,ABS(L4098)&gt;=3%,H4098&gt;=5),"MEDIUM","LOW"))))</f>
        <v>NONE</v>
      </c>
    </row>
    <row r="4099" spans="1:14">
      <c r="A4099" s="4" t="s">
        <v>8214</v>
      </c>
      <c r="B4099" s="4" t="s">
        <v>8215</v>
      </c>
      <c r="C4099" s="4" t="s">
        <v>19</v>
      </c>
      <c r="D4099" s="4" t="s">
        <v>13</v>
      </c>
      <c r="E4099" s="5">
        <v>23.793199999999999</v>
      </c>
      <c r="F4099" s="5">
        <v>24.082000000000001</v>
      </c>
      <c r="G4099" s="5">
        <v>24.0366</v>
      </c>
      <c r="H4099" s="4">
        <v>0</v>
      </c>
      <c r="I4099" s="6">
        <v>4909479</v>
      </c>
      <c r="J4099" s="7">
        <v>183.34</v>
      </c>
      <c r="K4099" s="9">
        <f>(PricingDataTable[[#This Row],[Current Price ($)]]-PricingDataTable[[#This Row],[Prior Price ($)]])/PricingDataTable[[#This Row],[Prior Price ($)]]</f>
        <v>1.2137921759158161E-2</v>
      </c>
      <c r="L4099" s="9">
        <f>(PricingDataTable[[#This Row],[Vendor Price ($)]]-PricingDataTable[[#This Row],[Current Price ($)]])/PricingDataTable[[#This Row],[Current Price ($)]]</f>
        <v>-1.8852254796113601E-3</v>
      </c>
      <c r="M4099" t="str">
        <f t="shared" si="128"/>
        <v>PASS</v>
      </c>
      <c r="N4099" s="10" t="str">
        <f t="shared" si="129"/>
        <v>NONE</v>
      </c>
    </row>
    <row r="4100" spans="1:14">
      <c r="A4100" s="4" t="s">
        <v>8216</v>
      </c>
      <c r="B4100" s="4" t="s">
        <v>8217</v>
      </c>
      <c r="C4100" s="4" t="s">
        <v>19</v>
      </c>
      <c r="D4100" s="4" t="s">
        <v>32</v>
      </c>
      <c r="E4100" s="5">
        <v>213.0051</v>
      </c>
      <c r="F4100" s="5">
        <v>213.5993</v>
      </c>
      <c r="G4100" s="5">
        <v>214.02440000000001</v>
      </c>
      <c r="H4100" s="4">
        <v>2</v>
      </c>
      <c r="I4100" s="6">
        <v>2724445</v>
      </c>
      <c r="J4100" s="7">
        <v>262.08999999999997</v>
      </c>
      <c r="K4100" s="9">
        <f>(PricingDataTable[[#This Row],[Current Price ($)]]-PricingDataTable[[#This Row],[Prior Price ($)]])/PricingDataTable[[#This Row],[Prior Price ($)]]</f>
        <v>2.7896045681535357E-3</v>
      </c>
      <c r="L4100" s="9">
        <f>(PricingDataTable[[#This Row],[Vendor Price ($)]]-PricingDataTable[[#This Row],[Current Price ($)]])/PricingDataTable[[#This Row],[Current Price ($)]]</f>
        <v>1.9901750614351953E-3</v>
      </c>
      <c r="M4100" t="str">
        <f t="shared" si="128"/>
        <v>PASS</v>
      </c>
      <c r="N4100" s="10" t="str">
        <f t="shared" si="129"/>
        <v>NONE</v>
      </c>
    </row>
    <row r="4101" spans="1:14">
      <c r="A4101" s="4" t="s">
        <v>8218</v>
      </c>
      <c r="B4101" s="4" t="s">
        <v>8219</v>
      </c>
      <c r="C4101" s="4" t="s">
        <v>19</v>
      </c>
      <c r="D4101" s="4" t="s">
        <v>13</v>
      </c>
      <c r="E4101" s="5">
        <v>297.06760000000003</v>
      </c>
      <c r="F4101" s="5">
        <v>301.32380000000001</v>
      </c>
      <c r="G4101" s="5">
        <v>301.00880000000001</v>
      </c>
      <c r="H4101" s="4">
        <v>3</v>
      </c>
      <c r="I4101" s="6">
        <v>1750228</v>
      </c>
      <c r="J4101" s="7">
        <v>388.13</v>
      </c>
      <c r="K4101" s="9">
        <f>(PricingDataTable[[#This Row],[Current Price ($)]]-PricingDataTable[[#This Row],[Prior Price ($)]])/PricingDataTable[[#This Row],[Prior Price ($)]]</f>
        <v>1.4327378684178207E-2</v>
      </c>
      <c r="L4101" s="9">
        <f>(PricingDataTable[[#This Row],[Vendor Price ($)]]-PricingDataTable[[#This Row],[Current Price ($)]])/PricingDataTable[[#This Row],[Current Price ($)]]</f>
        <v>-1.0453870553869217E-3</v>
      </c>
      <c r="M4101" t="str">
        <f t="shared" si="128"/>
        <v>STALE</v>
      </c>
      <c r="N4101" s="10" t="str">
        <f t="shared" si="129"/>
        <v>LOW</v>
      </c>
    </row>
    <row r="4102" spans="1:14">
      <c r="A4102" s="4" t="s">
        <v>8220</v>
      </c>
      <c r="B4102" s="4" t="s">
        <v>8221</v>
      </c>
      <c r="C4102" s="4" t="s">
        <v>16</v>
      </c>
      <c r="D4102" s="4" t="s">
        <v>13</v>
      </c>
      <c r="E4102" s="5">
        <v>84.318899999999999</v>
      </c>
      <c r="F4102" s="5">
        <v>85.303799999999995</v>
      </c>
      <c r="G4102" s="5">
        <v>85.614400000000003</v>
      </c>
      <c r="H4102" s="4">
        <v>3</v>
      </c>
      <c r="I4102" s="6">
        <v>563052</v>
      </c>
      <c r="J4102" s="7">
        <v>268.77</v>
      </c>
      <c r="K4102" s="9">
        <f>(PricingDataTable[[#This Row],[Current Price ($)]]-PricingDataTable[[#This Row],[Prior Price ($)]])/PricingDataTable[[#This Row],[Prior Price ($)]]</f>
        <v>1.1680655226764061E-2</v>
      </c>
      <c r="L4102" s="9">
        <f>(PricingDataTable[[#This Row],[Vendor Price ($)]]-PricingDataTable[[#This Row],[Current Price ($)]])/PricingDataTable[[#This Row],[Current Price ($)]]</f>
        <v>3.6411039133075898E-3</v>
      </c>
      <c r="M4102" t="str">
        <f t="shared" si="128"/>
        <v>STALE</v>
      </c>
      <c r="N4102" s="10" t="str">
        <f t="shared" si="129"/>
        <v>LOW</v>
      </c>
    </row>
    <row r="4103" spans="1:14">
      <c r="A4103" s="4" t="s">
        <v>8222</v>
      </c>
      <c r="B4103" s="4" t="s">
        <v>8223</v>
      </c>
      <c r="C4103" s="4" t="s">
        <v>39</v>
      </c>
      <c r="D4103" s="4" t="s">
        <v>13</v>
      </c>
      <c r="E4103" s="5">
        <v>103.78489999999999</v>
      </c>
      <c r="F4103" s="5">
        <v>103.9204</v>
      </c>
      <c r="G4103" s="5">
        <v>104.13979999999999</v>
      </c>
      <c r="H4103" s="4">
        <v>0</v>
      </c>
      <c r="I4103" s="6">
        <v>850134</v>
      </c>
      <c r="J4103" s="7">
        <v>626.44000000000005</v>
      </c>
      <c r="K4103" s="9">
        <f>(PricingDataTable[[#This Row],[Current Price ($)]]-PricingDataTable[[#This Row],[Prior Price ($)]])/PricingDataTable[[#This Row],[Prior Price ($)]]</f>
        <v>1.305584916495632E-3</v>
      </c>
      <c r="L4103" s="9">
        <f>(PricingDataTable[[#This Row],[Vendor Price ($)]]-PricingDataTable[[#This Row],[Current Price ($)]])/PricingDataTable[[#This Row],[Current Price ($)]]</f>
        <v>2.1112312885631038E-3</v>
      </c>
      <c r="M4103" t="str">
        <f t="shared" si="128"/>
        <v>PASS</v>
      </c>
      <c r="N4103" s="10" t="str">
        <f t="shared" si="129"/>
        <v>NONE</v>
      </c>
    </row>
    <row r="4104" spans="1:14">
      <c r="A4104" s="4" t="s">
        <v>8224</v>
      </c>
      <c r="B4104" s="4" t="s">
        <v>8225</v>
      </c>
      <c r="C4104" s="4" t="s">
        <v>16</v>
      </c>
      <c r="D4104" s="4" t="s">
        <v>32</v>
      </c>
      <c r="E4104" s="5">
        <v>88.6614</v>
      </c>
      <c r="F4104" s="5">
        <v>87.274500000000003</v>
      </c>
      <c r="G4104" s="5">
        <v>87.0989</v>
      </c>
      <c r="H4104" s="4">
        <v>0</v>
      </c>
      <c r="I4104" s="6">
        <v>1451432</v>
      </c>
      <c r="J4104" s="7">
        <v>187.17</v>
      </c>
      <c r="K4104" s="9">
        <f>(PricingDataTable[[#This Row],[Current Price ($)]]-PricingDataTable[[#This Row],[Prior Price ($)]])/PricingDataTable[[#This Row],[Prior Price ($)]]</f>
        <v>-1.5642658473698782E-2</v>
      </c>
      <c r="L4104" s="9">
        <f>(PricingDataTable[[#This Row],[Vendor Price ($)]]-PricingDataTable[[#This Row],[Current Price ($)]])/PricingDataTable[[#This Row],[Current Price ($)]]</f>
        <v>-2.0120424637208216E-3</v>
      </c>
      <c r="M4104" t="str">
        <f t="shared" si="128"/>
        <v>PASS</v>
      </c>
      <c r="N4104" s="10" t="str">
        <f t="shared" si="129"/>
        <v>NONE</v>
      </c>
    </row>
    <row r="4105" spans="1:14">
      <c r="A4105" s="4" t="s">
        <v>8226</v>
      </c>
      <c r="B4105" s="4" t="s">
        <v>8227</v>
      </c>
      <c r="C4105" s="4" t="s">
        <v>12</v>
      </c>
      <c r="D4105" s="4" t="s">
        <v>13</v>
      </c>
      <c r="E4105" s="5">
        <v>100.00579999999999</v>
      </c>
      <c r="F4105" s="5">
        <v>100.059</v>
      </c>
      <c r="G4105" s="5">
        <v>99.615700000000004</v>
      </c>
      <c r="H4105" s="4">
        <v>0</v>
      </c>
      <c r="I4105" s="6">
        <v>3808009</v>
      </c>
      <c r="J4105" s="7">
        <v>498.8</v>
      </c>
      <c r="K4105" s="9">
        <f>(PricingDataTable[[#This Row],[Current Price ($)]]-PricingDataTable[[#This Row],[Prior Price ($)]])/PricingDataTable[[#This Row],[Prior Price ($)]]</f>
        <v>5.319691457895834E-4</v>
      </c>
      <c r="L4105" s="9">
        <f>(PricingDataTable[[#This Row],[Vendor Price ($)]]-PricingDataTable[[#This Row],[Current Price ($)]])/PricingDataTable[[#This Row],[Current Price ($)]]</f>
        <v>-4.4303860722173282E-3</v>
      </c>
      <c r="M4105" t="str">
        <f t="shared" si="128"/>
        <v>PASS</v>
      </c>
      <c r="N4105" s="10" t="str">
        <f t="shared" si="129"/>
        <v>NONE</v>
      </c>
    </row>
    <row r="4106" spans="1:14">
      <c r="A4106" s="4" t="s">
        <v>8228</v>
      </c>
      <c r="B4106" s="4" t="s">
        <v>8229</v>
      </c>
      <c r="C4106" s="4" t="s">
        <v>19</v>
      </c>
      <c r="D4106" s="4" t="s">
        <v>13</v>
      </c>
      <c r="E4106" s="5">
        <v>302.37939999999998</v>
      </c>
      <c r="F4106" s="5">
        <v>298.5369</v>
      </c>
      <c r="G4106" s="5">
        <v>298.3809</v>
      </c>
      <c r="H4106" s="4">
        <v>3</v>
      </c>
      <c r="I4106" s="6">
        <v>3878731</v>
      </c>
      <c r="J4106" s="7">
        <v>191.14</v>
      </c>
      <c r="K4106" s="9">
        <f>(PricingDataTable[[#This Row],[Current Price ($)]]-PricingDataTable[[#This Row],[Prior Price ($)]])/PricingDataTable[[#This Row],[Prior Price ($)]]</f>
        <v>-1.2707545553698345E-2</v>
      </c>
      <c r="L4106" s="9">
        <f>(PricingDataTable[[#This Row],[Vendor Price ($)]]-PricingDataTable[[#This Row],[Current Price ($)]])/PricingDataTable[[#This Row],[Current Price ($)]]</f>
        <v>-5.2254846888276092E-4</v>
      </c>
      <c r="M4106" t="str">
        <f t="shared" si="128"/>
        <v>STALE</v>
      </c>
      <c r="N4106" s="10" t="str">
        <f t="shared" si="129"/>
        <v>LOW</v>
      </c>
    </row>
    <row r="4107" spans="1:14">
      <c r="A4107" s="4" t="s">
        <v>8230</v>
      </c>
      <c r="B4107" s="4" t="s">
        <v>8231</v>
      </c>
      <c r="C4107" s="4" t="s">
        <v>16</v>
      </c>
      <c r="D4107" s="4" t="s">
        <v>32</v>
      </c>
      <c r="E4107" s="5">
        <v>75.099599999999995</v>
      </c>
      <c r="F4107" s="5">
        <v>74.384</v>
      </c>
      <c r="G4107" s="5">
        <v>74.217200000000005</v>
      </c>
      <c r="H4107" s="4">
        <v>0</v>
      </c>
      <c r="I4107" s="6">
        <v>1964682</v>
      </c>
      <c r="J4107" s="7">
        <v>767.69</v>
      </c>
      <c r="K4107" s="9">
        <f>(PricingDataTable[[#This Row],[Current Price ($)]]-PricingDataTable[[#This Row],[Prior Price ($)]])/PricingDataTable[[#This Row],[Prior Price ($)]]</f>
        <v>-9.5286792472928615E-3</v>
      </c>
      <c r="L4107" s="9">
        <f>(PricingDataTable[[#This Row],[Vendor Price ($)]]-PricingDataTable[[#This Row],[Current Price ($)]])/PricingDataTable[[#This Row],[Current Price ($)]]</f>
        <v>-2.2424177242417044E-3</v>
      </c>
      <c r="M4107" t="str">
        <f t="shared" si="128"/>
        <v>PASS</v>
      </c>
      <c r="N4107" s="10" t="str">
        <f t="shared" si="129"/>
        <v>NONE</v>
      </c>
    </row>
    <row r="4108" spans="1:14">
      <c r="A4108" s="4" t="s">
        <v>8232</v>
      </c>
      <c r="B4108" s="4" t="s">
        <v>8233</v>
      </c>
      <c r="C4108" s="4" t="s">
        <v>16</v>
      </c>
      <c r="D4108" s="4" t="s">
        <v>13</v>
      </c>
      <c r="E4108" s="5">
        <v>82.709000000000003</v>
      </c>
      <c r="F4108" s="5">
        <v>82.396900000000002</v>
      </c>
      <c r="G4108" s="5">
        <v>81.746899999999997</v>
      </c>
      <c r="H4108" s="4">
        <v>0</v>
      </c>
      <c r="I4108" s="6">
        <v>4528188</v>
      </c>
      <c r="J4108" s="7">
        <v>891.58</v>
      </c>
      <c r="K4108" s="9">
        <f>(PricingDataTable[[#This Row],[Current Price ($)]]-PricingDataTable[[#This Row],[Prior Price ($)]])/PricingDataTable[[#This Row],[Prior Price ($)]]</f>
        <v>-3.7734708435599625E-3</v>
      </c>
      <c r="L4108" s="9">
        <f>(PricingDataTable[[#This Row],[Vendor Price ($)]]-PricingDataTable[[#This Row],[Current Price ($)]])/PricingDataTable[[#This Row],[Current Price ($)]]</f>
        <v>-7.8886462961592681E-3</v>
      </c>
      <c r="M4108" t="str">
        <f t="shared" si="128"/>
        <v>PASS</v>
      </c>
      <c r="N4108" s="10" t="str">
        <f t="shared" si="129"/>
        <v>NONE</v>
      </c>
    </row>
    <row r="4109" spans="1:14">
      <c r="A4109" s="4" t="s">
        <v>8234</v>
      </c>
      <c r="B4109" s="4" t="s">
        <v>8235</v>
      </c>
      <c r="C4109" s="4" t="s">
        <v>12</v>
      </c>
      <c r="D4109" s="4" t="s">
        <v>64</v>
      </c>
      <c r="E4109" s="5">
        <v>111.61799999999999</v>
      </c>
      <c r="F4109" s="5">
        <v>109.1109</v>
      </c>
      <c r="G4109" s="5">
        <v>109.1498</v>
      </c>
      <c r="H4109" s="4">
        <v>0</v>
      </c>
      <c r="I4109" s="6">
        <v>3381836</v>
      </c>
      <c r="J4109" s="7">
        <v>10.52</v>
      </c>
      <c r="K4109" s="9">
        <f>(PricingDataTable[[#This Row],[Current Price ($)]]-PricingDataTable[[#This Row],[Prior Price ($)]])/PricingDataTable[[#This Row],[Prior Price ($)]]</f>
        <v>-2.2461430951996937E-2</v>
      </c>
      <c r="L4109" s="9">
        <f>(PricingDataTable[[#This Row],[Vendor Price ($)]]-PricingDataTable[[#This Row],[Current Price ($)]])/PricingDataTable[[#This Row],[Current Price ($)]]</f>
        <v>3.5651800140955813E-4</v>
      </c>
      <c r="M4109" t="str">
        <f t="shared" si="128"/>
        <v>PASS</v>
      </c>
      <c r="N4109" s="10" t="str">
        <f t="shared" si="129"/>
        <v>NONE</v>
      </c>
    </row>
    <row r="4110" spans="1:14">
      <c r="A4110" s="4" t="s">
        <v>8236</v>
      </c>
      <c r="B4110" s="4" t="s">
        <v>8237</v>
      </c>
      <c r="C4110" s="4" t="s">
        <v>16</v>
      </c>
      <c r="D4110" s="4" t="s">
        <v>13</v>
      </c>
      <c r="E4110" s="5">
        <v>107.5566</v>
      </c>
      <c r="F4110" s="5">
        <v>107.2304</v>
      </c>
      <c r="G4110" s="5">
        <v>107.7295</v>
      </c>
      <c r="H4110" s="4">
        <v>0</v>
      </c>
      <c r="I4110" s="6">
        <v>2663352</v>
      </c>
      <c r="J4110" s="7">
        <v>824.48</v>
      </c>
      <c r="K4110" s="9">
        <f>(PricingDataTable[[#This Row],[Current Price ($)]]-PricingDataTable[[#This Row],[Prior Price ($)]])/PricingDataTable[[#This Row],[Prior Price ($)]]</f>
        <v>-3.0328217887140357E-3</v>
      </c>
      <c r="L4110" s="9">
        <f>(PricingDataTable[[#This Row],[Vendor Price ($)]]-PricingDataTable[[#This Row],[Current Price ($)]])/PricingDataTable[[#This Row],[Current Price ($)]]</f>
        <v>4.6544636595592156E-3</v>
      </c>
      <c r="M4110" t="str">
        <f t="shared" si="128"/>
        <v>PASS</v>
      </c>
      <c r="N4110" s="10" t="str">
        <f t="shared" si="129"/>
        <v>NONE</v>
      </c>
    </row>
    <row r="4111" spans="1:14">
      <c r="A4111" s="4" t="s">
        <v>8238</v>
      </c>
      <c r="B4111" s="4" t="s">
        <v>8239</v>
      </c>
      <c r="C4111" s="4" t="s">
        <v>19</v>
      </c>
      <c r="D4111" s="4" t="s">
        <v>237</v>
      </c>
      <c r="E4111" s="5">
        <v>227.6191</v>
      </c>
      <c r="F4111" s="5">
        <v>221.11969999999999</v>
      </c>
      <c r="G4111" s="5">
        <v>220.01410000000001</v>
      </c>
      <c r="H4111" s="4">
        <v>0</v>
      </c>
      <c r="I4111" s="6">
        <v>3373143</v>
      </c>
      <c r="J4111" s="7">
        <v>111.44</v>
      </c>
      <c r="K4111" s="9">
        <f>(PricingDataTable[[#This Row],[Current Price ($)]]-PricingDataTable[[#This Row],[Prior Price ($)]])/PricingDataTable[[#This Row],[Prior Price ($)]]</f>
        <v>-2.8553842801416967E-2</v>
      </c>
      <c r="L4111" s="9">
        <f>(PricingDataTable[[#This Row],[Vendor Price ($)]]-PricingDataTable[[#This Row],[Current Price ($)]])/PricingDataTable[[#This Row],[Current Price ($)]]</f>
        <v>-5.0000067836560077E-3</v>
      </c>
      <c r="M4111" t="str">
        <f t="shared" si="128"/>
        <v>PASS</v>
      </c>
      <c r="N4111" s="10" t="str">
        <f t="shared" si="129"/>
        <v>NONE</v>
      </c>
    </row>
    <row r="4112" spans="1:14">
      <c r="A4112" s="4" t="s">
        <v>8240</v>
      </c>
      <c r="B4112" s="4" t="s">
        <v>8241</v>
      </c>
      <c r="C4112" s="4" t="s">
        <v>16</v>
      </c>
      <c r="D4112" s="4" t="s">
        <v>13</v>
      </c>
      <c r="E4112" s="5">
        <v>95.710400000000007</v>
      </c>
      <c r="F4112" s="5">
        <v>95.545000000000002</v>
      </c>
      <c r="G4112" s="5">
        <v>92.440299999999993</v>
      </c>
      <c r="H4112" s="4">
        <v>2</v>
      </c>
      <c r="I4112" s="6">
        <v>3255242</v>
      </c>
      <c r="J4112" s="7">
        <v>389.93</v>
      </c>
      <c r="K4112" s="9">
        <f>(PricingDataTable[[#This Row],[Current Price ($)]]-PricingDataTable[[#This Row],[Prior Price ($)]])/PricingDataTable[[#This Row],[Prior Price ($)]]</f>
        <v>-1.7281298584062475E-3</v>
      </c>
      <c r="L4112" s="9">
        <f>(PricingDataTable[[#This Row],[Vendor Price ($)]]-PricingDataTable[[#This Row],[Current Price ($)]])/PricingDataTable[[#This Row],[Current Price ($)]]</f>
        <v>-3.2494636035376084E-2</v>
      </c>
      <c r="M4112" t="str">
        <f t="shared" si="128"/>
        <v>VENDOR DIFFERENCE</v>
      </c>
      <c r="N4112" s="10" t="str">
        <f t="shared" si="129"/>
        <v>MEDIUM</v>
      </c>
    </row>
    <row r="4113" spans="1:14">
      <c r="A4113" s="4" t="s">
        <v>8242</v>
      </c>
      <c r="B4113" s="4" t="s">
        <v>8243</v>
      </c>
      <c r="C4113" s="4" t="s">
        <v>19</v>
      </c>
      <c r="D4113" s="4" t="s">
        <v>13</v>
      </c>
      <c r="E4113" s="5">
        <v>291.03530000000001</v>
      </c>
      <c r="F4113" s="5">
        <v>287.7765</v>
      </c>
      <c r="G4113" s="5">
        <v>287.4486</v>
      </c>
      <c r="H4113" s="4">
        <v>0</v>
      </c>
      <c r="I4113" s="6">
        <v>1833009</v>
      </c>
      <c r="J4113" s="7">
        <v>490.13</v>
      </c>
      <c r="K4113" s="9">
        <f>(PricingDataTable[[#This Row],[Current Price ($)]]-PricingDataTable[[#This Row],[Prior Price ($)]])/PricingDataTable[[#This Row],[Prior Price ($)]]</f>
        <v>-1.119726713563615E-2</v>
      </c>
      <c r="L4113" s="9">
        <f>(PricingDataTable[[#This Row],[Vendor Price ($)]]-PricingDataTable[[#This Row],[Current Price ($)]])/PricingDataTable[[#This Row],[Current Price ($)]]</f>
        <v>-1.1394259086478556E-3</v>
      </c>
      <c r="M4113" t="str">
        <f t="shared" si="128"/>
        <v>PASS</v>
      </c>
      <c r="N4113" s="10" t="str">
        <f t="shared" si="129"/>
        <v>NONE</v>
      </c>
    </row>
    <row r="4114" spans="1:14">
      <c r="A4114" s="4" t="s">
        <v>8244</v>
      </c>
      <c r="B4114" s="4" t="s">
        <v>8245</v>
      </c>
      <c r="C4114" s="4" t="s">
        <v>19</v>
      </c>
      <c r="D4114" s="4" t="s">
        <v>13</v>
      </c>
      <c r="E4114" s="5">
        <v>75.618600000000001</v>
      </c>
      <c r="F4114" s="5">
        <v>77.059399999999997</v>
      </c>
      <c r="G4114" s="5">
        <v>76.986999999999995</v>
      </c>
      <c r="H4114" s="4">
        <v>1</v>
      </c>
      <c r="I4114" s="6">
        <v>652661</v>
      </c>
      <c r="J4114" s="7">
        <v>409.77</v>
      </c>
      <c r="K4114" s="9">
        <f>(PricingDataTable[[#This Row],[Current Price ($)]]-PricingDataTable[[#This Row],[Prior Price ($)]])/PricingDataTable[[#This Row],[Prior Price ($)]]</f>
        <v>1.9053513289058459E-2</v>
      </c>
      <c r="L4114" s="9">
        <f>(PricingDataTable[[#This Row],[Vendor Price ($)]]-PricingDataTable[[#This Row],[Current Price ($)]])/PricingDataTable[[#This Row],[Current Price ($)]]</f>
        <v>-9.3953495615073303E-4</v>
      </c>
      <c r="M4114" t="str">
        <f t="shared" si="128"/>
        <v>PASS</v>
      </c>
      <c r="N4114" s="10" t="str">
        <f t="shared" si="129"/>
        <v>NONE</v>
      </c>
    </row>
    <row r="4115" spans="1:14">
      <c r="A4115" s="4" t="s">
        <v>8246</v>
      </c>
      <c r="B4115" s="4" t="s">
        <v>8247</v>
      </c>
      <c r="C4115" s="4" t="s">
        <v>16</v>
      </c>
      <c r="D4115" s="4" t="s">
        <v>13</v>
      </c>
      <c r="E4115" s="5">
        <v>123.7743</v>
      </c>
      <c r="F4115" s="5">
        <v>123.3107</v>
      </c>
      <c r="G4115" s="5">
        <v>123.6947</v>
      </c>
      <c r="H4115" s="4">
        <v>4</v>
      </c>
      <c r="I4115" s="6">
        <v>3834726</v>
      </c>
      <c r="J4115" s="7">
        <v>23.44</v>
      </c>
      <c r="K4115" s="9">
        <f>(PricingDataTable[[#This Row],[Current Price ($)]]-PricingDataTable[[#This Row],[Prior Price ($)]])/PricingDataTable[[#This Row],[Prior Price ($)]]</f>
        <v>-3.7455271409331304E-3</v>
      </c>
      <c r="L4115" s="9">
        <f>(PricingDataTable[[#This Row],[Vendor Price ($)]]-PricingDataTable[[#This Row],[Current Price ($)]])/PricingDataTable[[#This Row],[Current Price ($)]]</f>
        <v>3.1140849901914462E-3</v>
      </c>
      <c r="M4115" t="str">
        <f t="shared" si="128"/>
        <v>STALE</v>
      </c>
      <c r="N4115" s="10" t="str">
        <f t="shared" si="129"/>
        <v>LOW</v>
      </c>
    </row>
    <row r="4116" spans="1:14">
      <c r="A4116" s="4" t="s">
        <v>8248</v>
      </c>
      <c r="B4116" s="4" t="s">
        <v>8249</v>
      </c>
      <c r="C4116" s="4" t="s">
        <v>16</v>
      </c>
      <c r="D4116" s="4" t="s">
        <v>13</v>
      </c>
      <c r="E4116" s="5">
        <v>106.0157</v>
      </c>
      <c r="F4116" s="5">
        <v>103.7594</v>
      </c>
      <c r="G4116" s="5">
        <v>104.0052</v>
      </c>
      <c r="H4116" s="4">
        <v>0</v>
      </c>
      <c r="I4116" s="6">
        <v>4984477</v>
      </c>
      <c r="J4116" s="7">
        <v>740.25</v>
      </c>
      <c r="K4116" s="9">
        <f>(PricingDataTable[[#This Row],[Current Price ($)]]-PricingDataTable[[#This Row],[Prior Price ($)]])/PricingDataTable[[#This Row],[Prior Price ($)]]</f>
        <v>-2.1282696808114232E-2</v>
      </c>
      <c r="L4116" s="9">
        <f>(PricingDataTable[[#This Row],[Vendor Price ($)]]-PricingDataTable[[#This Row],[Current Price ($)]])/PricingDataTable[[#This Row],[Current Price ($)]]</f>
        <v>2.3689419946530403E-3</v>
      </c>
      <c r="M4116" t="str">
        <f t="shared" si="128"/>
        <v>PASS</v>
      </c>
      <c r="N4116" s="10" t="str">
        <f t="shared" si="129"/>
        <v>NONE</v>
      </c>
    </row>
    <row r="4117" spans="1:14">
      <c r="A4117" s="4" t="s">
        <v>8250</v>
      </c>
      <c r="B4117" s="4" t="s">
        <v>8251</v>
      </c>
      <c r="C4117" s="4" t="s">
        <v>16</v>
      </c>
      <c r="D4117" s="4" t="s">
        <v>64</v>
      </c>
      <c r="E4117" s="5">
        <v>78.887900000000002</v>
      </c>
      <c r="F4117" s="5">
        <v>77.821399999999997</v>
      </c>
      <c r="G4117" s="5">
        <v>77.946299999999994</v>
      </c>
      <c r="H4117" s="4">
        <v>0</v>
      </c>
      <c r="I4117" s="6">
        <v>665279</v>
      </c>
      <c r="J4117" s="7">
        <v>825.87</v>
      </c>
      <c r="K4117" s="9">
        <f>(PricingDataTable[[#This Row],[Current Price ($)]]-PricingDataTable[[#This Row],[Prior Price ($)]])/PricingDataTable[[#This Row],[Prior Price ($)]]</f>
        <v>-1.3519183550329073E-2</v>
      </c>
      <c r="L4117" s="9">
        <f>(PricingDataTable[[#This Row],[Vendor Price ($)]]-PricingDataTable[[#This Row],[Current Price ($)]])/PricingDataTable[[#This Row],[Current Price ($)]]</f>
        <v>1.6049569912645709E-3</v>
      </c>
      <c r="M4117" t="str">
        <f t="shared" si="128"/>
        <v>PASS</v>
      </c>
      <c r="N4117" s="10" t="str">
        <f t="shared" si="129"/>
        <v>NONE</v>
      </c>
    </row>
    <row r="4118" spans="1:14">
      <c r="A4118" s="4" t="s">
        <v>8252</v>
      </c>
      <c r="B4118" s="4" t="s">
        <v>8253</v>
      </c>
      <c r="C4118" s="4" t="s">
        <v>16</v>
      </c>
      <c r="D4118" s="4" t="s">
        <v>13</v>
      </c>
      <c r="E4118" s="5">
        <v>108.42749999999999</v>
      </c>
      <c r="F4118" s="5">
        <v>91.034800000000004</v>
      </c>
      <c r="G4118" s="5">
        <v>91.0869</v>
      </c>
      <c r="H4118" s="4">
        <v>1</v>
      </c>
      <c r="I4118" s="6">
        <v>2083365</v>
      </c>
      <c r="J4118" s="7">
        <v>309.42</v>
      </c>
      <c r="K4118" s="9">
        <f>(PricingDataTable[[#This Row],[Current Price ($)]]-PricingDataTable[[#This Row],[Prior Price ($)]])/PricingDataTable[[#This Row],[Prior Price ($)]]</f>
        <v>-0.16040856793710076</v>
      </c>
      <c r="L4118" s="9">
        <f>(PricingDataTable[[#This Row],[Vendor Price ($)]]-PricingDataTable[[#This Row],[Current Price ($)]])/PricingDataTable[[#This Row],[Current Price ($)]]</f>
        <v>5.723086116517619E-4</v>
      </c>
      <c r="M4118" t="str">
        <f t="shared" si="128"/>
        <v>LARGE MOVE</v>
      </c>
      <c r="N4118" s="10" t="str">
        <f t="shared" si="129"/>
        <v>HIGH</v>
      </c>
    </row>
    <row r="4119" spans="1:14">
      <c r="A4119" s="4" t="s">
        <v>8254</v>
      </c>
      <c r="B4119" s="4" t="s">
        <v>8255</v>
      </c>
      <c r="C4119" s="4" t="s">
        <v>19</v>
      </c>
      <c r="D4119" s="4" t="s">
        <v>13</v>
      </c>
      <c r="E4119" s="5">
        <v>64.496300000000005</v>
      </c>
      <c r="F4119" s="5">
        <v>64.452600000000004</v>
      </c>
      <c r="G4119" s="5">
        <v>64.627300000000005</v>
      </c>
      <c r="H4119" s="4">
        <v>0</v>
      </c>
      <c r="I4119" s="6">
        <v>195516</v>
      </c>
      <c r="J4119" s="7">
        <v>152.59</v>
      </c>
      <c r="K4119" s="9">
        <f>(PricingDataTable[[#This Row],[Current Price ($)]]-PricingDataTable[[#This Row],[Prior Price ($)]])/PricingDataTable[[#This Row],[Prior Price ($)]]</f>
        <v>-6.775582475273958E-4</v>
      </c>
      <c r="L4119" s="9">
        <f>(PricingDataTable[[#This Row],[Vendor Price ($)]]-PricingDataTable[[#This Row],[Current Price ($)]])/PricingDataTable[[#This Row],[Current Price ($)]]</f>
        <v>2.7105190481066925E-3</v>
      </c>
      <c r="M4119" t="str">
        <f t="shared" si="128"/>
        <v>PASS</v>
      </c>
      <c r="N4119" s="10" t="str">
        <f t="shared" si="129"/>
        <v>NONE</v>
      </c>
    </row>
    <row r="4120" spans="1:14">
      <c r="A4120" s="4" t="s">
        <v>8256</v>
      </c>
      <c r="B4120" s="4" t="s">
        <v>8257</v>
      </c>
      <c r="C4120" s="4" t="s">
        <v>12</v>
      </c>
      <c r="D4120" s="4" t="s">
        <v>13</v>
      </c>
      <c r="E4120" s="5">
        <v>119.2013</v>
      </c>
      <c r="F4120" s="5">
        <v>117.88420000000001</v>
      </c>
      <c r="G4120" s="5">
        <v>117.733</v>
      </c>
      <c r="H4120" s="4">
        <v>1</v>
      </c>
      <c r="I4120" s="6">
        <v>2681147</v>
      </c>
      <c r="J4120" s="7">
        <v>374.26</v>
      </c>
      <c r="K4120" s="9">
        <f>(PricingDataTable[[#This Row],[Current Price ($)]]-PricingDataTable[[#This Row],[Prior Price ($)]])/PricingDataTable[[#This Row],[Prior Price ($)]]</f>
        <v>-1.1049376139354155E-2</v>
      </c>
      <c r="L4120" s="9">
        <f>(PricingDataTable[[#This Row],[Vendor Price ($)]]-PricingDataTable[[#This Row],[Current Price ($)]])/PricingDataTable[[#This Row],[Current Price ($)]]</f>
        <v>-1.2826146336829098E-3</v>
      </c>
      <c r="M4120" t="str">
        <f t="shared" si="128"/>
        <v>PASS</v>
      </c>
      <c r="N4120" s="10" t="str">
        <f t="shared" si="129"/>
        <v>NONE</v>
      </c>
    </row>
    <row r="4121" spans="1:14">
      <c r="A4121" s="4" t="s">
        <v>8258</v>
      </c>
      <c r="B4121" s="4" t="s">
        <v>8259</v>
      </c>
      <c r="C4121" s="4" t="s">
        <v>19</v>
      </c>
      <c r="D4121" s="4" t="s">
        <v>13</v>
      </c>
      <c r="E4121" s="5">
        <v>213.8734</v>
      </c>
      <c r="F4121" s="5">
        <v>211.72380000000001</v>
      </c>
      <c r="G4121" s="5">
        <v>212.79140000000001</v>
      </c>
      <c r="H4121" s="4">
        <v>0</v>
      </c>
      <c r="I4121" s="6">
        <v>3110979</v>
      </c>
      <c r="J4121" s="7">
        <v>608.85</v>
      </c>
      <c r="K4121" s="9">
        <f>(PricingDataTable[[#This Row],[Current Price ($)]]-PricingDataTable[[#This Row],[Prior Price ($)]])/PricingDataTable[[#This Row],[Prior Price ($)]]</f>
        <v>-1.005080575705063E-2</v>
      </c>
      <c r="L4121" s="9">
        <f>(PricingDataTable[[#This Row],[Vendor Price ($)]]-PricingDataTable[[#This Row],[Current Price ($)]])/PricingDataTable[[#This Row],[Current Price ($)]]</f>
        <v>5.042418471612538E-3</v>
      </c>
      <c r="M4121" t="str">
        <f t="shared" si="128"/>
        <v>PASS</v>
      </c>
      <c r="N4121" s="10" t="str">
        <f t="shared" si="129"/>
        <v>NONE</v>
      </c>
    </row>
    <row r="4122" spans="1:14">
      <c r="A4122" s="4" t="s">
        <v>8260</v>
      </c>
      <c r="B4122" s="4" t="s">
        <v>8261</v>
      </c>
      <c r="C4122" s="4" t="s">
        <v>19</v>
      </c>
      <c r="D4122" s="4" t="s">
        <v>32</v>
      </c>
      <c r="E4122" s="5">
        <v>256.39210000000003</v>
      </c>
      <c r="F4122" s="5">
        <v>256.05630000000002</v>
      </c>
      <c r="G4122" s="5">
        <v>255.71510000000001</v>
      </c>
      <c r="H4122" s="4">
        <v>0</v>
      </c>
      <c r="I4122" s="6">
        <v>4280862</v>
      </c>
      <c r="J4122" s="7">
        <v>450.46</v>
      </c>
      <c r="K4122" s="9">
        <f>(PricingDataTable[[#This Row],[Current Price ($)]]-PricingDataTable[[#This Row],[Prior Price ($)]])/PricingDataTable[[#This Row],[Prior Price ($)]]</f>
        <v>-1.3097127407591968E-3</v>
      </c>
      <c r="L4122" s="9">
        <f>(PricingDataTable[[#This Row],[Vendor Price ($)]]-PricingDataTable[[#This Row],[Current Price ($)]])/PricingDataTable[[#This Row],[Current Price ($)]]</f>
        <v>-1.3325194498241784E-3</v>
      </c>
      <c r="M4122" t="str">
        <f t="shared" si="128"/>
        <v>PASS</v>
      </c>
      <c r="N4122" s="10" t="str">
        <f t="shared" si="129"/>
        <v>NONE</v>
      </c>
    </row>
    <row r="4123" spans="1:14">
      <c r="A4123" s="4" t="s">
        <v>8262</v>
      </c>
      <c r="B4123" s="4" t="s">
        <v>8263</v>
      </c>
      <c r="C4123" s="4" t="s">
        <v>12</v>
      </c>
      <c r="D4123" s="4" t="s">
        <v>13</v>
      </c>
      <c r="E4123" s="5">
        <v>76.954599999999999</v>
      </c>
      <c r="F4123" s="5">
        <v>64.969399999999993</v>
      </c>
      <c r="G4123" s="5">
        <v>64.669200000000004</v>
      </c>
      <c r="H4123" s="4">
        <v>1</v>
      </c>
      <c r="I4123" s="6">
        <v>2545271</v>
      </c>
      <c r="J4123" s="7">
        <v>520.73</v>
      </c>
      <c r="K4123" s="9">
        <f>(PricingDataTable[[#This Row],[Current Price ($)]]-PricingDataTable[[#This Row],[Prior Price ($)]])/PricingDataTable[[#This Row],[Prior Price ($)]]</f>
        <v>-0.15574377620051311</v>
      </c>
      <c r="L4123" s="9">
        <f>(PricingDataTable[[#This Row],[Vendor Price ($)]]-PricingDataTable[[#This Row],[Current Price ($)]])/PricingDataTable[[#This Row],[Current Price ($)]]</f>
        <v>-4.6206367920896552E-3</v>
      </c>
      <c r="M4123" t="str">
        <f t="shared" si="128"/>
        <v>LARGE MOVE</v>
      </c>
      <c r="N4123" s="10" t="str">
        <f t="shared" si="129"/>
        <v>HIGH</v>
      </c>
    </row>
    <row r="4124" spans="1:14">
      <c r="A4124" s="4" t="s">
        <v>8264</v>
      </c>
      <c r="B4124" s="4" t="s">
        <v>8265</v>
      </c>
      <c r="C4124" s="4" t="s">
        <v>12</v>
      </c>
      <c r="D4124" s="4" t="s">
        <v>13</v>
      </c>
      <c r="E4124" s="5">
        <v>96.110699999999994</v>
      </c>
      <c r="F4124" s="5">
        <v>93.548199999999994</v>
      </c>
      <c r="G4124" s="5">
        <v>93.871300000000005</v>
      </c>
      <c r="H4124" s="4">
        <v>1</v>
      </c>
      <c r="I4124" s="6">
        <v>2635988</v>
      </c>
      <c r="J4124" s="7">
        <v>485.12</v>
      </c>
      <c r="K4124" s="9">
        <f>(PricingDataTable[[#This Row],[Current Price ($)]]-PricingDataTable[[#This Row],[Prior Price ($)]])/PricingDataTable[[#This Row],[Prior Price ($)]]</f>
        <v>-2.6661963756376764E-2</v>
      </c>
      <c r="L4124" s="9">
        <f>(PricingDataTable[[#This Row],[Vendor Price ($)]]-PricingDataTable[[#This Row],[Current Price ($)]])/PricingDataTable[[#This Row],[Current Price ($)]]</f>
        <v>3.4538344938760002E-3</v>
      </c>
      <c r="M4124" t="str">
        <f t="shared" si="128"/>
        <v>PASS</v>
      </c>
      <c r="N4124" s="10" t="str">
        <f t="shared" si="129"/>
        <v>NONE</v>
      </c>
    </row>
    <row r="4125" spans="1:14">
      <c r="A4125" s="4" t="s">
        <v>8266</v>
      </c>
      <c r="B4125" s="4" t="s">
        <v>8267</v>
      </c>
      <c r="C4125" s="4" t="s">
        <v>12</v>
      </c>
      <c r="D4125" s="4" t="s">
        <v>13</v>
      </c>
      <c r="E4125" s="5">
        <v>115.111</v>
      </c>
      <c r="F4125" s="5">
        <v>115.5639</v>
      </c>
      <c r="G4125" s="5">
        <v>115.18170000000001</v>
      </c>
      <c r="H4125" s="4">
        <v>4</v>
      </c>
      <c r="I4125" s="6">
        <v>637303</v>
      </c>
      <c r="J4125" s="7">
        <v>647.09</v>
      </c>
      <c r="K4125" s="9">
        <f>(PricingDataTable[[#This Row],[Current Price ($)]]-PricingDataTable[[#This Row],[Prior Price ($)]])/PricingDataTable[[#This Row],[Prior Price ($)]]</f>
        <v>3.9344632572039127E-3</v>
      </c>
      <c r="L4125" s="9">
        <f>(PricingDataTable[[#This Row],[Vendor Price ($)]]-PricingDataTable[[#This Row],[Current Price ($)]])/PricingDataTable[[#This Row],[Current Price ($)]]</f>
        <v>-3.3072611775822503E-3</v>
      </c>
      <c r="M4125" t="str">
        <f t="shared" si="128"/>
        <v>STALE</v>
      </c>
      <c r="N4125" s="10" t="str">
        <f t="shared" si="129"/>
        <v>LOW</v>
      </c>
    </row>
    <row r="4126" spans="1:14">
      <c r="A4126" s="4" t="s">
        <v>8268</v>
      </c>
      <c r="B4126" s="4" t="s">
        <v>8269</v>
      </c>
      <c r="C4126" s="4" t="s">
        <v>19</v>
      </c>
      <c r="D4126" s="4" t="s">
        <v>32</v>
      </c>
      <c r="E4126" s="5">
        <v>94.083299999999994</v>
      </c>
      <c r="F4126" s="5">
        <v>94.992800000000003</v>
      </c>
      <c r="G4126" s="5">
        <v>95.484700000000004</v>
      </c>
      <c r="H4126" s="4">
        <v>0</v>
      </c>
      <c r="I4126" s="6">
        <v>4141799</v>
      </c>
      <c r="J4126" s="7">
        <v>182.92</v>
      </c>
      <c r="K4126" s="9">
        <f>(PricingDataTable[[#This Row],[Current Price ($)]]-PricingDataTable[[#This Row],[Prior Price ($)]])/PricingDataTable[[#This Row],[Prior Price ($)]]</f>
        <v>9.6669653381631863E-3</v>
      </c>
      <c r="L4126" s="9">
        <f>(PricingDataTable[[#This Row],[Vendor Price ($)]]-PricingDataTable[[#This Row],[Current Price ($)]])/PricingDataTable[[#This Row],[Current Price ($)]]</f>
        <v>5.1782871965033259E-3</v>
      </c>
      <c r="M4126" t="str">
        <f t="shared" si="128"/>
        <v>PASS</v>
      </c>
      <c r="N4126" s="10" t="str">
        <f t="shared" si="129"/>
        <v>NONE</v>
      </c>
    </row>
    <row r="4127" spans="1:14">
      <c r="A4127" s="4" t="s">
        <v>8270</v>
      </c>
      <c r="B4127" s="4" t="s">
        <v>8271</v>
      </c>
      <c r="C4127" s="4" t="s">
        <v>39</v>
      </c>
      <c r="D4127" s="4" t="s">
        <v>13</v>
      </c>
      <c r="E4127" s="5">
        <v>38.916899999999998</v>
      </c>
      <c r="F4127" s="5">
        <v>38.494300000000003</v>
      </c>
      <c r="G4127" s="5">
        <v>38.310499999999998</v>
      </c>
      <c r="H4127" s="4">
        <v>1</v>
      </c>
      <c r="I4127" s="6">
        <v>2621771</v>
      </c>
      <c r="J4127" s="7">
        <v>572.17999999999995</v>
      </c>
      <c r="K4127" s="9">
        <f>(PricingDataTable[[#This Row],[Current Price ($)]]-PricingDataTable[[#This Row],[Prior Price ($)]])/PricingDataTable[[#This Row],[Prior Price ($)]]</f>
        <v>-1.0859035534690474E-2</v>
      </c>
      <c r="L4127" s="9">
        <f>(PricingDataTable[[#This Row],[Vendor Price ($)]]-PricingDataTable[[#This Row],[Current Price ($)]])/PricingDataTable[[#This Row],[Current Price ($)]]</f>
        <v>-4.7747328825307918E-3</v>
      </c>
      <c r="M4127" t="str">
        <f t="shared" si="128"/>
        <v>PASS</v>
      </c>
      <c r="N4127" s="10" t="str">
        <f t="shared" si="129"/>
        <v>NONE</v>
      </c>
    </row>
    <row r="4128" spans="1:14">
      <c r="A4128" s="4" t="s">
        <v>8272</v>
      </c>
      <c r="B4128" s="4" t="s">
        <v>8273</v>
      </c>
      <c r="C4128" s="4" t="s">
        <v>39</v>
      </c>
      <c r="D4128" s="4" t="s">
        <v>32</v>
      </c>
      <c r="E4128" s="5">
        <v>330.54109999999997</v>
      </c>
      <c r="F4128" s="5">
        <v>371.13780000000003</v>
      </c>
      <c r="G4128" s="5">
        <v>368.76389999999998</v>
      </c>
      <c r="H4128" s="4">
        <v>1</v>
      </c>
      <c r="I4128" s="6">
        <v>2178170</v>
      </c>
      <c r="J4128" s="7">
        <v>505.72</v>
      </c>
      <c r="K4128" s="9">
        <f>(PricingDataTable[[#This Row],[Current Price ($)]]-PricingDataTable[[#This Row],[Prior Price ($)]])/PricingDataTable[[#This Row],[Prior Price ($)]]</f>
        <v>0.1228189172239097</v>
      </c>
      <c r="L4128" s="9">
        <f>(PricingDataTable[[#This Row],[Vendor Price ($)]]-PricingDataTable[[#This Row],[Current Price ($)]])/PricingDataTable[[#This Row],[Current Price ($)]]</f>
        <v>-6.3962765312507875E-3</v>
      </c>
      <c r="M4128" t="str">
        <f t="shared" si="128"/>
        <v>LARGE MOVE</v>
      </c>
      <c r="N4128" s="10" t="str">
        <f t="shared" si="129"/>
        <v>HIGH</v>
      </c>
    </row>
    <row r="4129" spans="1:14">
      <c r="A4129" s="4" t="s">
        <v>8274</v>
      </c>
      <c r="B4129" s="4" t="s">
        <v>8275</v>
      </c>
      <c r="C4129" s="4" t="s">
        <v>12</v>
      </c>
      <c r="D4129" s="4" t="s">
        <v>13</v>
      </c>
      <c r="E4129" s="5">
        <v>83.361000000000004</v>
      </c>
      <c r="F4129" s="5">
        <v>85.1464</v>
      </c>
      <c r="G4129" s="5">
        <v>85.448999999999998</v>
      </c>
      <c r="H4129" s="4">
        <v>0</v>
      </c>
      <c r="I4129" s="6">
        <v>1418416</v>
      </c>
      <c r="J4129" s="7">
        <v>631.65</v>
      </c>
      <c r="K4129" s="9">
        <f>(PricingDataTable[[#This Row],[Current Price ($)]]-PricingDataTable[[#This Row],[Prior Price ($)]])/PricingDataTable[[#This Row],[Prior Price ($)]]</f>
        <v>2.1417689327143337E-2</v>
      </c>
      <c r="L4129" s="9">
        <f>(PricingDataTable[[#This Row],[Vendor Price ($)]]-PricingDataTable[[#This Row],[Current Price ($)]])/PricingDataTable[[#This Row],[Current Price ($)]]</f>
        <v>3.5538789661101141E-3</v>
      </c>
      <c r="M4129" t="str">
        <f t="shared" si="128"/>
        <v>PASS</v>
      </c>
      <c r="N4129" s="10" t="str">
        <f t="shared" si="129"/>
        <v>NONE</v>
      </c>
    </row>
    <row r="4130" spans="1:14">
      <c r="A4130" s="4" t="s">
        <v>8276</v>
      </c>
      <c r="B4130" s="4" t="s">
        <v>8277</v>
      </c>
      <c r="C4130" s="4" t="s">
        <v>19</v>
      </c>
      <c r="D4130" s="4" t="s">
        <v>64</v>
      </c>
      <c r="E4130" s="5">
        <v>31.933599999999998</v>
      </c>
      <c r="F4130" s="5">
        <v>32.625300000000003</v>
      </c>
      <c r="G4130" s="5">
        <v>32.5411</v>
      </c>
      <c r="H4130" s="4">
        <v>0</v>
      </c>
      <c r="I4130" s="6">
        <v>1291529</v>
      </c>
      <c r="J4130" s="7">
        <v>227.57</v>
      </c>
      <c r="K4130" s="9">
        <f>(PricingDataTable[[#This Row],[Current Price ($)]]-PricingDataTable[[#This Row],[Prior Price ($)]])/PricingDataTable[[#This Row],[Prior Price ($)]]</f>
        <v>2.1660570684169791E-2</v>
      </c>
      <c r="L4130" s="9">
        <f>(PricingDataTable[[#This Row],[Vendor Price ($)]]-PricingDataTable[[#This Row],[Current Price ($)]])/PricingDataTable[[#This Row],[Current Price ($)]]</f>
        <v>-2.5808191802068549E-3</v>
      </c>
      <c r="M4130" t="str">
        <f t="shared" si="128"/>
        <v>PASS</v>
      </c>
      <c r="N4130" s="10" t="str">
        <f t="shared" si="129"/>
        <v>NONE</v>
      </c>
    </row>
    <row r="4131" spans="1:14">
      <c r="A4131" s="4" t="s">
        <v>8278</v>
      </c>
      <c r="B4131" s="4" t="s">
        <v>8279</v>
      </c>
      <c r="C4131" s="4" t="s">
        <v>35</v>
      </c>
      <c r="D4131" s="4" t="s">
        <v>13</v>
      </c>
      <c r="E4131" s="5">
        <v>10.6347</v>
      </c>
      <c r="F4131" s="5">
        <v>10.5405</v>
      </c>
      <c r="G4131" s="5">
        <v>10.5846</v>
      </c>
      <c r="H4131" s="4">
        <v>0</v>
      </c>
      <c r="I4131" s="6">
        <v>1039378</v>
      </c>
      <c r="J4131" s="7">
        <v>770.29</v>
      </c>
      <c r="K4131" s="9">
        <f>(PricingDataTable[[#This Row],[Current Price ($)]]-PricingDataTable[[#This Row],[Prior Price ($)]])/PricingDataTable[[#This Row],[Prior Price ($)]]</f>
        <v>-8.8577957065080083E-3</v>
      </c>
      <c r="L4131" s="9">
        <f>(PricingDataTable[[#This Row],[Vendor Price ($)]]-PricingDataTable[[#This Row],[Current Price ($)]])/PricingDataTable[[#This Row],[Current Price ($)]]</f>
        <v>4.1838622456240454E-3</v>
      </c>
      <c r="M4131" t="str">
        <f t="shared" si="128"/>
        <v>PASS</v>
      </c>
      <c r="N4131" s="10" t="str">
        <f t="shared" si="129"/>
        <v>NONE</v>
      </c>
    </row>
    <row r="4132" spans="1:14">
      <c r="A4132" s="4" t="s">
        <v>8280</v>
      </c>
      <c r="B4132" s="4" t="s">
        <v>8281</v>
      </c>
      <c r="C4132" s="4" t="s">
        <v>19</v>
      </c>
      <c r="D4132" s="4" t="s">
        <v>13</v>
      </c>
      <c r="E4132" s="5">
        <v>201.21690000000001</v>
      </c>
      <c r="F4132" s="5">
        <v>204.85939999999999</v>
      </c>
      <c r="G4132" s="5">
        <v>204.23089999999999</v>
      </c>
      <c r="H4132" s="4">
        <v>1</v>
      </c>
      <c r="I4132" s="6">
        <v>47871</v>
      </c>
      <c r="J4132" s="7">
        <v>821.46</v>
      </c>
      <c r="K4132" s="9">
        <f>(PricingDataTable[[#This Row],[Current Price ($)]]-PricingDataTable[[#This Row],[Prior Price ($)]])/PricingDataTable[[#This Row],[Prior Price ($)]]</f>
        <v>1.8102356213618161E-2</v>
      </c>
      <c r="L4132" s="9">
        <f>(PricingDataTable[[#This Row],[Vendor Price ($)]]-PricingDataTable[[#This Row],[Current Price ($)]])/PricingDataTable[[#This Row],[Current Price ($)]]</f>
        <v>-3.0679578286376048E-3</v>
      </c>
      <c r="M4132" t="str">
        <f t="shared" si="128"/>
        <v>PASS</v>
      </c>
      <c r="N4132" s="10" t="str">
        <f t="shared" si="129"/>
        <v>NONE</v>
      </c>
    </row>
    <row r="4133" spans="1:14">
      <c r="A4133" s="4" t="s">
        <v>8282</v>
      </c>
      <c r="B4133" s="4" t="s">
        <v>8283</v>
      </c>
      <c r="C4133" s="4" t="s">
        <v>39</v>
      </c>
      <c r="D4133" s="4" t="s">
        <v>64</v>
      </c>
      <c r="E4133" s="5">
        <v>325.48020000000002</v>
      </c>
      <c r="F4133" s="5">
        <v>329.67039999999997</v>
      </c>
      <c r="G4133" s="5">
        <v>329.005</v>
      </c>
      <c r="H4133" s="4">
        <v>0</v>
      </c>
      <c r="I4133" s="6">
        <v>1273198</v>
      </c>
      <c r="J4133" s="7">
        <v>130.30000000000001</v>
      </c>
      <c r="K4133" s="9">
        <f>(PricingDataTable[[#This Row],[Current Price ($)]]-PricingDataTable[[#This Row],[Prior Price ($)]])/PricingDataTable[[#This Row],[Prior Price ($)]]</f>
        <v>1.2873901392465492E-2</v>
      </c>
      <c r="L4133" s="9">
        <f>(PricingDataTable[[#This Row],[Vendor Price ($)]]-PricingDataTable[[#This Row],[Current Price ($)]])/PricingDataTable[[#This Row],[Current Price ($)]]</f>
        <v>-2.0183795694122884E-3</v>
      </c>
      <c r="M4133" t="str">
        <f t="shared" si="128"/>
        <v>PASS</v>
      </c>
      <c r="N4133" s="10" t="str">
        <f t="shared" si="129"/>
        <v>NONE</v>
      </c>
    </row>
    <row r="4134" spans="1:14">
      <c r="A4134" s="4" t="s">
        <v>8284</v>
      </c>
      <c r="B4134" s="4" t="s">
        <v>8285</v>
      </c>
      <c r="C4134" s="4" t="s">
        <v>39</v>
      </c>
      <c r="D4134" s="4" t="s">
        <v>13</v>
      </c>
      <c r="E4134" s="5">
        <v>236.32679999999999</v>
      </c>
      <c r="F4134" s="5">
        <v>236.5222</v>
      </c>
      <c r="G4134" s="5">
        <v>236.32140000000001</v>
      </c>
      <c r="H4134" s="4">
        <v>4</v>
      </c>
      <c r="I4134" s="6">
        <v>1627185</v>
      </c>
      <c r="J4134" s="7">
        <v>31.58</v>
      </c>
      <c r="K4134" s="9">
        <f>(PricingDataTable[[#This Row],[Current Price ($)]]-PricingDataTable[[#This Row],[Prior Price ($)]])/PricingDataTable[[#This Row],[Prior Price ($)]]</f>
        <v>8.2682116459075513E-4</v>
      </c>
      <c r="L4134" s="9">
        <f>(PricingDataTable[[#This Row],[Vendor Price ($)]]-PricingDataTable[[#This Row],[Current Price ($)]])/PricingDataTable[[#This Row],[Current Price ($)]]</f>
        <v>-8.489689339943006E-4</v>
      </c>
      <c r="M4134" t="str">
        <f t="shared" si="128"/>
        <v>STALE</v>
      </c>
      <c r="N4134" s="10" t="str">
        <f t="shared" si="129"/>
        <v>LOW</v>
      </c>
    </row>
    <row r="4135" spans="1:14">
      <c r="A4135" s="4" t="s">
        <v>8286</v>
      </c>
      <c r="B4135" s="4" t="s">
        <v>8287</v>
      </c>
      <c r="C4135" s="4" t="s">
        <v>16</v>
      </c>
      <c r="D4135" s="4" t="s">
        <v>32</v>
      </c>
      <c r="E4135" s="5">
        <v>91.748900000000006</v>
      </c>
      <c r="F4135" s="5">
        <v>92.431600000000003</v>
      </c>
      <c r="G4135" s="5">
        <v>92.634799999999998</v>
      </c>
      <c r="H4135" s="4">
        <v>1</v>
      </c>
      <c r="I4135" s="6">
        <v>2795713</v>
      </c>
      <c r="J4135" s="7">
        <v>488.59</v>
      </c>
      <c r="K4135" s="9">
        <f>(PricingDataTable[[#This Row],[Current Price ($)]]-PricingDataTable[[#This Row],[Prior Price ($)]])/PricingDataTable[[#This Row],[Prior Price ($)]]</f>
        <v>7.4409611450382178E-3</v>
      </c>
      <c r="L4135" s="9">
        <f>(PricingDataTable[[#This Row],[Vendor Price ($)]]-PricingDataTable[[#This Row],[Current Price ($)]])/PricingDataTable[[#This Row],[Current Price ($)]]</f>
        <v>2.198382371396745E-3</v>
      </c>
      <c r="M4135" t="str">
        <f t="shared" si="128"/>
        <v>PASS</v>
      </c>
      <c r="N4135" s="10" t="str">
        <f t="shared" si="129"/>
        <v>NONE</v>
      </c>
    </row>
    <row r="4136" spans="1:14">
      <c r="A4136" s="4" t="s">
        <v>8288</v>
      </c>
      <c r="B4136" s="4" t="s">
        <v>8289</v>
      </c>
      <c r="C4136" s="4" t="s">
        <v>12</v>
      </c>
      <c r="D4136" s="4" t="s">
        <v>13</v>
      </c>
      <c r="E4136" s="5">
        <v>120.20820000000001</v>
      </c>
      <c r="F4136" s="5">
        <v>123.57170000000001</v>
      </c>
      <c r="G4136" s="5">
        <v>123.7914</v>
      </c>
      <c r="H4136" s="4">
        <v>4</v>
      </c>
      <c r="I4136" s="6">
        <v>3701626</v>
      </c>
      <c r="J4136" s="7">
        <v>733.7</v>
      </c>
      <c r="K4136" s="9">
        <f>(PricingDataTable[[#This Row],[Current Price ($)]]-PricingDataTable[[#This Row],[Prior Price ($)]])/PricingDataTable[[#This Row],[Prior Price ($)]]</f>
        <v>2.7980620290462728E-2</v>
      </c>
      <c r="L4136" s="9">
        <f>(PricingDataTable[[#This Row],[Vendor Price ($)]]-PricingDataTable[[#This Row],[Current Price ($)]])/PricingDataTable[[#This Row],[Current Price ($)]]</f>
        <v>1.7779151698972247E-3</v>
      </c>
      <c r="M4136" t="str">
        <f t="shared" si="128"/>
        <v>STALE</v>
      </c>
      <c r="N4136" s="10" t="str">
        <f t="shared" si="129"/>
        <v>LOW</v>
      </c>
    </row>
    <row r="4137" spans="1:14">
      <c r="A4137" s="4" t="s">
        <v>8290</v>
      </c>
      <c r="B4137" s="4" t="s">
        <v>8291</v>
      </c>
      <c r="C4137" s="4" t="s">
        <v>35</v>
      </c>
      <c r="D4137" s="4" t="s">
        <v>32</v>
      </c>
      <c r="E4137" s="5">
        <v>25.7273</v>
      </c>
      <c r="F4137" s="5">
        <v>26.244199999999999</v>
      </c>
      <c r="G4137" s="5">
        <v>26.037299999999998</v>
      </c>
      <c r="H4137" s="4">
        <v>2</v>
      </c>
      <c r="I4137" s="6">
        <v>1325835</v>
      </c>
      <c r="J4137" s="7">
        <v>794.58</v>
      </c>
      <c r="K4137" s="9">
        <f>(PricingDataTable[[#This Row],[Current Price ($)]]-PricingDataTable[[#This Row],[Prior Price ($)]])/PricingDataTable[[#This Row],[Prior Price ($)]]</f>
        <v>2.0091498136221044E-2</v>
      </c>
      <c r="L4137" s="9">
        <f>(PricingDataTable[[#This Row],[Vendor Price ($)]]-PricingDataTable[[#This Row],[Current Price ($)]])/PricingDataTable[[#This Row],[Current Price ($)]]</f>
        <v>-7.883646672407655E-3</v>
      </c>
      <c r="M4137" t="str">
        <f t="shared" si="128"/>
        <v>PASS</v>
      </c>
      <c r="N4137" s="10" t="str">
        <f t="shared" si="129"/>
        <v>NONE</v>
      </c>
    </row>
    <row r="4138" spans="1:14">
      <c r="A4138" s="4" t="s">
        <v>8292</v>
      </c>
      <c r="B4138" s="4" t="s">
        <v>8293</v>
      </c>
      <c r="C4138" s="4" t="s">
        <v>12</v>
      </c>
      <c r="D4138" s="4" t="s">
        <v>13</v>
      </c>
      <c r="E4138" s="5">
        <v>91.553600000000003</v>
      </c>
      <c r="F4138" s="5">
        <v>93.457099999999997</v>
      </c>
      <c r="G4138" s="5">
        <v>93.720600000000005</v>
      </c>
      <c r="H4138" s="4">
        <v>0</v>
      </c>
      <c r="I4138" s="6">
        <v>3722467</v>
      </c>
      <c r="J4138" s="7">
        <v>679.01</v>
      </c>
      <c r="K4138" s="9">
        <f>(PricingDataTable[[#This Row],[Current Price ($)]]-PricingDataTable[[#This Row],[Prior Price ($)]])/PricingDataTable[[#This Row],[Prior Price ($)]]</f>
        <v>2.0791099421540976E-2</v>
      </c>
      <c r="L4138" s="9">
        <f>(PricingDataTable[[#This Row],[Vendor Price ($)]]-PricingDataTable[[#This Row],[Current Price ($)]])/PricingDataTable[[#This Row],[Current Price ($)]]</f>
        <v>2.8194754598634842E-3</v>
      </c>
      <c r="M4138" t="str">
        <f t="shared" si="128"/>
        <v>PASS</v>
      </c>
      <c r="N4138" s="10" t="str">
        <f t="shared" si="129"/>
        <v>NONE</v>
      </c>
    </row>
    <row r="4139" spans="1:14">
      <c r="A4139" s="4" t="s">
        <v>8294</v>
      </c>
      <c r="B4139" s="4" t="s">
        <v>8295</v>
      </c>
      <c r="C4139" s="4" t="s">
        <v>19</v>
      </c>
      <c r="D4139" s="4" t="s">
        <v>237</v>
      </c>
      <c r="E4139" s="5">
        <v>291.62029999999999</v>
      </c>
      <c r="F4139" s="5">
        <v>287.76069999999999</v>
      </c>
      <c r="G4139" s="5">
        <v>286.99709999999999</v>
      </c>
      <c r="H4139" s="4">
        <v>0</v>
      </c>
      <c r="I4139" s="6">
        <v>2723129</v>
      </c>
      <c r="J4139" s="7">
        <v>564.05999999999995</v>
      </c>
      <c r="K4139" s="9">
        <f>(PricingDataTable[[#This Row],[Current Price ($)]]-PricingDataTable[[#This Row],[Prior Price ($)]])/PricingDataTable[[#This Row],[Prior Price ($)]]</f>
        <v>-1.3235018275476709E-2</v>
      </c>
      <c r="L4139" s="9">
        <f>(PricingDataTable[[#This Row],[Vendor Price ($)]]-PricingDataTable[[#This Row],[Current Price ($)]])/PricingDataTable[[#This Row],[Current Price ($)]]</f>
        <v>-2.6535937673212388E-3</v>
      </c>
      <c r="M4139" t="str">
        <f t="shared" si="128"/>
        <v>PASS</v>
      </c>
      <c r="N4139" s="10" t="str">
        <f t="shared" si="129"/>
        <v>NONE</v>
      </c>
    </row>
    <row r="4140" spans="1:14">
      <c r="A4140" s="4" t="s">
        <v>8296</v>
      </c>
      <c r="B4140" s="4" t="s">
        <v>8297</v>
      </c>
      <c r="C4140" s="4" t="s">
        <v>12</v>
      </c>
      <c r="D4140" s="4" t="s">
        <v>13</v>
      </c>
      <c r="E4140" s="5">
        <v>116.7025</v>
      </c>
      <c r="F4140" s="5">
        <v>116.376</v>
      </c>
      <c r="G4140" s="5">
        <v>116.69289999999999</v>
      </c>
      <c r="H4140" s="4">
        <v>0</v>
      </c>
      <c r="I4140" s="6">
        <v>4314983</v>
      </c>
      <c r="J4140" s="7">
        <v>770.25</v>
      </c>
      <c r="K4140" s="9">
        <f>(PricingDataTable[[#This Row],[Current Price ($)]]-PricingDataTable[[#This Row],[Prior Price ($)]])/PricingDataTable[[#This Row],[Prior Price ($)]]</f>
        <v>-2.7977121312739296E-3</v>
      </c>
      <c r="L4140" s="9">
        <f>(PricingDataTable[[#This Row],[Vendor Price ($)]]-PricingDataTable[[#This Row],[Current Price ($)]])/PricingDataTable[[#This Row],[Current Price ($)]]</f>
        <v>2.7230700488072258E-3</v>
      </c>
      <c r="M4140" t="str">
        <f t="shared" si="128"/>
        <v>PASS</v>
      </c>
      <c r="N4140" s="10" t="str">
        <f t="shared" si="129"/>
        <v>NONE</v>
      </c>
    </row>
    <row r="4141" spans="1:14">
      <c r="A4141" s="4" t="s">
        <v>8298</v>
      </c>
      <c r="B4141" s="4" t="s">
        <v>8299</v>
      </c>
      <c r="C4141" s="4" t="s">
        <v>16</v>
      </c>
      <c r="D4141" s="4" t="s">
        <v>13</v>
      </c>
      <c r="E4141" s="5">
        <v>87.0154</v>
      </c>
      <c r="F4141" s="5">
        <v>87.268500000000003</v>
      </c>
      <c r="G4141" s="5">
        <v>86.978099999999998</v>
      </c>
      <c r="H4141" s="4">
        <v>0</v>
      </c>
      <c r="I4141" s="6">
        <v>4570435</v>
      </c>
      <c r="J4141" s="7">
        <v>779.7</v>
      </c>
      <c r="K4141" s="9">
        <f>(PricingDataTable[[#This Row],[Current Price ($)]]-PricingDataTable[[#This Row],[Prior Price ($)]])/PricingDataTable[[#This Row],[Prior Price ($)]]</f>
        <v>2.9086805324115435E-3</v>
      </c>
      <c r="L4141" s="9">
        <f>(PricingDataTable[[#This Row],[Vendor Price ($)]]-PricingDataTable[[#This Row],[Current Price ($)]])/PricingDataTable[[#This Row],[Current Price ($)]]</f>
        <v>-3.3276611835886408E-3</v>
      </c>
      <c r="M4141" t="str">
        <f t="shared" si="128"/>
        <v>PASS</v>
      </c>
      <c r="N4141" s="10" t="str">
        <f t="shared" si="129"/>
        <v>NONE</v>
      </c>
    </row>
    <row r="4142" spans="1:14">
      <c r="A4142" s="4" t="s">
        <v>8300</v>
      </c>
      <c r="B4142" s="4" t="s">
        <v>8301</v>
      </c>
      <c r="C4142" s="4" t="s">
        <v>39</v>
      </c>
      <c r="D4142" s="4" t="s">
        <v>13</v>
      </c>
      <c r="E4142" s="5">
        <v>57.953099999999999</v>
      </c>
      <c r="F4142" s="5">
        <v>65.832499999999996</v>
      </c>
      <c r="G4142" s="5">
        <v>66.046899999999994</v>
      </c>
      <c r="H4142" s="4">
        <v>1</v>
      </c>
      <c r="I4142" s="6">
        <v>4416560</v>
      </c>
      <c r="J4142" s="7">
        <v>516.54</v>
      </c>
      <c r="K4142" s="9">
        <f>(PricingDataTable[[#This Row],[Current Price ($)]]-PricingDataTable[[#This Row],[Prior Price ($)]])/PricingDataTable[[#This Row],[Prior Price ($)]]</f>
        <v>0.13596166555369768</v>
      </c>
      <c r="L4142" s="9">
        <f>(PricingDataTable[[#This Row],[Vendor Price ($)]]-PricingDataTable[[#This Row],[Current Price ($)]])/PricingDataTable[[#This Row],[Current Price ($)]]</f>
        <v>3.2567500854440851E-3</v>
      </c>
      <c r="M4142" t="str">
        <f t="shared" si="128"/>
        <v>LARGE MOVE</v>
      </c>
      <c r="N4142" s="10" t="str">
        <f t="shared" si="129"/>
        <v>HIGH</v>
      </c>
    </row>
    <row r="4143" spans="1:14">
      <c r="A4143" s="4" t="s">
        <v>8302</v>
      </c>
      <c r="B4143" s="4" t="s">
        <v>8303</v>
      </c>
      <c r="C4143" s="4" t="s">
        <v>35</v>
      </c>
      <c r="D4143" s="4" t="s">
        <v>32</v>
      </c>
      <c r="E4143" s="5">
        <v>90.474100000000007</v>
      </c>
      <c r="F4143" s="5">
        <v>90.122500000000002</v>
      </c>
      <c r="G4143" s="5">
        <v>90.123199999999997</v>
      </c>
      <c r="H4143" s="4">
        <v>0</v>
      </c>
      <c r="I4143" s="6">
        <v>4865627</v>
      </c>
      <c r="J4143" s="7">
        <v>198.52</v>
      </c>
      <c r="K4143" s="9">
        <f>(PricingDataTable[[#This Row],[Current Price ($)]]-PricingDataTable[[#This Row],[Prior Price ($)]])/PricingDataTable[[#This Row],[Prior Price ($)]]</f>
        <v>-3.8861950547173698E-3</v>
      </c>
      <c r="L4143" s="9">
        <f>(PricingDataTable[[#This Row],[Vendor Price ($)]]-PricingDataTable[[#This Row],[Current Price ($)]])/PricingDataTable[[#This Row],[Current Price ($)]]</f>
        <v>7.7672057476747301E-6</v>
      </c>
      <c r="M4143" t="str">
        <f t="shared" si="128"/>
        <v>PASS</v>
      </c>
      <c r="N4143" s="10" t="str">
        <f t="shared" si="129"/>
        <v>NONE</v>
      </c>
    </row>
    <row r="4144" spans="1:14">
      <c r="A4144" s="4" t="s">
        <v>8304</v>
      </c>
      <c r="B4144" s="4" t="s">
        <v>8305</v>
      </c>
      <c r="C4144" s="4" t="s">
        <v>39</v>
      </c>
      <c r="D4144" s="4" t="s">
        <v>13</v>
      </c>
      <c r="E4144" s="5">
        <v>28.7286</v>
      </c>
      <c r="F4144" s="5">
        <v>28.982700000000001</v>
      </c>
      <c r="G4144" s="5">
        <v>29.061299999999999</v>
      </c>
      <c r="H4144" s="4">
        <v>0</v>
      </c>
      <c r="I4144" s="6">
        <v>3766438</v>
      </c>
      <c r="J4144" s="7">
        <v>529.23</v>
      </c>
      <c r="K4144" s="9">
        <f>(PricingDataTable[[#This Row],[Current Price ($)]]-PricingDataTable[[#This Row],[Prior Price ($)]])/PricingDataTable[[#This Row],[Prior Price ($)]]</f>
        <v>8.8448445103486116E-3</v>
      </c>
      <c r="L4144" s="9">
        <f>(PricingDataTable[[#This Row],[Vendor Price ($)]]-PricingDataTable[[#This Row],[Current Price ($)]])/PricingDataTable[[#This Row],[Current Price ($)]]</f>
        <v>2.7119626535829305E-3</v>
      </c>
      <c r="M4144" t="str">
        <f t="shared" si="128"/>
        <v>PASS</v>
      </c>
      <c r="N4144" s="10" t="str">
        <f t="shared" si="129"/>
        <v>NONE</v>
      </c>
    </row>
    <row r="4145" spans="1:14">
      <c r="A4145" s="4" t="s">
        <v>8306</v>
      </c>
      <c r="B4145" s="4" t="s">
        <v>8307</v>
      </c>
      <c r="C4145" s="4" t="s">
        <v>19</v>
      </c>
      <c r="D4145" s="4" t="s">
        <v>13</v>
      </c>
      <c r="E4145" s="5">
        <v>93.015699999999995</v>
      </c>
      <c r="F4145" s="5">
        <v>92.62</v>
      </c>
      <c r="G4145" s="5">
        <v>92.298100000000005</v>
      </c>
      <c r="H4145" s="4">
        <v>1</v>
      </c>
      <c r="I4145" s="6">
        <v>2549709</v>
      </c>
      <c r="J4145" s="7">
        <v>682.17</v>
      </c>
      <c r="K4145" s="9">
        <f>(PricingDataTable[[#This Row],[Current Price ($)]]-PricingDataTable[[#This Row],[Prior Price ($)]])/PricingDataTable[[#This Row],[Prior Price ($)]]</f>
        <v>-4.25412054094084E-3</v>
      </c>
      <c r="L4145" s="9">
        <f>(PricingDataTable[[#This Row],[Vendor Price ($)]]-PricingDataTable[[#This Row],[Current Price ($)]])/PricingDataTable[[#This Row],[Current Price ($)]]</f>
        <v>-3.4754912545886352E-3</v>
      </c>
      <c r="M4145" t="str">
        <f t="shared" si="128"/>
        <v>PASS</v>
      </c>
      <c r="N4145" s="10" t="str">
        <f t="shared" si="129"/>
        <v>NONE</v>
      </c>
    </row>
    <row r="4146" spans="1:14">
      <c r="A4146" s="4" t="s">
        <v>8308</v>
      </c>
      <c r="B4146" s="4" t="s">
        <v>8309</v>
      </c>
      <c r="C4146" s="4" t="s">
        <v>16</v>
      </c>
      <c r="D4146" s="4" t="s">
        <v>13</v>
      </c>
      <c r="E4146" s="5">
        <v>79.859300000000005</v>
      </c>
      <c r="F4146" s="5">
        <v>79.6387</v>
      </c>
      <c r="G4146" s="5">
        <v>79.536000000000001</v>
      </c>
      <c r="H4146" s="4">
        <v>3</v>
      </c>
      <c r="I4146" s="6">
        <v>4315027</v>
      </c>
      <c r="J4146" s="7">
        <v>677.38</v>
      </c>
      <c r="K4146" s="9">
        <f>(PricingDataTable[[#This Row],[Current Price ($)]]-PricingDataTable[[#This Row],[Prior Price ($)]])/PricingDataTable[[#This Row],[Prior Price ($)]]</f>
        <v>-2.7623582976560594E-3</v>
      </c>
      <c r="L4146" s="9">
        <f>(PricingDataTable[[#This Row],[Vendor Price ($)]]-PricingDataTable[[#This Row],[Current Price ($)]])/PricingDataTable[[#This Row],[Current Price ($)]]</f>
        <v>-1.2895740387524994E-3</v>
      </c>
      <c r="M4146" t="str">
        <f t="shared" si="128"/>
        <v>STALE</v>
      </c>
      <c r="N4146" s="10" t="str">
        <f t="shared" si="129"/>
        <v>LOW</v>
      </c>
    </row>
    <row r="4147" spans="1:14">
      <c r="A4147" s="4" t="s">
        <v>8310</v>
      </c>
      <c r="B4147" s="4" t="s">
        <v>8311</v>
      </c>
      <c r="C4147" s="4" t="s">
        <v>12</v>
      </c>
      <c r="D4147" s="4" t="s">
        <v>32</v>
      </c>
      <c r="E4147" s="5">
        <v>109.90689999999999</v>
      </c>
      <c r="F4147" s="5">
        <v>111.9156</v>
      </c>
      <c r="G4147" s="5">
        <v>111.9746</v>
      </c>
      <c r="H4147" s="4">
        <v>2</v>
      </c>
      <c r="I4147" s="6">
        <v>4044527</v>
      </c>
      <c r="J4147" s="7">
        <v>436.25</v>
      </c>
      <c r="K4147" s="9">
        <f>(PricingDataTable[[#This Row],[Current Price ($)]]-PricingDataTable[[#This Row],[Prior Price ($)]])/PricingDataTable[[#This Row],[Prior Price ($)]]</f>
        <v>1.8276377552273831E-2</v>
      </c>
      <c r="L4147" s="9">
        <f>(PricingDataTable[[#This Row],[Vendor Price ($)]]-PricingDataTable[[#This Row],[Current Price ($)]])/PricingDataTable[[#This Row],[Current Price ($)]]</f>
        <v>5.271829843203048E-4</v>
      </c>
      <c r="M4147" t="str">
        <f t="shared" si="128"/>
        <v>PASS</v>
      </c>
      <c r="N4147" s="10" t="str">
        <f t="shared" si="129"/>
        <v>NONE</v>
      </c>
    </row>
    <row r="4148" spans="1:14">
      <c r="A4148" s="4" t="s">
        <v>8312</v>
      </c>
      <c r="B4148" s="4" t="s">
        <v>8313</v>
      </c>
      <c r="C4148" s="4" t="s">
        <v>19</v>
      </c>
      <c r="D4148" s="4" t="s">
        <v>36</v>
      </c>
      <c r="E4148" s="5">
        <v>224.88399999999999</v>
      </c>
      <c r="F4148" s="5">
        <v>224.27</v>
      </c>
      <c r="G4148" s="5">
        <v>224.52930000000001</v>
      </c>
      <c r="H4148" s="4">
        <v>0</v>
      </c>
      <c r="I4148" s="6">
        <v>1443316</v>
      </c>
      <c r="J4148" s="7">
        <v>51.51</v>
      </c>
      <c r="K4148" s="9">
        <f>(PricingDataTable[[#This Row],[Current Price ($)]]-PricingDataTable[[#This Row],[Prior Price ($)]])/PricingDataTable[[#This Row],[Prior Price ($)]]</f>
        <v>-2.7302965084220129E-3</v>
      </c>
      <c r="L4148" s="9">
        <f>(PricingDataTable[[#This Row],[Vendor Price ($)]]-PricingDataTable[[#This Row],[Current Price ($)]])/PricingDataTable[[#This Row],[Current Price ($)]]</f>
        <v>1.1561956570205381E-3</v>
      </c>
      <c r="M4148" t="str">
        <f t="shared" si="128"/>
        <v>PASS</v>
      </c>
      <c r="N4148" s="10" t="str">
        <f t="shared" si="129"/>
        <v>NONE</v>
      </c>
    </row>
    <row r="4149" spans="1:14">
      <c r="A4149" s="4" t="s">
        <v>8314</v>
      </c>
      <c r="B4149" s="4" t="s">
        <v>8315</v>
      </c>
      <c r="C4149" s="4" t="s">
        <v>12</v>
      </c>
      <c r="D4149" s="4" t="s">
        <v>36</v>
      </c>
      <c r="E4149" s="5">
        <v>114.4336</v>
      </c>
      <c r="F4149" s="5">
        <v>108.41249999999999</v>
      </c>
      <c r="G4149" s="5">
        <v>108.4282</v>
      </c>
      <c r="H4149" s="4">
        <v>4</v>
      </c>
      <c r="I4149" s="6">
        <v>1722659</v>
      </c>
      <c r="J4149" s="7">
        <v>810.04</v>
      </c>
      <c r="K4149" s="9">
        <f>(PricingDataTable[[#This Row],[Current Price ($)]]-PricingDataTable[[#This Row],[Prior Price ($)]])/PricingDataTable[[#This Row],[Prior Price ($)]]</f>
        <v>-5.2616539198277468E-2</v>
      </c>
      <c r="L4149" s="9">
        <f>(PricingDataTable[[#This Row],[Vendor Price ($)]]-PricingDataTable[[#This Row],[Current Price ($)]])/PricingDataTable[[#This Row],[Current Price ($)]]</f>
        <v>1.448172489335602E-4</v>
      </c>
      <c r="M4149" t="str">
        <f t="shared" si="128"/>
        <v>STALE</v>
      </c>
      <c r="N4149" s="10" t="str">
        <f t="shared" si="129"/>
        <v>LOW</v>
      </c>
    </row>
    <row r="4150" spans="1:14">
      <c r="A4150" s="4" t="s">
        <v>8316</v>
      </c>
      <c r="B4150" s="4" t="s">
        <v>8317</v>
      </c>
      <c r="C4150" s="4" t="s">
        <v>16</v>
      </c>
      <c r="D4150" s="4" t="s">
        <v>13</v>
      </c>
      <c r="E4150" s="5">
        <v>93.232500000000002</v>
      </c>
      <c r="F4150" s="5">
        <v>87.895399999999995</v>
      </c>
      <c r="G4150" s="5">
        <v>87.926699999999997</v>
      </c>
      <c r="H4150" s="4">
        <v>4</v>
      </c>
      <c r="I4150" s="6">
        <v>3836456</v>
      </c>
      <c r="J4150" s="7">
        <v>394.88</v>
      </c>
      <c r="K4150" s="9">
        <f>(PricingDataTable[[#This Row],[Current Price ($)]]-PricingDataTable[[#This Row],[Prior Price ($)]])/PricingDataTable[[#This Row],[Prior Price ($)]]</f>
        <v>-5.7245059394524511E-2</v>
      </c>
      <c r="L4150" s="9">
        <f>(PricingDataTable[[#This Row],[Vendor Price ($)]]-PricingDataTable[[#This Row],[Current Price ($)]])/PricingDataTable[[#This Row],[Current Price ($)]]</f>
        <v>3.5610509765018032E-4</v>
      </c>
      <c r="M4150" t="str">
        <f t="shared" si="128"/>
        <v>STALE</v>
      </c>
      <c r="N4150" s="10" t="str">
        <f t="shared" si="129"/>
        <v>LOW</v>
      </c>
    </row>
    <row r="4151" spans="1:14">
      <c r="A4151" s="4" t="s">
        <v>8318</v>
      </c>
      <c r="B4151" s="4" t="s">
        <v>8319</v>
      </c>
      <c r="C4151" s="4" t="s">
        <v>16</v>
      </c>
      <c r="D4151" s="4" t="s">
        <v>13</v>
      </c>
      <c r="E4151" s="5">
        <v>115.45489999999999</v>
      </c>
      <c r="F4151" s="5">
        <v>113.39060000000001</v>
      </c>
      <c r="G4151" s="5">
        <v>113.3856</v>
      </c>
      <c r="H4151" s="4">
        <v>5</v>
      </c>
      <c r="I4151" s="6">
        <v>794619</v>
      </c>
      <c r="J4151" s="7">
        <v>365.92</v>
      </c>
      <c r="K4151" s="9">
        <f>(PricingDataTable[[#This Row],[Current Price ($)]]-PricingDataTable[[#This Row],[Prior Price ($)]])/PricingDataTable[[#This Row],[Prior Price ($)]]</f>
        <v>-1.787970887333486E-2</v>
      </c>
      <c r="L4151" s="9">
        <f>(PricingDataTable[[#This Row],[Vendor Price ($)]]-PricingDataTable[[#This Row],[Current Price ($)]])/PricingDataTable[[#This Row],[Current Price ($)]]</f>
        <v>-4.4095365929888926E-5</v>
      </c>
      <c r="M4151" t="str">
        <f t="shared" si="128"/>
        <v>STALE</v>
      </c>
      <c r="N4151" s="10" t="str">
        <f t="shared" si="129"/>
        <v>MEDIUM</v>
      </c>
    </row>
    <row r="4152" spans="1:14">
      <c r="A4152" s="4" t="s">
        <v>8320</v>
      </c>
      <c r="B4152" s="4" t="s">
        <v>8321</v>
      </c>
      <c r="C4152" s="4" t="s">
        <v>19</v>
      </c>
      <c r="D4152" s="4" t="s">
        <v>13</v>
      </c>
      <c r="E4152" s="5">
        <v>205.90350000000001</v>
      </c>
      <c r="F4152" s="5">
        <v>202.8056</v>
      </c>
      <c r="G4152" s="5">
        <v>202.2765</v>
      </c>
      <c r="H4152" s="4">
        <v>0</v>
      </c>
      <c r="I4152" s="6">
        <v>4322515</v>
      </c>
      <c r="J4152" s="7">
        <v>422.76</v>
      </c>
      <c r="K4152" s="9">
        <f>(PricingDataTable[[#This Row],[Current Price ($)]]-PricingDataTable[[#This Row],[Prior Price ($)]])/PricingDataTable[[#This Row],[Prior Price ($)]]</f>
        <v>-1.504539747988747E-2</v>
      </c>
      <c r="L4152" s="9">
        <f>(PricingDataTable[[#This Row],[Vendor Price ($)]]-PricingDataTable[[#This Row],[Current Price ($)]])/PricingDataTable[[#This Row],[Current Price ($)]]</f>
        <v>-2.6089023182791779E-3</v>
      </c>
      <c r="M4152" t="str">
        <f t="shared" si="128"/>
        <v>PASS</v>
      </c>
      <c r="N4152" s="10" t="str">
        <f t="shared" si="129"/>
        <v>NONE</v>
      </c>
    </row>
    <row r="4153" spans="1:14">
      <c r="A4153" s="4" t="s">
        <v>8322</v>
      </c>
      <c r="B4153" s="4" t="s">
        <v>8323</v>
      </c>
      <c r="C4153" s="4" t="s">
        <v>16</v>
      </c>
      <c r="D4153" s="4" t="s">
        <v>64</v>
      </c>
      <c r="E4153" s="5">
        <v>119.5004</v>
      </c>
      <c r="F4153" s="5">
        <v>121.26649999999999</v>
      </c>
      <c r="G4153" s="5">
        <v>121.74</v>
      </c>
      <c r="H4153" s="4">
        <v>0</v>
      </c>
      <c r="I4153" s="6">
        <v>2351385</v>
      </c>
      <c r="J4153" s="7">
        <v>142.09</v>
      </c>
      <c r="K4153" s="9">
        <f>(PricingDataTable[[#This Row],[Current Price ($)]]-PricingDataTable[[#This Row],[Prior Price ($)]])/PricingDataTable[[#This Row],[Prior Price ($)]]</f>
        <v>1.4779030028351323E-2</v>
      </c>
      <c r="L4153" s="9">
        <f>(PricingDataTable[[#This Row],[Vendor Price ($)]]-PricingDataTable[[#This Row],[Current Price ($)]])/PricingDataTable[[#This Row],[Current Price ($)]]</f>
        <v>3.9046232883772633E-3</v>
      </c>
      <c r="M4153" t="str">
        <f t="shared" si="128"/>
        <v>PASS</v>
      </c>
      <c r="N4153" s="10" t="str">
        <f t="shared" si="129"/>
        <v>NONE</v>
      </c>
    </row>
    <row r="4154" spans="1:14">
      <c r="A4154" s="4" t="s">
        <v>8324</v>
      </c>
      <c r="B4154" s="4" t="s">
        <v>8325</v>
      </c>
      <c r="C4154" s="4" t="s">
        <v>39</v>
      </c>
      <c r="D4154" s="4" t="s">
        <v>32</v>
      </c>
      <c r="E4154" s="5">
        <v>89.312100000000001</v>
      </c>
      <c r="F4154" s="5">
        <v>89.538399999999996</v>
      </c>
      <c r="G4154" s="5">
        <v>89.162599999999998</v>
      </c>
      <c r="H4154" s="4">
        <v>0</v>
      </c>
      <c r="I4154" s="6">
        <v>3757440</v>
      </c>
      <c r="J4154" s="7">
        <v>610.11</v>
      </c>
      <c r="K4154" s="9">
        <f>(PricingDataTable[[#This Row],[Current Price ($)]]-PricingDataTable[[#This Row],[Prior Price ($)]])/PricingDataTable[[#This Row],[Prior Price ($)]]</f>
        <v>2.533811208111721E-3</v>
      </c>
      <c r="L4154" s="9">
        <f>(PricingDataTable[[#This Row],[Vendor Price ($)]]-PricingDataTable[[#This Row],[Current Price ($)]])/PricingDataTable[[#This Row],[Current Price ($)]]</f>
        <v>-4.1970819223930535E-3</v>
      </c>
      <c r="M4154" t="str">
        <f t="shared" si="128"/>
        <v>PASS</v>
      </c>
      <c r="N4154" s="10" t="str">
        <f t="shared" si="129"/>
        <v>NONE</v>
      </c>
    </row>
    <row r="4155" spans="1:14">
      <c r="A4155" s="4" t="s">
        <v>8326</v>
      </c>
      <c r="B4155" s="4" t="s">
        <v>8327</v>
      </c>
      <c r="C4155" s="4" t="s">
        <v>35</v>
      </c>
      <c r="D4155" s="4" t="s">
        <v>13</v>
      </c>
      <c r="E4155" s="5">
        <v>29.942799999999998</v>
      </c>
      <c r="F4155" s="5">
        <v>30.2605</v>
      </c>
      <c r="G4155" s="5">
        <v>30.1694</v>
      </c>
      <c r="H4155" s="4">
        <v>0</v>
      </c>
      <c r="I4155" s="6">
        <v>45593</v>
      </c>
      <c r="J4155" s="7">
        <v>833.92</v>
      </c>
      <c r="K4155" s="9">
        <f>(PricingDataTable[[#This Row],[Current Price ($)]]-PricingDataTable[[#This Row],[Prior Price ($)]])/PricingDataTable[[#This Row],[Prior Price ($)]]</f>
        <v>1.0610230172195055E-2</v>
      </c>
      <c r="L4155" s="9">
        <f>(PricingDataTable[[#This Row],[Vendor Price ($)]]-PricingDataTable[[#This Row],[Current Price ($)]])/PricingDataTable[[#This Row],[Current Price ($)]]</f>
        <v>-3.010525272219588E-3</v>
      </c>
      <c r="M4155" t="str">
        <f t="shared" si="128"/>
        <v>PASS</v>
      </c>
      <c r="N4155" s="10" t="str">
        <f t="shared" si="129"/>
        <v>NONE</v>
      </c>
    </row>
    <row r="4156" spans="1:14">
      <c r="A4156" s="4" t="s">
        <v>8328</v>
      </c>
      <c r="B4156" s="4" t="s">
        <v>8329</v>
      </c>
      <c r="C4156" s="4" t="s">
        <v>16</v>
      </c>
      <c r="D4156" s="4" t="s">
        <v>13</v>
      </c>
      <c r="E4156" s="5">
        <v>89.429299999999998</v>
      </c>
      <c r="F4156" s="5">
        <v>90.498599999999996</v>
      </c>
      <c r="G4156" s="5">
        <v>90.533000000000001</v>
      </c>
      <c r="H4156" s="4">
        <v>0</v>
      </c>
      <c r="I4156" s="6">
        <v>3074662</v>
      </c>
      <c r="J4156" s="7">
        <v>649.32000000000005</v>
      </c>
      <c r="K4156" s="9">
        <f>(PricingDataTable[[#This Row],[Current Price ($)]]-PricingDataTable[[#This Row],[Prior Price ($)]])/PricingDataTable[[#This Row],[Prior Price ($)]]</f>
        <v>1.1956931341294167E-2</v>
      </c>
      <c r="L4156" s="9">
        <f>(PricingDataTable[[#This Row],[Vendor Price ($)]]-PricingDataTable[[#This Row],[Current Price ($)]])/PricingDataTable[[#This Row],[Current Price ($)]]</f>
        <v>3.801163774909788E-4</v>
      </c>
      <c r="M4156" t="str">
        <f t="shared" si="128"/>
        <v>PASS</v>
      </c>
      <c r="N4156" s="10" t="str">
        <f t="shared" si="129"/>
        <v>NONE</v>
      </c>
    </row>
    <row r="4157" spans="1:14">
      <c r="A4157" s="4" t="s">
        <v>8330</v>
      </c>
      <c r="B4157" s="4" t="s">
        <v>8331</v>
      </c>
      <c r="C4157" s="4" t="s">
        <v>16</v>
      </c>
      <c r="D4157" s="4" t="s">
        <v>13</v>
      </c>
      <c r="E4157" s="5">
        <v>94.117800000000003</v>
      </c>
      <c r="F4157" s="5">
        <v>96.072500000000005</v>
      </c>
      <c r="G4157" s="5">
        <v>95.740099999999998</v>
      </c>
      <c r="H4157" s="4">
        <v>0</v>
      </c>
      <c r="I4157" s="6">
        <v>593348</v>
      </c>
      <c r="J4157" s="7">
        <v>140.69999999999999</v>
      </c>
      <c r="K4157" s="9">
        <f>(PricingDataTable[[#This Row],[Current Price ($)]]-PricingDataTable[[#This Row],[Prior Price ($)]])/PricingDataTable[[#This Row],[Prior Price ($)]]</f>
        <v>2.0768653750937682E-2</v>
      </c>
      <c r="L4157" s="9">
        <f>(PricingDataTable[[#This Row],[Vendor Price ($)]]-PricingDataTable[[#This Row],[Current Price ($)]])/PricingDataTable[[#This Row],[Current Price ($)]]</f>
        <v>-3.459887064456602E-3</v>
      </c>
      <c r="M4157" t="str">
        <f t="shared" si="128"/>
        <v>PASS</v>
      </c>
      <c r="N4157" s="10" t="str">
        <f t="shared" si="129"/>
        <v>NONE</v>
      </c>
    </row>
    <row r="4158" spans="1:14">
      <c r="A4158" s="4" t="s">
        <v>8332</v>
      </c>
      <c r="B4158" s="4" t="s">
        <v>8333</v>
      </c>
      <c r="C4158" s="4" t="s">
        <v>35</v>
      </c>
      <c r="D4158" s="4" t="s">
        <v>13</v>
      </c>
      <c r="E4158" s="5">
        <v>155.9188</v>
      </c>
      <c r="F4158" s="5">
        <v>157.149</v>
      </c>
      <c r="G4158" s="5">
        <v>157.70650000000001</v>
      </c>
      <c r="H4158" s="4">
        <v>0</v>
      </c>
      <c r="I4158" s="6">
        <v>2235288</v>
      </c>
      <c r="J4158" s="7">
        <v>97.88</v>
      </c>
      <c r="K4158" s="9">
        <f>(PricingDataTable[[#This Row],[Current Price ($)]]-PricingDataTable[[#This Row],[Prior Price ($)]])/PricingDataTable[[#This Row],[Prior Price ($)]]</f>
        <v>7.8900042842812816E-3</v>
      </c>
      <c r="L4158" s="9">
        <f>(PricingDataTable[[#This Row],[Vendor Price ($)]]-PricingDataTable[[#This Row],[Current Price ($)]])/PricingDataTable[[#This Row],[Current Price ($)]]</f>
        <v>3.5475885942640715E-3</v>
      </c>
      <c r="M4158" t="str">
        <f t="shared" si="128"/>
        <v>PASS</v>
      </c>
      <c r="N4158" s="10" t="str">
        <f t="shared" si="129"/>
        <v>NONE</v>
      </c>
    </row>
    <row r="4159" spans="1:14">
      <c r="A4159" s="4" t="s">
        <v>8334</v>
      </c>
      <c r="B4159" s="4" t="s">
        <v>8335</v>
      </c>
      <c r="C4159" s="4" t="s">
        <v>19</v>
      </c>
      <c r="D4159" s="4" t="s">
        <v>13</v>
      </c>
      <c r="E4159" s="5">
        <v>32.054099999999998</v>
      </c>
      <c r="F4159" s="5">
        <v>31.82</v>
      </c>
      <c r="G4159" s="5">
        <v>31.864999999999998</v>
      </c>
      <c r="H4159" s="4">
        <v>1</v>
      </c>
      <c r="I4159" s="6">
        <v>3301086</v>
      </c>
      <c r="J4159" s="7">
        <v>803.87</v>
      </c>
      <c r="K4159" s="9">
        <f>(PricingDataTable[[#This Row],[Current Price ($)]]-PricingDataTable[[#This Row],[Prior Price ($)]])/PricingDataTable[[#This Row],[Prior Price ($)]]</f>
        <v>-7.3032778958073375E-3</v>
      </c>
      <c r="L4159" s="9">
        <f>(PricingDataTable[[#This Row],[Vendor Price ($)]]-PricingDataTable[[#This Row],[Current Price ($)]])/PricingDataTable[[#This Row],[Current Price ($)]]</f>
        <v>1.4142049025769375E-3</v>
      </c>
      <c r="M4159" t="str">
        <f t="shared" si="128"/>
        <v>PASS</v>
      </c>
      <c r="N4159" s="10" t="str">
        <f t="shared" si="129"/>
        <v>NONE</v>
      </c>
    </row>
    <row r="4160" spans="1:14">
      <c r="A4160" s="4" t="s">
        <v>8336</v>
      </c>
      <c r="B4160" s="4" t="s">
        <v>8337</v>
      </c>
      <c r="C4160" s="4" t="s">
        <v>35</v>
      </c>
      <c r="D4160" s="4" t="s">
        <v>13</v>
      </c>
      <c r="E4160" s="5">
        <v>129.86279999999999</v>
      </c>
      <c r="F4160" s="5">
        <v>130.8458</v>
      </c>
      <c r="G4160" s="5">
        <v>130.9657</v>
      </c>
      <c r="H4160" s="4">
        <v>0</v>
      </c>
      <c r="I4160" s="6">
        <v>1882236</v>
      </c>
      <c r="J4160" s="7">
        <v>443.77</v>
      </c>
      <c r="K4160" s="9">
        <f>(PricingDataTable[[#This Row],[Current Price ($)]]-PricingDataTable[[#This Row],[Prior Price ($)]])/PricingDataTable[[#This Row],[Prior Price ($)]]</f>
        <v>7.5695272241165608E-3</v>
      </c>
      <c r="L4160" s="9">
        <f>(PricingDataTable[[#This Row],[Vendor Price ($)]]-PricingDataTable[[#This Row],[Current Price ($)]])/PricingDataTable[[#This Row],[Current Price ($)]]</f>
        <v>9.1634580552070629E-4</v>
      </c>
      <c r="M4160" t="str">
        <f t="shared" si="128"/>
        <v>PASS</v>
      </c>
      <c r="N4160" s="10" t="str">
        <f t="shared" si="129"/>
        <v>NONE</v>
      </c>
    </row>
    <row r="4161" spans="1:14">
      <c r="A4161" s="4" t="s">
        <v>8338</v>
      </c>
      <c r="B4161" s="4" t="s">
        <v>8339</v>
      </c>
      <c r="C4161" s="4" t="s">
        <v>35</v>
      </c>
      <c r="D4161" s="4" t="s">
        <v>13</v>
      </c>
      <c r="E4161" s="5">
        <v>139.38939999999999</v>
      </c>
      <c r="F4161" s="5">
        <v>139.9657</v>
      </c>
      <c r="G4161" s="5">
        <v>140.2551</v>
      </c>
      <c r="H4161" s="4">
        <v>1</v>
      </c>
      <c r="I4161" s="6">
        <v>4124571</v>
      </c>
      <c r="J4161" s="7">
        <v>576.46</v>
      </c>
      <c r="K4161" s="9">
        <f>(PricingDataTable[[#This Row],[Current Price ($)]]-PricingDataTable[[#This Row],[Prior Price ($)]])/PricingDataTable[[#This Row],[Prior Price ($)]]</f>
        <v>4.1344607265689027E-3</v>
      </c>
      <c r="L4161" s="9">
        <f>(PricingDataTable[[#This Row],[Vendor Price ($)]]-PricingDataTable[[#This Row],[Current Price ($)]])/PricingDataTable[[#This Row],[Current Price ($)]]</f>
        <v>2.0676494312535181E-3</v>
      </c>
      <c r="M4161" t="str">
        <f t="shared" si="128"/>
        <v>PASS</v>
      </c>
      <c r="N4161" s="10" t="str">
        <f t="shared" si="129"/>
        <v>NONE</v>
      </c>
    </row>
    <row r="4162" spans="1:14">
      <c r="A4162" s="4" t="s">
        <v>8340</v>
      </c>
      <c r="B4162" s="4" t="s">
        <v>8341</v>
      </c>
      <c r="C4162" s="4" t="s">
        <v>39</v>
      </c>
      <c r="D4162" s="4" t="s">
        <v>13</v>
      </c>
      <c r="E4162" s="5">
        <v>153.91810000000001</v>
      </c>
      <c r="F4162" s="5">
        <v>155.09649999999999</v>
      </c>
      <c r="G4162" s="5">
        <v>155.32859999999999</v>
      </c>
      <c r="H4162" s="4">
        <v>1</v>
      </c>
      <c r="I4162" s="6">
        <v>2404914</v>
      </c>
      <c r="J4162" s="7">
        <v>592.91999999999996</v>
      </c>
      <c r="K4162" s="9">
        <f>(PricingDataTable[[#This Row],[Current Price ($)]]-PricingDataTable[[#This Row],[Prior Price ($)]])/PricingDataTable[[#This Row],[Prior Price ($)]]</f>
        <v>7.6560196624047595E-3</v>
      </c>
      <c r="L4162" s="9">
        <f>(PricingDataTable[[#This Row],[Vendor Price ($)]]-PricingDataTable[[#This Row],[Current Price ($)]])/PricingDataTable[[#This Row],[Current Price ($)]]</f>
        <v>1.4964876705793016E-3</v>
      </c>
      <c r="M4162" t="str">
        <f t="shared" ref="M4162:M4225" si="130">IF(OR(F4162="",F4162=0),"MISSING",IF(H4162&gt;=3,"STALE",IF(ABS(K4162)&gt;=5%,"LARGE MOVE",IF(ABS(L4162)&gt;=2%,"VENDOR DIFFERENCE","PASS"))))</f>
        <v>PASS</v>
      </c>
      <c r="N4162" s="10" t="str">
        <f t="shared" ref="N4162:N4225" si="131">IF(M4162="PASS","NONE",IF(M4162="MISSING","HIGH",IF(OR(ABS(K4162)&gt;=10%,ABS(L4162)&gt;=5%),"HIGH",IF(OR(ABS(K4162)&gt;=7%,ABS(L4162)&gt;=3%,H4162&gt;=5),"MEDIUM","LOW"))))</f>
        <v>NONE</v>
      </c>
    </row>
    <row r="4163" spans="1:14">
      <c r="A4163" s="4" t="s">
        <v>8342</v>
      </c>
      <c r="B4163" s="4" t="s">
        <v>8343</v>
      </c>
      <c r="C4163" s="4" t="s">
        <v>12</v>
      </c>
      <c r="D4163" s="4" t="s">
        <v>13</v>
      </c>
      <c r="E4163" s="5">
        <v>76.859200000000001</v>
      </c>
      <c r="F4163" s="5">
        <v>76.7333</v>
      </c>
      <c r="G4163" s="5">
        <v>76.620199999999997</v>
      </c>
      <c r="H4163" s="4">
        <v>4</v>
      </c>
      <c r="I4163" s="6">
        <v>309843</v>
      </c>
      <c r="J4163" s="7">
        <v>503.21</v>
      </c>
      <c r="K4163" s="9">
        <f>(PricingDataTable[[#This Row],[Current Price ($)]]-PricingDataTable[[#This Row],[Prior Price ($)]])/PricingDataTable[[#This Row],[Prior Price ($)]]</f>
        <v>-1.6380602452276559E-3</v>
      </c>
      <c r="L4163" s="9">
        <f>(PricingDataTable[[#This Row],[Vendor Price ($)]]-PricingDataTable[[#This Row],[Current Price ($)]])/PricingDataTable[[#This Row],[Current Price ($)]]</f>
        <v>-1.4739363483650889E-3</v>
      </c>
      <c r="M4163" t="str">
        <f t="shared" si="130"/>
        <v>STALE</v>
      </c>
      <c r="N4163" s="10" t="str">
        <f t="shared" si="131"/>
        <v>LOW</v>
      </c>
    </row>
    <row r="4164" spans="1:14">
      <c r="A4164" s="4" t="s">
        <v>8344</v>
      </c>
      <c r="B4164" s="4" t="s">
        <v>8345</v>
      </c>
      <c r="C4164" s="4" t="s">
        <v>19</v>
      </c>
      <c r="D4164" s="4" t="s">
        <v>32</v>
      </c>
      <c r="E4164" s="5">
        <v>328.3775</v>
      </c>
      <c r="F4164" s="5">
        <v>325.2783</v>
      </c>
      <c r="G4164" s="5">
        <v>325.26240000000001</v>
      </c>
      <c r="H4164" s="4">
        <v>0</v>
      </c>
      <c r="I4164" s="6">
        <v>3248895</v>
      </c>
      <c r="J4164" s="7">
        <v>312.8</v>
      </c>
      <c r="K4164" s="9">
        <f>(PricingDataTable[[#This Row],[Current Price ($)]]-PricingDataTable[[#This Row],[Prior Price ($)]])/PricingDataTable[[#This Row],[Prior Price ($)]]</f>
        <v>-9.4379182495755529E-3</v>
      </c>
      <c r="L4164" s="9">
        <f>(PricingDataTable[[#This Row],[Vendor Price ($)]]-PricingDataTable[[#This Row],[Current Price ($)]])/PricingDataTable[[#This Row],[Current Price ($)]]</f>
        <v>-4.8881219558721906E-5</v>
      </c>
      <c r="M4164" t="str">
        <f t="shared" si="130"/>
        <v>PASS</v>
      </c>
      <c r="N4164" s="10" t="str">
        <f t="shared" si="131"/>
        <v>NONE</v>
      </c>
    </row>
    <row r="4165" spans="1:14">
      <c r="A4165" s="4" t="s">
        <v>8346</v>
      </c>
      <c r="B4165" s="4" t="s">
        <v>8347</v>
      </c>
      <c r="C4165" s="4" t="s">
        <v>19</v>
      </c>
      <c r="D4165" s="4" t="s">
        <v>64</v>
      </c>
      <c r="E4165" s="5">
        <v>246.9023</v>
      </c>
      <c r="F4165" s="5">
        <v>247.89320000000001</v>
      </c>
      <c r="G4165" s="5">
        <v>246.6996</v>
      </c>
      <c r="H4165" s="4">
        <v>0</v>
      </c>
      <c r="I4165" s="6">
        <v>1081305</v>
      </c>
      <c r="J4165" s="7">
        <v>452.19</v>
      </c>
      <c r="K4165" s="9">
        <f>(PricingDataTable[[#This Row],[Current Price ($)]]-PricingDataTable[[#This Row],[Prior Price ($)]])/PricingDataTable[[#This Row],[Prior Price ($)]]</f>
        <v>4.0133283489056622E-3</v>
      </c>
      <c r="L4165" s="9">
        <f>(PricingDataTable[[#This Row],[Vendor Price ($)]]-PricingDataTable[[#This Row],[Current Price ($)]])/PricingDataTable[[#This Row],[Current Price ($)]]</f>
        <v>-4.8149767722551629E-3</v>
      </c>
      <c r="M4165" t="str">
        <f t="shared" si="130"/>
        <v>PASS</v>
      </c>
      <c r="N4165" s="10" t="str">
        <f t="shared" si="131"/>
        <v>NONE</v>
      </c>
    </row>
    <row r="4166" spans="1:14">
      <c r="A4166" s="4" t="s">
        <v>8348</v>
      </c>
      <c r="B4166" s="4" t="s">
        <v>8349</v>
      </c>
      <c r="C4166" s="4" t="s">
        <v>16</v>
      </c>
      <c r="D4166" s="4" t="s">
        <v>64</v>
      </c>
      <c r="E4166" s="5">
        <v>89.969200000000001</v>
      </c>
      <c r="F4166" s="5">
        <v>89.983000000000004</v>
      </c>
      <c r="G4166" s="5">
        <v>89.9495</v>
      </c>
      <c r="H4166" s="4">
        <v>5</v>
      </c>
      <c r="I4166" s="6">
        <v>1267316</v>
      </c>
      <c r="J4166" s="7">
        <v>597.13</v>
      </c>
      <c r="K4166" s="9">
        <f>(PricingDataTable[[#This Row],[Current Price ($)]]-PricingDataTable[[#This Row],[Prior Price ($)]])/PricingDataTable[[#This Row],[Prior Price ($)]]</f>
        <v>1.5338582537138671E-4</v>
      </c>
      <c r="L4166" s="9">
        <f>(PricingDataTable[[#This Row],[Vendor Price ($)]]-PricingDataTable[[#This Row],[Current Price ($)]])/PricingDataTable[[#This Row],[Current Price ($)]]</f>
        <v>-3.7229254414726824E-4</v>
      </c>
      <c r="M4166" t="str">
        <f t="shared" si="130"/>
        <v>STALE</v>
      </c>
      <c r="N4166" s="10" t="str">
        <f t="shared" si="131"/>
        <v>MEDIUM</v>
      </c>
    </row>
    <row r="4167" spans="1:14">
      <c r="A4167" s="4" t="s">
        <v>8350</v>
      </c>
      <c r="B4167" s="4" t="s">
        <v>8351</v>
      </c>
      <c r="C4167" s="4" t="s">
        <v>19</v>
      </c>
      <c r="D4167" s="4" t="s">
        <v>237</v>
      </c>
      <c r="E4167" s="5">
        <v>144.80879999999999</v>
      </c>
      <c r="F4167" s="5">
        <v>145.10679999999999</v>
      </c>
      <c r="G4167" s="5">
        <v>144.45959999999999</v>
      </c>
      <c r="H4167" s="4">
        <v>0</v>
      </c>
      <c r="I4167" s="6">
        <v>1155260</v>
      </c>
      <c r="J4167" s="7">
        <v>843.52</v>
      </c>
      <c r="K4167" s="9">
        <f>(PricingDataTable[[#This Row],[Current Price ($)]]-PricingDataTable[[#This Row],[Prior Price ($)]])/PricingDataTable[[#This Row],[Prior Price ($)]]</f>
        <v>2.0578859848296637E-3</v>
      </c>
      <c r="L4167" s="9">
        <f>(PricingDataTable[[#This Row],[Vendor Price ($)]]-PricingDataTable[[#This Row],[Current Price ($)]])/PricingDataTable[[#This Row],[Current Price ($)]]</f>
        <v>-4.460163135015024E-3</v>
      </c>
      <c r="M4167" t="str">
        <f t="shared" si="130"/>
        <v>PASS</v>
      </c>
      <c r="N4167" s="10" t="str">
        <f t="shared" si="131"/>
        <v>NONE</v>
      </c>
    </row>
    <row r="4168" spans="1:14">
      <c r="A4168" s="4" t="s">
        <v>8352</v>
      </c>
      <c r="B4168" s="4" t="s">
        <v>8353</v>
      </c>
      <c r="C4168" s="4" t="s">
        <v>39</v>
      </c>
      <c r="D4168" s="4" t="s">
        <v>13</v>
      </c>
      <c r="E4168" s="5">
        <v>326.44380000000001</v>
      </c>
      <c r="F4168" s="5">
        <v>332.22770000000003</v>
      </c>
      <c r="G4168" s="5">
        <v>334.63529999999997</v>
      </c>
      <c r="H4168" s="4">
        <v>0</v>
      </c>
      <c r="I4168" s="6">
        <v>2970729</v>
      </c>
      <c r="J4168" s="7">
        <v>755.07</v>
      </c>
      <c r="K4168" s="9">
        <f>(PricingDataTable[[#This Row],[Current Price ($)]]-PricingDataTable[[#This Row],[Prior Price ($)]])/PricingDataTable[[#This Row],[Prior Price ($)]]</f>
        <v>1.7717904276325715E-2</v>
      </c>
      <c r="L4168" s="9">
        <f>(PricingDataTable[[#This Row],[Vendor Price ($)]]-PricingDataTable[[#This Row],[Current Price ($)]])/PricingDataTable[[#This Row],[Current Price ($)]]</f>
        <v>7.2468370337571046E-3</v>
      </c>
      <c r="M4168" t="str">
        <f t="shared" si="130"/>
        <v>PASS</v>
      </c>
      <c r="N4168" s="10" t="str">
        <f t="shared" si="131"/>
        <v>NONE</v>
      </c>
    </row>
    <row r="4169" spans="1:14">
      <c r="A4169" s="4" t="s">
        <v>8354</v>
      </c>
      <c r="B4169" s="4" t="s">
        <v>8355</v>
      </c>
      <c r="C4169" s="4" t="s">
        <v>19</v>
      </c>
      <c r="D4169" s="4" t="s">
        <v>64</v>
      </c>
      <c r="E4169" s="5">
        <v>124.12350000000001</v>
      </c>
      <c r="F4169" s="5">
        <v>125.2885</v>
      </c>
      <c r="G4169" s="5">
        <v>125.3622</v>
      </c>
      <c r="H4169" s="4">
        <v>1</v>
      </c>
      <c r="I4169" s="6">
        <v>3199096</v>
      </c>
      <c r="J4169" s="7">
        <v>687.75</v>
      </c>
      <c r="K4169" s="9">
        <f>(PricingDataTable[[#This Row],[Current Price ($)]]-PricingDataTable[[#This Row],[Prior Price ($)]])/PricingDataTable[[#This Row],[Prior Price ($)]]</f>
        <v>9.3858133230209587E-3</v>
      </c>
      <c r="L4169" s="9">
        <f>(PricingDataTable[[#This Row],[Vendor Price ($)]]-PricingDataTable[[#This Row],[Current Price ($)]])/PricingDataTable[[#This Row],[Current Price ($)]]</f>
        <v>5.8824233668694514E-4</v>
      </c>
      <c r="M4169" t="str">
        <f t="shared" si="130"/>
        <v>PASS</v>
      </c>
      <c r="N4169" s="10" t="str">
        <f t="shared" si="131"/>
        <v>NONE</v>
      </c>
    </row>
    <row r="4170" spans="1:14">
      <c r="A4170" s="4" t="s">
        <v>8356</v>
      </c>
      <c r="B4170" s="4" t="s">
        <v>8357</v>
      </c>
      <c r="C4170" s="4" t="s">
        <v>16</v>
      </c>
      <c r="D4170" s="4" t="s">
        <v>13</v>
      </c>
      <c r="E4170" s="5">
        <v>90.786000000000001</v>
      </c>
      <c r="F4170" s="5">
        <v>91.256100000000004</v>
      </c>
      <c r="G4170" s="5">
        <v>91.433300000000003</v>
      </c>
      <c r="H4170" s="4">
        <v>0</v>
      </c>
      <c r="I4170" s="6">
        <v>4290773</v>
      </c>
      <c r="J4170" s="7">
        <v>221.7</v>
      </c>
      <c r="K4170" s="9">
        <f>(PricingDataTable[[#This Row],[Current Price ($)]]-PricingDataTable[[#This Row],[Prior Price ($)]])/PricingDataTable[[#This Row],[Prior Price ($)]]</f>
        <v>5.1781111625140682E-3</v>
      </c>
      <c r="L4170" s="9">
        <f>(PricingDataTable[[#This Row],[Vendor Price ($)]]-PricingDataTable[[#This Row],[Current Price ($)]])/PricingDataTable[[#This Row],[Current Price ($)]]</f>
        <v>1.9417880010212921E-3</v>
      </c>
      <c r="M4170" t="str">
        <f t="shared" si="130"/>
        <v>PASS</v>
      </c>
      <c r="N4170" s="10" t="str">
        <f t="shared" si="131"/>
        <v>NONE</v>
      </c>
    </row>
    <row r="4171" spans="1:14">
      <c r="A4171" s="4" t="s">
        <v>8358</v>
      </c>
      <c r="B4171" s="4" t="s">
        <v>8359</v>
      </c>
      <c r="C4171" s="4" t="s">
        <v>39</v>
      </c>
      <c r="D4171" s="4" t="s">
        <v>13</v>
      </c>
      <c r="E4171" s="5">
        <v>45.870800000000003</v>
      </c>
      <c r="F4171" s="5">
        <v>45.0929</v>
      </c>
      <c r="G4171" s="5">
        <v>45.211399999999998</v>
      </c>
      <c r="H4171" s="4">
        <v>0</v>
      </c>
      <c r="I4171" s="6">
        <v>1527267</v>
      </c>
      <c r="J4171" s="7">
        <v>472.29</v>
      </c>
      <c r="K4171" s="9">
        <f>(PricingDataTable[[#This Row],[Current Price ($)]]-PricingDataTable[[#This Row],[Prior Price ($)]])/PricingDataTable[[#This Row],[Prior Price ($)]]</f>
        <v>-1.6958500832773844E-2</v>
      </c>
      <c r="L4171" s="9">
        <f>(PricingDataTable[[#This Row],[Vendor Price ($)]]-PricingDataTable[[#This Row],[Current Price ($)]])/PricingDataTable[[#This Row],[Current Price ($)]]</f>
        <v>2.627908162925813E-3</v>
      </c>
      <c r="M4171" t="str">
        <f t="shared" si="130"/>
        <v>PASS</v>
      </c>
      <c r="N4171" s="10" t="str">
        <f t="shared" si="131"/>
        <v>NONE</v>
      </c>
    </row>
    <row r="4172" spans="1:14">
      <c r="A4172" s="4" t="s">
        <v>8360</v>
      </c>
      <c r="B4172" s="4" t="s">
        <v>8361</v>
      </c>
      <c r="C4172" s="4" t="s">
        <v>12</v>
      </c>
      <c r="D4172" s="4" t="s">
        <v>13</v>
      </c>
      <c r="E4172" s="5">
        <v>120.5984</v>
      </c>
      <c r="F4172" s="5">
        <v>122.7944</v>
      </c>
      <c r="G4172" s="5">
        <v>122.3235</v>
      </c>
      <c r="H4172" s="4">
        <v>1</v>
      </c>
      <c r="I4172" s="6">
        <v>3069888</v>
      </c>
      <c r="J4172" s="7">
        <v>892.05</v>
      </c>
      <c r="K4172" s="9">
        <f>(PricingDataTable[[#This Row],[Current Price ($)]]-PricingDataTable[[#This Row],[Prior Price ($)]])/PricingDataTable[[#This Row],[Prior Price ($)]]</f>
        <v>1.8209196805264397E-2</v>
      </c>
      <c r="L4172" s="9">
        <f>(PricingDataTable[[#This Row],[Vendor Price ($)]]-PricingDataTable[[#This Row],[Current Price ($)]])/PricingDataTable[[#This Row],[Current Price ($)]]</f>
        <v>-3.8348654336028379E-3</v>
      </c>
      <c r="M4172" t="str">
        <f t="shared" si="130"/>
        <v>PASS</v>
      </c>
      <c r="N4172" s="10" t="str">
        <f t="shared" si="131"/>
        <v>NONE</v>
      </c>
    </row>
    <row r="4173" spans="1:14">
      <c r="A4173" s="4" t="s">
        <v>8362</v>
      </c>
      <c r="B4173" s="4" t="s">
        <v>8363</v>
      </c>
      <c r="C4173" s="4" t="s">
        <v>12</v>
      </c>
      <c r="D4173" s="4" t="s">
        <v>237</v>
      </c>
      <c r="E4173" s="5">
        <v>115.15819999999999</v>
      </c>
      <c r="F4173" s="5">
        <v>115.1267</v>
      </c>
      <c r="G4173" s="5">
        <v>114.99639999999999</v>
      </c>
      <c r="H4173" s="4">
        <v>3</v>
      </c>
      <c r="I4173" s="6">
        <v>2564608</v>
      </c>
      <c r="J4173" s="7">
        <v>256.56</v>
      </c>
      <c r="K4173" s="9">
        <f>(PricingDataTable[[#This Row],[Current Price ($)]]-PricingDataTable[[#This Row],[Prior Price ($)]])/PricingDataTable[[#This Row],[Prior Price ($)]]</f>
        <v>-2.7353675205060593E-4</v>
      </c>
      <c r="L4173" s="9">
        <f>(PricingDataTable[[#This Row],[Vendor Price ($)]]-PricingDataTable[[#This Row],[Current Price ($)]])/PricingDataTable[[#This Row],[Current Price ($)]]</f>
        <v>-1.1317965337320137E-3</v>
      </c>
      <c r="M4173" t="str">
        <f t="shared" si="130"/>
        <v>STALE</v>
      </c>
      <c r="N4173" s="10" t="str">
        <f t="shared" si="131"/>
        <v>LOW</v>
      </c>
    </row>
    <row r="4174" spans="1:14">
      <c r="A4174" s="4" t="s">
        <v>8364</v>
      </c>
      <c r="B4174" s="4" t="s">
        <v>8365</v>
      </c>
      <c r="C4174" s="4" t="s">
        <v>16</v>
      </c>
      <c r="D4174" s="4" t="s">
        <v>13</v>
      </c>
      <c r="E4174" s="5">
        <v>77.622299999999996</v>
      </c>
      <c r="F4174" s="5">
        <v>77.480400000000003</v>
      </c>
      <c r="G4174" s="5">
        <v>77.603899999999996</v>
      </c>
      <c r="H4174" s="4">
        <v>1</v>
      </c>
      <c r="I4174" s="6">
        <v>3320617</v>
      </c>
      <c r="J4174" s="7">
        <v>390.93</v>
      </c>
      <c r="K4174" s="9">
        <f>(PricingDataTable[[#This Row],[Current Price ($)]]-PricingDataTable[[#This Row],[Prior Price ($)]])/PricingDataTable[[#This Row],[Prior Price ($)]]</f>
        <v>-1.8280829091638947E-3</v>
      </c>
      <c r="L4174" s="9">
        <f>(PricingDataTable[[#This Row],[Vendor Price ($)]]-PricingDataTable[[#This Row],[Current Price ($)]])/PricingDataTable[[#This Row],[Current Price ($)]]</f>
        <v>1.5939515025734615E-3</v>
      </c>
      <c r="M4174" t="str">
        <f t="shared" si="130"/>
        <v>PASS</v>
      </c>
      <c r="N4174" s="10" t="str">
        <f t="shared" si="131"/>
        <v>NONE</v>
      </c>
    </row>
    <row r="4175" spans="1:14">
      <c r="A4175" s="4" t="s">
        <v>8366</v>
      </c>
      <c r="B4175" s="4" t="s">
        <v>8367</v>
      </c>
      <c r="C4175" s="4" t="s">
        <v>39</v>
      </c>
      <c r="D4175" s="4" t="s">
        <v>36</v>
      </c>
      <c r="E4175" s="5">
        <v>144.44049999999999</v>
      </c>
      <c r="F4175" s="5">
        <v>142.1927</v>
      </c>
      <c r="G4175" s="5">
        <v>141.47810000000001</v>
      </c>
      <c r="H4175" s="4">
        <v>0</v>
      </c>
      <c r="I4175" s="6">
        <v>4290863</v>
      </c>
      <c r="J4175" s="7">
        <v>444.15</v>
      </c>
      <c r="K4175" s="9">
        <f>(PricingDataTable[[#This Row],[Current Price ($)]]-PricingDataTable[[#This Row],[Prior Price ($)]])/PricingDataTable[[#This Row],[Prior Price ($)]]</f>
        <v>-1.556211727320235E-2</v>
      </c>
      <c r="L4175" s="9">
        <f>(PricingDataTable[[#This Row],[Vendor Price ($)]]-PricingDataTable[[#This Row],[Current Price ($)]])/PricingDataTable[[#This Row],[Current Price ($)]]</f>
        <v>-5.0255744493211685E-3</v>
      </c>
      <c r="M4175" t="str">
        <f t="shared" si="130"/>
        <v>PASS</v>
      </c>
      <c r="N4175" s="10" t="str">
        <f t="shared" si="131"/>
        <v>NONE</v>
      </c>
    </row>
    <row r="4176" spans="1:14">
      <c r="A4176" s="4" t="s">
        <v>8368</v>
      </c>
      <c r="B4176" s="4" t="s">
        <v>8369</v>
      </c>
      <c r="C4176" s="4" t="s">
        <v>19</v>
      </c>
      <c r="D4176" s="4" t="s">
        <v>32</v>
      </c>
      <c r="E4176" s="5">
        <v>340.39229999999998</v>
      </c>
      <c r="F4176" s="5">
        <v>335.35180000000003</v>
      </c>
      <c r="G4176" s="5">
        <v>335.58049999999997</v>
      </c>
      <c r="H4176" s="4">
        <v>2</v>
      </c>
      <c r="I4176" s="6">
        <v>3952631</v>
      </c>
      <c r="J4176" s="7">
        <v>204.92</v>
      </c>
      <c r="K4176" s="9">
        <f>(PricingDataTable[[#This Row],[Current Price ($)]]-PricingDataTable[[#This Row],[Prior Price ($)]])/PricingDataTable[[#This Row],[Prior Price ($)]]</f>
        <v>-1.4807914280081989E-2</v>
      </c>
      <c r="L4176" s="9">
        <f>(PricingDataTable[[#This Row],[Vendor Price ($)]]-PricingDataTable[[#This Row],[Current Price ($)]])/PricingDataTable[[#This Row],[Current Price ($)]]</f>
        <v>6.8197039646110923E-4</v>
      </c>
      <c r="M4176" t="str">
        <f t="shared" si="130"/>
        <v>PASS</v>
      </c>
      <c r="N4176" s="10" t="str">
        <f t="shared" si="131"/>
        <v>NONE</v>
      </c>
    </row>
    <row r="4177" spans="1:14">
      <c r="A4177" s="4" t="s">
        <v>8370</v>
      </c>
      <c r="B4177" s="4" t="s">
        <v>8371</v>
      </c>
      <c r="C4177" s="4" t="s">
        <v>35</v>
      </c>
      <c r="D4177" s="4" t="s">
        <v>13</v>
      </c>
      <c r="E4177" s="5">
        <v>28.599</v>
      </c>
      <c r="F4177" s="5">
        <v>28.1464</v>
      </c>
      <c r="G4177" s="5">
        <v>28.067</v>
      </c>
      <c r="H4177" s="4">
        <v>2</v>
      </c>
      <c r="I4177" s="6">
        <v>4928591</v>
      </c>
      <c r="J4177" s="7">
        <v>807.93</v>
      </c>
      <c r="K4177" s="9">
        <f>(PricingDataTable[[#This Row],[Current Price ($)]]-PricingDataTable[[#This Row],[Prior Price ($)]])/PricingDataTable[[#This Row],[Prior Price ($)]]</f>
        <v>-1.582572817231373E-2</v>
      </c>
      <c r="L4177" s="9">
        <f>(PricingDataTable[[#This Row],[Vendor Price ($)]]-PricingDataTable[[#This Row],[Current Price ($)]])/PricingDataTable[[#This Row],[Current Price ($)]]</f>
        <v>-2.8209646704374161E-3</v>
      </c>
      <c r="M4177" t="str">
        <f t="shared" si="130"/>
        <v>PASS</v>
      </c>
      <c r="N4177" s="10" t="str">
        <f t="shared" si="131"/>
        <v>NONE</v>
      </c>
    </row>
    <row r="4178" spans="1:14">
      <c r="A4178" s="4" t="s">
        <v>8372</v>
      </c>
      <c r="B4178" s="4" t="s">
        <v>8373</v>
      </c>
      <c r="C4178" s="4" t="s">
        <v>39</v>
      </c>
      <c r="D4178" s="4" t="s">
        <v>13</v>
      </c>
      <c r="E4178" s="5">
        <v>143.1816</v>
      </c>
      <c r="F4178" s="5">
        <v>141.08750000000001</v>
      </c>
      <c r="G4178" s="5">
        <v>141.61680000000001</v>
      </c>
      <c r="H4178" s="4">
        <v>2</v>
      </c>
      <c r="I4178" s="6">
        <v>4883403</v>
      </c>
      <c r="J4178" s="7">
        <v>819.68</v>
      </c>
      <c r="K4178" s="9">
        <f>(PricingDataTable[[#This Row],[Current Price ($)]]-PricingDataTable[[#This Row],[Prior Price ($)]])/PricingDataTable[[#This Row],[Prior Price ($)]]</f>
        <v>-1.4625482603909981E-2</v>
      </c>
      <c r="L4178" s="9">
        <f>(PricingDataTable[[#This Row],[Vendor Price ($)]]-PricingDataTable[[#This Row],[Current Price ($)]])/PricingDataTable[[#This Row],[Current Price ($)]]</f>
        <v>3.7515726056525653E-3</v>
      </c>
      <c r="M4178" t="str">
        <f t="shared" si="130"/>
        <v>PASS</v>
      </c>
      <c r="N4178" s="10" t="str">
        <f t="shared" si="131"/>
        <v>NONE</v>
      </c>
    </row>
    <row r="4179" spans="1:14">
      <c r="A4179" s="4" t="s">
        <v>8374</v>
      </c>
      <c r="B4179" s="4" t="s">
        <v>8375</v>
      </c>
      <c r="C4179" s="4" t="s">
        <v>19</v>
      </c>
      <c r="D4179" s="4" t="s">
        <v>32</v>
      </c>
      <c r="E4179" s="5">
        <v>152.91059999999999</v>
      </c>
      <c r="F4179" s="5">
        <v>152.4675</v>
      </c>
      <c r="G4179" s="5">
        <v>152.84039999999999</v>
      </c>
      <c r="H4179" s="4">
        <v>0</v>
      </c>
      <c r="I4179" s="6">
        <v>2548271</v>
      </c>
      <c r="J4179" s="7">
        <v>336.6</v>
      </c>
      <c r="K4179" s="9">
        <f>(PricingDataTable[[#This Row],[Current Price ($)]]-PricingDataTable[[#This Row],[Prior Price ($)]])/PricingDataTable[[#This Row],[Prior Price ($)]]</f>
        <v>-2.8977716391145347E-3</v>
      </c>
      <c r="L4179" s="9">
        <f>(PricingDataTable[[#This Row],[Vendor Price ($)]]-PricingDataTable[[#This Row],[Current Price ($)]])/PricingDataTable[[#This Row],[Current Price ($)]]</f>
        <v>2.4457671306999007E-3</v>
      </c>
      <c r="M4179" t="str">
        <f t="shared" si="130"/>
        <v>PASS</v>
      </c>
      <c r="N4179" s="10" t="str">
        <f t="shared" si="131"/>
        <v>NONE</v>
      </c>
    </row>
    <row r="4180" spans="1:14">
      <c r="A4180" s="4" t="s">
        <v>8376</v>
      </c>
      <c r="B4180" s="4" t="s">
        <v>8377</v>
      </c>
      <c r="C4180" s="4" t="s">
        <v>35</v>
      </c>
      <c r="D4180" s="4" t="s">
        <v>36</v>
      </c>
      <c r="E4180" s="5">
        <v>146.56700000000001</v>
      </c>
      <c r="F4180" s="5">
        <v>146.0137</v>
      </c>
      <c r="G4180" s="5">
        <v>145.24629999999999</v>
      </c>
      <c r="H4180" s="4">
        <v>0</v>
      </c>
      <c r="I4180" s="6">
        <v>4997451</v>
      </c>
      <c r="J4180" s="7">
        <v>890.93</v>
      </c>
      <c r="K4180" s="9">
        <f>(PricingDataTable[[#This Row],[Current Price ($)]]-PricingDataTable[[#This Row],[Prior Price ($)]])/PricingDataTable[[#This Row],[Prior Price ($)]]</f>
        <v>-3.7750653284846329E-3</v>
      </c>
      <c r="L4180" s="9">
        <f>(PricingDataTable[[#This Row],[Vendor Price ($)]]-PricingDataTable[[#This Row],[Current Price ($)]])/PricingDataTable[[#This Row],[Current Price ($)]]</f>
        <v>-5.2556712144135051E-3</v>
      </c>
      <c r="M4180" t="str">
        <f t="shared" si="130"/>
        <v>PASS</v>
      </c>
      <c r="N4180" s="10" t="str">
        <f t="shared" si="131"/>
        <v>NONE</v>
      </c>
    </row>
    <row r="4181" spans="1:14">
      <c r="A4181" s="4" t="s">
        <v>8378</v>
      </c>
      <c r="B4181" s="4" t="s">
        <v>8379</v>
      </c>
      <c r="C4181" s="4" t="s">
        <v>16</v>
      </c>
      <c r="D4181" s="4" t="s">
        <v>13</v>
      </c>
      <c r="E4181" s="5">
        <v>96.219499999999996</v>
      </c>
      <c r="F4181" s="5">
        <v>96.310400000000001</v>
      </c>
      <c r="G4181" s="5">
        <v>96.365899999999996</v>
      </c>
      <c r="H4181" s="4">
        <v>2</v>
      </c>
      <c r="I4181" s="6">
        <v>3379142</v>
      </c>
      <c r="J4181" s="7">
        <v>194.21</v>
      </c>
      <c r="K4181" s="9">
        <f>(PricingDataTable[[#This Row],[Current Price ($)]]-PricingDataTable[[#This Row],[Prior Price ($)]])/PricingDataTable[[#This Row],[Prior Price ($)]]</f>
        <v>9.4471494863312391E-4</v>
      </c>
      <c r="L4181" s="9">
        <f>(PricingDataTable[[#This Row],[Vendor Price ($)]]-PricingDataTable[[#This Row],[Current Price ($)]])/PricingDataTable[[#This Row],[Current Price ($)]]</f>
        <v>5.7626175366310383E-4</v>
      </c>
      <c r="M4181" t="str">
        <f t="shared" si="130"/>
        <v>PASS</v>
      </c>
      <c r="N4181" s="10" t="str">
        <f t="shared" si="131"/>
        <v>NONE</v>
      </c>
    </row>
    <row r="4182" spans="1:14">
      <c r="A4182" s="4" t="s">
        <v>8380</v>
      </c>
      <c r="B4182" s="4" t="s">
        <v>8381</v>
      </c>
      <c r="C4182" s="4" t="s">
        <v>12</v>
      </c>
      <c r="D4182" s="4" t="s">
        <v>32</v>
      </c>
      <c r="E4182" s="5">
        <v>89.203100000000006</v>
      </c>
      <c r="F4182" s="5">
        <v>88.620599999999996</v>
      </c>
      <c r="G4182" s="5">
        <v>88.5124</v>
      </c>
      <c r="H4182" s="4">
        <v>0</v>
      </c>
      <c r="I4182" s="6">
        <v>3075242</v>
      </c>
      <c r="J4182" s="7">
        <v>525.08000000000004</v>
      </c>
      <c r="K4182" s="9">
        <f>(PricingDataTable[[#This Row],[Current Price ($)]]-PricingDataTable[[#This Row],[Prior Price ($)]])/PricingDataTable[[#This Row],[Prior Price ($)]]</f>
        <v>-6.5300421173704751E-3</v>
      </c>
      <c r="L4182" s="9">
        <f>(PricingDataTable[[#This Row],[Vendor Price ($)]]-PricingDataTable[[#This Row],[Current Price ($)]])/PricingDataTable[[#This Row],[Current Price ($)]]</f>
        <v>-1.2209350873272865E-3</v>
      </c>
      <c r="M4182" t="str">
        <f t="shared" si="130"/>
        <v>PASS</v>
      </c>
      <c r="N4182" s="10" t="str">
        <f t="shared" si="131"/>
        <v>NONE</v>
      </c>
    </row>
    <row r="4183" spans="1:14">
      <c r="A4183" s="4" t="s">
        <v>8382</v>
      </c>
      <c r="B4183" s="4" t="s">
        <v>8383</v>
      </c>
      <c r="C4183" s="4" t="s">
        <v>35</v>
      </c>
      <c r="D4183" s="4" t="s">
        <v>13</v>
      </c>
      <c r="E4183" s="5">
        <v>96.912800000000004</v>
      </c>
      <c r="F4183" s="5">
        <v>97.856700000000004</v>
      </c>
      <c r="G4183" s="5">
        <v>97.487200000000001</v>
      </c>
      <c r="H4183" s="4">
        <v>0</v>
      </c>
      <c r="I4183" s="6">
        <v>4818289</v>
      </c>
      <c r="J4183" s="7">
        <v>814.41</v>
      </c>
      <c r="K4183" s="9">
        <f>(PricingDataTable[[#This Row],[Current Price ($)]]-PricingDataTable[[#This Row],[Prior Price ($)]])/PricingDataTable[[#This Row],[Prior Price ($)]]</f>
        <v>9.7396835092990741E-3</v>
      </c>
      <c r="L4183" s="9">
        <f>(PricingDataTable[[#This Row],[Vendor Price ($)]]-PricingDataTable[[#This Row],[Current Price ($)]])/PricingDataTable[[#This Row],[Current Price ($)]]</f>
        <v>-3.775929496907234E-3</v>
      </c>
      <c r="M4183" t="str">
        <f t="shared" si="130"/>
        <v>PASS</v>
      </c>
      <c r="N4183" s="10" t="str">
        <f t="shared" si="131"/>
        <v>NONE</v>
      </c>
    </row>
    <row r="4184" spans="1:14">
      <c r="A4184" s="4" t="s">
        <v>8384</v>
      </c>
      <c r="B4184" s="4" t="s">
        <v>8385</v>
      </c>
      <c r="C4184" s="4" t="s">
        <v>39</v>
      </c>
      <c r="D4184" s="4" t="s">
        <v>64</v>
      </c>
      <c r="E4184" s="5">
        <v>46.806100000000001</v>
      </c>
      <c r="F4184" s="5">
        <v>46.967300000000002</v>
      </c>
      <c r="G4184" s="5">
        <v>46.851300000000002</v>
      </c>
      <c r="H4184" s="4">
        <v>0</v>
      </c>
      <c r="I4184" s="6">
        <v>1279127</v>
      </c>
      <c r="J4184" s="7">
        <v>106.29</v>
      </c>
      <c r="K4184" s="9">
        <f>(PricingDataTable[[#This Row],[Current Price ($)]]-PricingDataTable[[#This Row],[Prior Price ($)]])/PricingDataTable[[#This Row],[Prior Price ($)]]</f>
        <v>3.4439955475889018E-3</v>
      </c>
      <c r="L4184" s="9">
        <f>(PricingDataTable[[#This Row],[Vendor Price ($)]]-PricingDataTable[[#This Row],[Current Price ($)]])/PricingDataTable[[#This Row],[Current Price ($)]]</f>
        <v>-2.4698034590023197E-3</v>
      </c>
      <c r="M4184" t="str">
        <f t="shared" si="130"/>
        <v>PASS</v>
      </c>
      <c r="N4184" s="10" t="str">
        <f t="shared" si="131"/>
        <v>NONE</v>
      </c>
    </row>
    <row r="4185" spans="1:14">
      <c r="A4185" s="4" t="s">
        <v>8386</v>
      </c>
      <c r="B4185" s="4" t="s">
        <v>8387</v>
      </c>
      <c r="C4185" s="4" t="s">
        <v>35</v>
      </c>
      <c r="D4185" s="4" t="s">
        <v>32</v>
      </c>
      <c r="E4185" s="5">
        <v>156.18799999999999</v>
      </c>
      <c r="F4185" s="5">
        <v>154.41419999999999</v>
      </c>
      <c r="G4185" s="5">
        <v>154.6095</v>
      </c>
      <c r="H4185" s="4">
        <v>0</v>
      </c>
      <c r="I4185" s="6">
        <v>4231637</v>
      </c>
      <c r="J4185" s="7">
        <v>627.11</v>
      </c>
      <c r="K4185" s="9">
        <f>(PricingDataTable[[#This Row],[Current Price ($)]]-PricingDataTable[[#This Row],[Prior Price ($)]])/PricingDataTable[[#This Row],[Prior Price ($)]]</f>
        <v>-1.1356826388711005E-2</v>
      </c>
      <c r="L4185" s="9">
        <f>(PricingDataTable[[#This Row],[Vendor Price ($)]]-PricingDataTable[[#This Row],[Current Price ($)]])/PricingDataTable[[#This Row],[Current Price ($)]]</f>
        <v>1.264780052611762E-3</v>
      </c>
      <c r="M4185" t="str">
        <f t="shared" si="130"/>
        <v>PASS</v>
      </c>
      <c r="N4185" s="10" t="str">
        <f t="shared" si="131"/>
        <v>NONE</v>
      </c>
    </row>
    <row r="4186" spans="1:14">
      <c r="A4186" s="4" t="s">
        <v>8388</v>
      </c>
      <c r="B4186" s="4" t="s">
        <v>8389</v>
      </c>
      <c r="C4186" s="4" t="s">
        <v>19</v>
      </c>
      <c r="D4186" s="4" t="s">
        <v>32</v>
      </c>
      <c r="E4186" s="5">
        <v>137.7141</v>
      </c>
      <c r="F4186" s="5">
        <v>138.21610000000001</v>
      </c>
      <c r="G4186" s="5">
        <v>138.68209999999999</v>
      </c>
      <c r="H4186" s="4">
        <v>0</v>
      </c>
      <c r="I4186" s="6">
        <v>4196349</v>
      </c>
      <c r="J4186" s="7">
        <v>851.15</v>
      </c>
      <c r="K4186" s="9">
        <f>(PricingDataTable[[#This Row],[Current Price ($)]]-PricingDataTable[[#This Row],[Prior Price ($)]])/PricingDataTable[[#This Row],[Prior Price ($)]]</f>
        <v>3.6452331315385248E-3</v>
      </c>
      <c r="L4186" s="9">
        <f>(PricingDataTable[[#This Row],[Vendor Price ($)]]-PricingDataTable[[#This Row],[Current Price ($)]])/PricingDataTable[[#This Row],[Current Price ($)]]</f>
        <v>3.3715319705879395E-3</v>
      </c>
      <c r="M4186" t="str">
        <f t="shared" si="130"/>
        <v>PASS</v>
      </c>
      <c r="N4186" s="10" t="str">
        <f t="shared" si="131"/>
        <v>NONE</v>
      </c>
    </row>
    <row r="4187" spans="1:14">
      <c r="A4187" s="4" t="s">
        <v>8390</v>
      </c>
      <c r="B4187" s="4" t="s">
        <v>8391</v>
      </c>
      <c r="C4187" s="4" t="s">
        <v>19</v>
      </c>
      <c r="D4187" s="4" t="s">
        <v>13</v>
      </c>
      <c r="E4187" s="5">
        <v>243.4256</v>
      </c>
      <c r="F4187" s="5">
        <v>240.52369999999999</v>
      </c>
      <c r="G4187" s="5">
        <v>240.7629</v>
      </c>
      <c r="H4187" s="4">
        <v>0</v>
      </c>
      <c r="I4187" s="6">
        <v>3932609</v>
      </c>
      <c r="J4187" s="7">
        <v>725.23</v>
      </c>
      <c r="K4187" s="9">
        <f>(PricingDataTable[[#This Row],[Current Price ($)]]-PricingDataTable[[#This Row],[Prior Price ($)]])/PricingDataTable[[#This Row],[Prior Price ($)]]</f>
        <v>-1.1921096219953907E-2</v>
      </c>
      <c r="L4187" s="9">
        <f>(PricingDataTable[[#This Row],[Vendor Price ($)]]-PricingDataTable[[#This Row],[Current Price ($)]])/PricingDataTable[[#This Row],[Current Price ($)]]</f>
        <v>9.9449659222775543E-4</v>
      </c>
      <c r="M4187" t="str">
        <f t="shared" si="130"/>
        <v>PASS</v>
      </c>
      <c r="N4187" s="10" t="str">
        <f t="shared" si="131"/>
        <v>NONE</v>
      </c>
    </row>
    <row r="4188" spans="1:14">
      <c r="A4188" s="4" t="s">
        <v>8392</v>
      </c>
      <c r="B4188" s="4" t="s">
        <v>8393</v>
      </c>
      <c r="C4188" s="4" t="s">
        <v>19</v>
      </c>
      <c r="D4188" s="4" t="s">
        <v>64</v>
      </c>
      <c r="E4188" s="5">
        <v>193.7159</v>
      </c>
      <c r="F4188" s="5">
        <v>197.50909999999999</v>
      </c>
      <c r="G4188" s="5">
        <v>197.20849999999999</v>
      </c>
      <c r="H4188" s="4">
        <v>0</v>
      </c>
      <c r="I4188" s="6">
        <v>2313588</v>
      </c>
      <c r="J4188" s="7">
        <v>348.08</v>
      </c>
      <c r="K4188" s="9">
        <f>(PricingDataTable[[#This Row],[Current Price ($)]]-PricingDataTable[[#This Row],[Prior Price ($)]])/PricingDataTable[[#This Row],[Prior Price ($)]]</f>
        <v>1.9581252752097194E-2</v>
      </c>
      <c r="L4188" s="9">
        <f>(PricingDataTable[[#This Row],[Vendor Price ($)]]-PricingDataTable[[#This Row],[Current Price ($)]])/PricingDataTable[[#This Row],[Current Price ($)]]</f>
        <v>-1.5219551909253948E-3</v>
      </c>
      <c r="M4188" t="str">
        <f t="shared" si="130"/>
        <v>PASS</v>
      </c>
      <c r="N4188" s="10" t="str">
        <f t="shared" si="131"/>
        <v>NONE</v>
      </c>
    </row>
    <row r="4189" spans="1:14">
      <c r="A4189" s="4" t="s">
        <v>8394</v>
      </c>
      <c r="B4189" s="4" t="s">
        <v>8395</v>
      </c>
      <c r="C4189" s="4" t="s">
        <v>16</v>
      </c>
      <c r="D4189" s="4" t="s">
        <v>13</v>
      </c>
      <c r="E4189" s="5">
        <v>106.9954</v>
      </c>
      <c r="F4189" s="5">
        <v>106.4759</v>
      </c>
      <c r="G4189" s="5">
        <v>106.2106</v>
      </c>
      <c r="H4189" s="4">
        <v>0</v>
      </c>
      <c r="I4189" s="6">
        <v>3938939</v>
      </c>
      <c r="J4189" s="7">
        <v>625.5</v>
      </c>
      <c r="K4189" s="9">
        <f>(PricingDataTable[[#This Row],[Current Price ($)]]-PricingDataTable[[#This Row],[Prior Price ($)]])/PricingDataTable[[#This Row],[Prior Price ($)]]</f>
        <v>-4.8553489215424949E-3</v>
      </c>
      <c r="L4189" s="9">
        <f>(PricingDataTable[[#This Row],[Vendor Price ($)]]-PricingDataTable[[#This Row],[Current Price ($)]])/PricingDataTable[[#This Row],[Current Price ($)]]</f>
        <v>-2.491643648938364E-3</v>
      </c>
      <c r="M4189" t="str">
        <f t="shared" si="130"/>
        <v>PASS</v>
      </c>
      <c r="N4189" s="10" t="str">
        <f t="shared" si="131"/>
        <v>NONE</v>
      </c>
    </row>
    <row r="4190" spans="1:14">
      <c r="A4190" s="4" t="s">
        <v>8396</v>
      </c>
      <c r="B4190" s="4" t="s">
        <v>8397</v>
      </c>
      <c r="C4190" s="4" t="s">
        <v>16</v>
      </c>
      <c r="D4190" s="4" t="s">
        <v>32</v>
      </c>
      <c r="E4190" s="5">
        <v>105.928</v>
      </c>
      <c r="F4190" s="5">
        <v>107.4153</v>
      </c>
      <c r="G4190" s="5">
        <v>107.9346</v>
      </c>
      <c r="H4190" s="4">
        <v>0</v>
      </c>
      <c r="I4190" s="6">
        <v>4013434</v>
      </c>
      <c r="J4190" s="7">
        <v>582.11</v>
      </c>
      <c r="K4190" s="9">
        <f>(PricingDataTable[[#This Row],[Current Price ($)]]-PricingDataTable[[#This Row],[Prior Price ($)]])/PricingDataTable[[#This Row],[Prior Price ($)]]</f>
        <v>1.4040669133751273E-2</v>
      </c>
      <c r="L4190" s="9">
        <f>(PricingDataTable[[#This Row],[Vendor Price ($)]]-PricingDataTable[[#This Row],[Current Price ($)]])/PricingDataTable[[#This Row],[Current Price ($)]]</f>
        <v>4.834506816068113E-3</v>
      </c>
      <c r="M4190" t="str">
        <f t="shared" si="130"/>
        <v>PASS</v>
      </c>
      <c r="N4190" s="10" t="str">
        <f t="shared" si="131"/>
        <v>NONE</v>
      </c>
    </row>
    <row r="4191" spans="1:14">
      <c r="A4191" s="4" t="s">
        <v>8398</v>
      </c>
      <c r="B4191" s="4" t="s">
        <v>8399</v>
      </c>
      <c r="C4191" s="4" t="s">
        <v>19</v>
      </c>
      <c r="D4191" s="4" t="s">
        <v>13</v>
      </c>
      <c r="E4191" s="5">
        <v>27.223199999999999</v>
      </c>
      <c r="F4191" s="5">
        <v>26.4481</v>
      </c>
      <c r="G4191" s="5">
        <v>26.4391</v>
      </c>
      <c r="H4191" s="4">
        <v>0</v>
      </c>
      <c r="I4191" s="6">
        <v>4610124</v>
      </c>
      <c r="J4191" s="7">
        <v>420.61</v>
      </c>
      <c r="K4191" s="9">
        <f>(PricingDataTable[[#This Row],[Current Price ($)]]-PricingDataTable[[#This Row],[Prior Price ($)]])/PricingDataTable[[#This Row],[Prior Price ($)]]</f>
        <v>-2.8472038555349789E-2</v>
      </c>
      <c r="L4191" s="9">
        <f>(PricingDataTable[[#This Row],[Vendor Price ($)]]-PricingDataTable[[#This Row],[Current Price ($)]])/PricingDataTable[[#This Row],[Current Price ($)]]</f>
        <v>-3.4028909449073248E-4</v>
      </c>
      <c r="M4191" t="str">
        <f t="shared" si="130"/>
        <v>PASS</v>
      </c>
      <c r="N4191" s="10" t="str">
        <f t="shared" si="131"/>
        <v>NONE</v>
      </c>
    </row>
    <row r="4192" spans="1:14">
      <c r="A4192" s="4" t="s">
        <v>8400</v>
      </c>
      <c r="B4192" s="4" t="s">
        <v>8401</v>
      </c>
      <c r="C4192" s="4" t="s">
        <v>35</v>
      </c>
      <c r="D4192" s="4" t="s">
        <v>13</v>
      </c>
      <c r="E4192" s="5">
        <v>150.55860000000001</v>
      </c>
      <c r="F4192" s="5">
        <v>148.56970000000001</v>
      </c>
      <c r="G4192" s="5">
        <v>148.80420000000001</v>
      </c>
      <c r="H4192" s="4">
        <v>4</v>
      </c>
      <c r="I4192" s="6">
        <v>4682135</v>
      </c>
      <c r="J4192" s="7">
        <v>108.94</v>
      </c>
      <c r="K4192" s="9">
        <f>(PricingDataTable[[#This Row],[Current Price ($)]]-PricingDataTable[[#This Row],[Prior Price ($)]])/PricingDataTable[[#This Row],[Prior Price ($)]]</f>
        <v>-1.3210138776529544E-2</v>
      </c>
      <c r="L4192" s="9">
        <f>(PricingDataTable[[#This Row],[Vendor Price ($)]]-PricingDataTable[[#This Row],[Current Price ($)]])/PricingDataTable[[#This Row],[Current Price ($)]]</f>
        <v>1.5783837485032078E-3</v>
      </c>
      <c r="M4192" t="str">
        <f t="shared" si="130"/>
        <v>STALE</v>
      </c>
      <c r="N4192" s="10" t="str">
        <f t="shared" si="131"/>
        <v>LOW</v>
      </c>
    </row>
    <row r="4193" spans="1:14">
      <c r="A4193" s="4" t="s">
        <v>8402</v>
      </c>
      <c r="B4193" s="4" t="s">
        <v>8403</v>
      </c>
      <c r="C4193" s="4" t="s">
        <v>16</v>
      </c>
      <c r="D4193" s="4" t="s">
        <v>13</v>
      </c>
      <c r="E4193" s="5">
        <v>122.78189999999999</v>
      </c>
      <c r="F4193" s="5">
        <v>121.95610000000001</v>
      </c>
      <c r="G4193" s="5">
        <v>121.97750000000001</v>
      </c>
      <c r="H4193" s="4">
        <v>0</v>
      </c>
      <c r="I4193" s="6">
        <v>3061113</v>
      </c>
      <c r="J4193" s="7">
        <v>543.55999999999995</v>
      </c>
      <c r="K4193" s="9">
        <f>(PricingDataTable[[#This Row],[Current Price ($)]]-PricingDataTable[[#This Row],[Prior Price ($)]])/PricingDataTable[[#This Row],[Prior Price ($)]]</f>
        <v>-6.725747036004385E-3</v>
      </c>
      <c r="L4193" s="9">
        <f>(PricingDataTable[[#This Row],[Vendor Price ($)]]-PricingDataTable[[#This Row],[Current Price ($)]])/PricingDataTable[[#This Row],[Current Price ($)]]</f>
        <v>1.7547297757143646E-4</v>
      </c>
      <c r="M4193" t="str">
        <f t="shared" si="130"/>
        <v>PASS</v>
      </c>
      <c r="N4193" s="10" t="str">
        <f t="shared" si="131"/>
        <v>NONE</v>
      </c>
    </row>
    <row r="4194" spans="1:14">
      <c r="A4194" s="4" t="s">
        <v>8404</v>
      </c>
      <c r="B4194" s="4" t="s">
        <v>8405</v>
      </c>
      <c r="C4194" s="4" t="s">
        <v>39</v>
      </c>
      <c r="D4194" s="4" t="s">
        <v>13</v>
      </c>
      <c r="E4194" s="5">
        <v>254.84649999999999</v>
      </c>
      <c r="F4194" s="5">
        <v>252.2115</v>
      </c>
      <c r="G4194" s="5">
        <v>252.6464</v>
      </c>
      <c r="H4194" s="4">
        <v>1</v>
      </c>
      <c r="I4194" s="6">
        <v>1374161</v>
      </c>
      <c r="J4194" s="7">
        <v>150.55000000000001</v>
      </c>
      <c r="K4194" s="9">
        <f>(PricingDataTable[[#This Row],[Current Price ($)]]-PricingDataTable[[#This Row],[Prior Price ($)]])/PricingDataTable[[#This Row],[Prior Price ($)]]</f>
        <v>-1.0339557341379972E-2</v>
      </c>
      <c r="L4194" s="9">
        <f>(PricingDataTable[[#This Row],[Vendor Price ($)]]-PricingDataTable[[#This Row],[Current Price ($)]])/PricingDataTable[[#This Row],[Current Price ($)]]</f>
        <v>1.7243464314672366E-3</v>
      </c>
      <c r="M4194" t="str">
        <f t="shared" si="130"/>
        <v>PASS</v>
      </c>
      <c r="N4194" s="10" t="str">
        <f t="shared" si="131"/>
        <v>NONE</v>
      </c>
    </row>
    <row r="4195" spans="1:14">
      <c r="A4195" s="4" t="s">
        <v>8406</v>
      </c>
      <c r="B4195" s="4" t="s">
        <v>8407</v>
      </c>
      <c r="C4195" s="4" t="s">
        <v>16</v>
      </c>
      <c r="D4195" s="4" t="s">
        <v>64</v>
      </c>
      <c r="E4195" s="5">
        <v>109.24290000000001</v>
      </c>
      <c r="F4195" s="5">
        <v>115.7783</v>
      </c>
      <c r="G4195" s="5">
        <v>115.9748</v>
      </c>
      <c r="H4195" s="4">
        <v>0</v>
      </c>
      <c r="I4195" s="6">
        <v>4068351</v>
      </c>
      <c r="J4195" s="7">
        <v>495.67</v>
      </c>
      <c r="K4195" s="9">
        <f>(PricingDataTable[[#This Row],[Current Price ($)]]-PricingDataTable[[#This Row],[Prior Price ($)]])/PricingDataTable[[#This Row],[Prior Price ($)]]</f>
        <v>5.9824482872571083E-2</v>
      </c>
      <c r="L4195" s="9">
        <f>(PricingDataTable[[#This Row],[Vendor Price ($)]]-PricingDataTable[[#This Row],[Current Price ($)]])/PricingDataTable[[#This Row],[Current Price ($)]]</f>
        <v>1.6972092352366577E-3</v>
      </c>
      <c r="M4195" t="str">
        <f t="shared" si="130"/>
        <v>LARGE MOVE</v>
      </c>
      <c r="N4195" s="10" t="str">
        <f t="shared" si="131"/>
        <v>LOW</v>
      </c>
    </row>
    <row r="4196" spans="1:14">
      <c r="A4196" s="4" t="s">
        <v>8408</v>
      </c>
      <c r="B4196" s="4" t="s">
        <v>8409</v>
      </c>
      <c r="C4196" s="4" t="s">
        <v>16</v>
      </c>
      <c r="D4196" s="4" t="s">
        <v>13</v>
      </c>
      <c r="E4196" s="5">
        <v>94.826300000000003</v>
      </c>
      <c r="F4196" s="5">
        <v>94.974699999999999</v>
      </c>
      <c r="G4196" s="5">
        <v>94.154499999999999</v>
      </c>
      <c r="H4196" s="4">
        <v>0</v>
      </c>
      <c r="I4196" s="6">
        <v>4752448</v>
      </c>
      <c r="J4196" s="7">
        <v>621.5</v>
      </c>
      <c r="K4196" s="9">
        <f>(PricingDataTable[[#This Row],[Current Price ($)]]-PricingDataTable[[#This Row],[Prior Price ($)]])/PricingDataTable[[#This Row],[Prior Price ($)]]</f>
        <v>1.5649666811843887E-3</v>
      </c>
      <c r="L4196" s="9">
        <f>(PricingDataTable[[#This Row],[Vendor Price ($)]]-PricingDataTable[[#This Row],[Current Price ($)]])/PricingDataTable[[#This Row],[Current Price ($)]]</f>
        <v>-8.6359841094523042E-3</v>
      </c>
      <c r="M4196" t="str">
        <f t="shared" si="130"/>
        <v>PASS</v>
      </c>
      <c r="N4196" s="10" t="str">
        <f t="shared" si="131"/>
        <v>NONE</v>
      </c>
    </row>
    <row r="4197" spans="1:14">
      <c r="A4197" s="4" t="s">
        <v>8410</v>
      </c>
      <c r="B4197" s="4" t="s">
        <v>8411</v>
      </c>
      <c r="C4197" s="4" t="s">
        <v>19</v>
      </c>
      <c r="D4197" s="4" t="s">
        <v>13</v>
      </c>
      <c r="E4197" s="5">
        <v>46.611800000000002</v>
      </c>
      <c r="F4197" s="5">
        <v>47.634999999999998</v>
      </c>
      <c r="G4197" s="5">
        <v>47.5869</v>
      </c>
      <c r="H4197" s="4">
        <v>0</v>
      </c>
      <c r="I4197" s="6">
        <v>735481</v>
      </c>
      <c r="J4197" s="7">
        <v>200.42</v>
      </c>
      <c r="K4197" s="9">
        <f>(PricingDataTable[[#This Row],[Current Price ($)]]-PricingDataTable[[#This Row],[Prior Price ($)]])/PricingDataTable[[#This Row],[Prior Price ($)]]</f>
        <v>2.1951523004904244E-2</v>
      </c>
      <c r="L4197" s="9">
        <f>(PricingDataTable[[#This Row],[Vendor Price ($)]]-PricingDataTable[[#This Row],[Current Price ($)]])/PricingDataTable[[#This Row],[Current Price ($)]]</f>
        <v>-1.0097617298204689E-3</v>
      </c>
      <c r="M4197" t="str">
        <f t="shared" si="130"/>
        <v>PASS</v>
      </c>
      <c r="N4197" s="10" t="str">
        <f t="shared" si="131"/>
        <v>NONE</v>
      </c>
    </row>
    <row r="4198" spans="1:14">
      <c r="A4198" s="4" t="s">
        <v>8412</v>
      </c>
      <c r="B4198" s="4" t="s">
        <v>8413</v>
      </c>
      <c r="C4198" s="4" t="s">
        <v>35</v>
      </c>
      <c r="D4198" s="4" t="s">
        <v>13</v>
      </c>
      <c r="E4198" s="5">
        <v>3.7604000000000002</v>
      </c>
      <c r="F4198" s="5">
        <v>3.8565999999999998</v>
      </c>
      <c r="G4198" s="5">
        <v>3.8424</v>
      </c>
      <c r="H4198" s="4">
        <v>0</v>
      </c>
      <c r="I4198" s="6">
        <v>859573</v>
      </c>
      <c r="J4198" s="7">
        <v>352.99</v>
      </c>
      <c r="K4198" s="9">
        <f>(PricingDataTable[[#This Row],[Current Price ($)]]-PricingDataTable[[#This Row],[Prior Price ($)]])/PricingDataTable[[#This Row],[Prior Price ($)]]</f>
        <v>2.5582384852675145E-2</v>
      </c>
      <c r="L4198" s="9">
        <f>(PricingDataTable[[#This Row],[Vendor Price ($)]]-PricingDataTable[[#This Row],[Current Price ($)]])/PricingDataTable[[#This Row],[Current Price ($)]]</f>
        <v>-3.681999688845037E-3</v>
      </c>
      <c r="M4198" t="str">
        <f t="shared" si="130"/>
        <v>PASS</v>
      </c>
      <c r="N4198" s="10" t="str">
        <f t="shared" si="131"/>
        <v>NONE</v>
      </c>
    </row>
    <row r="4199" spans="1:14">
      <c r="A4199" s="4" t="s">
        <v>8414</v>
      </c>
      <c r="B4199" s="4" t="s">
        <v>8415</v>
      </c>
      <c r="C4199" s="4" t="s">
        <v>35</v>
      </c>
      <c r="D4199" s="4" t="s">
        <v>13</v>
      </c>
      <c r="E4199" s="5">
        <v>69.370699999999999</v>
      </c>
      <c r="F4199" s="5">
        <v>69.154600000000002</v>
      </c>
      <c r="G4199" s="5">
        <v>69.162800000000004</v>
      </c>
      <c r="H4199" s="4">
        <v>1</v>
      </c>
      <c r="I4199" s="6">
        <v>4490223</v>
      </c>
      <c r="J4199" s="7">
        <v>192.73</v>
      </c>
      <c r="K4199" s="9">
        <f>(PricingDataTable[[#This Row],[Current Price ($)]]-PricingDataTable[[#This Row],[Prior Price ($)]])/PricingDataTable[[#This Row],[Prior Price ($)]]</f>
        <v>-3.1151480380044788E-3</v>
      </c>
      <c r="L4199" s="9">
        <f>(PricingDataTable[[#This Row],[Vendor Price ($)]]-PricingDataTable[[#This Row],[Current Price ($)]])/PricingDataTable[[#This Row],[Current Price ($)]]</f>
        <v>1.1857490318796155E-4</v>
      </c>
      <c r="M4199" t="str">
        <f t="shared" si="130"/>
        <v>PASS</v>
      </c>
      <c r="N4199" s="10" t="str">
        <f t="shared" si="131"/>
        <v>NONE</v>
      </c>
    </row>
    <row r="4200" spans="1:14">
      <c r="A4200" s="4" t="s">
        <v>8416</v>
      </c>
      <c r="B4200" s="4" t="s">
        <v>8417</v>
      </c>
      <c r="C4200" s="4" t="s">
        <v>12</v>
      </c>
      <c r="D4200" s="4" t="s">
        <v>13</v>
      </c>
      <c r="E4200" s="5">
        <v>106.33450000000001</v>
      </c>
      <c r="F4200" s="5">
        <v>107.9443</v>
      </c>
      <c r="G4200" s="5">
        <v>108.1947</v>
      </c>
      <c r="H4200" s="4">
        <v>2</v>
      </c>
      <c r="I4200" s="6">
        <v>2274895</v>
      </c>
      <c r="J4200" s="7">
        <v>116.36</v>
      </c>
      <c r="K4200" s="9">
        <f>(PricingDataTable[[#This Row],[Current Price ($)]]-PricingDataTable[[#This Row],[Prior Price ($)]])/PricingDataTable[[#This Row],[Prior Price ($)]]</f>
        <v>1.5139018850890282E-2</v>
      </c>
      <c r="L4200" s="9">
        <f>(PricingDataTable[[#This Row],[Vendor Price ($)]]-PricingDataTable[[#This Row],[Current Price ($)]])/PricingDataTable[[#This Row],[Current Price ($)]]</f>
        <v>2.319714889994183E-3</v>
      </c>
      <c r="M4200" t="str">
        <f t="shared" si="130"/>
        <v>PASS</v>
      </c>
      <c r="N4200" s="10" t="str">
        <f t="shared" si="131"/>
        <v>NONE</v>
      </c>
    </row>
    <row r="4201" spans="1:14">
      <c r="A4201" s="4" t="s">
        <v>8418</v>
      </c>
      <c r="B4201" s="4" t="s">
        <v>8419</v>
      </c>
      <c r="C4201" s="4" t="s">
        <v>35</v>
      </c>
      <c r="D4201" s="4" t="s">
        <v>13</v>
      </c>
      <c r="E4201" s="5">
        <v>12.9322</v>
      </c>
      <c r="F4201" s="5">
        <v>12.8283</v>
      </c>
      <c r="G4201" s="5">
        <v>12.863899999999999</v>
      </c>
      <c r="H4201" s="4">
        <v>0</v>
      </c>
      <c r="I4201" s="6">
        <v>4122154</v>
      </c>
      <c r="J4201" s="7">
        <v>830.43</v>
      </c>
      <c r="K4201" s="9">
        <f>(PricingDataTable[[#This Row],[Current Price ($)]]-PricingDataTable[[#This Row],[Prior Price ($)]])/PricingDataTable[[#This Row],[Prior Price ($)]]</f>
        <v>-8.034209183278903E-3</v>
      </c>
      <c r="L4201" s="9">
        <f>(PricingDataTable[[#This Row],[Vendor Price ($)]]-PricingDataTable[[#This Row],[Current Price ($)]])/PricingDataTable[[#This Row],[Current Price ($)]]</f>
        <v>2.7751143955160656E-3</v>
      </c>
      <c r="M4201" t="str">
        <f t="shared" si="130"/>
        <v>PASS</v>
      </c>
      <c r="N4201" s="10" t="str">
        <f t="shared" si="131"/>
        <v>NONE</v>
      </c>
    </row>
    <row r="4202" spans="1:14">
      <c r="A4202" s="4" t="s">
        <v>8420</v>
      </c>
      <c r="B4202" s="4" t="s">
        <v>8421</v>
      </c>
      <c r="C4202" s="4" t="s">
        <v>19</v>
      </c>
      <c r="D4202" s="4" t="s">
        <v>13</v>
      </c>
      <c r="E4202" s="5">
        <v>323.9615</v>
      </c>
      <c r="F4202" s="5">
        <v>323.11450000000002</v>
      </c>
      <c r="G4202" s="5">
        <v>321.62639999999999</v>
      </c>
      <c r="H4202" s="4">
        <v>0</v>
      </c>
      <c r="I4202" s="6">
        <v>2970040</v>
      </c>
      <c r="J4202" s="7">
        <v>724.61</v>
      </c>
      <c r="K4202" s="9">
        <f>(PricingDataTable[[#This Row],[Current Price ($)]]-PricingDataTable[[#This Row],[Prior Price ($)]])/PricingDataTable[[#This Row],[Prior Price ($)]]</f>
        <v>-2.6145082054502772E-3</v>
      </c>
      <c r="L4202" s="9">
        <f>(PricingDataTable[[#This Row],[Vendor Price ($)]]-PricingDataTable[[#This Row],[Current Price ($)]])/PricingDataTable[[#This Row],[Current Price ($)]]</f>
        <v>-4.6054881473905724E-3</v>
      </c>
      <c r="M4202" t="str">
        <f t="shared" si="130"/>
        <v>PASS</v>
      </c>
      <c r="N4202" s="10" t="str">
        <f t="shared" si="131"/>
        <v>NONE</v>
      </c>
    </row>
    <row r="4203" spans="1:14">
      <c r="A4203" s="4" t="s">
        <v>8422</v>
      </c>
      <c r="B4203" s="4" t="s">
        <v>8423</v>
      </c>
      <c r="C4203" s="4" t="s">
        <v>12</v>
      </c>
      <c r="D4203" s="4" t="s">
        <v>13</v>
      </c>
      <c r="E4203" s="5">
        <v>84.065399999999997</v>
      </c>
      <c r="F4203" s="5">
        <v>82.736999999999995</v>
      </c>
      <c r="G4203" s="5">
        <v>82.5428</v>
      </c>
      <c r="H4203" s="4">
        <v>0</v>
      </c>
      <c r="I4203" s="6">
        <v>720141</v>
      </c>
      <c r="J4203" s="7">
        <v>766.89</v>
      </c>
      <c r="K4203" s="9">
        <f>(PricingDataTable[[#This Row],[Current Price ($)]]-PricingDataTable[[#This Row],[Prior Price ($)]])/PricingDataTable[[#This Row],[Prior Price ($)]]</f>
        <v>-1.5801982742008034E-2</v>
      </c>
      <c r="L4203" s="9">
        <f>(PricingDataTable[[#This Row],[Vendor Price ($)]]-PricingDataTable[[#This Row],[Current Price ($)]])/PricingDataTable[[#This Row],[Current Price ($)]]</f>
        <v>-2.3471965384289383E-3</v>
      </c>
      <c r="M4203" t="str">
        <f t="shared" si="130"/>
        <v>PASS</v>
      </c>
      <c r="N4203" s="10" t="str">
        <f t="shared" si="131"/>
        <v>NONE</v>
      </c>
    </row>
    <row r="4204" spans="1:14">
      <c r="A4204" s="4" t="s">
        <v>8424</v>
      </c>
      <c r="B4204" s="4" t="s">
        <v>8425</v>
      </c>
      <c r="C4204" s="4" t="s">
        <v>12</v>
      </c>
      <c r="D4204" s="4" t="s">
        <v>13</v>
      </c>
      <c r="E4204" s="5">
        <v>118.7848</v>
      </c>
      <c r="F4204" s="5">
        <v>117.3818</v>
      </c>
      <c r="G4204" s="5">
        <v>117.4021</v>
      </c>
      <c r="H4204" s="4">
        <v>0</v>
      </c>
      <c r="I4204" s="6">
        <v>4705445</v>
      </c>
      <c r="J4204" s="7">
        <v>151.38</v>
      </c>
      <c r="K4204" s="9">
        <f>(PricingDataTable[[#This Row],[Current Price ($)]]-PricingDataTable[[#This Row],[Prior Price ($)]])/PricingDataTable[[#This Row],[Prior Price ($)]]</f>
        <v>-1.181127551673283E-2</v>
      </c>
      <c r="L4204" s="9">
        <f>(PricingDataTable[[#This Row],[Vendor Price ($)]]-PricingDataTable[[#This Row],[Current Price ($)]])/PricingDataTable[[#This Row],[Current Price ($)]]</f>
        <v>1.7293992765493441E-4</v>
      </c>
      <c r="M4204" t="str">
        <f t="shared" si="130"/>
        <v>PASS</v>
      </c>
      <c r="N4204" s="10" t="str">
        <f t="shared" si="131"/>
        <v>NONE</v>
      </c>
    </row>
    <row r="4205" spans="1:14">
      <c r="A4205" s="4" t="s">
        <v>8426</v>
      </c>
      <c r="B4205" s="4" t="s">
        <v>8427</v>
      </c>
      <c r="C4205" s="4" t="s">
        <v>19</v>
      </c>
      <c r="D4205" s="4" t="s">
        <v>13</v>
      </c>
      <c r="E4205" s="5">
        <v>283.34440000000001</v>
      </c>
      <c r="F4205" s="5">
        <v>284.84379999999999</v>
      </c>
      <c r="G4205" s="5">
        <v>283.5564</v>
      </c>
      <c r="H4205" s="4">
        <v>1</v>
      </c>
      <c r="I4205" s="6">
        <v>1468003</v>
      </c>
      <c r="J4205" s="7">
        <v>50.1</v>
      </c>
      <c r="K4205" s="9">
        <f>(PricingDataTable[[#This Row],[Current Price ($)]]-PricingDataTable[[#This Row],[Prior Price ($)]])/PricingDataTable[[#This Row],[Prior Price ($)]]</f>
        <v>5.2917933087789281E-3</v>
      </c>
      <c r="L4205" s="9">
        <f>(PricingDataTable[[#This Row],[Vendor Price ($)]]-PricingDataTable[[#This Row],[Current Price ($)]])/PricingDataTable[[#This Row],[Current Price ($)]]</f>
        <v>-4.5196700788291376E-3</v>
      </c>
      <c r="M4205" t="str">
        <f t="shared" si="130"/>
        <v>PASS</v>
      </c>
      <c r="N4205" s="10" t="str">
        <f t="shared" si="131"/>
        <v>NONE</v>
      </c>
    </row>
    <row r="4206" spans="1:14">
      <c r="A4206" s="4" t="s">
        <v>8428</v>
      </c>
      <c r="B4206" s="4" t="s">
        <v>8429</v>
      </c>
      <c r="C4206" s="4" t="s">
        <v>16</v>
      </c>
      <c r="D4206" s="4" t="s">
        <v>13</v>
      </c>
      <c r="E4206" s="5">
        <v>122.7671</v>
      </c>
      <c r="F4206" s="5">
        <v>122.85590000000001</v>
      </c>
      <c r="G4206" s="5">
        <v>122.8471</v>
      </c>
      <c r="H4206" s="4">
        <v>0</v>
      </c>
      <c r="I4206" s="6">
        <v>3711622</v>
      </c>
      <c r="J4206" s="7">
        <v>775.91</v>
      </c>
      <c r="K4206" s="9">
        <f>(PricingDataTable[[#This Row],[Current Price ($)]]-PricingDataTable[[#This Row],[Prior Price ($)]])/PricingDataTable[[#This Row],[Prior Price ($)]]</f>
        <v>7.2332082455320854E-4</v>
      </c>
      <c r="L4206" s="9">
        <f>(PricingDataTable[[#This Row],[Vendor Price ($)]]-PricingDataTable[[#This Row],[Current Price ($)]])/PricingDataTable[[#This Row],[Current Price ($)]]</f>
        <v>-7.1628631592035154E-5</v>
      </c>
      <c r="M4206" t="str">
        <f t="shared" si="130"/>
        <v>PASS</v>
      </c>
      <c r="N4206" s="10" t="str">
        <f t="shared" si="131"/>
        <v>NONE</v>
      </c>
    </row>
    <row r="4207" spans="1:14">
      <c r="A4207" s="4" t="s">
        <v>8430</v>
      </c>
      <c r="B4207" s="4" t="s">
        <v>8431</v>
      </c>
      <c r="C4207" s="4" t="s">
        <v>19</v>
      </c>
      <c r="D4207" s="4" t="s">
        <v>13</v>
      </c>
      <c r="E4207" s="5">
        <v>312.72609999999997</v>
      </c>
      <c r="F4207" s="5">
        <v>316.91379999999998</v>
      </c>
      <c r="G4207" s="5">
        <v>316.86200000000002</v>
      </c>
      <c r="H4207" s="4">
        <v>0</v>
      </c>
      <c r="I4207" s="6">
        <v>4012241</v>
      </c>
      <c r="J4207" s="7">
        <v>23.36</v>
      </c>
      <c r="K4207" s="9">
        <f>(PricingDataTable[[#This Row],[Current Price ($)]]-PricingDataTable[[#This Row],[Prior Price ($)]])/PricingDataTable[[#This Row],[Prior Price ($)]]</f>
        <v>1.3390951378858391E-2</v>
      </c>
      <c r="L4207" s="9">
        <f>(PricingDataTable[[#This Row],[Vendor Price ($)]]-PricingDataTable[[#This Row],[Current Price ($)]])/PricingDataTable[[#This Row],[Current Price ($)]]</f>
        <v>-1.6345138646520739E-4</v>
      </c>
      <c r="M4207" t="str">
        <f t="shared" si="130"/>
        <v>PASS</v>
      </c>
      <c r="N4207" s="10" t="str">
        <f t="shared" si="131"/>
        <v>NONE</v>
      </c>
    </row>
    <row r="4208" spans="1:14">
      <c r="A4208" s="4" t="s">
        <v>8432</v>
      </c>
      <c r="B4208" s="4" t="s">
        <v>8433</v>
      </c>
      <c r="C4208" s="4" t="s">
        <v>39</v>
      </c>
      <c r="D4208" s="4" t="s">
        <v>13</v>
      </c>
      <c r="E4208" s="5">
        <v>231.71520000000001</v>
      </c>
      <c r="F4208" s="5">
        <v>228.358</v>
      </c>
      <c r="G4208" s="5">
        <v>227.9348</v>
      </c>
      <c r="H4208" s="4">
        <v>1</v>
      </c>
      <c r="I4208" s="6">
        <v>604624</v>
      </c>
      <c r="J4208" s="7">
        <v>807.06</v>
      </c>
      <c r="K4208" s="9">
        <f>(PricingDataTable[[#This Row],[Current Price ($)]]-PricingDataTable[[#This Row],[Prior Price ($)]])/PricingDataTable[[#This Row],[Prior Price ($)]]</f>
        <v>-1.4488475507864852E-2</v>
      </c>
      <c r="L4208" s="9">
        <f>(PricingDataTable[[#This Row],[Vendor Price ($)]]-PricingDataTable[[#This Row],[Current Price ($)]])/PricingDataTable[[#This Row],[Current Price ($)]]</f>
        <v>-1.8532304539364002E-3</v>
      </c>
      <c r="M4208" t="str">
        <f t="shared" si="130"/>
        <v>PASS</v>
      </c>
      <c r="N4208" s="10" t="str">
        <f t="shared" si="131"/>
        <v>NONE</v>
      </c>
    </row>
    <row r="4209" spans="1:14">
      <c r="A4209" s="4" t="s">
        <v>8434</v>
      </c>
      <c r="B4209" s="4" t="s">
        <v>8435</v>
      </c>
      <c r="C4209" s="4" t="s">
        <v>19</v>
      </c>
      <c r="D4209" s="4" t="s">
        <v>13</v>
      </c>
      <c r="E4209" s="5">
        <v>346.09309999999999</v>
      </c>
      <c r="F4209" s="5">
        <v>343.48840000000001</v>
      </c>
      <c r="G4209" s="5">
        <v>343.56959999999998</v>
      </c>
      <c r="H4209" s="4">
        <v>0</v>
      </c>
      <c r="I4209" s="6">
        <v>1518433</v>
      </c>
      <c r="J4209" s="7">
        <v>735.62</v>
      </c>
      <c r="K4209" s="9">
        <f>(PricingDataTable[[#This Row],[Current Price ($)]]-PricingDataTable[[#This Row],[Prior Price ($)]])/PricingDataTable[[#This Row],[Prior Price ($)]]</f>
        <v>-7.5260096199548038E-3</v>
      </c>
      <c r="L4209" s="9">
        <f>(PricingDataTable[[#This Row],[Vendor Price ($)]]-PricingDataTable[[#This Row],[Current Price ($)]])/PricingDataTable[[#This Row],[Current Price ($)]]</f>
        <v>2.3639808505896291E-4</v>
      </c>
      <c r="M4209" t="str">
        <f t="shared" si="130"/>
        <v>PASS</v>
      </c>
      <c r="N4209" s="10" t="str">
        <f t="shared" si="131"/>
        <v>NONE</v>
      </c>
    </row>
    <row r="4210" spans="1:14">
      <c r="A4210" s="4" t="s">
        <v>8436</v>
      </c>
      <c r="B4210" s="4" t="s">
        <v>8437</v>
      </c>
      <c r="C4210" s="4" t="s">
        <v>19</v>
      </c>
      <c r="D4210" s="4" t="s">
        <v>13</v>
      </c>
      <c r="E4210" s="5">
        <v>20.947700000000001</v>
      </c>
      <c r="F4210" s="5">
        <v>19.928599999999999</v>
      </c>
      <c r="G4210" s="5">
        <v>19.959299999999999</v>
      </c>
      <c r="H4210" s="4">
        <v>0</v>
      </c>
      <c r="I4210" s="6">
        <v>4855481</v>
      </c>
      <c r="J4210" s="7">
        <v>78.17</v>
      </c>
      <c r="K4210" s="9">
        <f>(PricingDataTable[[#This Row],[Current Price ($)]]-PricingDataTable[[#This Row],[Prior Price ($)]])/PricingDataTable[[#This Row],[Prior Price ($)]]</f>
        <v>-4.8649732428858616E-2</v>
      </c>
      <c r="L4210" s="9">
        <f>(PricingDataTable[[#This Row],[Vendor Price ($)]]-PricingDataTable[[#This Row],[Current Price ($)]])/PricingDataTable[[#This Row],[Current Price ($)]]</f>
        <v>1.5404995835131172E-3</v>
      </c>
      <c r="M4210" t="str">
        <f t="shared" si="130"/>
        <v>PASS</v>
      </c>
      <c r="N4210" s="10" t="str">
        <f t="shared" si="131"/>
        <v>NONE</v>
      </c>
    </row>
    <row r="4211" spans="1:14">
      <c r="A4211" s="4" t="s">
        <v>8438</v>
      </c>
      <c r="B4211" s="4" t="s">
        <v>8439</v>
      </c>
      <c r="C4211" s="4" t="s">
        <v>12</v>
      </c>
      <c r="D4211" s="4" t="s">
        <v>64</v>
      </c>
      <c r="E4211" s="5">
        <v>86.888800000000003</v>
      </c>
      <c r="F4211" s="5">
        <v>87.679000000000002</v>
      </c>
      <c r="G4211" s="5">
        <v>87.153000000000006</v>
      </c>
      <c r="H4211" s="4">
        <v>1</v>
      </c>
      <c r="I4211" s="6">
        <v>575813</v>
      </c>
      <c r="J4211" s="7">
        <v>636.17999999999995</v>
      </c>
      <c r="K4211" s="9">
        <f>(PricingDataTable[[#This Row],[Current Price ($)]]-PricingDataTable[[#This Row],[Prior Price ($)]])/PricingDataTable[[#This Row],[Prior Price ($)]]</f>
        <v>9.0943827052508332E-3</v>
      </c>
      <c r="L4211" s="9">
        <f>(PricingDataTable[[#This Row],[Vendor Price ($)]]-PricingDataTable[[#This Row],[Current Price ($)]])/PricingDataTable[[#This Row],[Current Price ($)]]</f>
        <v>-5.9991560122719945E-3</v>
      </c>
      <c r="M4211" t="str">
        <f t="shared" si="130"/>
        <v>PASS</v>
      </c>
      <c r="N4211" s="10" t="str">
        <f t="shared" si="131"/>
        <v>NONE</v>
      </c>
    </row>
    <row r="4212" spans="1:14">
      <c r="A4212" s="4" t="s">
        <v>8440</v>
      </c>
      <c r="B4212" s="4" t="s">
        <v>8441</v>
      </c>
      <c r="C4212" s="4" t="s">
        <v>19</v>
      </c>
      <c r="D4212" s="4" t="s">
        <v>13</v>
      </c>
      <c r="E4212" s="5">
        <v>289.13850000000002</v>
      </c>
      <c r="F4212" s="5">
        <v>293.19279999999998</v>
      </c>
      <c r="G4212" s="5">
        <v>293.75510000000003</v>
      </c>
      <c r="H4212" s="4">
        <v>0</v>
      </c>
      <c r="I4212" s="6">
        <v>3870780</v>
      </c>
      <c r="J4212" s="7">
        <v>65.75</v>
      </c>
      <c r="K4212" s="9">
        <f>(PricingDataTable[[#This Row],[Current Price ($)]]-PricingDataTable[[#This Row],[Prior Price ($)]])/PricingDataTable[[#This Row],[Prior Price ($)]]</f>
        <v>1.4021999837447988E-2</v>
      </c>
      <c r="L4212" s="9">
        <f>(PricingDataTable[[#This Row],[Vendor Price ($)]]-PricingDataTable[[#This Row],[Current Price ($)]])/PricingDataTable[[#This Row],[Current Price ($)]]</f>
        <v>1.9178506429900401E-3</v>
      </c>
      <c r="M4212" t="str">
        <f t="shared" si="130"/>
        <v>PASS</v>
      </c>
      <c r="N4212" s="10" t="str">
        <f t="shared" si="131"/>
        <v>NONE</v>
      </c>
    </row>
    <row r="4213" spans="1:14">
      <c r="A4213" s="4" t="s">
        <v>8442</v>
      </c>
      <c r="B4213" s="4" t="s">
        <v>8443</v>
      </c>
      <c r="C4213" s="4" t="s">
        <v>19</v>
      </c>
      <c r="D4213" s="4" t="s">
        <v>64</v>
      </c>
      <c r="E4213" s="5">
        <v>181.5531</v>
      </c>
      <c r="F4213" s="5">
        <v>170.8066</v>
      </c>
      <c r="G4213" s="5">
        <v>170.27350000000001</v>
      </c>
      <c r="H4213" s="4">
        <v>1</v>
      </c>
      <c r="I4213" s="6">
        <v>2364245</v>
      </c>
      <c r="J4213" s="7">
        <v>141.72</v>
      </c>
      <c r="K4213" s="9">
        <f>(PricingDataTable[[#This Row],[Current Price ($)]]-PricingDataTable[[#This Row],[Prior Price ($)]])/PricingDataTable[[#This Row],[Prior Price ($)]]</f>
        <v>-5.9192049047909388E-2</v>
      </c>
      <c r="L4213" s="9">
        <f>(PricingDataTable[[#This Row],[Vendor Price ($)]]-PricingDataTable[[#This Row],[Current Price ($)]])/PricingDataTable[[#This Row],[Current Price ($)]]</f>
        <v>-3.1210737758376452E-3</v>
      </c>
      <c r="M4213" t="str">
        <f t="shared" si="130"/>
        <v>LARGE MOVE</v>
      </c>
      <c r="N4213" s="10" t="str">
        <f t="shared" si="131"/>
        <v>LOW</v>
      </c>
    </row>
    <row r="4214" spans="1:14">
      <c r="A4214" s="4" t="s">
        <v>8444</v>
      </c>
      <c r="B4214" s="4" t="s">
        <v>8445</v>
      </c>
      <c r="C4214" s="4" t="s">
        <v>39</v>
      </c>
      <c r="D4214" s="4" t="s">
        <v>13</v>
      </c>
      <c r="E4214" s="5">
        <v>166.1832</v>
      </c>
      <c r="F4214" s="5">
        <v>166.4161</v>
      </c>
      <c r="G4214" s="5">
        <v>166.13839999999999</v>
      </c>
      <c r="H4214" s="4">
        <v>0</v>
      </c>
      <c r="I4214" s="6">
        <v>4392188</v>
      </c>
      <c r="J4214" s="7">
        <v>290.52</v>
      </c>
      <c r="K4214" s="9">
        <f>(PricingDataTable[[#This Row],[Current Price ($)]]-PricingDataTable[[#This Row],[Prior Price ($)]])/PricingDataTable[[#This Row],[Prior Price ($)]]</f>
        <v>1.4014653707474689E-3</v>
      </c>
      <c r="L4214" s="9">
        <f>(PricingDataTable[[#This Row],[Vendor Price ($)]]-PricingDataTable[[#This Row],[Current Price ($)]])/PricingDataTable[[#This Row],[Current Price ($)]]</f>
        <v>-1.6687087367148374E-3</v>
      </c>
      <c r="M4214" t="str">
        <f t="shared" si="130"/>
        <v>PASS</v>
      </c>
      <c r="N4214" s="10" t="str">
        <f t="shared" si="131"/>
        <v>NONE</v>
      </c>
    </row>
    <row r="4215" spans="1:14">
      <c r="A4215" s="4" t="s">
        <v>8446</v>
      </c>
      <c r="B4215" s="4" t="s">
        <v>8447</v>
      </c>
      <c r="C4215" s="4" t="s">
        <v>19</v>
      </c>
      <c r="D4215" s="4" t="s">
        <v>64</v>
      </c>
      <c r="E4215" s="5">
        <v>165.5087</v>
      </c>
      <c r="F4215" s="5">
        <v>164.61259999999999</v>
      </c>
      <c r="G4215" s="5">
        <v>164.31120000000001</v>
      </c>
      <c r="H4215" s="4">
        <v>1</v>
      </c>
      <c r="I4215" s="6">
        <v>2359845</v>
      </c>
      <c r="J4215" s="7">
        <v>850.92</v>
      </c>
      <c r="K4215" s="9">
        <f>(PricingDataTable[[#This Row],[Current Price ($)]]-PricingDataTable[[#This Row],[Prior Price ($)]])/PricingDataTable[[#This Row],[Prior Price ($)]]</f>
        <v>-5.4142168961511892E-3</v>
      </c>
      <c r="L4215" s="9">
        <f>(PricingDataTable[[#This Row],[Vendor Price ($)]]-PricingDataTable[[#This Row],[Current Price ($)]])/PricingDataTable[[#This Row],[Current Price ($)]]</f>
        <v>-1.830965551847019E-3</v>
      </c>
      <c r="M4215" t="str">
        <f t="shared" si="130"/>
        <v>PASS</v>
      </c>
      <c r="N4215" s="10" t="str">
        <f t="shared" si="131"/>
        <v>NONE</v>
      </c>
    </row>
    <row r="4216" spans="1:14">
      <c r="A4216" s="4" t="s">
        <v>8448</v>
      </c>
      <c r="B4216" s="4" t="s">
        <v>8449</v>
      </c>
      <c r="C4216" s="4" t="s">
        <v>19</v>
      </c>
      <c r="D4216" s="4" t="s">
        <v>13</v>
      </c>
      <c r="E4216" s="5">
        <v>67.9208</v>
      </c>
      <c r="F4216" s="5">
        <v>0</v>
      </c>
      <c r="G4216" s="5">
        <v>67.392600000000002</v>
      </c>
      <c r="H4216" s="4">
        <v>3</v>
      </c>
      <c r="I4216" s="6">
        <v>1278016</v>
      </c>
      <c r="J4216" s="7">
        <v>570.14</v>
      </c>
      <c r="K4216" s="9">
        <f>(PricingDataTable[[#This Row],[Current Price ($)]]-PricingDataTable[[#This Row],[Prior Price ($)]])/PricingDataTable[[#This Row],[Prior Price ($)]]</f>
        <v>-1</v>
      </c>
      <c r="L4216" s="9" t="e">
        <f>(PricingDataTable[[#This Row],[Vendor Price ($)]]-PricingDataTable[[#This Row],[Current Price ($)]])/PricingDataTable[[#This Row],[Current Price ($)]]</f>
        <v>#DIV/0!</v>
      </c>
      <c r="M4216" t="str">
        <f t="shared" si="130"/>
        <v>MISSING</v>
      </c>
      <c r="N4216" s="10" t="str">
        <f t="shared" si="131"/>
        <v>HIGH</v>
      </c>
    </row>
    <row r="4217" spans="1:14">
      <c r="A4217" s="4" t="s">
        <v>8450</v>
      </c>
      <c r="B4217" s="4" t="s">
        <v>8451</v>
      </c>
      <c r="C4217" s="4" t="s">
        <v>19</v>
      </c>
      <c r="D4217" s="4" t="s">
        <v>13</v>
      </c>
      <c r="E4217" s="5">
        <v>186.96039999999999</v>
      </c>
      <c r="F4217" s="5">
        <v>184.30199999999999</v>
      </c>
      <c r="G4217" s="5">
        <v>184.50069999999999</v>
      </c>
      <c r="H4217" s="4">
        <v>1</v>
      </c>
      <c r="I4217" s="6">
        <v>4995339</v>
      </c>
      <c r="J4217" s="7">
        <v>390.13</v>
      </c>
      <c r="K4217" s="9">
        <f>(PricingDataTable[[#This Row],[Current Price ($)]]-PricingDataTable[[#This Row],[Prior Price ($)]])/PricingDataTable[[#This Row],[Prior Price ($)]]</f>
        <v>-1.4219053874510326E-2</v>
      </c>
      <c r="L4217" s="9">
        <f>(PricingDataTable[[#This Row],[Vendor Price ($)]]-PricingDataTable[[#This Row],[Current Price ($)]])/PricingDataTable[[#This Row],[Current Price ($)]]</f>
        <v>1.0781217783854887E-3</v>
      </c>
      <c r="M4217" t="str">
        <f t="shared" si="130"/>
        <v>PASS</v>
      </c>
      <c r="N4217" s="10" t="str">
        <f t="shared" si="131"/>
        <v>NONE</v>
      </c>
    </row>
    <row r="4218" spans="1:14">
      <c r="A4218" s="4" t="s">
        <v>8452</v>
      </c>
      <c r="B4218" s="4" t="s">
        <v>8453</v>
      </c>
      <c r="C4218" s="4" t="s">
        <v>12</v>
      </c>
      <c r="D4218" s="4" t="s">
        <v>13</v>
      </c>
      <c r="E4218" s="5">
        <v>97.428299999999993</v>
      </c>
      <c r="F4218" s="5">
        <v>98.862700000000004</v>
      </c>
      <c r="G4218" s="5">
        <v>99.274100000000004</v>
      </c>
      <c r="H4218" s="4">
        <v>4</v>
      </c>
      <c r="I4218" s="6">
        <v>4589599</v>
      </c>
      <c r="J4218" s="7">
        <v>106.67</v>
      </c>
      <c r="K4218" s="9">
        <f>(PricingDataTable[[#This Row],[Current Price ($)]]-PricingDataTable[[#This Row],[Prior Price ($)]])/PricingDataTable[[#This Row],[Prior Price ($)]]</f>
        <v>1.4722621661262805E-2</v>
      </c>
      <c r="L4218" s="9">
        <f>(PricingDataTable[[#This Row],[Vendor Price ($)]]-PricingDataTable[[#This Row],[Current Price ($)]])/PricingDataTable[[#This Row],[Current Price ($)]]</f>
        <v>4.1613267693477963E-3</v>
      </c>
      <c r="M4218" t="str">
        <f t="shared" si="130"/>
        <v>STALE</v>
      </c>
      <c r="N4218" s="10" t="str">
        <f t="shared" si="131"/>
        <v>LOW</v>
      </c>
    </row>
    <row r="4219" spans="1:14">
      <c r="A4219" s="4" t="s">
        <v>8454</v>
      </c>
      <c r="B4219" s="4" t="s">
        <v>8455</v>
      </c>
      <c r="C4219" s="4" t="s">
        <v>16</v>
      </c>
      <c r="D4219" s="4" t="s">
        <v>13</v>
      </c>
      <c r="E4219" s="5">
        <v>81.468999999999994</v>
      </c>
      <c r="F4219" s="5">
        <v>81.076899999999995</v>
      </c>
      <c r="G4219" s="5">
        <v>81.094499999999996</v>
      </c>
      <c r="H4219" s="4">
        <v>2</v>
      </c>
      <c r="I4219" s="6">
        <v>3583957</v>
      </c>
      <c r="J4219" s="7">
        <v>136.21</v>
      </c>
      <c r="K4219" s="9">
        <f>(PricingDataTable[[#This Row],[Current Price ($)]]-PricingDataTable[[#This Row],[Prior Price ($)]])/PricingDataTable[[#This Row],[Prior Price ($)]]</f>
        <v>-4.812873608366363E-3</v>
      </c>
      <c r="L4219" s="9">
        <f>(PricingDataTable[[#This Row],[Vendor Price ($)]]-PricingDataTable[[#This Row],[Current Price ($)]])/PricingDataTable[[#This Row],[Current Price ($)]]</f>
        <v>2.1707786064836736E-4</v>
      </c>
      <c r="M4219" t="str">
        <f t="shared" si="130"/>
        <v>PASS</v>
      </c>
      <c r="N4219" s="10" t="str">
        <f t="shared" si="131"/>
        <v>NONE</v>
      </c>
    </row>
    <row r="4220" spans="1:14">
      <c r="A4220" s="4" t="s">
        <v>8456</v>
      </c>
      <c r="B4220" s="4" t="s">
        <v>8457</v>
      </c>
      <c r="C4220" s="4" t="s">
        <v>16</v>
      </c>
      <c r="D4220" s="4" t="s">
        <v>32</v>
      </c>
      <c r="E4220" s="5">
        <v>87.772499999999994</v>
      </c>
      <c r="F4220" s="5">
        <v>88.874200000000002</v>
      </c>
      <c r="G4220" s="5">
        <v>88.871200000000002</v>
      </c>
      <c r="H4220" s="4">
        <v>0</v>
      </c>
      <c r="I4220" s="6">
        <v>2894717</v>
      </c>
      <c r="J4220" s="7">
        <v>610.16</v>
      </c>
      <c r="K4220" s="9">
        <f>(PricingDataTable[[#This Row],[Current Price ($)]]-PricingDataTable[[#This Row],[Prior Price ($)]])/PricingDataTable[[#This Row],[Prior Price ($)]]</f>
        <v>1.2551767353100438E-2</v>
      </c>
      <c r="L4220" s="9">
        <f>(PricingDataTable[[#This Row],[Vendor Price ($)]]-PricingDataTable[[#This Row],[Current Price ($)]])/PricingDataTable[[#This Row],[Current Price ($)]]</f>
        <v>-3.3755578109283837E-5</v>
      </c>
      <c r="M4220" t="str">
        <f t="shared" si="130"/>
        <v>PASS</v>
      </c>
      <c r="N4220" s="10" t="str">
        <f t="shared" si="131"/>
        <v>NONE</v>
      </c>
    </row>
    <row r="4221" spans="1:14">
      <c r="A4221" s="4" t="s">
        <v>8458</v>
      </c>
      <c r="B4221" s="4" t="s">
        <v>8459</v>
      </c>
      <c r="C4221" s="4" t="s">
        <v>19</v>
      </c>
      <c r="D4221" s="4" t="s">
        <v>13</v>
      </c>
      <c r="E4221" s="5">
        <v>218.18100000000001</v>
      </c>
      <c r="F4221" s="5">
        <v>214.48050000000001</v>
      </c>
      <c r="G4221" s="5">
        <v>214.51759999999999</v>
      </c>
      <c r="H4221" s="4">
        <v>0</v>
      </c>
      <c r="I4221" s="6">
        <v>1517716</v>
      </c>
      <c r="J4221" s="7">
        <v>215.02</v>
      </c>
      <c r="K4221" s="9">
        <f>(PricingDataTable[[#This Row],[Current Price ($)]]-PricingDataTable[[#This Row],[Prior Price ($)]])/PricingDataTable[[#This Row],[Prior Price ($)]]</f>
        <v>-1.6960688602582284E-2</v>
      </c>
      <c r="L4221" s="9">
        <f>(PricingDataTable[[#This Row],[Vendor Price ($)]]-PricingDataTable[[#This Row],[Current Price ($)]])/PricingDataTable[[#This Row],[Current Price ($)]]</f>
        <v>1.7297609806010819E-4</v>
      </c>
      <c r="M4221" t="str">
        <f t="shared" si="130"/>
        <v>PASS</v>
      </c>
      <c r="N4221" s="10" t="str">
        <f t="shared" si="131"/>
        <v>NONE</v>
      </c>
    </row>
    <row r="4222" spans="1:14">
      <c r="A4222" s="4" t="s">
        <v>8460</v>
      </c>
      <c r="B4222" s="4" t="s">
        <v>8461</v>
      </c>
      <c r="C4222" s="4" t="s">
        <v>12</v>
      </c>
      <c r="D4222" s="4" t="s">
        <v>13</v>
      </c>
      <c r="E4222" s="5">
        <v>117.5073</v>
      </c>
      <c r="F4222" s="5">
        <v>117.7272</v>
      </c>
      <c r="G4222" s="5">
        <v>117.7073</v>
      </c>
      <c r="H4222" s="4">
        <v>0</v>
      </c>
      <c r="I4222" s="6">
        <v>1376296</v>
      </c>
      <c r="J4222" s="7">
        <v>873.28</v>
      </c>
      <c r="K4222" s="9">
        <f>(PricingDataTable[[#This Row],[Current Price ($)]]-PricingDataTable[[#This Row],[Prior Price ($)]])/PricingDataTable[[#This Row],[Prior Price ($)]]</f>
        <v>1.8713730976713408E-3</v>
      </c>
      <c r="L4222" s="9">
        <f>(PricingDataTable[[#This Row],[Vendor Price ($)]]-PricingDataTable[[#This Row],[Current Price ($)]])/PricingDataTable[[#This Row],[Current Price ($)]]</f>
        <v>-1.6903485345776253E-4</v>
      </c>
      <c r="M4222" t="str">
        <f t="shared" si="130"/>
        <v>PASS</v>
      </c>
      <c r="N4222" s="10" t="str">
        <f t="shared" si="131"/>
        <v>NONE</v>
      </c>
    </row>
    <row r="4223" spans="1:14">
      <c r="A4223" s="4" t="s">
        <v>8462</v>
      </c>
      <c r="B4223" s="4" t="s">
        <v>8463</v>
      </c>
      <c r="C4223" s="4" t="s">
        <v>39</v>
      </c>
      <c r="D4223" s="4" t="s">
        <v>64</v>
      </c>
      <c r="E4223" s="5">
        <v>323.44830000000002</v>
      </c>
      <c r="F4223" s="5">
        <v>325.4402</v>
      </c>
      <c r="G4223" s="5">
        <v>325.90679999999998</v>
      </c>
      <c r="H4223" s="4">
        <v>0</v>
      </c>
      <c r="I4223" s="6">
        <v>1668441</v>
      </c>
      <c r="J4223" s="7">
        <v>618.85</v>
      </c>
      <c r="K4223" s="9">
        <f>(PricingDataTable[[#This Row],[Current Price ($)]]-PricingDataTable[[#This Row],[Prior Price ($)]])/PricingDataTable[[#This Row],[Prior Price ($)]]</f>
        <v>6.1583257664362028E-3</v>
      </c>
      <c r="L4223" s="9">
        <f>(PricingDataTable[[#This Row],[Vendor Price ($)]]-PricingDataTable[[#This Row],[Current Price ($)]])/PricingDataTable[[#This Row],[Current Price ($)]]</f>
        <v>1.4337503479901108E-3</v>
      </c>
      <c r="M4223" t="str">
        <f t="shared" si="130"/>
        <v>PASS</v>
      </c>
      <c r="N4223" s="10" t="str">
        <f t="shared" si="131"/>
        <v>NONE</v>
      </c>
    </row>
    <row r="4224" spans="1:14">
      <c r="A4224" s="4" t="s">
        <v>8464</v>
      </c>
      <c r="B4224" s="4" t="s">
        <v>8465</v>
      </c>
      <c r="C4224" s="4" t="s">
        <v>16</v>
      </c>
      <c r="D4224" s="4" t="s">
        <v>13</v>
      </c>
      <c r="E4224" s="5">
        <v>101.67359999999999</v>
      </c>
      <c r="F4224" s="5">
        <v>100.9158</v>
      </c>
      <c r="G4224" s="5">
        <v>100.8357</v>
      </c>
      <c r="H4224" s="4">
        <v>0</v>
      </c>
      <c r="I4224" s="6">
        <v>3031924</v>
      </c>
      <c r="J4224" s="7">
        <v>824.16</v>
      </c>
      <c r="K4224" s="9">
        <f>(PricingDataTable[[#This Row],[Current Price ($)]]-PricingDataTable[[#This Row],[Prior Price ($)]])/PricingDataTable[[#This Row],[Prior Price ($)]]</f>
        <v>-7.4532622037577993E-3</v>
      </c>
      <c r="L4224" s="9">
        <f>(PricingDataTable[[#This Row],[Vendor Price ($)]]-PricingDataTable[[#This Row],[Current Price ($)]])/PricingDataTable[[#This Row],[Current Price ($)]]</f>
        <v>-7.9373101139763652E-4</v>
      </c>
      <c r="M4224" t="str">
        <f t="shared" si="130"/>
        <v>PASS</v>
      </c>
      <c r="N4224" s="10" t="str">
        <f t="shared" si="131"/>
        <v>NONE</v>
      </c>
    </row>
    <row r="4225" spans="1:14">
      <c r="A4225" s="4" t="s">
        <v>8466</v>
      </c>
      <c r="B4225" s="4" t="s">
        <v>8467</v>
      </c>
      <c r="C4225" s="4" t="s">
        <v>19</v>
      </c>
      <c r="D4225" s="4" t="s">
        <v>13</v>
      </c>
      <c r="E4225" s="5">
        <v>252.72049999999999</v>
      </c>
      <c r="F4225" s="5">
        <v>249.2867</v>
      </c>
      <c r="G4225" s="5">
        <v>249.8356</v>
      </c>
      <c r="H4225" s="4">
        <v>0</v>
      </c>
      <c r="I4225" s="6">
        <v>2943253</v>
      </c>
      <c r="J4225" s="7">
        <v>320.5</v>
      </c>
      <c r="K4225" s="9">
        <f>(PricingDataTable[[#This Row],[Current Price ($)]]-PricingDataTable[[#This Row],[Prior Price ($)]])/PricingDataTable[[#This Row],[Prior Price ($)]]</f>
        <v>-1.358734253849605E-2</v>
      </c>
      <c r="L4225" s="9">
        <f>(PricingDataTable[[#This Row],[Vendor Price ($)]]-PricingDataTable[[#This Row],[Current Price ($)]])/PricingDataTable[[#This Row],[Current Price ($)]]</f>
        <v>2.2018824108947779E-3</v>
      </c>
      <c r="M4225" t="str">
        <f t="shared" si="130"/>
        <v>PASS</v>
      </c>
      <c r="N4225" s="10" t="str">
        <f t="shared" si="131"/>
        <v>NONE</v>
      </c>
    </row>
    <row r="4226" spans="1:14">
      <c r="A4226" s="4" t="s">
        <v>8468</v>
      </c>
      <c r="B4226" s="4" t="s">
        <v>8469</v>
      </c>
      <c r="C4226" s="4" t="s">
        <v>16</v>
      </c>
      <c r="D4226" s="4" t="s">
        <v>13</v>
      </c>
      <c r="E4226" s="5">
        <v>84.756699999999995</v>
      </c>
      <c r="F4226" s="5">
        <v>86.433899999999994</v>
      </c>
      <c r="G4226" s="5">
        <v>86.228499999999997</v>
      </c>
      <c r="H4226" s="4">
        <v>1</v>
      </c>
      <c r="I4226" s="6">
        <v>4176079</v>
      </c>
      <c r="J4226" s="7">
        <v>770.56</v>
      </c>
      <c r="K4226" s="9">
        <f>(PricingDataTable[[#This Row],[Current Price ($)]]-PricingDataTable[[#This Row],[Prior Price ($)]])/PricingDataTable[[#This Row],[Prior Price ($)]]</f>
        <v>1.9788406108307652E-2</v>
      </c>
      <c r="L4226" s="9">
        <f>(PricingDataTable[[#This Row],[Vendor Price ($)]]-PricingDataTable[[#This Row],[Current Price ($)]])/PricingDataTable[[#This Row],[Current Price ($)]]</f>
        <v>-2.3763824147701004E-3</v>
      </c>
      <c r="M4226" t="str">
        <f t="shared" ref="M4226:M4289" si="132">IF(OR(F4226="",F4226=0),"MISSING",IF(H4226&gt;=3,"STALE",IF(ABS(K4226)&gt;=5%,"LARGE MOVE",IF(ABS(L4226)&gt;=2%,"VENDOR DIFFERENCE","PASS"))))</f>
        <v>PASS</v>
      </c>
      <c r="N4226" s="10" t="str">
        <f t="shared" ref="N4226:N4289" si="133">IF(M4226="PASS","NONE",IF(M4226="MISSING","HIGH",IF(OR(ABS(K4226)&gt;=10%,ABS(L4226)&gt;=5%),"HIGH",IF(OR(ABS(K4226)&gt;=7%,ABS(L4226)&gt;=3%,H4226&gt;=5),"MEDIUM","LOW"))))</f>
        <v>NONE</v>
      </c>
    </row>
    <row r="4227" spans="1:14">
      <c r="A4227" s="4" t="s">
        <v>8470</v>
      </c>
      <c r="B4227" s="4" t="s">
        <v>8471</v>
      </c>
      <c r="C4227" s="4" t="s">
        <v>16</v>
      </c>
      <c r="D4227" s="4" t="s">
        <v>13</v>
      </c>
      <c r="E4227" s="5">
        <v>98.268900000000002</v>
      </c>
      <c r="F4227" s="5">
        <v>99.145899999999997</v>
      </c>
      <c r="G4227" s="5">
        <v>99.331599999999995</v>
      </c>
      <c r="H4227" s="4">
        <v>0</v>
      </c>
      <c r="I4227" s="6">
        <v>1362709</v>
      </c>
      <c r="J4227" s="7">
        <v>468.95</v>
      </c>
      <c r="K4227" s="9">
        <f>(PricingDataTable[[#This Row],[Current Price ($)]]-PricingDataTable[[#This Row],[Prior Price ($)]])/PricingDataTable[[#This Row],[Prior Price ($)]]</f>
        <v>8.9244918789158651E-3</v>
      </c>
      <c r="L4227" s="9">
        <f>(PricingDataTable[[#This Row],[Vendor Price ($)]]-PricingDataTable[[#This Row],[Current Price ($)]])/PricingDataTable[[#This Row],[Current Price ($)]]</f>
        <v>1.8729972696803106E-3</v>
      </c>
      <c r="M4227" t="str">
        <f t="shared" si="132"/>
        <v>PASS</v>
      </c>
      <c r="N4227" s="10" t="str">
        <f t="shared" si="133"/>
        <v>NONE</v>
      </c>
    </row>
    <row r="4228" spans="1:14">
      <c r="A4228" s="4" t="s">
        <v>8472</v>
      </c>
      <c r="B4228" s="4" t="s">
        <v>8473</v>
      </c>
      <c r="C4228" s="4" t="s">
        <v>35</v>
      </c>
      <c r="D4228" s="4" t="s">
        <v>13</v>
      </c>
      <c r="E4228" s="5">
        <v>168.5213</v>
      </c>
      <c r="F4228" s="5">
        <v>165.81379999999999</v>
      </c>
      <c r="G4228" s="5">
        <v>166.2885</v>
      </c>
      <c r="H4228" s="4">
        <v>0</v>
      </c>
      <c r="I4228" s="6">
        <v>4984166</v>
      </c>
      <c r="J4228" s="7">
        <v>532.53</v>
      </c>
      <c r="K4228" s="9">
        <f>(PricingDataTable[[#This Row],[Current Price ($)]]-PricingDataTable[[#This Row],[Prior Price ($)]])/PricingDataTable[[#This Row],[Prior Price ($)]]</f>
        <v>-1.6066218335605117E-2</v>
      </c>
      <c r="L4228" s="9">
        <f>(PricingDataTable[[#This Row],[Vendor Price ($)]]-PricingDataTable[[#This Row],[Current Price ($)]])/PricingDataTable[[#This Row],[Current Price ($)]]</f>
        <v>2.8628497748680315E-3</v>
      </c>
      <c r="M4228" t="str">
        <f t="shared" si="132"/>
        <v>PASS</v>
      </c>
      <c r="N4228" s="10" t="str">
        <f t="shared" si="133"/>
        <v>NONE</v>
      </c>
    </row>
    <row r="4229" spans="1:14">
      <c r="A4229" s="4" t="s">
        <v>8474</v>
      </c>
      <c r="B4229" s="4" t="s">
        <v>8475</v>
      </c>
      <c r="C4229" s="4" t="s">
        <v>19</v>
      </c>
      <c r="D4229" s="4" t="s">
        <v>13</v>
      </c>
      <c r="E4229" s="5">
        <v>72.577500000000001</v>
      </c>
      <c r="F4229" s="5">
        <v>72.498199999999997</v>
      </c>
      <c r="G4229" s="5">
        <v>72.487099999999998</v>
      </c>
      <c r="H4229" s="4">
        <v>0</v>
      </c>
      <c r="I4229" s="6">
        <v>4105986</v>
      </c>
      <c r="J4229" s="7">
        <v>157.54</v>
      </c>
      <c r="K4229" s="9">
        <f>(PricingDataTable[[#This Row],[Current Price ($)]]-PricingDataTable[[#This Row],[Prior Price ($)]])/PricingDataTable[[#This Row],[Prior Price ($)]]</f>
        <v>-1.0926251248665698E-3</v>
      </c>
      <c r="L4229" s="9">
        <f>(PricingDataTable[[#This Row],[Vendor Price ($)]]-PricingDataTable[[#This Row],[Current Price ($)]])/PricingDataTable[[#This Row],[Current Price ($)]]</f>
        <v>-1.531072495592856E-4</v>
      </c>
      <c r="M4229" t="str">
        <f t="shared" si="132"/>
        <v>PASS</v>
      </c>
      <c r="N4229" s="10" t="str">
        <f t="shared" si="133"/>
        <v>NONE</v>
      </c>
    </row>
    <row r="4230" spans="1:14">
      <c r="A4230" s="4" t="s">
        <v>8476</v>
      </c>
      <c r="B4230" s="4" t="s">
        <v>8477</v>
      </c>
      <c r="C4230" s="4" t="s">
        <v>16</v>
      </c>
      <c r="D4230" s="4" t="s">
        <v>32</v>
      </c>
      <c r="E4230" s="5">
        <v>111.44280000000001</v>
      </c>
      <c r="F4230" s="5">
        <v>135.63820000000001</v>
      </c>
      <c r="G4230" s="5">
        <v>135.58539999999999</v>
      </c>
      <c r="H4230" s="4">
        <v>0</v>
      </c>
      <c r="I4230" s="6">
        <v>1703419</v>
      </c>
      <c r="J4230" s="7">
        <v>483.32</v>
      </c>
      <c r="K4230" s="9">
        <f>(PricingDataTable[[#This Row],[Current Price ($)]]-PricingDataTable[[#This Row],[Prior Price ($)]])/PricingDataTable[[#This Row],[Prior Price ($)]]</f>
        <v>0.21711048178976125</v>
      </c>
      <c r="L4230" s="9">
        <f>(PricingDataTable[[#This Row],[Vendor Price ($)]]-PricingDataTable[[#This Row],[Current Price ($)]])/PricingDataTable[[#This Row],[Current Price ($)]]</f>
        <v>-3.892708691210813E-4</v>
      </c>
      <c r="M4230" t="str">
        <f t="shared" si="132"/>
        <v>LARGE MOVE</v>
      </c>
      <c r="N4230" s="10" t="str">
        <f t="shared" si="133"/>
        <v>HIGH</v>
      </c>
    </row>
    <row r="4231" spans="1:14">
      <c r="A4231" s="4" t="s">
        <v>8478</v>
      </c>
      <c r="B4231" s="4" t="s">
        <v>8479</v>
      </c>
      <c r="C4231" s="4" t="s">
        <v>16</v>
      </c>
      <c r="D4231" s="4" t="s">
        <v>13</v>
      </c>
      <c r="E4231" s="5">
        <v>102.25369999999999</v>
      </c>
      <c r="F4231" s="5">
        <v>100.7897</v>
      </c>
      <c r="G4231" s="5">
        <v>100.9605</v>
      </c>
      <c r="H4231" s="4">
        <v>1</v>
      </c>
      <c r="I4231" s="6">
        <v>3618060</v>
      </c>
      <c r="J4231" s="7">
        <v>609.55999999999995</v>
      </c>
      <c r="K4231" s="9">
        <f>(PricingDataTable[[#This Row],[Current Price ($)]]-PricingDataTable[[#This Row],[Prior Price ($)]])/PricingDataTable[[#This Row],[Prior Price ($)]]</f>
        <v>-1.4317330326433163E-2</v>
      </c>
      <c r="L4231" s="9">
        <f>(PricingDataTable[[#This Row],[Vendor Price ($)]]-PricingDataTable[[#This Row],[Current Price ($)]])/PricingDataTable[[#This Row],[Current Price ($)]]</f>
        <v>1.6946176047750896E-3</v>
      </c>
      <c r="M4231" t="str">
        <f t="shared" si="132"/>
        <v>PASS</v>
      </c>
      <c r="N4231" s="10" t="str">
        <f t="shared" si="133"/>
        <v>NONE</v>
      </c>
    </row>
    <row r="4232" spans="1:14">
      <c r="A4232" s="4" t="s">
        <v>8480</v>
      </c>
      <c r="B4232" s="4" t="s">
        <v>8481</v>
      </c>
      <c r="C4232" s="4" t="s">
        <v>12</v>
      </c>
      <c r="D4232" s="4" t="s">
        <v>36</v>
      </c>
      <c r="E4232" s="5">
        <v>76.603700000000003</v>
      </c>
      <c r="F4232" s="5">
        <v>78.087999999999994</v>
      </c>
      <c r="G4232" s="5">
        <v>78.0047</v>
      </c>
      <c r="H4232" s="4">
        <v>0</v>
      </c>
      <c r="I4232" s="6">
        <v>2025278</v>
      </c>
      <c r="J4232" s="7">
        <v>318.89</v>
      </c>
      <c r="K4232" s="9">
        <f>(PricingDataTable[[#This Row],[Current Price ($)]]-PricingDataTable[[#This Row],[Prior Price ($)]])/PricingDataTable[[#This Row],[Prior Price ($)]]</f>
        <v>1.9376348662009671E-2</v>
      </c>
      <c r="L4232" s="9">
        <f>(PricingDataTable[[#This Row],[Vendor Price ($)]]-PricingDataTable[[#This Row],[Current Price ($)]])/PricingDataTable[[#This Row],[Current Price ($)]]</f>
        <v>-1.0667452105316332E-3</v>
      </c>
      <c r="M4232" t="str">
        <f t="shared" si="132"/>
        <v>PASS</v>
      </c>
      <c r="N4232" s="10" t="str">
        <f t="shared" si="133"/>
        <v>NONE</v>
      </c>
    </row>
    <row r="4233" spans="1:14">
      <c r="A4233" s="4" t="s">
        <v>8482</v>
      </c>
      <c r="B4233" s="4" t="s">
        <v>8483</v>
      </c>
      <c r="C4233" s="4" t="s">
        <v>16</v>
      </c>
      <c r="D4233" s="4" t="s">
        <v>13</v>
      </c>
      <c r="E4233" s="5">
        <v>104.3595</v>
      </c>
      <c r="F4233" s="5">
        <v>104.58240000000001</v>
      </c>
      <c r="G4233" s="5">
        <v>104.4829</v>
      </c>
      <c r="H4233" s="4">
        <v>0</v>
      </c>
      <c r="I4233" s="6">
        <v>1876382</v>
      </c>
      <c r="J4233" s="7">
        <v>739.4</v>
      </c>
      <c r="K4233" s="9">
        <f>(PricingDataTable[[#This Row],[Current Price ($)]]-PricingDataTable[[#This Row],[Prior Price ($)]])/PricingDataTable[[#This Row],[Prior Price ($)]]</f>
        <v>2.1358860477485027E-3</v>
      </c>
      <c r="L4233" s="9">
        <f>(PricingDataTable[[#This Row],[Vendor Price ($)]]-PricingDataTable[[#This Row],[Current Price ($)]])/PricingDataTable[[#This Row],[Current Price ($)]]</f>
        <v>-9.5140291291848469E-4</v>
      </c>
      <c r="M4233" t="str">
        <f t="shared" si="132"/>
        <v>PASS</v>
      </c>
      <c r="N4233" s="10" t="str">
        <f t="shared" si="133"/>
        <v>NONE</v>
      </c>
    </row>
    <row r="4234" spans="1:14">
      <c r="A4234" s="4" t="s">
        <v>8484</v>
      </c>
      <c r="B4234" s="4" t="s">
        <v>8485</v>
      </c>
      <c r="C4234" s="4" t="s">
        <v>16</v>
      </c>
      <c r="D4234" s="4" t="s">
        <v>64</v>
      </c>
      <c r="E4234" s="5">
        <v>108.17959999999999</v>
      </c>
      <c r="F4234" s="5">
        <v>110.726</v>
      </c>
      <c r="G4234" s="5">
        <v>110.533</v>
      </c>
      <c r="H4234" s="4">
        <v>2</v>
      </c>
      <c r="I4234" s="6">
        <v>4813804</v>
      </c>
      <c r="J4234" s="7">
        <v>591.91999999999996</v>
      </c>
      <c r="K4234" s="9">
        <f>(PricingDataTable[[#This Row],[Current Price ($)]]-PricingDataTable[[#This Row],[Prior Price ($)]])/PricingDataTable[[#This Row],[Prior Price ($)]]</f>
        <v>2.3538633901401058E-2</v>
      </c>
      <c r="L4234" s="9">
        <f>(PricingDataTable[[#This Row],[Vendor Price ($)]]-PricingDataTable[[#This Row],[Current Price ($)]])/PricingDataTable[[#This Row],[Current Price ($)]]</f>
        <v>-1.7430413814280101E-3</v>
      </c>
      <c r="M4234" t="str">
        <f t="shared" si="132"/>
        <v>PASS</v>
      </c>
      <c r="N4234" s="10" t="str">
        <f t="shared" si="133"/>
        <v>NONE</v>
      </c>
    </row>
    <row r="4235" spans="1:14">
      <c r="A4235" s="4" t="s">
        <v>8486</v>
      </c>
      <c r="B4235" s="4" t="s">
        <v>8487</v>
      </c>
      <c r="C4235" s="4" t="s">
        <v>39</v>
      </c>
      <c r="D4235" s="4" t="s">
        <v>13</v>
      </c>
      <c r="E4235" s="5">
        <v>190.8245</v>
      </c>
      <c r="F4235" s="5">
        <v>191.3133</v>
      </c>
      <c r="G4235" s="5">
        <v>191.37039999999999</v>
      </c>
      <c r="H4235" s="4">
        <v>0</v>
      </c>
      <c r="I4235" s="6">
        <v>4370958</v>
      </c>
      <c r="J4235" s="7">
        <v>78.98</v>
      </c>
      <c r="K4235" s="9">
        <f>(PricingDataTable[[#This Row],[Current Price ($)]]-PricingDataTable[[#This Row],[Prior Price ($)]])/PricingDataTable[[#This Row],[Prior Price ($)]]</f>
        <v>2.5615159478997594E-3</v>
      </c>
      <c r="L4235" s="9">
        <f>(PricingDataTable[[#This Row],[Vendor Price ($)]]-PricingDataTable[[#This Row],[Current Price ($)]])/PricingDataTable[[#This Row],[Current Price ($)]]</f>
        <v>2.9846330600115763E-4</v>
      </c>
      <c r="M4235" t="str">
        <f t="shared" si="132"/>
        <v>PASS</v>
      </c>
      <c r="N4235" s="10" t="str">
        <f t="shared" si="133"/>
        <v>NONE</v>
      </c>
    </row>
    <row r="4236" spans="1:14">
      <c r="A4236" s="4" t="s">
        <v>8488</v>
      </c>
      <c r="B4236" s="4" t="s">
        <v>8489</v>
      </c>
      <c r="C4236" s="4" t="s">
        <v>16</v>
      </c>
      <c r="D4236" s="4" t="s">
        <v>13</v>
      </c>
      <c r="E4236" s="5">
        <v>91.641300000000001</v>
      </c>
      <c r="F4236" s="5">
        <v>93.557400000000001</v>
      </c>
      <c r="G4236" s="5">
        <v>94.153000000000006</v>
      </c>
      <c r="H4236" s="4">
        <v>0</v>
      </c>
      <c r="I4236" s="6">
        <v>3778655</v>
      </c>
      <c r="J4236" s="7">
        <v>363.7</v>
      </c>
      <c r="K4236" s="9">
        <f>(PricingDataTable[[#This Row],[Current Price ($)]]-PricingDataTable[[#This Row],[Prior Price ($)]])/PricingDataTable[[#This Row],[Prior Price ($)]]</f>
        <v>2.0908695097079592E-2</v>
      </c>
      <c r="L4236" s="9">
        <f>(PricingDataTable[[#This Row],[Vendor Price ($)]]-PricingDataTable[[#This Row],[Current Price ($)]])/PricingDataTable[[#This Row],[Current Price ($)]]</f>
        <v>6.3661452755207452E-3</v>
      </c>
      <c r="M4236" t="str">
        <f t="shared" si="132"/>
        <v>PASS</v>
      </c>
      <c r="N4236" s="10" t="str">
        <f t="shared" si="133"/>
        <v>NONE</v>
      </c>
    </row>
    <row r="4237" spans="1:14">
      <c r="A4237" s="4" t="s">
        <v>8490</v>
      </c>
      <c r="B4237" s="4" t="s">
        <v>8491</v>
      </c>
      <c r="C4237" s="4" t="s">
        <v>19</v>
      </c>
      <c r="D4237" s="4" t="s">
        <v>13</v>
      </c>
      <c r="E4237" s="5">
        <v>97.297799999999995</v>
      </c>
      <c r="F4237" s="5">
        <v>95.997799999999998</v>
      </c>
      <c r="G4237" s="5">
        <v>95.593999999999994</v>
      </c>
      <c r="H4237" s="4">
        <v>0</v>
      </c>
      <c r="I4237" s="6">
        <v>1727455</v>
      </c>
      <c r="J4237" s="7">
        <v>869.5</v>
      </c>
      <c r="K4237" s="9">
        <f>(PricingDataTable[[#This Row],[Current Price ($)]]-PricingDataTable[[#This Row],[Prior Price ($)]])/PricingDataTable[[#This Row],[Prior Price ($)]]</f>
        <v>-1.336104207906034E-2</v>
      </c>
      <c r="L4237" s="9">
        <f>(PricingDataTable[[#This Row],[Vendor Price ($)]]-PricingDataTable[[#This Row],[Current Price ($)]])/PricingDataTable[[#This Row],[Current Price ($)]]</f>
        <v>-4.2063463954382695E-3</v>
      </c>
      <c r="M4237" t="str">
        <f t="shared" si="132"/>
        <v>PASS</v>
      </c>
      <c r="N4237" s="10" t="str">
        <f t="shared" si="133"/>
        <v>NONE</v>
      </c>
    </row>
    <row r="4238" spans="1:14">
      <c r="A4238" s="4" t="s">
        <v>8492</v>
      </c>
      <c r="B4238" s="4" t="s">
        <v>8493</v>
      </c>
      <c r="C4238" s="4" t="s">
        <v>19</v>
      </c>
      <c r="D4238" s="4" t="s">
        <v>36</v>
      </c>
      <c r="E4238" s="5">
        <v>22.307500000000001</v>
      </c>
      <c r="F4238" s="5">
        <v>22.2788</v>
      </c>
      <c r="G4238" s="5">
        <v>22.225999999999999</v>
      </c>
      <c r="H4238" s="4">
        <v>1</v>
      </c>
      <c r="I4238" s="6">
        <v>1482394</v>
      </c>
      <c r="J4238" s="7">
        <v>329.5</v>
      </c>
      <c r="K4238" s="9">
        <f>(PricingDataTable[[#This Row],[Current Price ($)]]-PricingDataTable[[#This Row],[Prior Price ($)]])/PricingDataTable[[#This Row],[Prior Price ($)]]</f>
        <v>-1.2865628151967103E-3</v>
      </c>
      <c r="L4238" s="9">
        <f>(PricingDataTable[[#This Row],[Vendor Price ($)]]-PricingDataTable[[#This Row],[Current Price ($)]])/PricingDataTable[[#This Row],[Current Price ($)]]</f>
        <v>-2.3699660663950165E-3</v>
      </c>
      <c r="M4238" t="str">
        <f t="shared" si="132"/>
        <v>PASS</v>
      </c>
      <c r="N4238" s="10" t="str">
        <f t="shared" si="133"/>
        <v>NONE</v>
      </c>
    </row>
    <row r="4239" spans="1:14">
      <c r="A4239" s="4" t="s">
        <v>8494</v>
      </c>
      <c r="B4239" s="4" t="s">
        <v>8495</v>
      </c>
      <c r="C4239" s="4" t="s">
        <v>35</v>
      </c>
      <c r="D4239" s="4" t="s">
        <v>36</v>
      </c>
      <c r="E4239" s="5">
        <v>114.74850000000001</v>
      </c>
      <c r="F4239" s="5">
        <v>115.6262</v>
      </c>
      <c r="G4239" s="5">
        <v>110.9568</v>
      </c>
      <c r="H4239" s="4">
        <v>0</v>
      </c>
      <c r="I4239" s="6">
        <v>4217825</v>
      </c>
      <c r="J4239" s="7">
        <v>92.08</v>
      </c>
      <c r="K4239" s="9">
        <f>(PricingDataTable[[#This Row],[Current Price ($)]]-PricingDataTable[[#This Row],[Prior Price ($)]])/PricingDataTable[[#This Row],[Prior Price ($)]]</f>
        <v>7.6489017285628147E-3</v>
      </c>
      <c r="L4239" s="9">
        <f>(PricingDataTable[[#This Row],[Vendor Price ($)]]-PricingDataTable[[#This Row],[Current Price ($)]])/PricingDataTable[[#This Row],[Current Price ($)]]</f>
        <v>-4.0383580883917282E-2</v>
      </c>
      <c r="M4239" t="str">
        <f t="shared" si="132"/>
        <v>VENDOR DIFFERENCE</v>
      </c>
      <c r="N4239" s="10" t="str">
        <f t="shared" si="133"/>
        <v>MEDIUM</v>
      </c>
    </row>
    <row r="4240" spans="1:14">
      <c r="A4240" s="4" t="s">
        <v>8496</v>
      </c>
      <c r="B4240" s="4" t="s">
        <v>8497</v>
      </c>
      <c r="C4240" s="4" t="s">
        <v>19</v>
      </c>
      <c r="D4240" s="4" t="s">
        <v>13</v>
      </c>
      <c r="E4240" s="5">
        <v>150.3074</v>
      </c>
      <c r="F4240" s="5">
        <v>149.15620000000001</v>
      </c>
      <c r="G4240" s="5">
        <v>149.31890000000001</v>
      </c>
      <c r="H4240" s="4">
        <v>0</v>
      </c>
      <c r="I4240" s="6">
        <v>3984191</v>
      </c>
      <c r="J4240" s="7">
        <v>175.78</v>
      </c>
      <c r="K4240" s="9">
        <f>(PricingDataTable[[#This Row],[Current Price ($)]]-PricingDataTable[[#This Row],[Prior Price ($)]])/PricingDataTable[[#This Row],[Prior Price ($)]]</f>
        <v>-7.6589708823383857E-3</v>
      </c>
      <c r="L4240" s="9">
        <f>(PricingDataTable[[#This Row],[Vendor Price ($)]]-PricingDataTable[[#This Row],[Current Price ($)]])/PricingDataTable[[#This Row],[Current Price ($)]]</f>
        <v>1.0908027959950772E-3</v>
      </c>
      <c r="M4240" t="str">
        <f t="shared" si="132"/>
        <v>PASS</v>
      </c>
      <c r="N4240" s="10" t="str">
        <f t="shared" si="133"/>
        <v>NONE</v>
      </c>
    </row>
    <row r="4241" spans="1:14">
      <c r="A4241" s="4" t="s">
        <v>8498</v>
      </c>
      <c r="B4241" s="4" t="s">
        <v>8499</v>
      </c>
      <c r="C4241" s="4" t="s">
        <v>19</v>
      </c>
      <c r="D4241" s="4" t="s">
        <v>13</v>
      </c>
      <c r="E4241" s="5">
        <v>336.50740000000002</v>
      </c>
      <c r="F4241" s="5">
        <v>338.90390000000002</v>
      </c>
      <c r="G4241" s="5">
        <v>338.17489999999998</v>
      </c>
      <c r="H4241" s="4">
        <v>0</v>
      </c>
      <c r="I4241" s="6">
        <v>2521974</v>
      </c>
      <c r="J4241" s="7">
        <v>412.49</v>
      </c>
      <c r="K4241" s="9">
        <f>(PricingDataTable[[#This Row],[Current Price ($)]]-PricingDataTable[[#This Row],[Prior Price ($)]])/PricingDataTable[[#This Row],[Prior Price ($)]]</f>
        <v>7.1216858826878785E-3</v>
      </c>
      <c r="L4241" s="9">
        <f>(PricingDataTable[[#This Row],[Vendor Price ($)]]-PricingDataTable[[#This Row],[Current Price ($)]])/PricingDataTable[[#This Row],[Current Price ($)]]</f>
        <v>-2.1510522599475597E-3</v>
      </c>
      <c r="M4241" t="str">
        <f t="shared" si="132"/>
        <v>PASS</v>
      </c>
      <c r="N4241" s="10" t="str">
        <f t="shared" si="133"/>
        <v>NONE</v>
      </c>
    </row>
    <row r="4242" spans="1:14">
      <c r="A4242" s="4" t="s">
        <v>8500</v>
      </c>
      <c r="B4242" s="4" t="s">
        <v>8501</v>
      </c>
      <c r="C4242" s="4" t="s">
        <v>19</v>
      </c>
      <c r="D4242" s="4" t="s">
        <v>13</v>
      </c>
      <c r="E4242" s="5">
        <v>112.9504</v>
      </c>
      <c r="F4242" s="5">
        <v>96.845100000000002</v>
      </c>
      <c r="G4242" s="5">
        <v>96.567499999999995</v>
      </c>
      <c r="H4242" s="4">
        <v>0</v>
      </c>
      <c r="I4242" s="6">
        <v>850175</v>
      </c>
      <c r="J4242" s="7">
        <v>267.92</v>
      </c>
      <c r="K4242" s="9">
        <f>(PricingDataTable[[#This Row],[Current Price ($)]]-PricingDataTable[[#This Row],[Prior Price ($)]])/PricingDataTable[[#This Row],[Prior Price ($)]]</f>
        <v>-0.14258736578179448</v>
      </c>
      <c r="L4242" s="9">
        <f>(PricingDataTable[[#This Row],[Vendor Price ($)]]-PricingDataTable[[#This Row],[Current Price ($)]])/PricingDataTable[[#This Row],[Current Price ($)]]</f>
        <v>-2.866433097802643E-3</v>
      </c>
      <c r="M4242" t="str">
        <f t="shared" si="132"/>
        <v>LARGE MOVE</v>
      </c>
      <c r="N4242" s="10" t="str">
        <f t="shared" si="133"/>
        <v>HIGH</v>
      </c>
    </row>
    <row r="4243" spans="1:14">
      <c r="A4243" s="4" t="s">
        <v>8502</v>
      </c>
      <c r="B4243" s="4" t="s">
        <v>8503</v>
      </c>
      <c r="C4243" s="4" t="s">
        <v>12</v>
      </c>
      <c r="D4243" s="4" t="s">
        <v>36</v>
      </c>
      <c r="E4243" s="5">
        <v>77.835899999999995</v>
      </c>
      <c r="F4243" s="5">
        <v>77.420100000000005</v>
      </c>
      <c r="G4243" s="5">
        <v>77.677300000000002</v>
      </c>
      <c r="H4243" s="4">
        <v>0</v>
      </c>
      <c r="I4243" s="6">
        <v>3095965</v>
      </c>
      <c r="J4243" s="7">
        <v>243.9</v>
      </c>
      <c r="K4243" s="9">
        <f>(PricingDataTable[[#This Row],[Current Price ($)]]-PricingDataTable[[#This Row],[Prior Price ($)]])/PricingDataTable[[#This Row],[Prior Price ($)]]</f>
        <v>-5.3420079937405518E-3</v>
      </c>
      <c r="L4243" s="9">
        <f>(PricingDataTable[[#This Row],[Vendor Price ($)]]-PricingDataTable[[#This Row],[Current Price ($)]])/PricingDataTable[[#This Row],[Current Price ($)]]</f>
        <v>3.3221346911202314E-3</v>
      </c>
      <c r="M4243" t="str">
        <f t="shared" si="132"/>
        <v>PASS</v>
      </c>
      <c r="N4243" s="10" t="str">
        <f t="shared" si="133"/>
        <v>NONE</v>
      </c>
    </row>
    <row r="4244" spans="1:14">
      <c r="A4244" s="4" t="s">
        <v>8504</v>
      </c>
      <c r="B4244" s="4" t="s">
        <v>8505</v>
      </c>
      <c r="C4244" s="4" t="s">
        <v>39</v>
      </c>
      <c r="D4244" s="4" t="s">
        <v>36</v>
      </c>
      <c r="E4244" s="5">
        <v>262.55739999999997</v>
      </c>
      <c r="F4244" s="5">
        <v>267.41930000000002</v>
      </c>
      <c r="G4244" s="5">
        <v>266.57819999999998</v>
      </c>
      <c r="H4244" s="4">
        <v>0</v>
      </c>
      <c r="I4244" s="6">
        <v>2063900</v>
      </c>
      <c r="J4244" s="7">
        <v>262.7</v>
      </c>
      <c r="K4244" s="9">
        <f>(PricingDataTable[[#This Row],[Current Price ($)]]-PricingDataTable[[#This Row],[Prior Price ($)]])/PricingDataTable[[#This Row],[Prior Price ($)]]</f>
        <v>1.8517474655066087E-2</v>
      </c>
      <c r="L4244" s="9">
        <f>(PricingDataTable[[#This Row],[Vendor Price ($)]]-PricingDataTable[[#This Row],[Current Price ($)]])/PricingDataTable[[#This Row],[Current Price ($)]]</f>
        <v>-3.1452479308712567E-3</v>
      </c>
      <c r="M4244" t="str">
        <f t="shared" si="132"/>
        <v>PASS</v>
      </c>
      <c r="N4244" s="10" t="str">
        <f t="shared" si="133"/>
        <v>NONE</v>
      </c>
    </row>
    <row r="4245" spans="1:14">
      <c r="A4245" s="4" t="s">
        <v>8506</v>
      </c>
      <c r="B4245" s="4" t="s">
        <v>8507</v>
      </c>
      <c r="C4245" s="4" t="s">
        <v>39</v>
      </c>
      <c r="D4245" s="4" t="s">
        <v>13</v>
      </c>
      <c r="E4245" s="5">
        <v>69.130300000000005</v>
      </c>
      <c r="F4245" s="5">
        <v>69.812799999999996</v>
      </c>
      <c r="G4245" s="5">
        <v>69.841499999999996</v>
      </c>
      <c r="H4245" s="4">
        <v>0</v>
      </c>
      <c r="I4245" s="6">
        <v>2268578</v>
      </c>
      <c r="J4245" s="7">
        <v>153.76</v>
      </c>
      <c r="K4245" s="9">
        <f>(PricingDataTable[[#This Row],[Current Price ($)]]-PricingDataTable[[#This Row],[Prior Price ($)]])/PricingDataTable[[#This Row],[Prior Price ($)]]</f>
        <v>9.8726607580176904E-3</v>
      </c>
      <c r="L4245" s="9">
        <f>(PricingDataTable[[#This Row],[Vendor Price ($)]]-PricingDataTable[[#This Row],[Current Price ($)]])/PricingDataTable[[#This Row],[Current Price ($)]]</f>
        <v>4.1109939724521313E-4</v>
      </c>
      <c r="M4245" t="str">
        <f t="shared" si="132"/>
        <v>PASS</v>
      </c>
      <c r="N4245" s="10" t="str">
        <f t="shared" si="133"/>
        <v>NONE</v>
      </c>
    </row>
    <row r="4246" spans="1:14">
      <c r="A4246" s="4" t="s">
        <v>8508</v>
      </c>
      <c r="B4246" s="4" t="s">
        <v>8509</v>
      </c>
      <c r="C4246" s="4" t="s">
        <v>39</v>
      </c>
      <c r="D4246" s="4" t="s">
        <v>13</v>
      </c>
      <c r="E4246" s="5">
        <v>273.74020000000002</v>
      </c>
      <c r="F4246" s="5">
        <v>276.42099999999999</v>
      </c>
      <c r="G4246" s="5">
        <v>276.6044</v>
      </c>
      <c r="H4246" s="4">
        <v>0</v>
      </c>
      <c r="I4246" s="6">
        <v>710923</v>
      </c>
      <c r="J4246" s="7">
        <v>605.96</v>
      </c>
      <c r="K4246" s="9">
        <f>(PricingDataTable[[#This Row],[Current Price ($)]]-PricingDataTable[[#This Row],[Prior Price ($)]])/PricingDataTable[[#This Row],[Prior Price ($)]]</f>
        <v>9.7932273009224673E-3</v>
      </c>
      <c r="L4246" s="9">
        <f>(PricingDataTable[[#This Row],[Vendor Price ($)]]-PricingDataTable[[#This Row],[Current Price ($)]])/PricingDataTable[[#This Row],[Current Price ($)]]</f>
        <v>6.6348070515628702E-4</v>
      </c>
      <c r="M4246" t="str">
        <f t="shared" si="132"/>
        <v>PASS</v>
      </c>
      <c r="N4246" s="10" t="str">
        <f t="shared" si="133"/>
        <v>NONE</v>
      </c>
    </row>
    <row r="4247" spans="1:14">
      <c r="A4247" s="4" t="s">
        <v>8510</v>
      </c>
      <c r="B4247" s="4" t="s">
        <v>8511</v>
      </c>
      <c r="C4247" s="4" t="s">
        <v>16</v>
      </c>
      <c r="D4247" s="4" t="s">
        <v>32</v>
      </c>
      <c r="E4247" s="5">
        <v>98.731700000000004</v>
      </c>
      <c r="F4247" s="5">
        <v>98.306100000000001</v>
      </c>
      <c r="G4247" s="5">
        <v>98.731899999999996</v>
      </c>
      <c r="H4247" s="4">
        <v>0</v>
      </c>
      <c r="I4247" s="6">
        <v>2646617</v>
      </c>
      <c r="J4247" s="7">
        <v>443.82</v>
      </c>
      <c r="K4247" s="9">
        <f>(PricingDataTable[[#This Row],[Current Price ($)]]-PricingDataTable[[#This Row],[Prior Price ($)]])/PricingDataTable[[#This Row],[Prior Price ($)]]</f>
        <v>-4.3106722562257392E-3</v>
      </c>
      <c r="L4247" s="9">
        <f>(PricingDataTable[[#This Row],[Vendor Price ($)]]-PricingDataTable[[#This Row],[Current Price ($)]])/PricingDataTable[[#This Row],[Current Price ($)]]</f>
        <v>4.3313690605160339E-3</v>
      </c>
      <c r="M4247" t="str">
        <f t="shared" si="132"/>
        <v>PASS</v>
      </c>
      <c r="N4247" s="10" t="str">
        <f t="shared" si="133"/>
        <v>NONE</v>
      </c>
    </row>
    <row r="4248" spans="1:14">
      <c r="A4248" s="4" t="s">
        <v>8512</v>
      </c>
      <c r="B4248" s="4" t="s">
        <v>8513</v>
      </c>
      <c r="C4248" s="4" t="s">
        <v>16</v>
      </c>
      <c r="D4248" s="4" t="s">
        <v>13</v>
      </c>
      <c r="E4248" s="5">
        <v>97.231899999999996</v>
      </c>
      <c r="F4248" s="5">
        <v>97.197000000000003</v>
      </c>
      <c r="G4248" s="5">
        <v>97.538899999999998</v>
      </c>
      <c r="H4248" s="4">
        <v>0</v>
      </c>
      <c r="I4248" s="6">
        <v>1368830</v>
      </c>
      <c r="J4248" s="7">
        <v>288.98</v>
      </c>
      <c r="K4248" s="9">
        <f>(PricingDataTable[[#This Row],[Current Price ($)]]-PricingDataTable[[#This Row],[Prior Price ($)]])/PricingDataTable[[#This Row],[Prior Price ($)]]</f>
        <v>-3.5893569908634172E-4</v>
      </c>
      <c r="L4248" s="9">
        <f>(PricingDataTable[[#This Row],[Vendor Price ($)]]-PricingDataTable[[#This Row],[Current Price ($)]])/PricingDataTable[[#This Row],[Current Price ($)]]</f>
        <v>3.5175982797822506E-3</v>
      </c>
      <c r="M4248" t="str">
        <f t="shared" si="132"/>
        <v>PASS</v>
      </c>
      <c r="N4248" s="10" t="str">
        <f t="shared" si="133"/>
        <v>NONE</v>
      </c>
    </row>
    <row r="4249" spans="1:14">
      <c r="A4249" s="4" t="s">
        <v>8514</v>
      </c>
      <c r="B4249" s="4" t="s">
        <v>8515</v>
      </c>
      <c r="C4249" s="4" t="s">
        <v>39</v>
      </c>
      <c r="D4249" s="4" t="s">
        <v>13</v>
      </c>
      <c r="E4249" s="5">
        <v>260.01229999999998</v>
      </c>
      <c r="F4249" s="5">
        <v>258.58760000000001</v>
      </c>
      <c r="G4249" s="5">
        <v>258.4194</v>
      </c>
      <c r="H4249" s="4">
        <v>0</v>
      </c>
      <c r="I4249" s="6">
        <v>4594631</v>
      </c>
      <c r="J4249" s="7">
        <v>443.87</v>
      </c>
      <c r="K4249" s="9">
        <f>(PricingDataTable[[#This Row],[Current Price ($)]]-PricingDataTable[[#This Row],[Prior Price ($)]])/PricingDataTable[[#This Row],[Prior Price ($)]]</f>
        <v>-5.4793561689195974E-3</v>
      </c>
      <c r="L4249" s="9">
        <f>(PricingDataTable[[#This Row],[Vendor Price ($)]]-PricingDataTable[[#This Row],[Current Price ($)]])/PricingDataTable[[#This Row],[Current Price ($)]]</f>
        <v>-6.5045655708167365E-4</v>
      </c>
      <c r="M4249" t="str">
        <f t="shared" si="132"/>
        <v>PASS</v>
      </c>
      <c r="N4249" s="10" t="str">
        <f t="shared" si="133"/>
        <v>NONE</v>
      </c>
    </row>
    <row r="4250" spans="1:14">
      <c r="A4250" s="4" t="s">
        <v>8516</v>
      </c>
      <c r="B4250" s="4" t="s">
        <v>8517</v>
      </c>
      <c r="C4250" s="4" t="s">
        <v>19</v>
      </c>
      <c r="D4250" s="4" t="s">
        <v>13</v>
      </c>
      <c r="E4250" s="5">
        <v>108.60550000000001</v>
      </c>
      <c r="F4250" s="5">
        <v>108.6955</v>
      </c>
      <c r="G4250" s="5">
        <v>108.1678</v>
      </c>
      <c r="H4250" s="4">
        <v>0</v>
      </c>
      <c r="I4250" s="6">
        <v>1294591</v>
      </c>
      <c r="J4250" s="7">
        <v>326.64</v>
      </c>
      <c r="K4250" s="9">
        <f>(PricingDataTable[[#This Row],[Current Price ($)]]-PricingDataTable[[#This Row],[Prior Price ($)]])/PricingDataTable[[#This Row],[Prior Price ($)]]</f>
        <v>8.2868731325751632E-4</v>
      </c>
      <c r="L4250" s="9">
        <f>(PricingDataTable[[#This Row],[Vendor Price ($)]]-PricingDataTable[[#This Row],[Current Price ($)]])/PricingDataTable[[#This Row],[Current Price ($)]]</f>
        <v>-4.8548467967854773E-3</v>
      </c>
      <c r="M4250" t="str">
        <f t="shared" si="132"/>
        <v>PASS</v>
      </c>
      <c r="N4250" s="10" t="str">
        <f t="shared" si="133"/>
        <v>NONE</v>
      </c>
    </row>
    <row r="4251" spans="1:14">
      <c r="A4251" s="4" t="s">
        <v>8518</v>
      </c>
      <c r="B4251" s="4" t="s">
        <v>8519</v>
      </c>
      <c r="C4251" s="4" t="s">
        <v>16</v>
      </c>
      <c r="D4251" s="4" t="s">
        <v>13</v>
      </c>
      <c r="E4251" s="5">
        <v>103.9496</v>
      </c>
      <c r="F4251" s="5">
        <v>103.9659</v>
      </c>
      <c r="G4251" s="5">
        <v>104.33150000000001</v>
      </c>
      <c r="H4251" s="4">
        <v>0</v>
      </c>
      <c r="I4251" s="6">
        <v>141343</v>
      </c>
      <c r="J4251" s="7">
        <v>476.36</v>
      </c>
      <c r="K4251" s="9">
        <f>(PricingDataTable[[#This Row],[Current Price ($)]]-PricingDataTable[[#This Row],[Prior Price ($)]])/PricingDataTable[[#This Row],[Prior Price ($)]]</f>
        <v>1.5680676019918393E-4</v>
      </c>
      <c r="L4251" s="9">
        <f>(PricingDataTable[[#This Row],[Vendor Price ($)]]-PricingDataTable[[#This Row],[Current Price ($)]])/PricingDataTable[[#This Row],[Current Price ($)]]</f>
        <v>3.5165376339742222E-3</v>
      </c>
      <c r="M4251" t="str">
        <f t="shared" si="132"/>
        <v>PASS</v>
      </c>
      <c r="N4251" s="10" t="str">
        <f t="shared" si="133"/>
        <v>NONE</v>
      </c>
    </row>
    <row r="4252" spans="1:14">
      <c r="A4252" s="4" t="s">
        <v>8520</v>
      </c>
      <c r="B4252" s="4" t="s">
        <v>8521</v>
      </c>
      <c r="C4252" s="4" t="s">
        <v>19</v>
      </c>
      <c r="D4252" s="4" t="s">
        <v>13</v>
      </c>
      <c r="E4252" s="5">
        <v>106.5936</v>
      </c>
      <c r="F4252" s="5">
        <v>106.5735</v>
      </c>
      <c r="G4252" s="5">
        <v>106.6104</v>
      </c>
      <c r="H4252" s="4">
        <v>0</v>
      </c>
      <c r="I4252" s="6">
        <v>2886537</v>
      </c>
      <c r="J4252" s="7">
        <v>215.19</v>
      </c>
      <c r="K4252" s="9">
        <f>(PricingDataTable[[#This Row],[Current Price ($)]]-PricingDataTable[[#This Row],[Prior Price ($)]])/PricingDataTable[[#This Row],[Prior Price ($)]]</f>
        <v>-1.885666681676887E-4</v>
      </c>
      <c r="L4252" s="9">
        <f>(PricingDataTable[[#This Row],[Vendor Price ($)]]-PricingDataTable[[#This Row],[Current Price ($)]])/PricingDataTable[[#This Row],[Current Price ($)]]</f>
        <v>3.4623991892921617E-4</v>
      </c>
      <c r="M4252" t="str">
        <f t="shared" si="132"/>
        <v>PASS</v>
      </c>
      <c r="N4252" s="10" t="str">
        <f t="shared" si="133"/>
        <v>NONE</v>
      </c>
    </row>
    <row r="4253" spans="1:14">
      <c r="A4253" s="4" t="s">
        <v>8522</v>
      </c>
      <c r="B4253" s="4" t="s">
        <v>8523</v>
      </c>
      <c r="C4253" s="4" t="s">
        <v>16</v>
      </c>
      <c r="D4253" s="4" t="s">
        <v>32</v>
      </c>
      <c r="E4253" s="5">
        <v>119.32940000000001</v>
      </c>
      <c r="F4253" s="5">
        <v>118.2884</v>
      </c>
      <c r="G4253" s="5">
        <v>118.07980000000001</v>
      </c>
      <c r="H4253" s="4">
        <v>2</v>
      </c>
      <c r="I4253" s="6">
        <v>4412116</v>
      </c>
      <c r="J4253" s="7">
        <v>213.62</v>
      </c>
      <c r="K4253" s="9">
        <f>(PricingDataTable[[#This Row],[Current Price ($)]]-PricingDataTable[[#This Row],[Prior Price ($)]])/PricingDataTable[[#This Row],[Prior Price ($)]]</f>
        <v>-8.7237512297892294E-3</v>
      </c>
      <c r="L4253" s="9">
        <f>(PricingDataTable[[#This Row],[Vendor Price ($)]]-PricingDataTable[[#This Row],[Current Price ($)]])/PricingDataTable[[#This Row],[Current Price ($)]]</f>
        <v>-1.7634865295328189E-3</v>
      </c>
      <c r="M4253" t="str">
        <f t="shared" si="132"/>
        <v>PASS</v>
      </c>
      <c r="N4253" s="10" t="str">
        <f t="shared" si="133"/>
        <v>NONE</v>
      </c>
    </row>
    <row r="4254" spans="1:14">
      <c r="A4254" s="4" t="s">
        <v>8524</v>
      </c>
      <c r="B4254" s="4" t="s">
        <v>8525</v>
      </c>
      <c r="C4254" s="4" t="s">
        <v>19</v>
      </c>
      <c r="D4254" s="4" t="s">
        <v>13</v>
      </c>
      <c r="E4254" s="5">
        <v>97.549300000000002</v>
      </c>
      <c r="F4254" s="5">
        <v>97.164100000000005</v>
      </c>
      <c r="G4254" s="5">
        <v>97.169899999999998</v>
      </c>
      <c r="H4254" s="4">
        <v>3</v>
      </c>
      <c r="I4254" s="6">
        <v>1688912</v>
      </c>
      <c r="J4254" s="7">
        <v>385.15</v>
      </c>
      <c r="K4254" s="9">
        <f>(PricingDataTable[[#This Row],[Current Price ($)]]-PricingDataTable[[#This Row],[Prior Price ($)]])/PricingDataTable[[#This Row],[Prior Price ($)]]</f>
        <v>-3.948772569357213E-3</v>
      </c>
      <c r="L4254" s="9">
        <f>(PricingDataTable[[#This Row],[Vendor Price ($)]]-PricingDataTable[[#This Row],[Current Price ($)]])/PricingDataTable[[#This Row],[Current Price ($)]]</f>
        <v>5.9692828935724075E-5</v>
      </c>
      <c r="M4254" t="str">
        <f t="shared" si="132"/>
        <v>STALE</v>
      </c>
      <c r="N4254" s="10" t="str">
        <f t="shared" si="133"/>
        <v>LOW</v>
      </c>
    </row>
    <row r="4255" spans="1:14">
      <c r="A4255" s="4" t="s">
        <v>8526</v>
      </c>
      <c r="B4255" s="4" t="s">
        <v>8527</v>
      </c>
      <c r="C4255" s="4" t="s">
        <v>16</v>
      </c>
      <c r="D4255" s="4" t="s">
        <v>13</v>
      </c>
      <c r="E4255" s="5">
        <v>82.729699999999994</v>
      </c>
      <c r="F4255" s="5">
        <v>82.921599999999998</v>
      </c>
      <c r="G4255" s="5">
        <v>82.957800000000006</v>
      </c>
      <c r="H4255" s="4">
        <v>0</v>
      </c>
      <c r="I4255" s="6">
        <v>2414520</v>
      </c>
      <c r="J4255" s="7">
        <v>350.18</v>
      </c>
      <c r="K4255" s="9">
        <f>(PricingDataTable[[#This Row],[Current Price ($)]]-PricingDataTable[[#This Row],[Prior Price ($)]])/PricingDataTable[[#This Row],[Prior Price ($)]]</f>
        <v>2.3196022710103383E-3</v>
      </c>
      <c r="L4255" s="9">
        <f>(PricingDataTable[[#This Row],[Vendor Price ($)]]-PricingDataTable[[#This Row],[Current Price ($)]])/PricingDataTable[[#This Row],[Current Price ($)]]</f>
        <v>4.3655694053187596E-4</v>
      </c>
      <c r="M4255" t="str">
        <f t="shared" si="132"/>
        <v>PASS</v>
      </c>
      <c r="N4255" s="10" t="str">
        <f t="shared" si="133"/>
        <v>NONE</v>
      </c>
    </row>
    <row r="4256" spans="1:14">
      <c r="A4256" s="4" t="s">
        <v>8528</v>
      </c>
      <c r="B4256" s="4" t="s">
        <v>8529</v>
      </c>
      <c r="C4256" s="4" t="s">
        <v>19</v>
      </c>
      <c r="D4256" s="4" t="s">
        <v>13</v>
      </c>
      <c r="E4256" s="5">
        <v>206.227</v>
      </c>
      <c r="F4256" s="5">
        <v>208.8005</v>
      </c>
      <c r="G4256" s="5">
        <v>208.8853</v>
      </c>
      <c r="H4256" s="4">
        <v>0</v>
      </c>
      <c r="I4256" s="6">
        <v>452839</v>
      </c>
      <c r="J4256" s="7">
        <v>336.54</v>
      </c>
      <c r="K4256" s="9">
        <f>(PricingDataTable[[#This Row],[Current Price ($)]]-PricingDataTable[[#This Row],[Prior Price ($)]])/PricingDataTable[[#This Row],[Prior Price ($)]]</f>
        <v>1.2478967351510693E-2</v>
      </c>
      <c r="L4256" s="9">
        <f>(PricingDataTable[[#This Row],[Vendor Price ($)]]-PricingDataTable[[#This Row],[Current Price ($)]])/PricingDataTable[[#This Row],[Current Price ($)]]</f>
        <v>4.0612929566740172E-4</v>
      </c>
      <c r="M4256" t="str">
        <f t="shared" si="132"/>
        <v>PASS</v>
      </c>
      <c r="N4256" s="10" t="str">
        <f t="shared" si="133"/>
        <v>NONE</v>
      </c>
    </row>
    <row r="4257" spans="1:14">
      <c r="A4257" s="4" t="s">
        <v>8530</v>
      </c>
      <c r="B4257" s="4" t="s">
        <v>8531</v>
      </c>
      <c r="C4257" s="4" t="s">
        <v>16</v>
      </c>
      <c r="D4257" s="4" t="s">
        <v>13</v>
      </c>
      <c r="E4257" s="5">
        <v>111.07380000000001</v>
      </c>
      <c r="F4257" s="5">
        <v>112.2911</v>
      </c>
      <c r="G4257" s="5">
        <v>112.3699</v>
      </c>
      <c r="H4257" s="4">
        <v>5</v>
      </c>
      <c r="I4257" s="6">
        <v>1776132</v>
      </c>
      <c r="J4257" s="7">
        <v>66.62</v>
      </c>
      <c r="K4257" s="9">
        <f>(PricingDataTable[[#This Row],[Current Price ($)]]-PricingDataTable[[#This Row],[Prior Price ($)]])/PricingDataTable[[#This Row],[Prior Price ($)]]</f>
        <v>1.095938015985763E-2</v>
      </c>
      <c r="L4257" s="9">
        <f>(PricingDataTable[[#This Row],[Vendor Price ($)]]-PricingDataTable[[#This Row],[Current Price ($)]])/PricingDataTable[[#This Row],[Current Price ($)]]</f>
        <v>7.0174751160155253E-4</v>
      </c>
      <c r="M4257" t="str">
        <f t="shared" si="132"/>
        <v>STALE</v>
      </c>
      <c r="N4257" s="10" t="str">
        <f t="shared" si="133"/>
        <v>MEDIUM</v>
      </c>
    </row>
    <row r="4258" spans="1:14">
      <c r="A4258" s="4" t="s">
        <v>8532</v>
      </c>
      <c r="B4258" s="4" t="s">
        <v>8533</v>
      </c>
      <c r="C4258" s="4" t="s">
        <v>12</v>
      </c>
      <c r="D4258" s="4" t="s">
        <v>13</v>
      </c>
      <c r="E4258" s="5">
        <v>80.877099999999999</v>
      </c>
      <c r="F4258" s="5">
        <v>81.149799999999999</v>
      </c>
      <c r="G4258" s="5">
        <v>81.134200000000007</v>
      </c>
      <c r="H4258" s="4">
        <v>3</v>
      </c>
      <c r="I4258" s="6">
        <v>219902</v>
      </c>
      <c r="J4258" s="7">
        <v>799.39</v>
      </c>
      <c r="K4258" s="9">
        <f>(PricingDataTable[[#This Row],[Current Price ($)]]-PricingDataTable[[#This Row],[Prior Price ($)]])/PricingDataTable[[#This Row],[Prior Price ($)]]</f>
        <v>3.3717826183184163E-3</v>
      </c>
      <c r="L4258" s="9">
        <f>(PricingDataTable[[#This Row],[Vendor Price ($)]]-PricingDataTable[[#This Row],[Current Price ($)]])/PricingDataTable[[#This Row],[Current Price ($)]]</f>
        <v>-1.9223707267290941E-4</v>
      </c>
      <c r="M4258" t="str">
        <f t="shared" si="132"/>
        <v>STALE</v>
      </c>
      <c r="N4258" s="10" t="str">
        <f t="shared" si="133"/>
        <v>LOW</v>
      </c>
    </row>
    <row r="4259" spans="1:14">
      <c r="A4259" s="4" t="s">
        <v>8534</v>
      </c>
      <c r="B4259" s="4" t="s">
        <v>8535</v>
      </c>
      <c r="C4259" s="4" t="s">
        <v>39</v>
      </c>
      <c r="D4259" s="4" t="s">
        <v>13</v>
      </c>
      <c r="E4259" s="5">
        <v>276.23039999999997</v>
      </c>
      <c r="F4259" s="5">
        <v>269.70609999999999</v>
      </c>
      <c r="G4259" s="5">
        <v>269.54020000000003</v>
      </c>
      <c r="H4259" s="4">
        <v>3</v>
      </c>
      <c r="I4259" s="6">
        <v>3493287</v>
      </c>
      <c r="J4259" s="7">
        <v>776.02</v>
      </c>
      <c r="K4259" s="9">
        <f>(PricingDataTable[[#This Row],[Current Price ($)]]-PricingDataTable[[#This Row],[Prior Price ($)]])/PricingDataTable[[#This Row],[Prior Price ($)]]</f>
        <v>-2.3619051342647236E-2</v>
      </c>
      <c r="L4259" s="9">
        <f>(PricingDataTable[[#This Row],[Vendor Price ($)]]-PricingDataTable[[#This Row],[Current Price ($)]])/PricingDataTable[[#This Row],[Current Price ($)]]</f>
        <v>-6.1511400743240543E-4</v>
      </c>
      <c r="M4259" t="str">
        <f t="shared" si="132"/>
        <v>STALE</v>
      </c>
      <c r="N4259" s="10" t="str">
        <f t="shared" si="133"/>
        <v>LOW</v>
      </c>
    </row>
    <row r="4260" spans="1:14">
      <c r="A4260" s="4" t="s">
        <v>8536</v>
      </c>
      <c r="B4260" s="4" t="s">
        <v>8537</v>
      </c>
      <c r="C4260" s="4" t="s">
        <v>12</v>
      </c>
      <c r="D4260" s="4" t="s">
        <v>13</v>
      </c>
      <c r="E4260" s="5">
        <v>84.996499999999997</v>
      </c>
      <c r="F4260" s="5">
        <v>85.141999999999996</v>
      </c>
      <c r="G4260" s="5">
        <v>85.245699999999999</v>
      </c>
      <c r="H4260" s="4">
        <v>0</v>
      </c>
      <c r="I4260" s="6">
        <v>1510347</v>
      </c>
      <c r="J4260" s="7">
        <v>441.44</v>
      </c>
      <c r="K4260" s="9">
        <f>(PricingDataTable[[#This Row],[Current Price ($)]]-PricingDataTable[[#This Row],[Prior Price ($)]])/PricingDataTable[[#This Row],[Prior Price ($)]]</f>
        <v>1.7118351932138196E-3</v>
      </c>
      <c r="L4260" s="9">
        <f>(PricingDataTable[[#This Row],[Vendor Price ($)]]-PricingDataTable[[#This Row],[Current Price ($)]])/PricingDataTable[[#This Row],[Current Price ($)]]</f>
        <v>1.2179652815297204E-3</v>
      </c>
      <c r="M4260" t="str">
        <f t="shared" si="132"/>
        <v>PASS</v>
      </c>
      <c r="N4260" s="10" t="str">
        <f t="shared" si="133"/>
        <v>NONE</v>
      </c>
    </row>
    <row r="4261" spans="1:14">
      <c r="A4261" s="4" t="s">
        <v>8538</v>
      </c>
      <c r="B4261" s="4" t="s">
        <v>8539</v>
      </c>
      <c r="C4261" s="4" t="s">
        <v>39</v>
      </c>
      <c r="D4261" s="4" t="s">
        <v>13</v>
      </c>
      <c r="E4261" s="5">
        <v>320.15789999999998</v>
      </c>
      <c r="F4261" s="5">
        <v>323.24450000000002</v>
      </c>
      <c r="G4261" s="5">
        <v>323.52199999999999</v>
      </c>
      <c r="H4261" s="4">
        <v>0</v>
      </c>
      <c r="I4261" s="6">
        <v>2225679</v>
      </c>
      <c r="J4261" s="7">
        <v>430.71</v>
      </c>
      <c r="K4261" s="9">
        <f>(PricingDataTable[[#This Row],[Current Price ($)]]-PricingDataTable[[#This Row],[Prior Price ($)]])/PricingDataTable[[#This Row],[Prior Price ($)]]</f>
        <v>9.6408678342781266E-3</v>
      </c>
      <c r="L4261" s="9">
        <f>(PricingDataTable[[#This Row],[Vendor Price ($)]]-PricingDataTable[[#This Row],[Current Price ($)]])/PricingDataTable[[#This Row],[Current Price ($)]]</f>
        <v>8.5848328432494591E-4</v>
      </c>
      <c r="M4261" t="str">
        <f t="shared" si="132"/>
        <v>PASS</v>
      </c>
      <c r="N4261" s="10" t="str">
        <f t="shared" si="133"/>
        <v>NONE</v>
      </c>
    </row>
    <row r="4262" spans="1:14">
      <c r="A4262" s="4" t="s">
        <v>8540</v>
      </c>
      <c r="B4262" s="4" t="s">
        <v>8541</v>
      </c>
      <c r="C4262" s="4" t="s">
        <v>39</v>
      </c>
      <c r="D4262" s="4" t="s">
        <v>13</v>
      </c>
      <c r="E4262" s="5">
        <v>116.2633</v>
      </c>
      <c r="F4262" s="5">
        <v>116.6182</v>
      </c>
      <c r="G4262" s="5">
        <v>117.01260000000001</v>
      </c>
      <c r="H4262" s="4">
        <v>0</v>
      </c>
      <c r="I4262" s="6">
        <v>1948610</v>
      </c>
      <c r="J4262" s="7">
        <v>599.6</v>
      </c>
      <c r="K4262" s="9">
        <f>(PricingDataTable[[#This Row],[Current Price ($)]]-PricingDataTable[[#This Row],[Prior Price ($)]])/PricingDataTable[[#This Row],[Prior Price ($)]]</f>
        <v>3.0525539873717728E-3</v>
      </c>
      <c r="L4262" s="9">
        <f>(PricingDataTable[[#This Row],[Vendor Price ($)]]-PricingDataTable[[#This Row],[Current Price ($)]])/PricingDataTable[[#This Row],[Current Price ($)]]</f>
        <v>3.3819763981951748E-3</v>
      </c>
      <c r="M4262" t="str">
        <f t="shared" si="132"/>
        <v>PASS</v>
      </c>
      <c r="N4262" s="10" t="str">
        <f t="shared" si="133"/>
        <v>NONE</v>
      </c>
    </row>
    <row r="4263" spans="1:14">
      <c r="A4263" s="4" t="s">
        <v>8542</v>
      </c>
      <c r="B4263" s="4" t="s">
        <v>8543</v>
      </c>
      <c r="C4263" s="4" t="s">
        <v>19</v>
      </c>
      <c r="D4263" s="4" t="s">
        <v>13</v>
      </c>
      <c r="E4263" s="5">
        <v>303.94290000000001</v>
      </c>
      <c r="F4263" s="5">
        <v>306.20159999999998</v>
      </c>
      <c r="G4263" s="5">
        <v>306.32979999999998</v>
      </c>
      <c r="H4263" s="4">
        <v>0</v>
      </c>
      <c r="I4263" s="6">
        <v>4496677</v>
      </c>
      <c r="J4263" s="7">
        <v>863.84</v>
      </c>
      <c r="K4263" s="9">
        <f>(PricingDataTable[[#This Row],[Current Price ($)]]-PricingDataTable[[#This Row],[Prior Price ($)]])/PricingDataTable[[#This Row],[Prior Price ($)]]</f>
        <v>7.4313300294232111E-3</v>
      </c>
      <c r="L4263" s="9">
        <f>(PricingDataTable[[#This Row],[Vendor Price ($)]]-PricingDataTable[[#This Row],[Current Price ($)]])/PricingDataTable[[#This Row],[Current Price ($)]]</f>
        <v>4.1867841317613151E-4</v>
      </c>
      <c r="M4263" t="str">
        <f t="shared" si="132"/>
        <v>PASS</v>
      </c>
      <c r="N4263" s="10" t="str">
        <f t="shared" si="133"/>
        <v>NONE</v>
      </c>
    </row>
    <row r="4264" spans="1:14">
      <c r="A4264" s="4" t="s">
        <v>8544</v>
      </c>
      <c r="B4264" s="4" t="s">
        <v>8545</v>
      </c>
      <c r="C4264" s="4" t="s">
        <v>39</v>
      </c>
      <c r="D4264" s="4" t="s">
        <v>13</v>
      </c>
      <c r="E4264" s="5">
        <v>181.5634</v>
      </c>
      <c r="F4264" s="5">
        <v>180.642</v>
      </c>
      <c r="G4264" s="5">
        <v>181.10400000000001</v>
      </c>
      <c r="H4264" s="4">
        <v>0</v>
      </c>
      <c r="I4264" s="6">
        <v>3914068</v>
      </c>
      <c r="J4264" s="7">
        <v>763.51</v>
      </c>
      <c r="K4264" s="9">
        <f>(PricingDataTable[[#This Row],[Current Price ($)]]-PricingDataTable[[#This Row],[Prior Price ($)]])/PricingDataTable[[#This Row],[Prior Price ($)]]</f>
        <v>-5.0748113331211334E-3</v>
      </c>
      <c r="L4264" s="9">
        <f>(PricingDataTable[[#This Row],[Vendor Price ($)]]-PricingDataTable[[#This Row],[Current Price ($)]])/PricingDataTable[[#This Row],[Current Price ($)]]</f>
        <v>2.557544757033345E-3</v>
      </c>
      <c r="M4264" t="str">
        <f t="shared" si="132"/>
        <v>PASS</v>
      </c>
      <c r="N4264" s="10" t="str">
        <f t="shared" si="133"/>
        <v>NONE</v>
      </c>
    </row>
    <row r="4265" spans="1:14">
      <c r="A4265" s="4" t="s">
        <v>8546</v>
      </c>
      <c r="B4265" s="4" t="s">
        <v>8547</v>
      </c>
      <c r="C4265" s="4" t="s">
        <v>19</v>
      </c>
      <c r="D4265" s="4" t="s">
        <v>13</v>
      </c>
      <c r="E4265" s="5">
        <v>151.40129999999999</v>
      </c>
      <c r="F4265" s="5">
        <v>151.03129999999999</v>
      </c>
      <c r="G4265" s="5">
        <v>151.34270000000001</v>
      </c>
      <c r="H4265" s="4">
        <v>0</v>
      </c>
      <c r="I4265" s="6">
        <v>754237</v>
      </c>
      <c r="J4265" s="7">
        <v>78.319999999999993</v>
      </c>
      <c r="K4265" s="9">
        <f>(PricingDataTable[[#This Row],[Current Price ($)]]-PricingDataTable[[#This Row],[Prior Price ($)]])/PricingDataTable[[#This Row],[Prior Price ($)]]</f>
        <v>-2.4438363475082748E-3</v>
      </c>
      <c r="L4265" s="9">
        <f>(PricingDataTable[[#This Row],[Vendor Price ($)]]-PricingDataTable[[#This Row],[Current Price ($)]])/PricingDataTable[[#This Row],[Current Price ($)]]</f>
        <v>2.0618242708631941E-3</v>
      </c>
      <c r="M4265" t="str">
        <f t="shared" si="132"/>
        <v>PASS</v>
      </c>
      <c r="N4265" s="10" t="str">
        <f t="shared" si="133"/>
        <v>NONE</v>
      </c>
    </row>
    <row r="4266" spans="1:14">
      <c r="A4266" s="4" t="s">
        <v>8548</v>
      </c>
      <c r="B4266" s="4" t="s">
        <v>8549</v>
      </c>
      <c r="C4266" s="4" t="s">
        <v>19</v>
      </c>
      <c r="D4266" s="4" t="s">
        <v>64</v>
      </c>
      <c r="E4266" s="5">
        <v>228.32830000000001</v>
      </c>
      <c r="F4266" s="5">
        <v>226.60679999999999</v>
      </c>
      <c r="G4266" s="5">
        <v>226.94669999999999</v>
      </c>
      <c r="H4266" s="4">
        <v>0</v>
      </c>
      <c r="I4266" s="6">
        <v>4414022</v>
      </c>
      <c r="J4266" s="7">
        <v>533.46</v>
      </c>
      <c r="K4266" s="9">
        <f>(PricingDataTable[[#This Row],[Current Price ($)]]-PricingDataTable[[#This Row],[Prior Price ($)]])/PricingDataTable[[#This Row],[Prior Price ($)]]</f>
        <v>-7.5395822594046388E-3</v>
      </c>
      <c r="L4266" s="9">
        <f>(PricingDataTable[[#This Row],[Vendor Price ($)]]-PricingDataTable[[#This Row],[Current Price ($)]])/PricingDataTable[[#This Row],[Current Price ($)]]</f>
        <v>1.4999549881115665E-3</v>
      </c>
      <c r="M4266" t="str">
        <f t="shared" si="132"/>
        <v>PASS</v>
      </c>
      <c r="N4266" s="10" t="str">
        <f t="shared" si="133"/>
        <v>NONE</v>
      </c>
    </row>
    <row r="4267" spans="1:14">
      <c r="A4267" s="4" t="s">
        <v>8550</v>
      </c>
      <c r="B4267" s="4" t="s">
        <v>8551</v>
      </c>
      <c r="C4267" s="4" t="s">
        <v>19</v>
      </c>
      <c r="D4267" s="4" t="s">
        <v>13</v>
      </c>
      <c r="E4267" s="5">
        <v>123.8613</v>
      </c>
      <c r="F4267" s="5">
        <v>124.2141</v>
      </c>
      <c r="G4267" s="5">
        <v>124.6075</v>
      </c>
      <c r="H4267" s="4">
        <v>0</v>
      </c>
      <c r="I4267" s="6">
        <v>3005144</v>
      </c>
      <c r="J4267" s="7">
        <v>369.2</v>
      </c>
      <c r="K4267" s="9">
        <f>(PricingDataTable[[#This Row],[Current Price ($)]]-PricingDataTable[[#This Row],[Prior Price ($)]])/PricingDataTable[[#This Row],[Prior Price ($)]]</f>
        <v>2.8483473046060554E-3</v>
      </c>
      <c r="L4267" s="9">
        <f>(PricingDataTable[[#This Row],[Vendor Price ($)]]-PricingDataTable[[#This Row],[Current Price ($)]])/PricingDataTable[[#This Row],[Current Price ($)]]</f>
        <v>3.1671122682529577E-3</v>
      </c>
      <c r="M4267" t="str">
        <f t="shared" si="132"/>
        <v>PASS</v>
      </c>
      <c r="N4267" s="10" t="str">
        <f t="shared" si="133"/>
        <v>NONE</v>
      </c>
    </row>
    <row r="4268" spans="1:14">
      <c r="A4268" s="4" t="s">
        <v>8552</v>
      </c>
      <c r="B4268" s="4" t="s">
        <v>8553</v>
      </c>
      <c r="C4268" s="4" t="s">
        <v>35</v>
      </c>
      <c r="D4268" s="4" t="s">
        <v>13</v>
      </c>
      <c r="E4268" s="5">
        <v>172.0317</v>
      </c>
      <c r="F4268" s="5">
        <v>172.66759999999999</v>
      </c>
      <c r="G4268" s="5">
        <v>173.08189999999999</v>
      </c>
      <c r="H4268" s="4">
        <v>0</v>
      </c>
      <c r="I4268" s="6">
        <v>260877</v>
      </c>
      <c r="J4268" s="7">
        <v>831.81</v>
      </c>
      <c r="K4268" s="9">
        <f>(PricingDataTable[[#This Row],[Current Price ($)]]-PricingDataTable[[#This Row],[Prior Price ($)]])/PricingDataTable[[#This Row],[Prior Price ($)]]</f>
        <v>3.6964117659709947E-3</v>
      </c>
      <c r="L4268" s="9">
        <f>(PricingDataTable[[#This Row],[Vendor Price ($)]]-PricingDataTable[[#This Row],[Current Price ($)]])/PricingDataTable[[#This Row],[Current Price ($)]]</f>
        <v>2.3994078796485108E-3</v>
      </c>
      <c r="M4268" t="str">
        <f t="shared" si="132"/>
        <v>PASS</v>
      </c>
      <c r="N4268" s="10" t="str">
        <f t="shared" si="133"/>
        <v>NONE</v>
      </c>
    </row>
    <row r="4269" spans="1:14">
      <c r="A4269" s="4" t="s">
        <v>8554</v>
      </c>
      <c r="B4269" s="4" t="s">
        <v>8555</v>
      </c>
      <c r="C4269" s="4" t="s">
        <v>19</v>
      </c>
      <c r="D4269" s="4" t="s">
        <v>36</v>
      </c>
      <c r="E4269" s="5">
        <v>32.713999999999999</v>
      </c>
      <c r="F4269" s="5">
        <v>33.008200000000002</v>
      </c>
      <c r="G4269" s="5">
        <v>33.089799999999997</v>
      </c>
      <c r="H4269" s="4">
        <v>0</v>
      </c>
      <c r="I4269" s="6">
        <v>4884714</v>
      </c>
      <c r="J4269" s="7">
        <v>333.53</v>
      </c>
      <c r="K4269" s="9">
        <f>(PricingDataTable[[#This Row],[Current Price ($)]]-PricingDataTable[[#This Row],[Prior Price ($)]])/PricingDataTable[[#This Row],[Prior Price ($)]]</f>
        <v>8.9930916427218809E-3</v>
      </c>
      <c r="L4269" s="9">
        <f>(PricingDataTable[[#This Row],[Vendor Price ($)]]-PricingDataTable[[#This Row],[Current Price ($)]])/PricingDataTable[[#This Row],[Current Price ($)]]</f>
        <v>2.472112990105324E-3</v>
      </c>
      <c r="M4269" t="str">
        <f t="shared" si="132"/>
        <v>PASS</v>
      </c>
      <c r="N4269" s="10" t="str">
        <f t="shared" si="133"/>
        <v>NONE</v>
      </c>
    </row>
    <row r="4270" spans="1:14">
      <c r="A4270" s="4" t="s">
        <v>8556</v>
      </c>
      <c r="B4270" s="4" t="s">
        <v>8557</v>
      </c>
      <c r="C4270" s="4" t="s">
        <v>16</v>
      </c>
      <c r="D4270" s="4" t="s">
        <v>13</v>
      </c>
      <c r="E4270" s="5">
        <v>79.857100000000003</v>
      </c>
      <c r="F4270" s="5">
        <v>79.763199999999998</v>
      </c>
      <c r="G4270" s="5">
        <v>79.558099999999996</v>
      </c>
      <c r="H4270" s="4">
        <v>4</v>
      </c>
      <c r="I4270" s="6">
        <v>2127524</v>
      </c>
      <c r="J4270" s="7">
        <v>692.49</v>
      </c>
      <c r="K4270" s="9">
        <f>(PricingDataTable[[#This Row],[Current Price ($)]]-PricingDataTable[[#This Row],[Prior Price ($)]])/PricingDataTable[[#This Row],[Prior Price ($)]]</f>
        <v>-1.1758503627104537E-3</v>
      </c>
      <c r="L4270" s="9">
        <f>(PricingDataTable[[#This Row],[Vendor Price ($)]]-PricingDataTable[[#This Row],[Current Price ($)]])/PricingDataTable[[#This Row],[Current Price ($)]]</f>
        <v>-2.5713612292385664E-3</v>
      </c>
      <c r="M4270" t="str">
        <f t="shared" si="132"/>
        <v>STALE</v>
      </c>
      <c r="N4270" s="10" t="str">
        <f t="shared" si="133"/>
        <v>LOW</v>
      </c>
    </row>
    <row r="4271" spans="1:14">
      <c r="A4271" s="4" t="s">
        <v>8558</v>
      </c>
      <c r="B4271" s="4" t="s">
        <v>8559</v>
      </c>
      <c r="C4271" s="4" t="s">
        <v>19</v>
      </c>
      <c r="D4271" s="4" t="s">
        <v>13</v>
      </c>
      <c r="E4271" s="5">
        <v>95.622900000000001</v>
      </c>
      <c r="F4271" s="5">
        <v>94.3322</v>
      </c>
      <c r="G4271" s="5">
        <v>93.834900000000005</v>
      </c>
      <c r="H4271" s="4">
        <v>1</v>
      </c>
      <c r="I4271" s="6">
        <v>1700449</v>
      </c>
      <c r="J4271" s="7">
        <v>389.4</v>
      </c>
      <c r="K4271" s="9">
        <f>(PricingDataTable[[#This Row],[Current Price ($)]]-PricingDataTable[[#This Row],[Prior Price ($)]])/PricingDataTable[[#This Row],[Prior Price ($)]]</f>
        <v>-1.3497812762424075E-2</v>
      </c>
      <c r="L4271" s="9">
        <f>(PricingDataTable[[#This Row],[Vendor Price ($)]]-PricingDataTable[[#This Row],[Current Price ($)]])/PricingDataTable[[#This Row],[Current Price ($)]]</f>
        <v>-5.2717947848136227E-3</v>
      </c>
      <c r="M4271" t="str">
        <f t="shared" si="132"/>
        <v>PASS</v>
      </c>
      <c r="N4271" s="10" t="str">
        <f t="shared" si="133"/>
        <v>NONE</v>
      </c>
    </row>
    <row r="4272" spans="1:14">
      <c r="A4272" s="4" t="s">
        <v>8560</v>
      </c>
      <c r="B4272" s="4" t="s">
        <v>8561</v>
      </c>
      <c r="C4272" s="4" t="s">
        <v>19</v>
      </c>
      <c r="D4272" s="4" t="s">
        <v>13</v>
      </c>
      <c r="E4272" s="5">
        <v>340.88200000000001</v>
      </c>
      <c r="F4272" s="5">
        <v>341.24279999999999</v>
      </c>
      <c r="G4272" s="5">
        <v>339.72449999999998</v>
      </c>
      <c r="H4272" s="4">
        <v>0</v>
      </c>
      <c r="I4272" s="6">
        <v>3220833</v>
      </c>
      <c r="J4272" s="7">
        <v>785.76</v>
      </c>
      <c r="K4272" s="9">
        <f>(PricingDataTable[[#This Row],[Current Price ($)]]-PricingDataTable[[#This Row],[Prior Price ($)]])/PricingDataTable[[#This Row],[Prior Price ($)]]</f>
        <v>1.0584307766323341E-3</v>
      </c>
      <c r="L4272" s="9">
        <f>(PricingDataTable[[#This Row],[Vendor Price ($)]]-PricingDataTable[[#This Row],[Current Price ($)]])/PricingDataTable[[#This Row],[Current Price ($)]]</f>
        <v>-4.449324645091444E-3</v>
      </c>
      <c r="M4272" t="str">
        <f t="shared" si="132"/>
        <v>PASS</v>
      </c>
      <c r="N4272" s="10" t="str">
        <f t="shared" si="133"/>
        <v>NONE</v>
      </c>
    </row>
    <row r="4273" spans="1:14">
      <c r="A4273" s="4" t="s">
        <v>8562</v>
      </c>
      <c r="B4273" s="4" t="s">
        <v>8563</v>
      </c>
      <c r="C4273" s="4" t="s">
        <v>12</v>
      </c>
      <c r="D4273" s="4" t="s">
        <v>13</v>
      </c>
      <c r="E4273" s="5">
        <v>118.9911</v>
      </c>
      <c r="F4273" s="5">
        <v>118.5518</v>
      </c>
      <c r="G4273" s="5">
        <v>118.8357</v>
      </c>
      <c r="H4273" s="4">
        <v>0</v>
      </c>
      <c r="I4273" s="6">
        <v>1771057</v>
      </c>
      <c r="J4273" s="7">
        <v>176.3</v>
      </c>
      <c r="K4273" s="9">
        <f>(PricingDataTable[[#This Row],[Current Price ($)]]-PricingDataTable[[#This Row],[Prior Price ($)]])/PricingDataTable[[#This Row],[Prior Price ($)]]</f>
        <v>-3.6918727535084801E-3</v>
      </c>
      <c r="L4273" s="9">
        <f>(PricingDataTable[[#This Row],[Vendor Price ($)]]-PricingDataTable[[#This Row],[Current Price ($)]])/PricingDataTable[[#This Row],[Current Price ($)]]</f>
        <v>2.3947337788207579E-3</v>
      </c>
      <c r="M4273" t="str">
        <f t="shared" si="132"/>
        <v>PASS</v>
      </c>
      <c r="N4273" s="10" t="str">
        <f t="shared" si="133"/>
        <v>NONE</v>
      </c>
    </row>
    <row r="4274" spans="1:14">
      <c r="A4274" s="4" t="s">
        <v>8564</v>
      </c>
      <c r="B4274" s="4" t="s">
        <v>8565</v>
      </c>
      <c r="C4274" s="4" t="s">
        <v>35</v>
      </c>
      <c r="D4274" s="4" t="s">
        <v>13</v>
      </c>
      <c r="E4274" s="5">
        <v>41.479199999999999</v>
      </c>
      <c r="F4274" s="5">
        <v>41.739100000000001</v>
      </c>
      <c r="G4274" s="5">
        <v>41.703699999999998</v>
      </c>
      <c r="H4274" s="4">
        <v>0</v>
      </c>
      <c r="I4274" s="6">
        <v>500105</v>
      </c>
      <c r="J4274" s="7">
        <v>263.08999999999997</v>
      </c>
      <c r="K4274" s="9">
        <f>(PricingDataTable[[#This Row],[Current Price ($)]]-PricingDataTable[[#This Row],[Prior Price ($)]])/PricingDataTable[[#This Row],[Prior Price ($)]]</f>
        <v>6.2657910470790617E-3</v>
      </c>
      <c r="L4274" s="9">
        <f>(PricingDataTable[[#This Row],[Vendor Price ($)]]-PricingDataTable[[#This Row],[Current Price ($)]])/PricingDataTable[[#This Row],[Current Price ($)]]</f>
        <v>-8.4812561842499625E-4</v>
      </c>
      <c r="M4274" t="str">
        <f t="shared" si="132"/>
        <v>PASS</v>
      </c>
      <c r="N4274" s="10" t="str">
        <f t="shared" si="133"/>
        <v>NONE</v>
      </c>
    </row>
    <row r="4275" spans="1:14">
      <c r="A4275" s="4" t="s">
        <v>8566</v>
      </c>
      <c r="B4275" s="4" t="s">
        <v>8567</v>
      </c>
      <c r="C4275" s="4" t="s">
        <v>19</v>
      </c>
      <c r="D4275" s="4" t="s">
        <v>36</v>
      </c>
      <c r="E4275" s="5">
        <v>330.85140000000001</v>
      </c>
      <c r="F4275" s="5">
        <v>328.75490000000002</v>
      </c>
      <c r="G4275" s="5">
        <v>329.18639999999999</v>
      </c>
      <c r="H4275" s="4">
        <v>0</v>
      </c>
      <c r="I4275" s="6">
        <v>4762855</v>
      </c>
      <c r="J4275" s="7">
        <v>109.28</v>
      </c>
      <c r="K4275" s="9">
        <f>(PricingDataTable[[#This Row],[Current Price ($)]]-PricingDataTable[[#This Row],[Prior Price ($)]])/PricingDataTable[[#This Row],[Prior Price ($)]]</f>
        <v>-6.3366816643362902E-3</v>
      </c>
      <c r="L4275" s="9">
        <f>(PricingDataTable[[#This Row],[Vendor Price ($)]]-PricingDataTable[[#This Row],[Current Price ($)]])/PricingDataTable[[#This Row],[Current Price ($)]]</f>
        <v>1.3125279653625583E-3</v>
      </c>
      <c r="M4275" t="str">
        <f t="shared" si="132"/>
        <v>PASS</v>
      </c>
      <c r="N4275" s="10" t="str">
        <f t="shared" si="133"/>
        <v>NONE</v>
      </c>
    </row>
    <row r="4276" spans="1:14">
      <c r="A4276" s="4" t="s">
        <v>8568</v>
      </c>
      <c r="B4276" s="4" t="s">
        <v>8569</v>
      </c>
      <c r="C4276" s="4" t="s">
        <v>19</v>
      </c>
      <c r="D4276" s="4" t="s">
        <v>36</v>
      </c>
      <c r="E4276" s="5">
        <v>135.33879999999999</v>
      </c>
      <c r="F4276" s="5">
        <v>136.6908</v>
      </c>
      <c r="G4276" s="5">
        <v>136.13339999999999</v>
      </c>
      <c r="H4276" s="4">
        <v>0</v>
      </c>
      <c r="I4276" s="6">
        <v>4535392</v>
      </c>
      <c r="J4276" s="7">
        <v>479.38</v>
      </c>
      <c r="K4276" s="9">
        <f>(PricingDataTable[[#This Row],[Current Price ($)]]-PricingDataTable[[#This Row],[Prior Price ($)]])/PricingDataTable[[#This Row],[Prior Price ($)]]</f>
        <v>9.9897442566359677E-3</v>
      </c>
      <c r="L4276" s="9">
        <f>(PricingDataTable[[#This Row],[Vendor Price ($)]]-PricingDataTable[[#This Row],[Current Price ($)]])/PricingDataTable[[#This Row],[Current Price ($)]]</f>
        <v>-4.0778165026468588E-3</v>
      </c>
      <c r="M4276" t="str">
        <f t="shared" si="132"/>
        <v>PASS</v>
      </c>
      <c r="N4276" s="10" t="str">
        <f t="shared" si="133"/>
        <v>NONE</v>
      </c>
    </row>
    <row r="4277" spans="1:14">
      <c r="A4277" s="4" t="s">
        <v>8570</v>
      </c>
      <c r="B4277" s="4" t="s">
        <v>8571</v>
      </c>
      <c r="C4277" s="4" t="s">
        <v>16</v>
      </c>
      <c r="D4277" s="4" t="s">
        <v>237</v>
      </c>
      <c r="E4277" s="5">
        <v>103.0448</v>
      </c>
      <c r="F4277" s="5">
        <v>102.77209999999999</v>
      </c>
      <c r="G4277" s="5">
        <v>102.8142</v>
      </c>
      <c r="H4277" s="4">
        <v>0</v>
      </c>
      <c r="I4277" s="6">
        <v>600808</v>
      </c>
      <c r="J4277" s="7">
        <v>221.91</v>
      </c>
      <c r="K4277" s="9">
        <f>(PricingDataTable[[#This Row],[Current Price ($)]]-PricingDataTable[[#This Row],[Prior Price ($)]])/PricingDataTable[[#This Row],[Prior Price ($)]]</f>
        <v>-2.6464217505395749E-3</v>
      </c>
      <c r="L4277" s="9">
        <f>(PricingDataTable[[#This Row],[Vendor Price ($)]]-PricingDataTable[[#This Row],[Current Price ($)]])/PricingDataTable[[#This Row],[Current Price ($)]]</f>
        <v>4.0964425169870921E-4</v>
      </c>
      <c r="M4277" t="str">
        <f t="shared" si="132"/>
        <v>PASS</v>
      </c>
      <c r="N4277" s="10" t="str">
        <f t="shared" si="133"/>
        <v>NONE</v>
      </c>
    </row>
    <row r="4278" spans="1:14">
      <c r="A4278" s="4" t="s">
        <v>8572</v>
      </c>
      <c r="B4278" s="4" t="s">
        <v>8573</v>
      </c>
      <c r="C4278" s="4" t="s">
        <v>12</v>
      </c>
      <c r="D4278" s="4" t="s">
        <v>13</v>
      </c>
      <c r="E4278" s="5">
        <v>111.0043</v>
      </c>
      <c r="F4278" s="5">
        <v>108.8917</v>
      </c>
      <c r="G4278" s="5">
        <v>101.0455</v>
      </c>
      <c r="H4278" s="4">
        <v>0</v>
      </c>
      <c r="I4278" s="6">
        <v>727689</v>
      </c>
      <c r="J4278" s="7">
        <v>894.43</v>
      </c>
      <c r="K4278" s="9">
        <f>(PricingDataTable[[#This Row],[Current Price ($)]]-PricingDataTable[[#This Row],[Prior Price ($)]])/PricingDataTable[[#This Row],[Prior Price ($)]]</f>
        <v>-1.9031695168565545E-2</v>
      </c>
      <c r="L4278" s="9">
        <f>(PricingDataTable[[#This Row],[Vendor Price ($)]]-PricingDataTable[[#This Row],[Current Price ($)]])/PricingDataTable[[#This Row],[Current Price ($)]]</f>
        <v>-7.2055078578073403E-2</v>
      </c>
      <c r="M4278" t="str">
        <f t="shared" si="132"/>
        <v>VENDOR DIFFERENCE</v>
      </c>
      <c r="N4278" s="10" t="str">
        <f t="shared" si="133"/>
        <v>HIGH</v>
      </c>
    </row>
    <row r="4279" spans="1:14">
      <c r="A4279" s="4" t="s">
        <v>8574</v>
      </c>
      <c r="B4279" s="4" t="s">
        <v>8575</v>
      </c>
      <c r="C4279" s="4" t="s">
        <v>39</v>
      </c>
      <c r="D4279" s="4" t="s">
        <v>13</v>
      </c>
      <c r="E4279" s="5">
        <v>26.4175</v>
      </c>
      <c r="F4279" s="5">
        <v>26.31</v>
      </c>
      <c r="G4279" s="5">
        <v>26.313199999999998</v>
      </c>
      <c r="H4279" s="4">
        <v>0</v>
      </c>
      <c r="I4279" s="6">
        <v>2313757</v>
      </c>
      <c r="J4279" s="7">
        <v>637.79</v>
      </c>
      <c r="K4279" s="9">
        <f>(PricingDataTable[[#This Row],[Current Price ($)]]-PricingDataTable[[#This Row],[Prior Price ($)]])/PricingDataTable[[#This Row],[Prior Price ($)]]</f>
        <v>-4.0692722627047109E-3</v>
      </c>
      <c r="L4279" s="9">
        <f>(PricingDataTable[[#This Row],[Vendor Price ($)]]-PricingDataTable[[#This Row],[Current Price ($)]])/PricingDataTable[[#This Row],[Current Price ($)]]</f>
        <v>1.2162675788672169E-4</v>
      </c>
      <c r="M4279" t="str">
        <f t="shared" si="132"/>
        <v>PASS</v>
      </c>
      <c r="N4279" s="10" t="str">
        <f t="shared" si="133"/>
        <v>NONE</v>
      </c>
    </row>
    <row r="4280" spans="1:14">
      <c r="A4280" s="4" t="s">
        <v>8576</v>
      </c>
      <c r="B4280" s="4" t="s">
        <v>8577</v>
      </c>
      <c r="C4280" s="4" t="s">
        <v>35</v>
      </c>
      <c r="D4280" s="4" t="s">
        <v>32</v>
      </c>
      <c r="E4280" s="5">
        <v>155.66489999999999</v>
      </c>
      <c r="F4280" s="5"/>
      <c r="G4280" s="5">
        <v>159.61779999999999</v>
      </c>
      <c r="H4280" s="4">
        <v>0</v>
      </c>
      <c r="I4280" s="6">
        <v>2200719</v>
      </c>
      <c r="J4280" s="7">
        <v>756.95</v>
      </c>
      <c r="K4280" s="9">
        <f>(PricingDataTable[[#This Row],[Current Price ($)]]-PricingDataTable[[#This Row],[Prior Price ($)]])/PricingDataTable[[#This Row],[Prior Price ($)]]</f>
        <v>-1</v>
      </c>
      <c r="L4280" s="9" t="e">
        <f>(PricingDataTable[[#This Row],[Vendor Price ($)]]-PricingDataTable[[#This Row],[Current Price ($)]])/PricingDataTable[[#This Row],[Current Price ($)]]</f>
        <v>#DIV/0!</v>
      </c>
      <c r="M4280" t="str">
        <f t="shared" si="132"/>
        <v>MISSING</v>
      </c>
      <c r="N4280" s="10" t="str">
        <f t="shared" si="133"/>
        <v>HIGH</v>
      </c>
    </row>
    <row r="4281" spans="1:14">
      <c r="A4281" s="4" t="s">
        <v>8578</v>
      </c>
      <c r="B4281" s="4" t="s">
        <v>8579</v>
      </c>
      <c r="C4281" s="4" t="s">
        <v>16</v>
      </c>
      <c r="D4281" s="4" t="s">
        <v>13</v>
      </c>
      <c r="E4281" s="5">
        <v>122.9204</v>
      </c>
      <c r="F4281" s="5">
        <v>121.6069</v>
      </c>
      <c r="G4281" s="5">
        <v>121.9461</v>
      </c>
      <c r="H4281" s="4">
        <v>4</v>
      </c>
      <c r="I4281" s="6">
        <v>780807</v>
      </c>
      <c r="J4281" s="7">
        <v>711.66</v>
      </c>
      <c r="K4281" s="9">
        <f>(PricingDataTable[[#This Row],[Current Price ($)]]-PricingDataTable[[#This Row],[Prior Price ($)]])/PricingDataTable[[#This Row],[Prior Price ($)]]</f>
        <v>-1.0685777137074113E-2</v>
      </c>
      <c r="L4281" s="9">
        <f>(PricingDataTable[[#This Row],[Vendor Price ($)]]-PricingDataTable[[#This Row],[Current Price ($)]])/PricingDataTable[[#This Row],[Current Price ($)]]</f>
        <v>2.7893154089118732E-3</v>
      </c>
      <c r="M4281" t="str">
        <f t="shared" si="132"/>
        <v>STALE</v>
      </c>
      <c r="N4281" s="10" t="str">
        <f t="shared" si="133"/>
        <v>LOW</v>
      </c>
    </row>
    <row r="4282" spans="1:14">
      <c r="A4282" s="4" t="s">
        <v>8580</v>
      </c>
      <c r="B4282" s="4" t="s">
        <v>8581</v>
      </c>
      <c r="C4282" s="4" t="s">
        <v>16</v>
      </c>
      <c r="D4282" s="4" t="s">
        <v>13</v>
      </c>
      <c r="E4282" s="5">
        <v>113.4178</v>
      </c>
      <c r="F4282" s="5">
        <v>110.7959</v>
      </c>
      <c r="G4282" s="5">
        <v>111.07689999999999</v>
      </c>
      <c r="H4282" s="4">
        <v>3</v>
      </c>
      <c r="I4282" s="6">
        <v>1456855</v>
      </c>
      <c r="J4282" s="7">
        <v>734.11</v>
      </c>
      <c r="K4282" s="9">
        <f>(PricingDataTable[[#This Row],[Current Price ($)]]-PricingDataTable[[#This Row],[Prior Price ($)]])/PricingDataTable[[#This Row],[Prior Price ($)]]</f>
        <v>-2.3117182664449464E-2</v>
      </c>
      <c r="L4282" s="9">
        <f>(PricingDataTable[[#This Row],[Vendor Price ($)]]-PricingDataTable[[#This Row],[Current Price ($)]])/PricingDataTable[[#This Row],[Current Price ($)]]</f>
        <v>2.5361949314008161E-3</v>
      </c>
      <c r="M4282" t="str">
        <f t="shared" si="132"/>
        <v>STALE</v>
      </c>
      <c r="N4282" s="10" t="str">
        <f t="shared" si="133"/>
        <v>LOW</v>
      </c>
    </row>
    <row r="4283" spans="1:14">
      <c r="A4283" s="4" t="s">
        <v>8582</v>
      </c>
      <c r="B4283" s="4" t="s">
        <v>8583</v>
      </c>
      <c r="C4283" s="4" t="s">
        <v>35</v>
      </c>
      <c r="D4283" s="4" t="s">
        <v>32</v>
      </c>
      <c r="E4283" s="5">
        <v>144.251</v>
      </c>
      <c r="F4283" s="5">
        <v>142.2199</v>
      </c>
      <c r="G4283" s="5">
        <v>143.12200000000001</v>
      </c>
      <c r="H4283" s="4">
        <v>0</v>
      </c>
      <c r="I4283" s="6">
        <v>827142</v>
      </c>
      <c r="J4283" s="7">
        <v>492.6</v>
      </c>
      <c r="K4283" s="9">
        <f>(PricingDataTable[[#This Row],[Current Price ($)]]-PricingDataTable[[#This Row],[Prior Price ($)]])/PricingDataTable[[#This Row],[Prior Price ($)]]</f>
        <v>-1.4080318334015079E-2</v>
      </c>
      <c r="L4283" s="9">
        <f>(PricingDataTable[[#This Row],[Vendor Price ($)]]-PricingDataTable[[#This Row],[Current Price ($)]])/PricingDataTable[[#This Row],[Current Price ($)]]</f>
        <v>6.3429941942022075E-3</v>
      </c>
      <c r="M4283" t="str">
        <f t="shared" si="132"/>
        <v>PASS</v>
      </c>
      <c r="N4283" s="10" t="str">
        <f t="shared" si="133"/>
        <v>NONE</v>
      </c>
    </row>
    <row r="4284" spans="1:14">
      <c r="A4284" s="4" t="s">
        <v>8584</v>
      </c>
      <c r="B4284" s="4" t="s">
        <v>8585</v>
      </c>
      <c r="C4284" s="4" t="s">
        <v>19</v>
      </c>
      <c r="D4284" s="4" t="s">
        <v>13</v>
      </c>
      <c r="E4284" s="5">
        <v>185.50530000000001</v>
      </c>
      <c r="F4284" s="5">
        <v>185.10720000000001</v>
      </c>
      <c r="G4284" s="5">
        <v>202.59970000000001</v>
      </c>
      <c r="H4284" s="4">
        <v>0</v>
      </c>
      <c r="I4284" s="6">
        <v>3338623</v>
      </c>
      <c r="J4284" s="7">
        <v>623.96</v>
      </c>
      <c r="K4284" s="9">
        <f>(PricingDataTable[[#This Row],[Current Price ($)]]-PricingDataTable[[#This Row],[Prior Price ($)]])/PricingDataTable[[#This Row],[Prior Price ($)]]</f>
        <v>-2.14603032905259E-3</v>
      </c>
      <c r="L4284" s="9">
        <f>(PricingDataTable[[#This Row],[Vendor Price ($)]]-PricingDataTable[[#This Row],[Current Price ($)]])/PricingDataTable[[#This Row],[Current Price ($)]]</f>
        <v>9.4499295543339246E-2</v>
      </c>
      <c r="M4284" t="str">
        <f t="shared" si="132"/>
        <v>VENDOR DIFFERENCE</v>
      </c>
      <c r="N4284" s="10" t="str">
        <f t="shared" si="133"/>
        <v>HIGH</v>
      </c>
    </row>
    <row r="4285" spans="1:14">
      <c r="A4285" s="4" t="s">
        <v>8586</v>
      </c>
      <c r="B4285" s="4" t="s">
        <v>8587</v>
      </c>
      <c r="C4285" s="4" t="s">
        <v>12</v>
      </c>
      <c r="D4285" s="4" t="s">
        <v>64</v>
      </c>
      <c r="E4285" s="5">
        <v>105.77849999999999</v>
      </c>
      <c r="F4285" s="5">
        <v>103.88249999999999</v>
      </c>
      <c r="G4285" s="5">
        <v>103.58280000000001</v>
      </c>
      <c r="H4285" s="4">
        <v>1</v>
      </c>
      <c r="I4285" s="6">
        <v>4191727</v>
      </c>
      <c r="J4285" s="7">
        <v>20.03</v>
      </c>
      <c r="K4285" s="9">
        <f>(PricingDataTable[[#This Row],[Current Price ($)]]-PricingDataTable[[#This Row],[Prior Price ($)]])/PricingDataTable[[#This Row],[Prior Price ($)]]</f>
        <v>-1.7924247365958119E-2</v>
      </c>
      <c r="L4285" s="9">
        <f>(PricingDataTable[[#This Row],[Vendor Price ($)]]-PricingDataTable[[#This Row],[Current Price ($)]])/PricingDataTable[[#This Row],[Current Price ($)]]</f>
        <v>-2.8849902534111831E-3</v>
      </c>
      <c r="M4285" t="str">
        <f t="shared" si="132"/>
        <v>PASS</v>
      </c>
      <c r="N4285" s="10" t="str">
        <f t="shared" si="133"/>
        <v>NONE</v>
      </c>
    </row>
    <row r="4286" spans="1:14">
      <c r="A4286" s="4" t="s">
        <v>8588</v>
      </c>
      <c r="B4286" s="4" t="s">
        <v>8589</v>
      </c>
      <c r="C4286" s="4" t="s">
        <v>16</v>
      </c>
      <c r="D4286" s="4" t="s">
        <v>32</v>
      </c>
      <c r="E4286" s="5">
        <v>91.674700000000001</v>
      </c>
      <c r="F4286" s="5">
        <v>93.094399999999993</v>
      </c>
      <c r="G4286" s="5">
        <v>92.860200000000006</v>
      </c>
      <c r="H4286" s="4">
        <v>2</v>
      </c>
      <c r="I4286" s="6">
        <v>3638073</v>
      </c>
      <c r="J4286" s="7">
        <v>425.02</v>
      </c>
      <c r="K4286" s="9">
        <f>(PricingDataTable[[#This Row],[Current Price ($)]]-PricingDataTable[[#This Row],[Prior Price ($)]])/PricingDataTable[[#This Row],[Prior Price ($)]]</f>
        <v>1.5486279202440714E-2</v>
      </c>
      <c r="L4286" s="9">
        <f>(PricingDataTable[[#This Row],[Vendor Price ($)]]-PricingDataTable[[#This Row],[Current Price ($)]])/PricingDataTable[[#This Row],[Current Price ($)]]</f>
        <v>-2.5157259727758823E-3</v>
      </c>
      <c r="M4286" t="str">
        <f t="shared" si="132"/>
        <v>PASS</v>
      </c>
      <c r="N4286" s="10" t="str">
        <f t="shared" si="133"/>
        <v>NONE</v>
      </c>
    </row>
    <row r="4287" spans="1:14">
      <c r="A4287" s="4" t="s">
        <v>8590</v>
      </c>
      <c r="B4287" s="4" t="s">
        <v>8591</v>
      </c>
      <c r="C4287" s="4" t="s">
        <v>16</v>
      </c>
      <c r="D4287" s="4" t="s">
        <v>13</v>
      </c>
      <c r="E4287" s="5">
        <v>99.613100000000003</v>
      </c>
      <c r="F4287" s="5">
        <v>100.327</v>
      </c>
      <c r="G4287" s="5">
        <v>100.0008</v>
      </c>
      <c r="H4287" s="4">
        <v>0</v>
      </c>
      <c r="I4287" s="6">
        <v>3085255</v>
      </c>
      <c r="J4287" s="7">
        <v>131.53</v>
      </c>
      <c r="K4287" s="9">
        <f>(PricingDataTable[[#This Row],[Current Price ($)]]-PricingDataTable[[#This Row],[Prior Price ($)]])/PricingDataTable[[#This Row],[Prior Price ($)]]</f>
        <v>7.1667280709062893E-3</v>
      </c>
      <c r="L4287" s="9">
        <f>(PricingDataTable[[#This Row],[Vendor Price ($)]]-PricingDataTable[[#This Row],[Current Price ($)]])/PricingDataTable[[#This Row],[Current Price ($)]]</f>
        <v>-3.2513680265531717E-3</v>
      </c>
      <c r="M4287" t="str">
        <f t="shared" si="132"/>
        <v>PASS</v>
      </c>
      <c r="N4287" s="10" t="str">
        <f t="shared" si="133"/>
        <v>NONE</v>
      </c>
    </row>
    <row r="4288" spans="1:14">
      <c r="A4288" s="4" t="s">
        <v>8592</v>
      </c>
      <c r="B4288" s="4" t="s">
        <v>8593</v>
      </c>
      <c r="C4288" s="4" t="s">
        <v>16</v>
      </c>
      <c r="D4288" s="4" t="s">
        <v>13</v>
      </c>
      <c r="E4288" s="5">
        <v>78.017799999999994</v>
      </c>
      <c r="F4288" s="5">
        <v>78.598500000000001</v>
      </c>
      <c r="G4288" s="5">
        <v>78.442499999999995</v>
      </c>
      <c r="H4288" s="4">
        <v>0</v>
      </c>
      <c r="I4288" s="6">
        <v>4314380</v>
      </c>
      <c r="J4288" s="7">
        <v>706.68</v>
      </c>
      <c r="K4288" s="9">
        <f>(PricingDataTable[[#This Row],[Current Price ($)]]-PricingDataTable[[#This Row],[Prior Price ($)]])/PricingDataTable[[#This Row],[Prior Price ($)]]</f>
        <v>7.4431732245719227E-3</v>
      </c>
      <c r="L4288" s="9">
        <f>(PricingDataTable[[#This Row],[Vendor Price ($)]]-PricingDataTable[[#This Row],[Current Price ($)]])/PricingDataTable[[#This Row],[Current Price ($)]]</f>
        <v>-1.9847707017310243E-3</v>
      </c>
      <c r="M4288" t="str">
        <f t="shared" si="132"/>
        <v>PASS</v>
      </c>
      <c r="N4288" s="10" t="str">
        <f t="shared" si="133"/>
        <v>NONE</v>
      </c>
    </row>
    <row r="4289" spans="1:14">
      <c r="A4289" s="4" t="s">
        <v>8594</v>
      </c>
      <c r="B4289" s="4" t="s">
        <v>8595</v>
      </c>
      <c r="C4289" s="4" t="s">
        <v>19</v>
      </c>
      <c r="D4289" s="4" t="s">
        <v>13</v>
      </c>
      <c r="E4289" s="5">
        <v>227.23060000000001</v>
      </c>
      <c r="F4289" s="5">
        <v>230.82390000000001</v>
      </c>
      <c r="G4289" s="5">
        <v>231.32919999999999</v>
      </c>
      <c r="H4289" s="4">
        <v>2</v>
      </c>
      <c r="I4289" s="6">
        <v>467567</v>
      </c>
      <c r="J4289" s="7">
        <v>503.63</v>
      </c>
      <c r="K4289" s="9">
        <f>(PricingDataTable[[#This Row],[Current Price ($)]]-PricingDataTable[[#This Row],[Prior Price ($)]])/PricingDataTable[[#This Row],[Prior Price ($)]]</f>
        <v>1.5813451181310965E-2</v>
      </c>
      <c r="L4289" s="9">
        <f>(PricingDataTable[[#This Row],[Vendor Price ($)]]-PricingDataTable[[#This Row],[Current Price ($)]])/PricingDataTable[[#This Row],[Current Price ($)]]</f>
        <v>2.18911473205321E-3</v>
      </c>
      <c r="M4289" t="str">
        <f t="shared" si="132"/>
        <v>PASS</v>
      </c>
      <c r="N4289" s="10" t="str">
        <f t="shared" si="133"/>
        <v>NONE</v>
      </c>
    </row>
    <row r="4290" spans="1:14">
      <c r="A4290" s="4" t="s">
        <v>8596</v>
      </c>
      <c r="B4290" s="4" t="s">
        <v>8597</v>
      </c>
      <c r="C4290" s="4" t="s">
        <v>12</v>
      </c>
      <c r="D4290" s="4" t="s">
        <v>13</v>
      </c>
      <c r="E4290" s="5">
        <v>95.188900000000004</v>
      </c>
      <c r="F4290" s="5">
        <v>94.249700000000004</v>
      </c>
      <c r="G4290" s="5">
        <v>94.394499999999994</v>
      </c>
      <c r="H4290" s="4">
        <v>0</v>
      </c>
      <c r="I4290" s="6">
        <v>1611741</v>
      </c>
      <c r="J4290" s="7">
        <v>84.65</v>
      </c>
      <c r="K4290" s="9">
        <f>(PricingDataTable[[#This Row],[Current Price ($)]]-PricingDataTable[[#This Row],[Prior Price ($)]])/PricingDataTable[[#This Row],[Prior Price ($)]]</f>
        <v>-9.8666966421504989E-3</v>
      </c>
      <c r="L4290" s="9">
        <f>(PricingDataTable[[#This Row],[Vendor Price ($)]]-PricingDataTable[[#This Row],[Current Price ($)]])/PricingDataTable[[#This Row],[Current Price ($)]]</f>
        <v>1.5363444127672488E-3</v>
      </c>
      <c r="M4290" t="str">
        <f t="shared" ref="M4290:M4353" si="134">IF(OR(F4290="",F4290=0),"MISSING",IF(H4290&gt;=3,"STALE",IF(ABS(K4290)&gt;=5%,"LARGE MOVE",IF(ABS(L4290)&gt;=2%,"VENDOR DIFFERENCE","PASS"))))</f>
        <v>PASS</v>
      </c>
      <c r="N4290" s="10" t="str">
        <f t="shared" ref="N4290:N4353" si="135">IF(M4290="PASS","NONE",IF(M4290="MISSING","HIGH",IF(OR(ABS(K4290)&gt;=10%,ABS(L4290)&gt;=5%),"HIGH",IF(OR(ABS(K4290)&gt;=7%,ABS(L4290)&gt;=3%,H4290&gt;=5),"MEDIUM","LOW"))))</f>
        <v>NONE</v>
      </c>
    </row>
    <row r="4291" spans="1:14">
      <c r="A4291" s="4" t="s">
        <v>8598</v>
      </c>
      <c r="B4291" s="4" t="s">
        <v>8599</v>
      </c>
      <c r="C4291" s="4" t="s">
        <v>35</v>
      </c>
      <c r="D4291" s="4" t="s">
        <v>13</v>
      </c>
      <c r="E4291" s="5">
        <v>101.71250000000001</v>
      </c>
      <c r="F4291" s="5">
        <v>100.1041</v>
      </c>
      <c r="G4291" s="5">
        <v>99.763800000000003</v>
      </c>
      <c r="H4291" s="4">
        <v>0</v>
      </c>
      <c r="I4291" s="6">
        <v>2963872</v>
      </c>
      <c r="J4291" s="7">
        <v>417.69</v>
      </c>
      <c r="K4291" s="9">
        <f>(PricingDataTable[[#This Row],[Current Price ($)]]-PricingDataTable[[#This Row],[Prior Price ($)]])/PricingDataTable[[#This Row],[Prior Price ($)]]</f>
        <v>-1.5813198967678535E-2</v>
      </c>
      <c r="L4291" s="9">
        <f>(PricingDataTable[[#This Row],[Vendor Price ($)]]-PricingDataTable[[#This Row],[Current Price ($)]])/PricingDataTable[[#This Row],[Current Price ($)]]</f>
        <v>-3.3994611609314621E-3</v>
      </c>
      <c r="M4291" t="str">
        <f t="shared" si="134"/>
        <v>PASS</v>
      </c>
      <c r="N4291" s="10" t="str">
        <f t="shared" si="135"/>
        <v>NONE</v>
      </c>
    </row>
    <row r="4292" spans="1:14">
      <c r="A4292" s="4" t="s">
        <v>8600</v>
      </c>
      <c r="B4292" s="4" t="s">
        <v>8601</v>
      </c>
      <c r="C4292" s="4" t="s">
        <v>16</v>
      </c>
      <c r="D4292" s="4" t="s">
        <v>237</v>
      </c>
      <c r="E4292" s="5">
        <v>92.382099999999994</v>
      </c>
      <c r="F4292" s="5">
        <v>91.908000000000001</v>
      </c>
      <c r="G4292" s="5">
        <v>91.789199999999994</v>
      </c>
      <c r="H4292" s="4">
        <v>0</v>
      </c>
      <c r="I4292" s="6">
        <v>4497625</v>
      </c>
      <c r="J4292" s="7">
        <v>552.82000000000005</v>
      </c>
      <c r="K4292" s="9">
        <f>(PricingDataTable[[#This Row],[Current Price ($)]]-PricingDataTable[[#This Row],[Prior Price ($)]])/PricingDataTable[[#This Row],[Prior Price ($)]]</f>
        <v>-5.1319465567463054E-3</v>
      </c>
      <c r="L4292" s="9">
        <f>(PricingDataTable[[#This Row],[Vendor Price ($)]]-PricingDataTable[[#This Row],[Current Price ($)]])/PricingDataTable[[#This Row],[Current Price ($)]]</f>
        <v>-1.2925969447709377E-3</v>
      </c>
      <c r="M4292" t="str">
        <f t="shared" si="134"/>
        <v>PASS</v>
      </c>
      <c r="N4292" s="10" t="str">
        <f t="shared" si="135"/>
        <v>NONE</v>
      </c>
    </row>
    <row r="4293" spans="1:14">
      <c r="A4293" s="4" t="s">
        <v>8602</v>
      </c>
      <c r="B4293" s="4" t="s">
        <v>8603</v>
      </c>
      <c r="C4293" s="4" t="s">
        <v>19</v>
      </c>
      <c r="D4293" s="4" t="s">
        <v>13</v>
      </c>
      <c r="E4293" s="5">
        <v>109.059</v>
      </c>
      <c r="F4293" s="5">
        <v>105.9572</v>
      </c>
      <c r="G4293" s="5">
        <v>117.5742</v>
      </c>
      <c r="H4293" s="4">
        <v>2</v>
      </c>
      <c r="I4293" s="6">
        <v>4725904</v>
      </c>
      <c r="J4293" s="7">
        <v>865.17</v>
      </c>
      <c r="K4293" s="9">
        <f>(PricingDataTable[[#This Row],[Current Price ($)]]-PricingDataTable[[#This Row],[Prior Price ($)]])/PricingDataTable[[#This Row],[Prior Price ($)]]</f>
        <v>-2.8441485801263513E-2</v>
      </c>
      <c r="L4293" s="9">
        <f>(PricingDataTable[[#This Row],[Vendor Price ($)]]-PricingDataTable[[#This Row],[Current Price ($)]])/PricingDataTable[[#This Row],[Current Price ($)]]</f>
        <v>0.10963860879675949</v>
      </c>
      <c r="M4293" t="str">
        <f t="shared" si="134"/>
        <v>VENDOR DIFFERENCE</v>
      </c>
      <c r="N4293" s="10" t="str">
        <f t="shared" si="135"/>
        <v>HIGH</v>
      </c>
    </row>
    <row r="4294" spans="1:14">
      <c r="A4294" s="4" t="s">
        <v>8604</v>
      </c>
      <c r="B4294" s="4" t="s">
        <v>8605</v>
      </c>
      <c r="C4294" s="4" t="s">
        <v>39</v>
      </c>
      <c r="D4294" s="4" t="s">
        <v>13</v>
      </c>
      <c r="E4294" s="5">
        <v>348.88780000000003</v>
      </c>
      <c r="F4294" s="5">
        <v>346.07159999999999</v>
      </c>
      <c r="G4294" s="5">
        <v>346.9495</v>
      </c>
      <c r="H4294" s="4">
        <v>1</v>
      </c>
      <c r="I4294" s="6">
        <v>1521432</v>
      </c>
      <c r="J4294" s="7">
        <v>644.21</v>
      </c>
      <c r="K4294" s="9">
        <f>(PricingDataTable[[#This Row],[Current Price ($)]]-PricingDataTable[[#This Row],[Prior Price ($)]])/PricingDataTable[[#This Row],[Prior Price ($)]]</f>
        <v>-8.071936020692146E-3</v>
      </c>
      <c r="L4294" s="9">
        <f>(PricingDataTable[[#This Row],[Vendor Price ($)]]-PricingDataTable[[#This Row],[Current Price ($)]])/PricingDataTable[[#This Row],[Current Price ($)]]</f>
        <v>2.5367582893251312E-3</v>
      </c>
      <c r="M4294" t="str">
        <f t="shared" si="134"/>
        <v>PASS</v>
      </c>
      <c r="N4294" s="10" t="str">
        <f t="shared" si="135"/>
        <v>NONE</v>
      </c>
    </row>
    <row r="4295" spans="1:14">
      <c r="A4295" s="4" t="s">
        <v>8606</v>
      </c>
      <c r="B4295" s="4" t="s">
        <v>8607</v>
      </c>
      <c r="C4295" s="4" t="s">
        <v>39</v>
      </c>
      <c r="D4295" s="4" t="s">
        <v>32</v>
      </c>
      <c r="E4295" s="5">
        <v>21.741</v>
      </c>
      <c r="F4295" s="5">
        <v>21.541499999999999</v>
      </c>
      <c r="G4295" s="5">
        <v>21.578900000000001</v>
      </c>
      <c r="H4295" s="4">
        <v>0</v>
      </c>
      <c r="I4295" s="6">
        <v>139785</v>
      </c>
      <c r="J4295" s="7">
        <v>216.61</v>
      </c>
      <c r="K4295" s="9">
        <f>(PricingDataTable[[#This Row],[Current Price ($)]]-PricingDataTable[[#This Row],[Prior Price ($)]])/PricingDataTable[[#This Row],[Prior Price ($)]]</f>
        <v>-9.1762108458672761E-3</v>
      </c>
      <c r="L4295" s="9">
        <f>(PricingDataTable[[#This Row],[Vendor Price ($)]]-PricingDataTable[[#This Row],[Current Price ($)]])/PricingDataTable[[#This Row],[Current Price ($)]]</f>
        <v>1.7361836455215122E-3</v>
      </c>
      <c r="M4295" t="str">
        <f t="shared" si="134"/>
        <v>PASS</v>
      </c>
      <c r="N4295" s="10" t="str">
        <f t="shared" si="135"/>
        <v>NONE</v>
      </c>
    </row>
    <row r="4296" spans="1:14">
      <c r="A4296" s="4" t="s">
        <v>8608</v>
      </c>
      <c r="B4296" s="4" t="s">
        <v>8609</v>
      </c>
      <c r="C4296" s="4" t="s">
        <v>16</v>
      </c>
      <c r="D4296" s="4" t="s">
        <v>13</v>
      </c>
      <c r="E4296" s="5">
        <v>124.13720000000001</v>
      </c>
      <c r="F4296" s="5"/>
      <c r="G4296" s="5">
        <v>124.8856</v>
      </c>
      <c r="H4296" s="4">
        <v>0</v>
      </c>
      <c r="I4296" s="6">
        <v>1164895</v>
      </c>
      <c r="J4296" s="7">
        <v>507.39</v>
      </c>
      <c r="K4296" s="9">
        <f>(PricingDataTable[[#This Row],[Current Price ($)]]-PricingDataTable[[#This Row],[Prior Price ($)]])/PricingDataTable[[#This Row],[Prior Price ($)]]</f>
        <v>-1</v>
      </c>
      <c r="L4296" s="9" t="e">
        <f>(PricingDataTable[[#This Row],[Vendor Price ($)]]-PricingDataTable[[#This Row],[Current Price ($)]])/PricingDataTable[[#This Row],[Current Price ($)]]</f>
        <v>#DIV/0!</v>
      </c>
      <c r="M4296" t="str">
        <f t="shared" si="134"/>
        <v>MISSING</v>
      </c>
      <c r="N4296" s="10" t="str">
        <f t="shared" si="135"/>
        <v>HIGH</v>
      </c>
    </row>
    <row r="4297" spans="1:14">
      <c r="A4297" s="4" t="s">
        <v>8610</v>
      </c>
      <c r="B4297" s="4" t="s">
        <v>8611</v>
      </c>
      <c r="C4297" s="4" t="s">
        <v>39</v>
      </c>
      <c r="D4297" s="4" t="s">
        <v>36</v>
      </c>
      <c r="E4297" s="5">
        <v>25.644100000000002</v>
      </c>
      <c r="F4297" s="5">
        <v>26.084800000000001</v>
      </c>
      <c r="G4297" s="5">
        <v>26.042999999999999</v>
      </c>
      <c r="H4297" s="4">
        <v>0</v>
      </c>
      <c r="I4297" s="6">
        <v>4902790</v>
      </c>
      <c r="J4297" s="7">
        <v>843.28</v>
      </c>
      <c r="K4297" s="9">
        <f>(PricingDataTable[[#This Row],[Current Price ($)]]-PricingDataTable[[#This Row],[Prior Price ($)]])/PricingDataTable[[#This Row],[Prior Price ($)]]</f>
        <v>1.7185239489785158E-2</v>
      </c>
      <c r="L4297" s="9">
        <f>(PricingDataTable[[#This Row],[Vendor Price ($)]]-PricingDataTable[[#This Row],[Current Price ($)]])/PricingDataTable[[#This Row],[Current Price ($)]]</f>
        <v>-1.6024658038398629E-3</v>
      </c>
      <c r="M4297" t="str">
        <f t="shared" si="134"/>
        <v>PASS</v>
      </c>
      <c r="N4297" s="10" t="str">
        <f t="shared" si="135"/>
        <v>NONE</v>
      </c>
    </row>
    <row r="4298" spans="1:14">
      <c r="A4298" s="4" t="s">
        <v>8612</v>
      </c>
      <c r="B4298" s="4" t="s">
        <v>8613</v>
      </c>
      <c r="C4298" s="4" t="s">
        <v>16</v>
      </c>
      <c r="D4298" s="4" t="s">
        <v>13</v>
      </c>
      <c r="E4298" s="5">
        <v>114.0282</v>
      </c>
      <c r="F4298" s="5">
        <v>115.0941</v>
      </c>
      <c r="G4298" s="5">
        <v>115.14409999999999</v>
      </c>
      <c r="H4298" s="4">
        <v>0</v>
      </c>
      <c r="I4298" s="6">
        <v>4670792</v>
      </c>
      <c r="J4298" s="7">
        <v>639.42999999999995</v>
      </c>
      <c r="K4298" s="9">
        <f>(PricingDataTable[[#This Row],[Current Price ($)]]-PricingDataTable[[#This Row],[Prior Price ($)]])/PricingDataTable[[#This Row],[Prior Price ($)]]</f>
        <v>9.3476876772587755E-3</v>
      </c>
      <c r="L4298" s="9">
        <f>(PricingDataTable[[#This Row],[Vendor Price ($)]]-PricingDataTable[[#This Row],[Current Price ($)]])/PricingDataTable[[#This Row],[Current Price ($)]]</f>
        <v>4.3442713397122147E-4</v>
      </c>
      <c r="M4298" t="str">
        <f t="shared" si="134"/>
        <v>PASS</v>
      </c>
      <c r="N4298" s="10" t="str">
        <f t="shared" si="135"/>
        <v>NONE</v>
      </c>
    </row>
    <row r="4299" spans="1:14">
      <c r="A4299" s="4" t="s">
        <v>8614</v>
      </c>
      <c r="B4299" s="4" t="s">
        <v>8615</v>
      </c>
      <c r="C4299" s="4" t="s">
        <v>16</v>
      </c>
      <c r="D4299" s="4" t="s">
        <v>36</v>
      </c>
      <c r="E4299" s="5">
        <v>114.8308</v>
      </c>
      <c r="F4299" s="5">
        <v>116.6</v>
      </c>
      <c r="G4299" s="5">
        <v>116.60760000000001</v>
      </c>
      <c r="H4299" s="4">
        <v>2</v>
      </c>
      <c r="I4299" s="6">
        <v>2518978</v>
      </c>
      <c r="J4299" s="7">
        <v>617.57000000000005</v>
      </c>
      <c r="K4299" s="9">
        <f>(PricingDataTable[[#This Row],[Current Price ($)]]-PricingDataTable[[#This Row],[Prior Price ($)]])/PricingDataTable[[#This Row],[Prior Price ($)]]</f>
        <v>1.5407016236062084E-2</v>
      </c>
      <c r="L4299" s="9">
        <f>(PricingDataTable[[#This Row],[Vendor Price ($)]]-PricingDataTable[[#This Row],[Current Price ($)]])/PricingDataTable[[#This Row],[Current Price ($)]]</f>
        <v>6.518010291604382E-5</v>
      </c>
      <c r="M4299" t="str">
        <f t="shared" si="134"/>
        <v>PASS</v>
      </c>
      <c r="N4299" s="10" t="str">
        <f t="shared" si="135"/>
        <v>NONE</v>
      </c>
    </row>
    <row r="4300" spans="1:14">
      <c r="A4300" s="4" t="s">
        <v>8616</v>
      </c>
      <c r="B4300" s="4" t="s">
        <v>8617</v>
      </c>
      <c r="C4300" s="4" t="s">
        <v>19</v>
      </c>
      <c r="D4300" s="4" t="s">
        <v>13</v>
      </c>
      <c r="E4300" s="5">
        <v>334.60680000000002</v>
      </c>
      <c r="F4300" s="5">
        <v>332.56650000000002</v>
      </c>
      <c r="G4300" s="5">
        <v>292.28769999999997</v>
      </c>
      <c r="H4300" s="4">
        <v>0</v>
      </c>
      <c r="I4300" s="6">
        <v>299103</v>
      </c>
      <c r="J4300" s="7">
        <v>529.89</v>
      </c>
      <c r="K4300" s="9">
        <f>(PricingDataTable[[#This Row],[Current Price ($)]]-PricingDataTable[[#This Row],[Prior Price ($)]])/PricingDataTable[[#This Row],[Prior Price ($)]]</f>
        <v>-6.0976047109622452E-3</v>
      </c>
      <c r="L4300" s="9">
        <f>(PricingDataTable[[#This Row],[Vendor Price ($)]]-PricingDataTable[[#This Row],[Current Price ($)]])/PricingDataTable[[#This Row],[Current Price ($)]]</f>
        <v>-0.12111502511527783</v>
      </c>
      <c r="M4300" t="str">
        <f t="shared" si="134"/>
        <v>VENDOR DIFFERENCE</v>
      </c>
      <c r="N4300" s="10" t="str">
        <f t="shared" si="135"/>
        <v>HIGH</v>
      </c>
    </row>
    <row r="4301" spans="1:14">
      <c r="A4301" s="4" t="s">
        <v>8618</v>
      </c>
      <c r="B4301" s="4" t="s">
        <v>8619</v>
      </c>
      <c r="C4301" s="4" t="s">
        <v>39</v>
      </c>
      <c r="D4301" s="4" t="s">
        <v>13</v>
      </c>
      <c r="E4301" s="5">
        <v>98.122200000000007</v>
      </c>
      <c r="F4301" s="5">
        <v>96.031499999999994</v>
      </c>
      <c r="G4301" s="5">
        <v>96.041399999999996</v>
      </c>
      <c r="H4301" s="4">
        <v>2</v>
      </c>
      <c r="I4301" s="6">
        <v>509693</v>
      </c>
      <c r="J4301" s="7">
        <v>213.61</v>
      </c>
      <c r="K4301" s="9">
        <f>(PricingDataTable[[#This Row],[Current Price ($)]]-PricingDataTable[[#This Row],[Prior Price ($)]])/PricingDataTable[[#This Row],[Prior Price ($)]]</f>
        <v>-2.1307104814201193E-2</v>
      </c>
      <c r="L4301" s="9">
        <f>(PricingDataTable[[#This Row],[Vendor Price ($)]]-PricingDataTable[[#This Row],[Current Price ($)]])/PricingDataTable[[#This Row],[Current Price ($)]]</f>
        <v>1.0309117320880958E-4</v>
      </c>
      <c r="M4301" t="str">
        <f t="shared" si="134"/>
        <v>PASS</v>
      </c>
      <c r="N4301" s="10" t="str">
        <f t="shared" si="135"/>
        <v>NONE</v>
      </c>
    </row>
    <row r="4302" spans="1:14">
      <c r="A4302" s="4" t="s">
        <v>8620</v>
      </c>
      <c r="B4302" s="4" t="s">
        <v>8621</v>
      </c>
      <c r="C4302" s="4" t="s">
        <v>19</v>
      </c>
      <c r="D4302" s="4" t="s">
        <v>13</v>
      </c>
      <c r="E4302" s="5">
        <v>111.2047</v>
      </c>
      <c r="F4302" s="5">
        <v>109.5729</v>
      </c>
      <c r="G4302" s="5">
        <v>109.46639999999999</v>
      </c>
      <c r="H4302" s="4">
        <v>0</v>
      </c>
      <c r="I4302" s="6">
        <v>4609006</v>
      </c>
      <c r="J4302" s="7">
        <v>118.99</v>
      </c>
      <c r="K4302" s="9">
        <f>(PricingDataTable[[#This Row],[Current Price ($)]]-PricingDataTable[[#This Row],[Prior Price ($)]])/PricingDataTable[[#This Row],[Prior Price ($)]]</f>
        <v>-1.467384022437899E-2</v>
      </c>
      <c r="L4302" s="9">
        <f>(PricingDataTable[[#This Row],[Vendor Price ($)]]-PricingDataTable[[#This Row],[Current Price ($)]])/PricingDataTable[[#This Row],[Current Price ($)]]</f>
        <v>-9.7195565691892013E-4</v>
      </c>
      <c r="M4302" t="str">
        <f t="shared" si="134"/>
        <v>PASS</v>
      </c>
      <c r="N4302" s="10" t="str">
        <f t="shared" si="135"/>
        <v>NONE</v>
      </c>
    </row>
    <row r="4303" spans="1:14">
      <c r="A4303" s="4" t="s">
        <v>8622</v>
      </c>
      <c r="B4303" s="4" t="s">
        <v>8623</v>
      </c>
      <c r="C4303" s="4" t="s">
        <v>12</v>
      </c>
      <c r="D4303" s="4" t="s">
        <v>13</v>
      </c>
      <c r="E4303" s="5">
        <v>115.4644</v>
      </c>
      <c r="F4303" s="5">
        <v>114.4061</v>
      </c>
      <c r="G4303" s="5">
        <v>114.6053</v>
      </c>
      <c r="H4303" s="4">
        <v>0</v>
      </c>
      <c r="I4303" s="6">
        <v>2508051</v>
      </c>
      <c r="J4303" s="7">
        <v>374.78</v>
      </c>
      <c r="K4303" s="9">
        <f>(PricingDataTable[[#This Row],[Current Price ($)]]-PricingDataTable[[#This Row],[Prior Price ($)]])/PricingDataTable[[#This Row],[Prior Price ($)]]</f>
        <v>-9.1655956294754287E-3</v>
      </c>
      <c r="L4303" s="9">
        <f>(PricingDataTable[[#This Row],[Vendor Price ($)]]-PricingDataTable[[#This Row],[Current Price ($)]])/PricingDataTable[[#This Row],[Current Price ($)]]</f>
        <v>1.7411658993707916E-3</v>
      </c>
      <c r="M4303" t="str">
        <f t="shared" si="134"/>
        <v>PASS</v>
      </c>
      <c r="N4303" s="10" t="str">
        <f t="shared" si="135"/>
        <v>NONE</v>
      </c>
    </row>
    <row r="4304" spans="1:14">
      <c r="A4304" s="4" t="s">
        <v>8624</v>
      </c>
      <c r="B4304" s="4" t="s">
        <v>8625</v>
      </c>
      <c r="C4304" s="4" t="s">
        <v>16</v>
      </c>
      <c r="D4304" s="4" t="s">
        <v>13</v>
      </c>
      <c r="E4304" s="5">
        <v>84.497900000000001</v>
      </c>
      <c r="F4304" s="5">
        <v>84.757800000000003</v>
      </c>
      <c r="G4304" s="5">
        <v>84.509799999999998</v>
      </c>
      <c r="H4304" s="4">
        <v>0</v>
      </c>
      <c r="I4304" s="6">
        <v>3874479</v>
      </c>
      <c r="J4304" s="7">
        <v>84.41</v>
      </c>
      <c r="K4304" s="9">
        <f>(PricingDataTable[[#This Row],[Current Price ($)]]-PricingDataTable[[#This Row],[Prior Price ($)]])/PricingDataTable[[#This Row],[Prior Price ($)]]</f>
        <v>3.07581608537019E-3</v>
      </c>
      <c r="L4304" s="9">
        <f>(PricingDataTable[[#This Row],[Vendor Price ($)]]-PricingDataTable[[#This Row],[Current Price ($)]])/PricingDataTable[[#This Row],[Current Price ($)]]</f>
        <v>-2.9259843931768482E-3</v>
      </c>
      <c r="M4304" t="str">
        <f t="shared" si="134"/>
        <v>PASS</v>
      </c>
      <c r="N4304" s="10" t="str">
        <f t="shared" si="135"/>
        <v>NONE</v>
      </c>
    </row>
    <row r="4305" spans="1:14">
      <c r="A4305" s="4" t="s">
        <v>8626</v>
      </c>
      <c r="B4305" s="4" t="s">
        <v>8627</v>
      </c>
      <c r="C4305" s="4" t="s">
        <v>19</v>
      </c>
      <c r="D4305" s="4" t="s">
        <v>13</v>
      </c>
      <c r="E4305" s="5">
        <v>286.71449999999999</v>
      </c>
      <c r="F4305" s="5">
        <v>279.64699999999999</v>
      </c>
      <c r="G4305" s="5">
        <v>279.15530000000001</v>
      </c>
      <c r="H4305" s="4">
        <v>5</v>
      </c>
      <c r="I4305" s="6">
        <v>1260382</v>
      </c>
      <c r="J4305" s="7">
        <v>243.05</v>
      </c>
      <c r="K4305" s="9">
        <f>(PricingDataTable[[#This Row],[Current Price ($)]]-PricingDataTable[[#This Row],[Prior Price ($)]])/PricingDataTable[[#This Row],[Prior Price ($)]]</f>
        <v>-2.4649956664207759E-2</v>
      </c>
      <c r="L4305" s="9">
        <f>(PricingDataTable[[#This Row],[Vendor Price ($)]]-PricingDataTable[[#This Row],[Current Price ($)]])/PricingDataTable[[#This Row],[Current Price ($)]]</f>
        <v>-1.7582881275321398E-3</v>
      </c>
      <c r="M4305" t="str">
        <f t="shared" si="134"/>
        <v>STALE</v>
      </c>
      <c r="N4305" s="10" t="str">
        <f t="shared" si="135"/>
        <v>MEDIUM</v>
      </c>
    </row>
    <row r="4306" spans="1:14">
      <c r="A4306" s="4" t="s">
        <v>8628</v>
      </c>
      <c r="B4306" s="4" t="s">
        <v>8629</v>
      </c>
      <c r="C4306" s="4" t="s">
        <v>19</v>
      </c>
      <c r="D4306" s="4" t="s">
        <v>13</v>
      </c>
      <c r="E4306" s="5">
        <v>285.18150000000003</v>
      </c>
      <c r="F4306" s="5">
        <v>287.8691</v>
      </c>
      <c r="G4306" s="5">
        <v>288.89420000000001</v>
      </c>
      <c r="H4306" s="4">
        <v>1</v>
      </c>
      <c r="I4306" s="6">
        <v>443745</v>
      </c>
      <c r="J4306" s="7">
        <v>410.78</v>
      </c>
      <c r="K4306" s="9">
        <f>(PricingDataTable[[#This Row],[Current Price ($)]]-PricingDataTable[[#This Row],[Prior Price ($)]])/PricingDataTable[[#This Row],[Prior Price ($)]]</f>
        <v>9.4241737279591228E-3</v>
      </c>
      <c r="L4306" s="9">
        <f>(PricingDataTable[[#This Row],[Vendor Price ($)]]-PricingDataTable[[#This Row],[Current Price ($)]])/PricingDataTable[[#This Row],[Current Price ($)]]</f>
        <v>3.5609935210135753E-3</v>
      </c>
      <c r="M4306" t="str">
        <f t="shared" si="134"/>
        <v>PASS</v>
      </c>
      <c r="N4306" s="10" t="str">
        <f t="shared" si="135"/>
        <v>NONE</v>
      </c>
    </row>
    <row r="4307" spans="1:14">
      <c r="A4307" s="4" t="s">
        <v>8630</v>
      </c>
      <c r="B4307" s="4" t="s">
        <v>8631</v>
      </c>
      <c r="C4307" s="4" t="s">
        <v>19</v>
      </c>
      <c r="D4307" s="4" t="s">
        <v>36</v>
      </c>
      <c r="E4307" s="5">
        <v>144.73439999999999</v>
      </c>
      <c r="F4307" s="5">
        <v>143.0949</v>
      </c>
      <c r="G4307" s="5">
        <v>142.54220000000001</v>
      </c>
      <c r="H4307" s="4">
        <v>0</v>
      </c>
      <c r="I4307" s="6">
        <v>156691</v>
      </c>
      <c r="J4307" s="7">
        <v>140.99</v>
      </c>
      <c r="K4307" s="9">
        <f>(PricingDataTable[[#This Row],[Current Price ($)]]-PricingDataTable[[#This Row],[Prior Price ($)]])/PricingDataTable[[#This Row],[Prior Price ($)]]</f>
        <v>-1.1327645673730628E-2</v>
      </c>
      <c r="L4307" s="9">
        <f>(PricingDataTable[[#This Row],[Vendor Price ($)]]-PricingDataTable[[#This Row],[Current Price ($)]])/PricingDataTable[[#This Row],[Current Price ($)]]</f>
        <v>-3.8624716883689588E-3</v>
      </c>
      <c r="M4307" t="str">
        <f t="shared" si="134"/>
        <v>PASS</v>
      </c>
      <c r="N4307" s="10" t="str">
        <f t="shared" si="135"/>
        <v>NONE</v>
      </c>
    </row>
    <row r="4308" spans="1:14">
      <c r="A4308" s="4" t="s">
        <v>8632</v>
      </c>
      <c r="B4308" s="4" t="s">
        <v>8633</v>
      </c>
      <c r="C4308" s="4" t="s">
        <v>19</v>
      </c>
      <c r="D4308" s="4" t="s">
        <v>13</v>
      </c>
      <c r="E4308" s="5">
        <v>283.40820000000002</v>
      </c>
      <c r="F4308" s="5">
        <v>284.97500000000002</v>
      </c>
      <c r="G4308" s="5">
        <v>284.75189999999998</v>
      </c>
      <c r="H4308" s="4">
        <v>0</v>
      </c>
      <c r="I4308" s="6">
        <v>2886993</v>
      </c>
      <c r="J4308" s="7">
        <v>717.68</v>
      </c>
      <c r="K4308" s="9">
        <f>(PricingDataTable[[#This Row],[Current Price ($)]]-PricingDataTable[[#This Row],[Prior Price ($)]])/PricingDataTable[[#This Row],[Prior Price ($)]]</f>
        <v>5.528421548847212E-3</v>
      </c>
      <c r="L4308" s="9">
        <f>(PricingDataTable[[#This Row],[Vendor Price ($)]]-PricingDataTable[[#This Row],[Current Price ($)]])/PricingDataTable[[#This Row],[Current Price ($)]]</f>
        <v>-7.8287569085023221E-4</v>
      </c>
      <c r="M4308" t="str">
        <f t="shared" si="134"/>
        <v>PASS</v>
      </c>
      <c r="N4308" s="10" t="str">
        <f t="shared" si="135"/>
        <v>NONE</v>
      </c>
    </row>
    <row r="4309" spans="1:14">
      <c r="A4309" s="4" t="s">
        <v>8634</v>
      </c>
      <c r="B4309" s="4" t="s">
        <v>8635</v>
      </c>
      <c r="C4309" s="4" t="s">
        <v>19</v>
      </c>
      <c r="D4309" s="4" t="s">
        <v>36</v>
      </c>
      <c r="E4309" s="5">
        <v>284.49639999999999</v>
      </c>
      <c r="F4309" s="5">
        <v>284.33100000000002</v>
      </c>
      <c r="G4309" s="5">
        <v>282.99329999999998</v>
      </c>
      <c r="H4309" s="4">
        <v>1</v>
      </c>
      <c r="I4309" s="6">
        <v>1154490</v>
      </c>
      <c r="J4309" s="7">
        <v>723.44</v>
      </c>
      <c r="K4309" s="9">
        <f>(PricingDataTable[[#This Row],[Current Price ($)]]-PricingDataTable[[#This Row],[Prior Price ($)]])/PricingDataTable[[#This Row],[Prior Price ($)]]</f>
        <v>-5.8137818264124579E-4</v>
      </c>
      <c r="L4309" s="9">
        <f>(PricingDataTable[[#This Row],[Vendor Price ($)]]-PricingDataTable[[#This Row],[Current Price ($)]])/PricingDataTable[[#This Row],[Current Price ($)]]</f>
        <v>-4.7047279403232174E-3</v>
      </c>
      <c r="M4309" t="str">
        <f t="shared" si="134"/>
        <v>PASS</v>
      </c>
      <c r="N4309" s="10" t="str">
        <f t="shared" si="135"/>
        <v>NONE</v>
      </c>
    </row>
    <row r="4310" spans="1:14">
      <c r="A4310" s="4" t="s">
        <v>8636</v>
      </c>
      <c r="B4310" s="4" t="s">
        <v>8637</v>
      </c>
      <c r="C4310" s="4" t="s">
        <v>19</v>
      </c>
      <c r="D4310" s="4" t="s">
        <v>64</v>
      </c>
      <c r="E4310" s="5">
        <v>202.73570000000001</v>
      </c>
      <c r="F4310" s="5">
        <v>207.9846</v>
      </c>
      <c r="G4310" s="5">
        <v>208.30410000000001</v>
      </c>
      <c r="H4310" s="4">
        <v>0</v>
      </c>
      <c r="I4310" s="6">
        <v>2969272</v>
      </c>
      <c r="J4310" s="7">
        <v>428.08</v>
      </c>
      <c r="K4310" s="9">
        <f>(PricingDataTable[[#This Row],[Current Price ($)]]-PricingDataTable[[#This Row],[Prior Price ($)]])/PricingDataTable[[#This Row],[Prior Price ($)]]</f>
        <v>2.5890358728137136E-2</v>
      </c>
      <c r="L4310" s="9">
        <f>(PricingDataTable[[#This Row],[Vendor Price ($)]]-PricingDataTable[[#This Row],[Current Price ($)]])/PricingDataTable[[#This Row],[Current Price ($)]]</f>
        <v>1.5361714280769105E-3</v>
      </c>
      <c r="M4310" t="str">
        <f t="shared" si="134"/>
        <v>PASS</v>
      </c>
      <c r="N4310" s="10" t="str">
        <f t="shared" si="135"/>
        <v>NONE</v>
      </c>
    </row>
    <row r="4311" spans="1:14">
      <c r="A4311" s="4" t="s">
        <v>8638</v>
      </c>
      <c r="B4311" s="4" t="s">
        <v>8639</v>
      </c>
      <c r="C4311" s="4" t="s">
        <v>19</v>
      </c>
      <c r="D4311" s="4" t="s">
        <v>13</v>
      </c>
      <c r="E4311" s="5">
        <v>171.09360000000001</v>
      </c>
      <c r="F4311" s="5">
        <v>170.86439999999999</v>
      </c>
      <c r="G4311" s="5">
        <v>171.149</v>
      </c>
      <c r="H4311" s="4">
        <v>4</v>
      </c>
      <c r="I4311" s="6">
        <v>4684357</v>
      </c>
      <c r="J4311" s="7">
        <v>696.09</v>
      </c>
      <c r="K4311" s="9">
        <f>(PricingDataTable[[#This Row],[Current Price ($)]]-PricingDataTable[[#This Row],[Prior Price ($)]])/PricingDataTable[[#This Row],[Prior Price ($)]]</f>
        <v>-1.3396176128155585E-3</v>
      </c>
      <c r="L4311" s="9">
        <f>(PricingDataTable[[#This Row],[Vendor Price ($)]]-PricingDataTable[[#This Row],[Current Price ($)]])/PricingDataTable[[#This Row],[Current Price ($)]]</f>
        <v>1.6656483152722964E-3</v>
      </c>
      <c r="M4311" t="str">
        <f t="shared" si="134"/>
        <v>STALE</v>
      </c>
      <c r="N4311" s="10" t="str">
        <f t="shared" si="135"/>
        <v>LOW</v>
      </c>
    </row>
    <row r="4312" spans="1:14">
      <c r="A4312" s="4" t="s">
        <v>8640</v>
      </c>
      <c r="B4312" s="4" t="s">
        <v>8641</v>
      </c>
      <c r="C4312" s="4" t="s">
        <v>12</v>
      </c>
      <c r="D4312" s="4" t="s">
        <v>64</v>
      </c>
      <c r="E4312" s="5">
        <v>104.8767</v>
      </c>
      <c r="F4312" s="5">
        <v>104.9585</v>
      </c>
      <c r="G4312" s="5">
        <v>104.91889999999999</v>
      </c>
      <c r="H4312" s="4">
        <v>0</v>
      </c>
      <c r="I4312" s="6">
        <v>961737</v>
      </c>
      <c r="J4312" s="7">
        <v>765.52</v>
      </c>
      <c r="K4312" s="9">
        <f>(PricingDataTable[[#This Row],[Current Price ($)]]-PricingDataTable[[#This Row],[Prior Price ($)]])/PricingDataTable[[#This Row],[Prior Price ($)]]</f>
        <v>7.7996351906573348E-4</v>
      </c>
      <c r="L4312" s="9">
        <f>(PricingDataTable[[#This Row],[Vendor Price ($)]]-PricingDataTable[[#This Row],[Current Price ($)]])/PricingDataTable[[#This Row],[Current Price ($)]]</f>
        <v>-3.7729197730538438E-4</v>
      </c>
      <c r="M4312" t="str">
        <f t="shared" si="134"/>
        <v>PASS</v>
      </c>
      <c r="N4312" s="10" t="str">
        <f t="shared" si="135"/>
        <v>NONE</v>
      </c>
    </row>
    <row r="4313" spans="1:14">
      <c r="A4313" s="4" t="s">
        <v>8642</v>
      </c>
      <c r="B4313" s="4" t="s">
        <v>8643</v>
      </c>
      <c r="C4313" s="4" t="s">
        <v>19</v>
      </c>
      <c r="D4313" s="4" t="s">
        <v>13</v>
      </c>
      <c r="E4313" s="5">
        <v>150.3014</v>
      </c>
      <c r="F4313" s="5">
        <v>152.45769999999999</v>
      </c>
      <c r="G4313" s="5">
        <v>152.05879999999999</v>
      </c>
      <c r="H4313" s="4">
        <v>0</v>
      </c>
      <c r="I4313" s="6">
        <v>816932</v>
      </c>
      <c r="J4313" s="7">
        <v>379.16</v>
      </c>
      <c r="K4313" s="9">
        <f>(PricingDataTable[[#This Row],[Current Price ($)]]-PricingDataTable[[#This Row],[Prior Price ($)]])/PricingDataTable[[#This Row],[Prior Price ($)]]</f>
        <v>1.4346506419767131E-2</v>
      </c>
      <c r="L4313" s="9">
        <f>(PricingDataTable[[#This Row],[Vendor Price ($)]]-PricingDataTable[[#This Row],[Current Price ($)]])/PricingDataTable[[#This Row],[Current Price ($)]]</f>
        <v>-2.6164634518295741E-3</v>
      </c>
      <c r="M4313" t="str">
        <f t="shared" si="134"/>
        <v>PASS</v>
      </c>
      <c r="N4313" s="10" t="str">
        <f t="shared" si="135"/>
        <v>NONE</v>
      </c>
    </row>
    <row r="4314" spans="1:14">
      <c r="A4314" s="4" t="s">
        <v>8644</v>
      </c>
      <c r="B4314" s="4" t="s">
        <v>8645</v>
      </c>
      <c r="C4314" s="4" t="s">
        <v>39</v>
      </c>
      <c r="D4314" s="4" t="s">
        <v>13</v>
      </c>
      <c r="E4314" s="5">
        <v>179.33840000000001</v>
      </c>
      <c r="F4314" s="5">
        <v>182.0086</v>
      </c>
      <c r="G4314" s="5">
        <v>181.7937</v>
      </c>
      <c r="H4314" s="4">
        <v>0</v>
      </c>
      <c r="I4314" s="6">
        <v>3052302</v>
      </c>
      <c r="J4314" s="7">
        <v>386.15</v>
      </c>
      <c r="K4314" s="9">
        <f>(PricingDataTable[[#This Row],[Current Price ($)]]-PricingDataTable[[#This Row],[Prior Price ($)]])/PricingDataTable[[#This Row],[Prior Price ($)]]</f>
        <v>1.4889170417490031E-2</v>
      </c>
      <c r="L4314" s="9">
        <f>(PricingDataTable[[#This Row],[Vendor Price ($)]]-PricingDataTable[[#This Row],[Current Price ($)]])/PricingDataTable[[#This Row],[Current Price ($)]]</f>
        <v>-1.180713438815529E-3</v>
      </c>
      <c r="M4314" t="str">
        <f t="shared" si="134"/>
        <v>PASS</v>
      </c>
      <c r="N4314" s="10" t="str">
        <f t="shared" si="135"/>
        <v>NONE</v>
      </c>
    </row>
    <row r="4315" spans="1:14">
      <c r="A4315" s="4" t="s">
        <v>8646</v>
      </c>
      <c r="B4315" s="4" t="s">
        <v>8647</v>
      </c>
      <c r="C4315" s="4" t="s">
        <v>19</v>
      </c>
      <c r="D4315" s="4" t="s">
        <v>13</v>
      </c>
      <c r="E4315" s="5">
        <v>286.3322</v>
      </c>
      <c r="F4315" s="5">
        <v>287.77269999999999</v>
      </c>
      <c r="G4315" s="5">
        <v>287.87060000000002</v>
      </c>
      <c r="H4315" s="4">
        <v>0</v>
      </c>
      <c r="I4315" s="6">
        <v>2993140</v>
      </c>
      <c r="J4315" s="7">
        <v>573.05999999999995</v>
      </c>
      <c r="K4315" s="9">
        <f>(PricingDataTable[[#This Row],[Current Price ($)]]-PricingDataTable[[#This Row],[Prior Price ($)]])/PricingDataTable[[#This Row],[Prior Price ($)]]</f>
        <v>5.0308697380175398E-3</v>
      </c>
      <c r="L4315" s="9">
        <f>(PricingDataTable[[#This Row],[Vendor Price ($)]]-PricingDataTable[[#This Row],[Current Price ($)]])/PricingDataTable[[#This Row],[Current Price ($)]]</f>
        <v>3.4019905293322921E-4</v>
      </c>
      <c r="M4315" t="str">
        <f t="shared" si="134"/>
        <v>PASS</v>
      </c>
      <c r="N4315" s="10" t="str">
        <f t="shared" si="135"/>
        <v>NONE</v>
      </c>
    </row>
    <row r="4316" spans="1:14">
      <c r="A4316" s="4" t="s">
        <v>8648</v>
      </c>
      <c r="B4316" s="4" t="s">
        <v>8649</v>
      </c>
      <c r="C4316" s="4" t="s">
        <v>12</v>
      </c>
      <c r="D4316" s="4" t="s">
        <v>13</v>
      </c>
      <c r="E4316" s="5">
        <v>90.772300000000001</v>
      </c>
      <c r="F4316" s="5">
        <v>89.927999999999997</v>
      </c>
      <c r="G4316" s="5">
        <v>90.070499999999996</v>
      </c>
      <c r="H4316" s="4">
        <v>0</v>
      </c>
      <c r="I4316" s="6">
        <v>2144909</v>
      </c>
      <c r="J4316" s="7">
        <v>867.8</v>
      </c>
      <c r="K4316" s="9">
        <f>(PricingDataTable[[#This Row],[Current Price ($)]]-PricingDataTable[[#This Row],[Prior Price ($)]])/PricingDataTable[[#This Row],[Prior Price ($)]]</f>
        <v>-9.3012956595790123E-3</v>
      </c>
      <c r="L4316" s="9">
        <f>(PricingDataTable[[#This Row],[Vendor Price ($)]]-PricingDataTable[[#This Row],[Current Price ($)]])/PricingDataTable[[#This Row],[Current Price ($)]]</f>
        <v>1.5846010141446301E-3</v>
      </c>
      <c r="M4316" t="str">
        <f t="shared" si="134"/>
        <v>PASS</v>
      </c>
      <c r="N4316" s="10" t="str">
        <f t="shared" si="135"/>
        <v>NONE</v>
      </c>
    </row>
    <row r="4317" spans="1:14">
      <c r="A4317" s="4" t="s">
        <v>8650</v>
      </c>
      <c r="B4317" s="4" t="s">
        <v>8651</v>
      </c>
      <c r="C4317" s="4" t="s">
        <v>19</v>
      </c>
      <c r="D4317" s="4" t="s">
        <v>13</v>
      </c>
      <c r="E4317" s="5">
        <v>43.290799999999997</v>
      </c>
      <c r="F4317" s="5">
        <v>44.056399999999996</v>
      </c>
      <c r="G4317" s="5">
        <v>43.944299999999998</v>
      </c>
      <c r="H4317" s="4">
        <v>2</v>
      </c>
      <c r="I4317" s="6">
        <v>1190619</v>
      </c>
      <c r="J4317" s="7">
        <v>145.43</v>
      </c>
      <c r="K4317" s="9">
        <f>(PricingDataTable[[#This Row],[Current Price ($)]]-PricingDataTable[[#This Row],[Prior Price ($)]])/PricingDataTable[[#This Row],[Prior Price ($)]]</f>
        <v>1.7685050865310855E-2</v>
      </c>
      <c r="L4317" s="9">
        <f>(PricingDataTable[[#This Row],[Vendor Price ($)]]-PricingDataTable[[#This Row],[Current Price ($)]])/PricingDataTable[[#This Row],[Current Price ($)]]</f>
        <v>-2.5444657302911289E-3</v>
      </c>
      <c r="M4317" t="str">
        <f t="shared" si="134"/>
        <v>PASS</v>
      </c>
      <c r="N4317" s="10" t="str">
        <f t="shared" si="135"/>
        <v>NONE</v>
      </c>
    </row>
    <row r="4318" spans="1:14">
      <c r="A4318" s="4" t="s">
        <v>8652</v>
      </c>
      <c r="B4318" s="4" t="s">
        <v>8653</v>
      </c>
      <c r="C4318" s="4" t="s">
        <v>39</v>
      </c>
      <c r="D4318" s="4" t="s">
        <v>13</v>
      </c>
      <c r="E4318" s="5">
        <v>54.443100000000001</v>
      </c>
      <c r="F4318" s="5">
        <v>53.995899999999999</v>
      </c>
      <c r="G4318" s="5">
        <v>53.761800000000001</v>
      </c>
      <c r="H4318" s="4">
        <v>0</v>
      </c>
      <c r="I4318" s="6">
        <v>2383819</v>
      </c>
      <c r="J4318" s="7">
        <v>515.05999999999995</v>
      </c>
      <c r="K4318" s="9">
        <f>(PricingDataTable[[#This Row],[Current Price ($)]]-PricingDataTable[[#This Row],[Prior Price ($)]])/PricingDataTable[[#This Row],[Prior Price ($)]]</f>
        <v>-8.2140803885157581E-3</v>
      </c>
      <c r="L4318" s="9">
        <f>(PricingDataTable[[#This Row],[Vendor Price ($)]]-PricingDataTable[[#This Row],[Current Price ($)]])/PricingDataTable[[#This Row],[Current Price ($)]]</f>
        <v>-4.3355143631275336E-3</v>
      </c>
      <c r="M4318" t="str">
        <f t="shared" si="134"/>
        <v>PASS</v>
      </c>
      <c r="N4318" s="10" t="str">
        <f t="shared" si="135"/>
        <v>NONE</v>
      </c>
    </row>
    <row r="4319" spans="1:14">
      <c r="A4319" s="4" t="s">
        <v>8654</v>
      </c>
      <c r="B4319" s="4" t="s">
        <v>8655</v>
      </c>
      <c r="C4319" s="4" t="s">
        <v>35</v>
      </c>
      <c r="D4319" s="4" t="s">
        <v>13</v>
      </c>
      <c r="E4319" s="5">
        <v>11.394600000000001</v>
      </c>
      <c r="F4319" s="5">
        <v>11.4292</v>
      </c>
      <c r="G4319" s="5">
        <v>11.4161</v>
      </c>
      <c r="H4319" s="4">
        <v>0</v>
      </c>
      <c r="I4319" s="6">
        <v>4876931</v>
      </c>
      <c r="J4319" s="7">
        <v>51.77</v>
      </c>
      <c r="K4319" s="9">
        <f>(PricingDataTable[[#This Row],[Current Price ($)]]-PricingDataTable[[#This Row],[Prior Price ($)]])/PricingDataTable[[#This Row],[Prior Price ($)]]</f>
        <v>3.0365260737541728E-3</v>
      </c>
      <c r="L4319" s="9">
        <f>(PricingDataTable[[#This Row],[Vendor Price ($)]]-PricingDataTable[[#This Row],[Current Price ($)]])/PricingDataTable[[#This Row],[Current Price ($)]]</f>
        <v>-1.1461869597171866E-3</v>
      </c>
      <c r="M4319" t="str">
        <f t="shared" si="134"/>
        <v>PASS</v>
      </c>
      <c r="N4319" s="10" t="str">
        <f t="shared" si="135"/>
        <v>NONE</v>
      </c>
    </row>
    <row r="4320" spans="1:14">
      <c r="A4320" s="4" t="s">
        <v>8656</v>
      </c>
      <c r="B4320" s="4" t="s">
        <v>8657</v>
      </c>
      <c r="C4320" s="4" t="s">
        <v>16</v>
      </c>
      <c r="D4320" s="4" t="s">
        <v>13</v>
      </c>
      <c r="E4320" s="5">
        <v>95.636899999999997</v>
      </c>
      <c r="F4320" s="5">
        <v>95.994699999999995</v>
      </c>
      <c r="G4320" s="5">
        <v>96.300200000000004</v>
      </c>
      <c r="H4320" s="4">
        <v>0</v>
      </c>
      <c r="I4320" s="6">
        <v>766360</v>
      </c>
      <c r="J4320" s="7">
        <v>15.52</v>
      </c>
      <c r="K4320" s="9">
        <f>(PricingDataTable[[#This Row],[Current Price ($)]]-PricingDataTable[[#This Row],[Prior Price ($)]])/PricingDataTable[[#This Row],[Prior Price ($)]]</f>
        <v>3.7412337706470775E-3</v>
      </c>
      <c r="L4320" s="9">
        <f>(PricingDataTable[[#This Row],[Vendor Price ($)]]-PricingDataTable[[#This Row],[Current Price ($)]])/PricingDataTable[[#This Row],[Current Price ($)]]</f>
        <v>3.1824673653858934E-3</v>
      </c>
      <c r="M4320" t="str">
        <f t="shared" si="134"/>
        <v>PASS</v>
      </c>
      <c r="N4320" s="10" t="str">
        <f t="shared" si="135"/>
        <v>NONE</v>
      </c>
    </row>
    <row r="4321" spans="1:14">
      <c r="A4321" s="4" t="s">
        <v>8658</v>
      </c>
      <c r="B4321" s="4" t="s">
        <v>8659</v>
      </c>
      <c r="C4321" s="4" t="s">
        <v>16</v>
      </c>
      <c r="D4321" s="4" t="s">
        <v>237</v>
      </c>
      <c r="E4321" s="5">
        <v>104.51909999999999</v>
      </c>
      <c r="F4321" s="5">
        <v>107.2398</v>
      </c>
      <c r="G4321" s="5">
        <v>107.5106</v>
      </c>
      <c r="H4321" s="4">
        <v>2</v>
      </c>
      <c r="I4321" s="6">
        <v>3606485</v>
      </c>
      <c r="J4321" s="7">
        <v>879.41</v>
      </c>
      <c r="K4321" s="9">
        <f>(PricingDataTable[[#This Row],[Current Price ($)]]-PricingDataTable[[#This Row],[Prior Price ($)]])/PricingDataTable[[#This Row],[Prior Price ($)]]</f>
        <v>2.6030648943590293E-2</v>
      </c>
      <c r="L4321" s="9">
        <f>(PricingDataTable[[#This Row],[Vendor Price ($)]]-PricingDataTable[[#This Row],[Current Price ($)]])/PricingDataTable[[#This Row],[Current Price ($)]]</f>
        <v>2.5251818820996885E-3</v>
      </c>
      <c r="M4321" t="str">
        <f t="shared" si="134"/>
        <v>PASS</v>
      </c>
      <c r="N4321" s="10" t="str">
        <f t="shared" si="135"/>
        <v>NONE</v>
      </c>
    </row>
    <row r="4322" spans="1:14">
      <c r="A4322" s="4" t="s">
        <v>8660</v>
      </c>
      <c r="B4322" s="4" t="s">
        <v>8661</v>
      </c>
      <c r="C4322" s="4" t="s">
        <v>12</v>
      </c>
      <c r="D4322" s="4" t="s">
        <v>13</v>
      </c>
      <c r="E4322" s="5">
        <v>89.916899999999998</v>
      </c>
      <c r="F4322" s="5">
        <v>90.518600000000006</v>
      </c>
      <c r="G4322" s="5"/>
      <c r="H4322" s="4">
        <v>0</v>
      </c>
      <c r="I4322" s="6">
        <v>1604930</v>
      </c>
      <c r="J4322" s="7">
        <v>891.5</v>
      </c>
      <c r="K4322" s="9">
        <f>(PricingDataTable[[#This Row],[Current Price ($)]]-PricingDataTable[[#This Row],[Prior Price ($)]])/PricingDataTable[[#This Row],[Prior Price ($)]]</f>
        <v>6.6917342568528068E-3</v>
      </c>
      <c r="L4322" s="9">
        <f>(PricingDataTable[[#This Row],[Vendor Price ($)]]-PricingDataTable[[#This Row],[Current Price ($)]])/PricingDataTable[[#This Row],[Current Price ($)]]</f>
        <v>-1</v>
      </c>
      <c r="M4322" t="str">
        <f t="shared" si="134"/>
        <v>VENDOR DIFFERENCE</v>
      </c>
      <c r="N4322" s="10" t="str">
        <f t="shared" si="135"/>
        <v>HIGH</v>
      </c>
    </row>
    <row r="4323" spans="1:14">
      <c r="A4323" s="4" t="s">
        <v>8662</v>
      </c>
      <c r="B4323" s="4" t="s">
        <v>8663</v>
      </c>
      <c r="C4323" s="4" t="s">
        <v>39</v>
      </c>
      <c r="D4323" s="4" t="s">
        <v>13</v>
      </c>
      <c r="E4323" s="5">
        <v>41.101500000000001</v>
      </c>
      <c r="F4323" s="5">
        <v>40.767200000000003</v>
      </c>
      <c r="G4323" s="5">
        <v>40.903700000000001</v>
      </c>
      <c r="H4323" s="4">
        <v>1</v>
      </c>
      <c r="I4323" s="6">
        <v>2249066</v>
      </c>
      <c r="J4323" s="7">
        <v>63.28</v>
      </c>
      <c r="K4323" s="9">
        <f>(PricingDataTable[[#This Row],[Current Price ($)]]-PricingDataTable[[#This Row],[Prior Price ($)]])/PricingDataTable[[#This Row],[Prior Price ($)]]</f>
        <v>-8.1335231074291421E-3</v>
      </c>
      <c r="L4323" s="9">
        <f>(PricingDataTable[[#This Row],[Vendor Price ($)]]-PricingDataTable[[#This Row],[Current Price ($)]])/PricingDataTable[[#This Row],[Current Price ($)]]</f>
        <v>3.3482799897956704E-3</v>
      </c>
      <c r="M4323" t="str">
        <f t="shared" si="134"/>
        <v>PASS</v>
      </c>
      <c r="N4323" s="10" t="str">
        <f t="shared" si="135"/>
        <v>NONE</v>
      </c>
    </row>
    <row r="4324" spans="1:14">
      <c r="A4324" s="4" t="s">
        <v>8664</v>
      </c>
      <c r="B4324" s="4" t="s">
        <v>8665</v>
      </c>
      <c r="C4324" s="4" t="s">
        <v>19</v>
      </c>
      <c r="D4324" s="4" t="s">
        <v>13</v>
      </c>
      <c r="E4324" s="5">
        <v>118.34739999999999</v>
      </c>
      <c r="F4324" s="5">
        <v>118.7894</v>
      </c>
      <c r="G4324" s="5"/>
      <c r="H4324" s="4">
        <v>0</v>
      </c>
      <c r="I4324" s="6">
        <v>1090136</v>
      </c>
      <c r="J4324" s="7">
        <v>493.23</v>
      </c>
      <c r="K4324" s="9">
        <f>(PricingDataTable[[#This Row],[Current Price ($)]]-PricingDataTable[[#This Row],[Prior Price ($)]])/PricingDataTable[[#This Row],[Prior Price ($)]]</f>
        <v>3.7347673037177605E-3</v>
      </c>
      <c r="L4324" s="9">
        <f>(PricingDataTable[[#This Row],[Vendor Price ($)]]-PricingDataTable[[#This Row],[Current Price ($)]])/PricingDataTable[[#This Row],[Current Price ($)]]</f>
        <v>-1</v>
      </c>
      <c r="M4324" t="str">
        <f t="shared" si="134"/>
        <v>VENDOR DIFFERENCE</v>
      </c>
      <c r="N4324" s="10" t="str">
        <f t="shared" si="135"/>
        <v>HIGH</v>
      </c>
    </row>
    <row r="4325" spans="1:14">
      <c r="A4325" s="4" t="s">
        <v>8666</v>
      </c>
      <c r="B4325" s="4" t="s">
        <v>8667</v>
      </c>
      <c r="C4325" s="4" t="s">
        <v>19</v>
      </c>
      <c r="D4325" s="4" t="s">
        <v>13</v>
      </c>
      <c r="E4325" s="5">
        <v>191.75489999999999</v>
      </c>
      <c r="F4325" s="5">
        <v>188.0025</v>
      </c>
      <c r="G4325" s="5">
        <v>188.69839999999999</v>
      </c>
      <c r="H4325" s="4">
        <v>1</v>
      </c>
      <c r="I4325" s="6">
        <v>593206</v>
      </c>
      <c r="J4325" s="7">
        <v>588.96</v>
      </c>
      <c r="K4325" s="9">
        <f>(PricingDataTable[[#This Row],[Current Price ($)]]-PricingDataTable[[#This Row],[Prior Price ($)]])/PricingDataTable[[#This Row],[Prior Price ($)]]</f>
        <v>-1.9568730707794139E-2</v>
      </c>
      <c r="L4325" s="9">
        <f>(PricingDataTable[[#This Row],[Vendor Price ($)]]-PricingDataTable[[#This Row],[Current Price ($)]])/PricingDataTable[[#This Row],[Current Price ($)]]</f>
        <v>3.7015465219877109E-3</v>
      </c>
      <c r="M4325" t="str">
        <f t="shared" si="134"/>
        <v>PASS</v>
      </c>
      <c r="N4325" s="10" t="str">
        <f t="shared" si="135"/>
        <v>NONE</v>
      </c>
    </row>
    <row r="4326" spans="1:14">
      <c r="A4326" s="4" t="s">
        <v>8668</v>
      </c>
      <c r="B4326" s="4" t="s">
        <v>8669</v>
      </c>
      <c r="C4326" s="4" t="s">
        <v>19</v>
      </c>
      <c r="D4326" s="4" t="s">
        <v>64</v>
      </c>
      <c r="E4326" s="5">
        <v>194.53370000000001</v>
      </c>
      <c r="F4326" s="5">
        <v>195.28800000000001</v>
      </c>
      <c r="G4326" s="5">
        <v>195.09800000000001</v>
      </c>
      <c r="H4326" s="4">
        <v>5</v>
      </c>
      <c r="I4326" s="6">
        <v>3183532</v>
      </c>
      <c r="J4326" s="7">
        <v>104.13</v>
      </c>
      <c r="K4326" s="9">
        <f>(PricingDataTable[[#This Row],[Current Price ($)]]-PricingDataTable[[#This Row],[Prior Price ($)]])/PricingDataTable[[#This Row],[Prior Price ($)]]</f>
        <v>3.8774772700051487E-3</v>
      </c>
      <c r="L4326" s="9">
        <f>(PricingDataTable[[#This Row],[Vendor Price ($)]]-PricingDataTable[[#This Row],[Current Price ($)]])/PricingDataTable[[#This Row],[Current Price ($)]]</f>
        <v>-9.7292204334110499E-4</v>
      </c>
      <c r="M4326" t="str">
        <f t="shared" si="134"/>
        <v>STALE</v>
      </c>
      <c r="N4326" s="10" t="str">
        <f t="shared" si="135"/>
        <v>MEDIUM</v>
      </c>
    </row>
    <row r="4327" spans="1:14">
      <c r="A4327" s="4" t="s">
        <v>8670</v>
      </c>
      <c r="B4327" s="4" t="s">
        <v>8671</v>
      </c>
      <c r="C4327" s="4" t="s">
        <v>16</v>
      </c>
      <c r="D4327" s="4" t="s">
        <v>13</v>
      </c>
      <c r="E4327" s="5">
        <v>93.744500000000002</v>
      </c>
      <c r="F4327" s="5">
        <v>91.908900000000003</v>
      </c>
      <c r="G4327" s="5">
        <v>91.778000000000006</v>
      </c>
      <c r="H4327" s="4">
        <v>0</v>
      </c>
      <c r="I4327" s="6">
        <v>3333562</v>
      </c>
      <c r="J4327" s="7">
        <v>834.26</v>
      </c>
      <c r="K4327" s="9">
        <f>(PricingDataTable[[#This Row],[Current Price ($)]]-PricingDataTable[[#This Row],[Prior Price ($)]])/PricingDataTable[[#This Row],[Prior Price ($)]]</f>
        <v>-1.9580882078415261E-2</v>
      </c>
      <c r="L4327" s="9">
        <f>(PricingDataTable[[#This Row],[Vendor Price ($)]]-PricingDataTable[[#This Row],[Current Price ($)]])/PricingDataTable[[#This Row],[Current Price ($)]]</f>
        <v>-1.4242363905997886E-3</v>
      </c>
      <c r="M4327" t="str">
        <f t="shared" si="134"/>
        <v>PASS</v>
      </c>
      <c r="N4327" s="10" t="str">
        <f t="shared" si="135"/>
        <v>NONE</v>
      </c>
    </row>
    <row r="4328" spans="1:14">
      <c r="A4328" s="4" t="s">
        <v>8672</v>
      </c>
      <c r="B4328" s="4" t="s">
        <v>8673</v>
      </c>
      <c r="C4328" s="4" t="s">
        <v>19</v>
      </c>
      <c r="D4328" s="4" t="s">
        <v>13</v>
      </c>
      <c r="E4328" s="5">
        <v>48.091900000000003</v>
      </c>
      <c r="F4328" s="5">
        <v>48.436799999999998</v>
      </c>
      <c r="G4328" s="5">
        <v>48.1873</v>
      </c>
      <c r="H4328" s="4">
        <v>2</v>
      </c>
      <c r="I4328" s="6">
        <v>3198641</v>
      </c>
      <c r="J4328" s="7">
        <v>341.74</v>
      </c>
      <c r="K4328" s="9">
        <f>(PricingDataTable[[#This Row],[Current Price ($)]]-PricingDataTable[[#This Row],[Prior Price ($)]])/PricingDataTable[[#This Row],[Prior Price ($)]]</f>
        <v>7.1716858764156862E-3</v>
      </c>
      <c r="L4328" s="9">
        <f>(PricingDataTable[[#This Row],[Vendor Price ($)]]-PricingDataTable[[#This Row],[Current Price ($)]])/PricingDataTable[[#This Row],[Current Price ($)]]</f>
        <v>-5.1510421828031092E-3</v>
      </c>
      <c r="M4328" t="str">
        <f t="shared" si="134"/>
        <v>PASS</v>
      </c>
      <c r="N4328" s="10" t="str">
        <f t="shared" si="135"/>
        <v>NONE</v>
      </c>
    </row>
    <row r="4329" spans="1:14">
      <c r="A4329" s="4" t="s">
        <v>8674</v>
      </c>
      <c r="B4329" s="4" t="s">
        <v>8675</v>
      </c>
      <c r="C4329" s="4" t="s">
        <v>39</v>
      </c>
      <c r="D4329" s="4" t="s">
        <v>13</v>
      </c>
      <c r="E4329" s="5">
        <v>76.854399999999998</v>
      </c>
      <c r="F4329" s="5">
        <v>76.547600000000003</v>
      </c>
      <c r="G4329" s="5">
        <v>76.337599999999995</v>
      </c>
      <c r="H4329" s="4">
        <v>0</v>
      </c>
      <c r="I4329" s="6">
        <v>3222428</v>
      </c>
      <c r="J4329" s="7">
        <v>2.19</v>
      </c>
      <c r="K4329" s="9">
        <f>(PricingDataTable[[#This Row],[Current Price ($)]]-PricingDataTable[[#This Row],[Prior Price ($)]])/PricingDataTable[[#This Row],[Prior Price ($)]]</f>
        <v>-3.9919640254818924E-3</v>
      </c>
      <c r="L4329" s="9">
        <f>(PricingDataTable[[#This Row],[Vendor Price ($)]]-PricingDataTable[[#This Row],[Current Price ($)]])/PricingDataTable[[#This Row],[Current Price ($)]]</f>
        <v>-2.7433910403462415E-3</v>
      </c>
      <c r="M4329" t="str">
        <f t="shared" si="134"/>
        <v>PASS</v>
      </c>
      <c r="N4329" s="10" t="str">
        <f t="shared" si="135"/>
        <v>NONE</v>
      </c>
    </row>
    <row r="4330" spans="1:14">
      <c r="A4330" s="4" t="s">
        <v>8676</v>
      </c>
      <c r="B4330" s="4" t="s">
        <v>8677</v>
      </c>
      <c r="C4330" s="4" t="s">
        <v>12</v>
      </c>
      <c r="D4330" s="4" t="s">
        <v>13</v>
      </c>
      <c r="E4330" s="5">
        <v>75.467699999999994</v>
      </c>
      <c r="F4330" s="5">
        <v>75.242699999999999</v>
      </c>
      <c r="G4330" s="5">
        <v>74.961699999999993</v>
      </c>
      <c r="H4330" s="4">
        <v>3</v>
      </c>
      <c r="I4330" s="6">
        <v>3571695</v>
      </c>
      <c r="J4330" s="7">
        <v>816.79</v>
      </c>
      <c r="K4330" s="9">
        <f>(PricingDataTable[[#This Row],[Current Price ($)]]-PricingDataTable[[#This Row],[Prior Price ($)]])/PricingDataTable[[#This Row],[Prior Price ($)]]</f>
        <v>-2.9814079400855508E-3</v>
      </c>
      <c r="L4330" s="9">
        <f>(PricingDataTable[[#This Row],[Vendor Price ($)]]-PricingDataTable[[#This Row],[Current Price ($)]])/PricingDataTable[[#This Row],[Current Price ($)]]</f>
        <v>-3.734581560736203E-3</v>
      </c>
      <c r="M4330" t="str">
        <f t="shared" si="134"/>
        <v>STALE</v>
      </c>
      <c r="N4330" s="10" t="str">
        <f t="shared" si="135"/>
        <v>LOW</v>
      </c>
    </row>
    <row r="4331" spans="1:14">
      <c r="A4331" s="4" t="s">
        <v>8678</v>
      </c>
      <c r="B4331" s="4" t="s">
        <v>8679</v>
      </c>
      <c r="C4331" s="4" t="s">
        <v>19</v>
      </c>
      <c r="D4331" s="4" t="s">
        <v>13</v>
      </c>
      <c r="E4331" s="5">
        <v>77.110900000000001</v>
      </c>
      <c r="F4331" s="5">
        <v>76.759200000000007</v>
      </c>
      <c r="G4331" s="5">
        <v>76.556100000000001</v>
      </c>
      <c r="H4331" s="4">
        <v>4</v>
      </c>
      <c r="I4331" s="6">
        <v>3718002</v>
      </c>
      <c r="J4331" s="7">
        <v>315.26</v>
      </c>
      <c r="K4331" s="9">
        <f>(PricingDataTable[[#This Row],[Current Price ($)]]-PricingDataTable[[#This Row],[Prior Price ($)]])/PricingDataTable[[#This Row],[Prior Price ($)]]</f>
        <v>-4.560963495433122E-3</v>
      </c>
      <c r="L4331" s="9">
        <f>(PricingDataTable[[#This Row],[Vendor Price ($)]]-PricingDataTable[[#This Row],[Current Price ($)]])/PricingDataTable[[#This Row],[Current Price ($)]]</f>
        <v>-2.6459369039803209E-3</v>
      </c>
      <c r="M4331" t="str">
        <f t="shared" si="134"/>
        <v>STALE</v>
      </c>
      <c r="N4331" s="10" t="str">
        <f t="shared" si="135"/>
        <v>LOW</v>
      </c>
    </row>
    <row r="4332" spans="1:14">
      <c r="A4332" s="4" t="s">
        <v>8680</v>
      </c>
      <c r="B4332" s="4" t="s">
        <v>8681</v>
      </c>
      <c r="C4332" s="4" t="s">
        <v>12</v>
      </c>
      <c r="D4332" s="4" t="s">
        <v>13</v>
      </c>
      <c r="E4332" s="5">
        <v>92.491799999999998</v>
      </c>
      <c r="F4332" s="5">
        <v>92.078400000000002</v>
      </c>
      <c r="G4332" s="5">
        <v>92.191500000000005</v>
      </c>
      <c r="H4332" s="4">
        <v>1</v>
      </c>
      <c r="I4332" s="6">
        <v>3152668</v>
      </c>
      <c r="J4332" s="7">
        <v>79.58</v>
      </c>
      <c r="K4332" s="9">
        <f>(PricingDataTable[[#This Row],[Current Price ($)]]-PricingDataTable[[#This Row],[Prior Price ($)]])/PricingDataTable[[#This Row],[Prior Price ($)]]</f>
        <v>-4.4695854118959278E-3</v>
      </c>
      <c r="L4332" s="9">
        <f>(PricingDataTable[[#This Row],[Vendor Price ($)]]-PricingDataTable[[#This Row],[Current Price ($)]])/PricingDataTable[[#This Row],[Current Price ($)]]</f>
        <v>1.2283010999322628E-3</v>
      </c>
      <c r="M4332" t="str">
        <f t="shared" si="134"/>
        <v>PASS</v>
      </c>
      <c r="N4332" s="10" t="str">
        <f t="shared" si="135"/>
        <v>NONE</v>
      </c>
    </row>
    <row r="4333" spans="1:14">
      <c r="A4333" s="4" t="s">
        <v>8682</v>
      </c>
      <c r="B4333" s="4" t="s">
        <v>8683</v>
      </c>
      <c r="C4333" s="4" t="s">
        <v>39</v>
      </c>
      <c r="D4333" s="4" t="s">
        <v>13</v>
      </c>
      <c r="E4333" s="5">
        <v>8.7281999999999993</v>
      </c>
      <c r="F4333" s="5">
        <v>8.6653000000000002</v>
      </c>
      <c r="G4333" s="5">
        <v>8.6905000000000001</v>
      </c>
      <c r="H4333" s="4">
        <v>0</v>
      </c>
      <c r="I4333" s="6">
        <v>2099213</v>
      </c>
      <c r="J4333" s="7">
        <v>860.16</v>
      </c>
      <c r="K4333" s="9">
        <f>(PricingDataTable[[#This Row],[Current Price ($)]]-PricingDataTable[[#This Row],[Prior Price ($)]])/PricingDataTable[[#This Row],[Prior Price ($)]]</f>
        <v>-7.2065259732818996E-3</v>
      </c>
      <c r="L4333" s="9">
        <f>(PricingDataTable[[#This Row],[Vendor Price ($)]]-PricingDataTable[[#This Row],[Current Price ($)]])/PricingDataTable[[#This Row],[Current Price ($)]]</f>
        <v>2.9081509007189464E-3</v>
      </c>
      <c r="M4333" t="str">
        <f t="shared" si="134"/>
        <v>PASS</v>
      </c>
      <c r="N4333" s="10" t="str">
        <f t="shared" si="135"/>
        <v>NONE</v>
      </c>
    </row>
    <row r="4334" spans="1:14">
      <c r="A4334" s="4" t="s">
        <v>8684</v>
      </c>
      <c r="B4334" s="4" t="s">
        <v>8685</v>
      </c>
      <c r="C4334" s="4" t="s">
        <v>19</v>
      </c>
      <c r="D4334" s="4" t="s">
        <v>237</v>
      </c>
      <c r="E4334" s="5">
        <v>92.926900000000003</v>
      </c>
      <c r="F4334" s="5">
        <v>91.85</v>
      </c>
      <c r="G4334" s="5">
        <v>91.9833</v>
      </c>
      <c r="H4334" s="4">
        <v>1</v>
      </c>
      <c r="I4334" s="6">
        <v>4355241</v>
      </c>
      <c r="J4334" s="7">
        <v>356.99</v>
      </c>
      <c r="K4334" s="9">
        <f>(PricingDataTable[[#This Row],[Current Price ($)]]-PricingDataTable[[#This Row],[Prior Price ($)]])/PricingDataTable[[#This Row],[Prior Price ($)]]</f>
        <v>-1.1588678843262919E-2</v>
      </c>
      <c r="L4334" s="9">
        <f>(PricingDataTable[[#This Row],[Vendor Price ($)]]-PricingDataTable[[#This Row],[Current Price ($)]])/PricingDataTable[[#This Row],[Current Price ($)]]</f>
        <v>1.4512792596625534E-3</v>
      </c>
      <c r="M4334" t="str">
        <f t="shared" si="134"/>
        <v>PASS</v>
      </c>
      <c r="N4334" s="10" t="str">
        <f t="shared" si="135"/>
        <v>NONE</v>
      </c>
    </row>
    <row r="4335" spans="1:14">
      <c r="A4335" s="4" t="s">
        <v>8686</v>
      </c>
      <c r="B4335" s="4" t="s">
        <v>8687</v>
      </c>
      <c r="C4335" s="4" t="s">
        <v>12</v>
      </c>
      <c r="D4335" s="4" t="s">
        <v>13</v>
      </c>
      <c r="E4335" s="5">
        <v>99.469399999999993</v>
      </c>
      <c r="F4335" s="5">
        <v>99.827699999999993</v>
      </c>
      <c r="G4335" s="5">
        <v>99.91</v>
      </c>
      <c r="H4335" s="4">
        <v>1</v>
      </c>
      <c r="I4335" s="6">
        <v>1601610</v>
      </c>
      <c r="J4335" s="7">
        <v>806.02</v>
      </c>
      <c r="K4335" s="9">
        <f>(PricingDataTable[[#This Row],[Current Price ($)]]-PricingDataTable[[#This Row],[Prior Price ($)]])/PricingDataTable[[#This Row],[Prior Price ($)]]</f>
        <v>3.6021128105728985E-3</v>
      </c>
      <c r="L4335" s="9">
        <f>(PricingDataTable[[#This Row],[Vendor Price ($)]]-PricingDataTable[[#This Row],[Current Price ($)]])/PricingDataTable[[#This Row],[Current Price ($)]]</f>
        <v>8.2442047648101282E-4</v>
      </c>
      <c r="M4335" t="str">
        <f t="shared" si="134"/>
        <v>PASS</v>
      </c>
      <c r="N4335" s="10" t="str">
        <f t="shared" si="135"/>
        <v>NONE</v>
      </c>
    </row>
    <row r="4336" spans="1:14">
      <c r="A4336" s="4" t="s">
        <v>8688</v>
      </c>
      <c r="B4336" s="4" t="s">
        <v>8689</v>
      </c>
      <c r="C4336" s="4" t="s">
        <v>19</v>
      </c>
      <c r="D4336" s="4" t="s">
        <v>36</v>
      </c>
      <c r="E4336" s="5">
        <v>345.0908</v>
      </c>
      <c r="F4336" s="5">
        <v>338.26049999999998</v>
      </c>
      <c r="G4336" s="5">
        <v>338.13679999999999</v>
      </c>
      <c r="H4336" s="4">
        <v>2</v>
      </c>
      <c r="I4336" s="6">
        <v>3496317</v>
      </c>
      <c r="J4336" s="7">
        <v>331.28</v>
      </c>
      <c r="K4336" s="9">
        <f>(PricingDataTable[[#This Row],[Current Price ($)]]-PricingDataTable[[#This Row],[Prior Price ($)]])/PricingDataTable[[#This Row],[Prior Price ($)]]</f>
        <v>-1.9792761789071231E-2</v>
      </c>
      <c r="L4336" s="9">
        <f>(PricingDataTable[[#This Row],[Vendor Price ($)]]-PricingDataTable[[#This Row],[Current Price ($)]])/PricingDataTable[[#This Row],[Current Price ($)]]</f>
        <v>-3.6569448694123398E-4</v>
      </c>
      <c r="M4336" t="str">
        <f t="shared" si="134"/>
        <v>PASS</v>
      </c>
      <c r="N4336" s="10" t="str">
        <f t="shared" si="135"/>
        <v>NONE</v>
      </c>
    </row>
    <row r="4337" spans="1:14">
      <c r="A4337" s="4" t="s">
        <v>8690</v>
      </c>
      <c r="B4337" s="4" t="s">
        <v>8691</v>
      </c>
      <c r="C4337" s="4" t="s">
        <v>19</v>
      </c>
      <c r="D4337" s="4" t="s">
        <v>13</v>
      </c>
      <c r="E4337" s="5">
        <v>197.8998</v>
      </c>
      <c r="F4337" s="5">
        <v>195.9237</v>
      </c>
      <c r="G4337" s="5">
        <v>211.03819999999999</v>
      </c>
      <c r="H4337" s="4">
        <v>0</v>
      </c>
      <c r="I4337" s="6">
        <v>1330329</v>
      </c>
      <c r="J4337" s="7">
        <v>556.19000000000005</v>
      </c>
      <c r="K4337" s="9">
        <f>(PricingDataTable[[#This Row],[Current Price ($)]]-PricingDataTable[[#This Row],[Prior Price ($)]])/PricingDataTable[[#This Row],[Prior Price ($)]]</f>
        <v>-9.9853562257263655E-3</v>
      </c>
      <c r="L4337" s="9">
        <f>(PricingDataTable[[#This Row],[Vendor Price ($)]]-PricingDataTable[[#This Row],[Current Price ($)]])/PricingDataTable[[#This Row],[Current Price ($)]]</f>
        <v>7.7144827297565291E-2</v>
      </c>
      <c r="M4337" t="str">
        <f t="shared" si="134"/>
        <v>VENDOR DIFFERENCE</v>
      </c>
      <c r="N4337" s="10" t="str">
        <f t="shared" si="135"/>
        <v>HIGH</v>
      </c>
    </row>
    <row r="4338" spans="1:14">
      <c r="A4338" s="4" t="s">
        <v>8692</v>
      </c>
      <c r="B4338" s="4" t="s">
        <v>8693</v>
      </c>
      <c r="C4338" s="4" t="s">
        <v>19</v>
      </c>
      <c r="D4338" s="4" t="s">
        <v>32</v>
      </c>
      <c r="E4338" s="5">
        <v>325.93849999999998</v>
      </c>
      <c r="F4338" s="5">
        <v>326.33460000000002</v>
      </c>
      <c r="G4338" s="5">
        <v>327.19709999999998</v>
      </c>
      <c r="H4338" s="4">
        <v>0</v>
      </c>
      <c r="I4338" s="6">
        <v>1870915</v>
      </c>
      <c r="J4338" s="7">
        <v>599.84</v>
      </c>
      <c r="K4338" s="9">
        <f>(PricingDataTable[[#This Row],[Current Price ($)]]-PricingDataTable[[#This Row],[Prior Price ($)]])/PricingDataTable[[#This Row],[Prior Price ($)]]</f>
        <v>1.2152599340060986E-3</v>
      </c>
      <c r="L4338" s="9">
        <f>(PricingDataTable[[#This Row],[Vendor Price ($)]]-PricingDataTable[[#This Row],[Current Price ($)]])/PricingDataTable[[#This Row],[Current Price ($)]]</f>
        <v>2.6429928055436182E-3</v>
      </c>
      <c r="M4338" t="str">
        <f t="shared" si="134"/>
        <v>PASS</v>
      </c>
      <c r="N4338" s="10" t="str">
        <f t="shared" si="135"/>
        <v>NONE</v>
      </c>
    </row>
    <row r="4339" spans="1:14">
      <c r="A4339" s="4" t="s">
        <v>8694</v>
      </c>
      <c r="B4339" s="4" t="s">
        <v>8695</v>
      </c>
      <c r="C4339" s="4" t="s">
        <v>19</v>
      </c>
      <c r="D4339" s="4" t="s">
        <v>13</v>
      </c>
      <c r="E4339" s="5">
        <v>306.28379999999999</v>
      </c>
      <c r="F4339" s="5">
        <v>308.1798</v>
      </c>
      <c r="G4339" s="5">
        <v>309.54020000000003</v>
      </c>
      <c r="H4339" s="4">
        <v>0</v>
      </c>
      <c r="I4339" s="6">
        <v>4214565</v>
      </c>
      <c r="J4339" s="7">
        <v>618.76</v>
      </c>
      <c r="K4339" s="9">
        <f>(PricingDataTable[[#This Row],[Current Price ($)]]-PricingDataTable[[#This Row],[Prior Price ($)]])/PricingDataTable[[#This Row],[Prior Price ($)]]</f>
        <v>6.1903371970702175E-3</v>
      </c>
      <c r="L4339" s="9">
        <f>(PricingDataTable[[#This Row],[Vendor Price ($)]]-PricingDataTable[[#This Row],[Current Price ($)]])/PricingDataTable[[#This Row],[Current Price ($)]]</f>
        <v>4.4143061939816526E-3</v>
      </c>
      <c r="M4339" t="str">
        <f t="shared" si="134"/>
        <v>PASS</v>
      </c>
      <c r="N4339" s="10" t="str">
        <f t="shared" si="135"/>
        <v>NONE</v>
      </c>
    </row>
    <row r="4340" spans="1:14">
      <c r="A4340" s="4" t="s">
        <v>8696</v>
      </c>
      <c r="B4340" s="4" t="s">
        <v>8697</v>
      </c>
      <c r="C4340" s="4" t="s">
        <v>16</v>
      </c>
      <c r="D4340" s="4" t="s">
        <v>13</v>
      </c>
      <c r="E4340" s="5">
        <v>92.994900000000001</v>
      </c>
      <c r="F4340" s="5">
        <v>77.486199999999997</v>
      </c>
      <c r="G4340" s="5">
        <v>77.128600000000006</v>
      </c>
      <c r="H4340" s="4">
        <v>1</v>
      </c>
      <c r="I4340" s="6">
        <v>3235121</v>
      </c>
      <c r="J4340" s="7">
        <v>324.66000000000003</v>
      </c>
      <c r="K4340" s="9">
        <f>(PricingDataTable[[#This Row],[Current Price ($)]]-PricingDataTable[[#This Row],[Prior Price ($)]])/PricingDataTable[[#This Row],[Prior Price ($)]]</f>
        <v>-0.16676936047030541</v>
      </c>
      <c r="L4340" s="9">
        <f>(PricingDataTable[[#This Row],[Vendor Price ($)]]-PricingDataTable[[#This Row],[Current Price ($)]])/PricingDataTable[[#This Row],[Current Price ($)]]</f>
        <v>-4.615015318856659E-3</v>
      </c>
      <c r="M4340" t="str">
        <f t="shared" si="134"/>
        <v>LARGE MOVE</v>
      </c>
      <c r="N4340" s="10" t="str">
        <f t="shared" si="135"/>
        <v>HIGH</v>
      </c>
    </row>
    <row r="4341" spans="1:14">
      <c r="A4341" s="4" t="s">
        <v>8698</v>
      </c>
      <c r="B4341" s="4" t="s">
        <v>8699</v>
      </c>
      <c r="C4341" s="4" t="s">
        <v>12</v>
      </c>
      <c r="D4341" s="4" t="s">
        <v>13</v>
      </c>
      <c r="E4341" s="5">
        <v>90.528499999999994</v>
      </c>
      <c r="F4341" s="5">
        <v>88.528000000000006</v>
      </c>
      <c r="G4341" s="5">
        <v>88.477999999999994</v>
      </c>
      <c r="H4341" s="4">
        <v>0</v>
      </c>
      <c r="I4341" s="6">
        <v>1091162</v>
      </c>
      <c r="J4341" s="7">
        <v>414.65</v>
      </c>
      <c r="K4341" s="9">
        <f>(PricingDataTable[[#This Row],[Current Price ($)]]-PricingDataTable[[#This Row],[Prior Price ($)]])/PricingDataTable[[#This Row],[Prior Price ($)]]</f>
        <v>-2.2098013332817714E-2</v>
      </c>
      <c r="L4341" s="9">
        <f>(PricingDataTable[[#This Row],[Vendor Price ($)]]-PricingDataTable[[#This Row],[Current Price ($)]])/PricingDataTable[[#This Row],[Current Price ($)]]</f>
        <v>-5.6479305982300924E-4</v>
      </c>
      <c r="M4341" t="str">
        <f t="shared" si="134"/>
        <v>PASS</v>
      </c>
      <c r="N4341" s="10" t="str">
        <f t="shared" si="135"/>
        <v>NONE</v>
      </c>
    </row>
    <row r="4342" spans="1:14">
      <c r="A4342" s="4" t="s">
        <v>8700</v>
      </c>
      <c r="B4342" s="4" t="s">
        <v>8701</v>
      </c>
      <c r="C4342" s="4" t="s">
        <v>39</v>
      </c>
      <c r="D4342" s="4" t="s">
        <v>13</v>
      </c>
      <c r="E4342" s="5">
        <v>35.5852</v>
      </c>
      <c r="F4342" s="5">
        <v>35.1877</v>
      </c>
      <c r="G4342" s="5">
        <v>35.077599999999997</v>
      </c>
      <c r="H4342" s="4">
        <v>1</v>
      </c>
      <c r="I4342" s="6">
        <v>3737475</v>
      </c>
      <c r="J4342" s="7">
        <v>423.76</v>
      </c>
      <c r="K4342" s="9">
        <f>(PricingDataTable[[#This Row],[Current Price ($)]]-PricingDataTable[[#This Row],[Prior Price ($)]])/PricingDataTable[[#This Row],[Prior Price ($)]]</f>
        <v>-1.1170374200510348E-2</v>
      </c>
      <c r="L4342" s="9">
        <f>(PricingDataTable[[#This Row],[Vendor Price ($)]]-PricingDataTable[[#This Row],[Current Price ($)]])/PricingDataTable[[#This Row],[Current Price ($)]]</f>
        <v>-3.1289342582778287E-3</v>
      </c>
      <c r="M4342" t="str">
        <f t="shared" si="134"/>
        <v>PASS</v>
      </c>
      <c r="N4342" s="10" t="str">
        <f t="shared" si="135"/>
        <v>NONE</v>
      </c>
    </row>
    <row r="4343" spans="1:14">
      <c r="A4343" s="4" t="s">
        <v>8702</v>
      </c>
      <c r="B4343" s="4" t="s">
        <v>8703</v>
      </c>
      <c r="C4343" s="4" t="s">
        <v>19</v>
      </c>
      <c r="D4343" s="4" t="s">
        <v>13</v>
      </c>
      <c r="E4343" s="5">
        <v>104.90779999999999</v>
      </c>
      <c r="F4343" s="5"/>
      <c r="G4343" s="5">
        <v>104.6199</v>
      </c>
      <c r="H4343" s="4">
        <v>1</v>
      </c>
      <c r="I4343" s="6">
        <v>1670950</v>
      </c>
      <c r="J4343" s="7">
        <v>79.41</v>
      </c>
      <c r="K4343" s="9">
        <f>(PricingDataTable[[#This Row],[Current Price ($)]]-PricingDataTable[[#This Row],[Prior Price ($)]])/PricingDataTable[[#This Row],[Prior Price ($)]]</f>
        <v>-1</v>
      </c>
      <c r="L4343" s="9" t="e">
        <f>(PricingDataTable[[#This Row],[Vendor Price ($)]]-PricingDataTable[[#This Row],[Current Price ($)]])/PricingDataTable[[#This Row],[Current Price ($)]]</f>
        <v>#DIV/0!</v>
      </c>
      <c r="M4343" t="str">
        <f t="shared" si="134"/>
        <v>MISSING</v>
      </c>
      <c r="N4343" s="10" t="str">
        <f t="shared" si="135"/>
        <v>HIGH</v>
      </c>
    </row>
    <row r="4344" spans="1:14">
      <c r="A4344" s="4" t="s">
        <v>8704</v>
      </c>
      <c r="B4344" s="4" t="s">
        <v>8705</v>
      </c>
      <c r="C4344" s="4" t="s">
        <v>19</v>
      </c>
      <c r="D4344" s="4" t="s">
        <v>13</v>
      </c>
      <c r="E4344" s="5">
        <v>128.68549999999999</v>
      </c>
      <c r="F4344" s="5">
        <v>129.196</v>
      </c>
      <c r="G4344" s="5">
        <v>129.03270000000001</v>
      </c>
      <c r="H4344" s="4">
        <v>0</v>
      </c>
      <c r="I4344" s="6">
        <v>984563</v>
      </c>
      <c r="J4344" s="7">
        <v>575.29</v>
      </c>
      <c r="K4344" s="9">
        <f>(PricingDataTable[[#This Row],[Current Price ($)]]-PricingDataTable[[#This Row],[Prior Price ($)]])/PricingDataTable[[#This Row],[Prior Price ($)]]</f>
        <v>3.9670359131371256E-3</v>
      </c>
      <c r="L4344" s="9">
        <f>(PricingDataTable[[#This Row],[Vendor Price ($)]]-PricingDataTable[[#This Row],[Current Price ($)]])/PricingDataTable[[#This Row],[Current Price ($)]]</f>
        <v>-1.2639710207745785E-3</v>
      </c>
      <c r="M4344" t="str">
        <f t="shared" si="134"/>
        <v>PASS</v>
      </c>
      <c r="N4344" s="10" t="str">
        <f t="shared" si="135"/>
        <v>NONE</v>
      </c>
    </row>
    <row r="4345" spans="1:14">
      <c r="A4345" s="4" t="s">
        <v>8706</v>
      </c>
      <c r="B4345" s="4" t="s">
        <v>8707</v>
      </c>
      <c r="C4345" s="4" t="s">
        <v>19</v>
      </c>
      <c r="D4345" s="4" t="s">
        <v>13</v>
      </c>
      <c r="E4345" s="5">
        <v>327.82229999999998</v>
      </c>
      <c r="F4345" s="5">
        <v>336.70659999999998</v>
      </c>
      <c r="G4345" s="5">
        <v>336.36520000000002</v>
      </c>
      <c r="H4345" s="4">
        <v>0</v>
      </c>
      <c r="I4345" s="6">
        <v>4005726</v>
      </c>
      <c r="J4345" s="7">
        <v>812.39</v>
      </c>
      <c r="K4345" s="9">
        <f>(PricingDataTable[[#This Row],[Current Price ($)]]-PricingDataTable[[#This Row],[Prior Price ($)]])/PricingDataTable[[#This Row],[Prior Price ($)]]</f>
        <v>2.7100962930221639E-2</v>
      </c>
      <c r="L4345" s="9">
        <f>(PricingDataTable[[#This Row],[Vendor Price ($)]]-PricingDataTable[[#This Row],[Current Price ($)]])/PricingDataTable[[#This Row],[Current Price ($)]]</f>
        <v>-1.0139391387040369E-3</v>
      </c>
      <c r="M4345" t="str">
        <f t="shared" si="134"/>
        <v>PASS</v>
      </c>
      <c r="N4345" s="10" t="str">
        <f t="shared" si="135"/>
        <v>NONE</v>
      </c>
    </row>
    <row r="4346" spans="1:14">
      <c r="A4346" s="4" t="s">
        <v>8708</v>
      </c>
      <c r="B4346" s="4" t="s">
        <v>8709</v>
      </c>
      <c r="C4346" s="4" t="s">
        <v>39</v>
      </c>
      <c r="D4346" s="4" t="s">
        <v>36</v>
      </c>
      <c r="E4346" s="5">
        <v>335.59980000000002</v>
      </c>
      <c r="F4346" s="5">
        <v>335.61970000000002</v>
      </c>
      <c r="G4346" s="5">
        <v>333.95839999999998</v>
      </c>
      <c r="H4346" s="4">
        <v>0</v>
      </c>
      <c r="I4346" s="6">
        <v>2543270</v>
      </c>
      <c r="J4346" s="7">
        <v>412.95</v>
      </c>
      <c r="K4346" s="9">
        <f>(PricingDataTable[[#This Row],[Current Price ($)]]-PricingDataTable[[#This Row],[Prior Price ($)]])/PricingDataTable[[#This Row],[Prior Price ($)]]</f>
        <v>5.9296817221008214E-5</v>
      </c>
      <c r="L4346" s="9">
        <f>(PricingDataTable[[#This Row],[Vendor Price ($)]]-PricingDataTable[[#This Row],[Current Price ($)]])/PricingDataTable[[#This Row],[Current Price ($)]]</f>
        <v>-4.9499478129562706E-3</v>
      </c>
      <c r="M4346" t="str">
        <f t="shared" si="134"/>
        <v>PASS</v>
      </c>
      <c r="N4346" s="10" t="str">
        <f t="shared" si="135"/>
        <v>NONE</v>
      </c>
    </row>
    <row r="4347" spans="1:14">
      <c r="A4347" s="4" t="s">
        <v>8710</v>
      </c>
      <c r="B4347" s="4" t="s">
        <v>8711</v>
      </c>
      <c r="C4347" s="4" t="s">
        <v>19</v>
      </c>
      <c r="D4347" s="4" t="s">
        <v>13</v>
      </c>
      <c r="E4347" s="5">
        <v>50.109099999999998</v>
      </c>
      <c r="F4347" s="5">
        <v>49.892400000000002</v>
      </c>
      <c r="G4347" s="5">
        <v>49.761000000000003</v>
      </c>
      <c r="H4347" s="4">
        <v>0</v>
      </c>
      <c r="I4347" s="6">
        <v>1838065</v>
      </c>
      <c r="J4347" s="7">
        <v>880.62</v>
      </c>
      <c r="K4347" s="9">
        <f>(PricingDataTable[[#This Row],[Current Price ($)]]-PricingDataTable[[#This Row],[Prior Price ($)]])/PricingDataTable[[#This Row],[Prior Price ($)]]</f>
        <v>-4.3245638017844245E-3</v>
      </c>
      <c r="L4347" s="9">
        <f>(PricingDataTable[[#This Row],[Vendor Price ($)]]-PricingDataTable[[#This Row],[Current Price ($)]])/PricingDataTable[[#This Row],[Current Price ($)]]</f>
        <v>-2.6336676527887871E-3</v>
      </c>
      <c r="M4347" t="str">
        <f t="shared" si="134"/>
        <v>PASS</v>
      </c>
      <c r="N4347" s="10" t="str">
        <f t="shared" si="135"/>
        <v>NONE</v>
      </c>
    </row>
    <row r="4348" spans="1:14">
      <c r="A4348" s="4" t="s">
        <v>8712</v>
      </c>
      <c r="B4348" s="4" t="s">
        <v>8713</v>
      </c>
      <c r="C4348" s="4" t="s">
        <v>19</v>
      </c>
      <c r="D4348" s="4" t="s">
        <v>13</v>
      </c>
      <c r="E4348" s="5">
        <v>271.52670000000001</v>
      </c>
      <c r="F4348" s="5">
        <v>267.98660000000001</v>
      </c>
      <c r="G4348" s="5">
        <v>267.19549999999998</v>
      </c>
      <c r="H4348" s="4">
        <v>0</v>
      </c>
      <c r="I4348" s="6">
        <v>3629496</v>
      </c>
      <c r="J4348" s="7">
        <v>570.66</v>
      </c>
      <c r="K4348" s="9">
        <f>(PricingDataTable[[#This Row],[Current Price ($)]]-PricingDataTable[[#This Row],[Prior Price ($)]])/PricingDataTable[[#This Row],[Prior Price ($)]]</f>
        <v>-1.3037760190802581E-2</v>
      </c>
      <c r="L4348" s="9">
        <f>(PricingDataTable[[#This Row],[Vendor Price ($)]]-PricingDataTable[[#This Row],[Current Price ($)]])/PricingDataTable[[#This Row],[Current Price ($)]]</f>
        <v>-2.9520132723055126E-3</v>
      </c>
      <c r="M4348" t="str">
        <f t="shared" si="134"/>
        <v>PASS</v>
      </c>
      <c r="N4348" s="10" t="str">
        <f t="shared" si="135"/>
        <v>NONE</v>
      </c>
    </row>
    <row r="4349" spans="1:14">
      <c r="A4349" s="4" t="s">
        <v>8714</v>
      </c>
      <c r="B4349" s="4" t="s">
        <v>8715</v>
      </c>
      <c r="C4349" s="4" t="s">
        <v>16</v>
      </c>
      <c r="D4349" s="4" t="s">
        <v>13</v>
      </c>
      <c r="E4349" s="5">
        <v>93.301299999999998</v>
      </c>
      <c r="F4349" s="5">
        <v>92.048400000000001</v>
      </c>
      <c r="G4349" s="5">
        <v>92.035899999999998</v>
      </c>
      <c r="H4349" s="4">
        <v>0</v>
      </c>
      <c r="I4349" s="6">
        <v>4302921</v>
      </c>
      <c r="J4349" s="7">
        <v>722.93</v>
      </c>
      <c r="K4349" s="9">
        <f>(PricingDataTable[[#This Row],[Current Price ($)]]-PricingDataTable[[#This Row],[Prior Price ($)]])/PricingDataTable[[#This Row],[Prior Price ($)]]</f>
        <v>-1.3428537437313273E-2</v>
      </c>
      <c r="L4349" s="9">
        <f>(PricingDataTable[[#This Row],[Vendor Price ($)]]-PricingDataTable[[#This Row],[Current Price ($)]])/PricingDataTable[[#This Row],[Current Price ($)]]</f>
        <v>-1.3579812359587829E-4</v>
      </c>
      <c r="M4349" t="str">
        <f t="shared" si="134"/>
        <v>PASS</v>
      </c>
      <c r="N4349" s="10" t="str">
        <f t="shared" si="135"/>
        <v>NONE</v>
      </c>
    </row>
    <row r="4350" spans="1:14">
      <c r="A4350" s="4" t="s">
        <v>8716</v>
      </c>
      <c r="B4350" s="4" t="s">
        <v>8717</v>
      </c>
      <c r="C4350" s="4" t="s">
        <v>19</v>
      </c>
      <c r="D4350" s="4" t="s">
        <v>13</v>
      </c>
      <c r="E4350" s="5">
        <v>61.304099999999998</v>
      </c>
      <c r="F4350" s="5">
        <v>60.1051</v>
      </c>
      <c r="G4350" s="5">
        <v>60.2239</v>
      </c>
      <c r="H4350" s="4">
        <v>1</v>
      </c>
      <c r="I4350" s="6">
        <v>2682536</v>
      </c>
      <c r="J4350" s="7">
        <v>821.95</v>
      </c>
      <c r="K4350" s="9">
        <f>(PricingDataTable[[#This Row],[Current Price ($)]]-PricingDataTable[[#This Row],[Prior Price ($)]])/PricingDataTable[[#This Row],[Prior Price ($)]]</f>
        <v>-1.9558235093574461E-2</v>
      </c>
      <c r="L4350" s="9">
        <f>(PricingDataTable[[#This Row],[Vendor Price ($)]]-PricingDataTable[[#This Row],[Current Price ($)]])/PricingDataTable[[#This Row],[Current Price ($)]]</f>
        <v>1.9765377646822021E-3</v>
      </c>
      <c r="M4350" t="str">
        <f t="shared" si="134"/>
        <v>PASS</v>
      </c>
      <c r="N4350" s="10" t="str">
        <f t="shared" si="135"/>
        <v>NONE</v>
      </c>
    </row>
    <row r="4351" spans="1:14">
      <c r="A4351" s="4" t="s">
        <v>8718</v>
      </c>
      <c r="B4351" s="4" t="s">
        <v>8719</v>
      </c>
      <c r="C4351" s="4" t="s">
        <v>19</v>
      </c>
      <c r="D4351" s="4" t="s">
        <v>13</v>
      </c>
      <c r="E4351" s="5">
        <v>108.6949</v>
      </c>
      <c r="F4351" s="5">
        <v>110.7697</v>
      </c>
      <c r="G4351" s="5">
        <v>110.69370000000001</v>
      </c>
      <c r="H4351" s="4">
        <v>1</v>
      </c>
      <c r="I4351" s="6">
        <v>4228594</v>
      </c>
      <c r="J4351" s="7">
        <v>591.23</v>
      </c>
      <c r="K4351" s="9">
        <f>(PricingDataTable[[#This Row],[Current Price ($)]]-PricingDataTable[[#This Row],[Prior Price ($)]])/PricingDataTable[[#This Row],[Prior Price ($)]]</f>
        <v>1.9088292090981233E-2</v>
      </c>
      <c r="L4351" s="9">
        <f>(PricingDataTable[[#This Row],[Vendor Price ($)]]-PricingDataTable[[#This Row],[Current Price ($)]])/PricingDataTable[[#This Row],[Current Price ($)]]</f>
        <v>-6.861082046804623E-4</v>
      </c>
      <c r="M4351" t="str">
        <f t="shared" si="134"/>
        <v>PASS</v>
      </c>
      <c r="N4351" s="10" t="str">
        <f t="shared" si="135"/>
        <v>NONE</v>
      </c>
    </row>
    <row r="4352" spans="1:14">
      <c r="A4352" s="4" t="s">
        <v>8720</v>
      </c>
      <c r="B4352" s="4" t="s">
        <v>8721</v>
      </c>
      <c r="C4352" s="4" t="s">
        <v>16</v>
      </c>
      <c r="D4352" s="4" t="s">
        <v>13</v>
      </c>
      <c r="E4352" s="5">
        <v>107.59739999999999</v>
      </c>
      <c r="F4352" s="5">
        <v>106.717</v>
      </c>
      <c r="G4352" s="5">
        <v>106.2807</v>
      </c>
      <c r="H4352" s="4">
        <v>0</v>
      </c>
      <c r="I4352" s="6">
        <v>30580</v>
      </c>
      <c r="J4352" s="7">
        <v>563.85</v>
      </c>
      <c r="K4352" s="9">
        <f>(PricingDataTable[[#This Row],[Current Price ($)]]-PricingDataTable[[#This Row],[Prior Price ($)]])/PricingDataTable[[#This Row],[Prior Price ($)]]</f>
        <v>-8.1823538486988957E-3</v>
      </c>
      <c r="L4352" s="9">
        <f>(PricingDataTable[[#This Row],[Vendor Price ($)]]-PricingDataTable[[#This Row],[Current Price ($)]])/PricingDataTable[[#This Row],[Current Price ($)]]</f>
        <v>-4.0883832941331069E-3</v>
      </c>
      <c r="M4352" t="str">
        <f t="shared" si="134"/>
        <v>PASS</v>
      </c>
      <c r="N4352" s="10" t="str">
        <f t="shared" si="135"/>
        <v>NONE</v>
      </c>
    </row>
    <row r="4353" spans="1:14">
      <c r="A4353" s="4" t="s">
        <v>8722</v>
      </c>
      <c r="B4353" s="4" t="s">
        <v>8723</v>
      </c>
      <c r="C4353" s="4" t="s">
        <v>12</v>
      </c>
      <c r="D4353" s="4" t="s">
        <v>64</v>
      </c>
      <c r="E4353" s="5">
        <v>92.692400000000006</v>
      </c>
      <c r="F4353" s="5">
        <v>94.958399999999997</v>
      </c>
      <c r="G4353" s="5">
        <v>94.9255</v>
      </c>
      <c r="H4353" s="4">
        <v>0</v>
      </c>
      <c r="I4353" s="6">
        <v>1002600</v>
      </c>
      <c r="J4353" s="7">
        <v>353.81</v>
      </c>
      <c r="K4353" s="9">
        <f>(PricingDataTable[[#This Row],[Current Price ($)]]-PricingDataTable[[#This Row],[Prior Price ($)]])/PricingDataTable[[#This Row],[Prior Price ($)]]</f>
        <v>2.4446448684034408E-2</v>
      </c>
      <c r="L4353" s="9">
        <f>(PricingDataTable[[#This Row],[Vendor Price ($)]]-PricingDataTable[[#This Row],[Current Price ($)]])/PricingDataTable[[#This Row],[Current Price ($)]]</f>
        <v>-3.4646750577092632E-4</v>
      </c>
      <c r="M4353" t="str">
        <f t="shared" si="134"/>
        <v>PASS</v>
      </c>
      <c r="N4353" s="10" t="str">
        <f t="shared" si="135"/>
        <v>NONE</v>
      </c>
    </row>
    <row r="4354" spans="1:14">
      <c r="A4354" s="4" t="s">
        <v>8724</v>
      </c>
      <c r="B4354" s="4" t="s">
        <v>8725</v>
      </c>
      <c r="C4354" s="4" t="s">
        <v>19</v>
      </c>
      <c r="D4354" s="4" t="s">
        <v>13</v>
      </c>
      <c r="E4354" s="5">
        <v>152.7174</v>
      </c>
      <c r="F4354" s="5">
        <v>153.9084</v>
      </c>
      <c r="G4354" s="5">
        <v>153.48070000000001</v>
      </c>
      <c r="H4354" s="4">
        <v>0</v>
      </c>
      <c r="I4354" s="6">
        <v>1987137</v>
      </c>
      <c r="J4354" s="7">
        <v>578.72</v>
      </c>
      <c r="K4354" s="9">
        <f>(PricingDataTable[[#This Row],[Current Price ($)]]-PricingDataTable[[#This Row],[Prior Price ($)]])/PricingDataTable[[#This Row],[Prior Price ($)]]</f>
        <v>7.7987184171548398E-3</v>
      </c>
      <c r="L4354" s="9">
        <f>(PricingDataTable[[#This Row],[Vendor Price ($)]]-PricingDataTable[[#This Row],[Current Price ($)]])/PricingDataTable[[#This Row],[Current Price ($)]]</f>
        <v>-2.7789256466832697E-3</v>
      </c>
      <c r="M4354" t="str">
        <f t="shared" ref="M4354:M4417" si="136">IF(OR(F4354="",F4354=0),"MISSING",IF(H4354&gt;=3,"STALE",IF(ABS(K4354)&gt;=5%,"LARGE MOVE",IF(ABS(L4354)&gt;=2%,"VENDOR DIFFERENCE","PASS"))))</f>
        <v>PASS</v>
      </c>
      <c r="N4354" s="10" t="str">
        <f t="shared" ref="N4354:N4417" si="137">IF(M4354="PASS","NONE",IF(M4354="MISSING","HIGH",IF(OR(ABS(K4354)&gt;=10%,ABS(L4354)&gt;=5%),"HIGH",IF(OR(ABS(K4354)&gt;=7%,ABS(L4354)&gt;=3%,H4354&gt;=5),"MEDIUM","LOW"))))</f>
        <v>NONE</v>
      </c>
    </row>
    <row r="4355" spans="1:14">
      <c r="A4355" s="4" t="s">
        <v>8726</v>
      </c>
      <c r="B4355" s="4" t="s">
        <v>8727</v>
      </c>
      <c r="C4355" s="4" t="s">
        <v>16</v>
      </c>
      <c r="D4355" s="4" t="s">
        <v>237</v>
      </c>
      <c r="E4355" s="5">
        <v>100.8257</v>
      </c>
      <c r="F4355" s="5">
        <v>100.62690000000001</v>
      </c>
      <c r="G4355" s="5">
        <v>100.5395</v>
      </c>
      <c r="H4355" s="4">
        <v>1</v>
      </c>
      <c r="I4355" s="6">
        <v>4217479</v>
      </c>
      <c r="J4355" s="7">
        <v>232.21</v>
      </c>
      <c r="K4355" s="9">
        <f>(PricingDataTable[[#This Row],[Current Price ($)]]-PricingDataTable[[#This Row],[Prior Price ($)]])/PricingDataTable[[#This Row],[Prior Price ($)]]</f>
        <v>-1.9717195119894177E-3</v>
      </c>
      <c r="L4355" s="9">
        <f>(PricingDataTable[[#This Row],[Vendor Price ($)]]-PricingDataTable[[#This Row],[Current Price ($)]])/PricingDataTable[[#This Row],[Current Price ($)]]</f>
        <v>-8.6855502852619293E-4</v>
      </c>
      <c r="M4355" t="str">
        <f t="shared" si="136"/>
        <v>PASS</v>
      </c>
      <c r="N4355" s="10" t="str">
        <f t="shared" si="137"/>
        <v>NONE</v>
      </c>
    </row>
    <row r="4356" spans="1:14">
      <c r="A4356" s="4" t="s">
        <v>8728</v>
      </c>
      <c r="B4356" s="4" t="s">
        <v>8729</v>
      </c>
      <c r="C4356" s="4" t="s">
        <v>19</v>
      </c>
      <c r="D4356" s="4" t="s">
        <v>32</v>
      </c>
      <c r="E4356" s="5">
        <v>189.74860000000001</v>
      </c>
      <c r="F4356" s="5">
        <v>187.81</v>
      </c>
      <c r="G4356" s="5">
        <v>187.64859999999999</v>
      </c>
      <c r="H4356" s="4">
        <v>0</v>
      </c>
      <c r="I4356" s="6">
        <v>3743308</v>
      </c>
      <c r="J4356" s="7">
        <v>141.37</v>
      </c>
      <c r="K4356" s="9">
        <f>(PricingDataTable[[#This Row],[Current Price ($)]]-PricingDataTable[[#This Row],[Prior Price ($)]])/PricingDataTable[[#This Row],[Prior Price ($)]]</f>
        <v>-1.0216676170469811E-2</v>
      </c>
      <c r="L4356" s="9">
        <f>(PricingDataTable[[#This Row],[Vendor Price ($)]]-PricingDataTable[[#This Row],[Current Price ($)]])/PricingDataTable[[#This Row],[Current Price ($)]]</f>
        <v>-8.5937915978922651E-4</v>
      </c>
      <c r="M4356" t="str">
        <f t="shared" si="136"/>
        <v>PASS</v>
      </c>
      <c r="N4356" s="10" t="str">
        <f t="shared" si="137"/>
        <v>NONE</v>
      </c>
    </row>
    <row r="4357" spans="1:14">
      <c r="A4357" s="4" t="s">
        <v>8730</v>
      </c>
      <c r="B4357" s="4" t="s">
        <v>8731</v>
      </c>
      <c r="C4357" s="4" t="s">
        <v>19</v>
      </c>
      <c r="D4357" s="4" t="s">
        <v>13</v>
      </c>
      <c r="E4357" s="5">
        <v>108.5873</v>
      </c>
      <c r="F4357" s="5">
        <v>109.84780000000001</v>
      </c>
      <c r="G4357" s="5">
        <v>109.8479</v>
      </c>
      <c r="H4357" s="4">
        <v>0</v>
      </c>
      <c r="I4357" s="6">
        <v>1977388</v>
      </c>
      <c r="J4357" s="7">
        <v>335.84</v>
      </c>
      <c r="K4357" s="9">
        <f>(PricingDataTable[[#This Row],[Current Price ($)]]-PricingDataTable[[#This Row],[Prior Price ($)]])/PricingDataTable[[#This Row],[Prior Price ($)]]</f>
        <v>1.1608171489667829E-2</v>
      </c>
      <c r="L4357" s="9">
        <f>(PricingDataTable[[#This Row],[Vendor Price ($)]]-PricingDataTable[[#This Row],[Current Price ($)]])/PricingDataTable[[#This Row],[Current Price ($)]]</f>
        <v>9.103505030515749E-7</v>
      </c>
      <c r="M4357" t="str">
        <f t="shared" si="136"/>
        <v>PASS</v>
      </c>
      <c r="N4357" s="10" t="str">
        <f t="shared" si="137"/>
        <v>NONE</v>
      </c>
    </row>
    <row r="4358" spans="1:14">
      <c r="A4358" s="4" t="s">
        <v>8732</v>
      </c>
      <c r="B4358" s="4" t="s">
        <v>8733</v>
      </c>
      <c r="C4358" s="4" t="s">
        <v>12</v>
      </c>
      <c r="D4358" s="4" t="s">
        <v>13</v>
      </c>
      <c r="E4358" s="5">
        <v>112.4627</v>
      </c>
      <c r="F4358" s="5">
        <v>94.340400000000002</v>
      </c>
      <c r="G4358" s="5">
        <v>94.252600000000001</v>
      </c>
      <c r="H4358" s="4">
        <v>0</v>
      </c>
      <c r="I4358" s="6">
        <v>3966657</v>
      </c>
      <c r="J4358" s="7">
        <v>594.08000000000004</v>
      </c>
      <c r="K4358" s="9">
        <f>(PricingDataTable[[#This Row],[Current Price ($)]]-PricingDataTable[[#This Row],[Prior Price ($)]])/PricingDataTable[[#This Row],[Prior Price ($)]]</f>
        <v>-0.16114053815176049</v>
      </c>
      <c r="L4358" s="9">
        <f>(PricingDataTable[[#This Row],[Vendor Price ($)]]-PricingDataTable[[#This Row],[Current Price ($)]])/PricingDataTable[[#This Row],[Current Price ($)]]</f>
        <v>-9.3067233126000555E-4</v>
      </c>
      <c r="M4358" t="str">
        <f t="shared" si="136"/>
        <v>LARGE MOVE</v>
      </c>
      <c r="N4358" s="10" t="str">
        <f t="shared" si="137"/>
        <v>HIGH</v>
      </c>
    </row>
    <row r="4359" spans="1:14">
      <c r="A4359" s="4" t="s">
        <v>8734</v>
      </c>
      <c r="B4359" s="4" t="s">
        <v>8735</v>
      </c>
      <c r="C4359" s="4" t="s">
        <v>12</v>
      </c>
      <c r="D4359" s="4" t="s">
        <v>13</v>
      </c>
      <c r="E4359" s="5">
        <v>89.394199999999998</v>
      </c>
      <c r="F4359" s="5">
        <v>88.9726</v>
      </c>
      <c r="G4359" s="5">
        <v>89.031899999999993</v>
      </c>
      <c r="H4359" s="4">
        <v>0</v>
      </c>
      <c r="I4359" s="6">
        <v>253511</v>
      </c>
      <c r="J4359" s="7">
        <v>712.02</v>
      </c>
      <c r="K4359" s="9">
        <f>(PricingDataTable[[#This Row],[Current Price ($)]]-PricingDataTable[[#This Row],[Prior Price ($)]])/PricingDataTable[[#This Row],[Prior Price ($)]]</f>
        <v>-4.7161896409386511E-3</v>
      </c>
      <c r="L4359" s="9">
        <f>(PricingDataTable[[#This Row],[Vendor Price ($)]]-PricingDataTable[[#This Row],[Current Price ($)]])/PricingDataTable[[#This Row],[Current Price ($)]]</f>
        <v>6.6649732614302887E-4</v>
      </c>
      <c r="M4359" t="str">
        <f t="shared" si="136"/>
        <v>PASS</v>
      </c>
      <c r="N4359" s="10" t="str">
        <f t="shared" si="137"/>
        <v>NONE</v>
      </c>
    </row>
    <row r="4360" spans="1:14">
      <c r="A4360" s="4" t="s">
        <v>8736</v>
      </c>
      <c r="B4360" s="4" t="s">
        <v>8737</v>
      </c>
      <c r="C4360" s="4" t="s">
        <v>39</v>
      </c>
      <c r="D4360" s="4" t="s">
        <v>32</v>
      </c>
      <c r="E4360" s="5">
        <v>26.410599999999999</v>
      </c>
      <c r="F4360" s="5">
        <v>26.336099999999998</v>
      </c>
      <c r="G4360" s="5">
        <v>26.358000000000001</v>
      </c>
      <c r="H4360" s="4">
        <v>0</v>
      </c>
      <c r="I4360" s="6">
        <v>2943301</v>
      </c>
      <c r="J4360" s="7">
        <v>171.68</v>
      </c>
      <c r="K4360" s="9">
        <f>(PricingDataTable[[#This Row],[Current Price ($)]]-PricingDataTable[[#This Row],[Prior Price ($)]])/PricingDataTable[[#This Row],[Prior Price ($)]]</f>
        <v>-2.8208370881388709E-3</v>
      </c>
      <c r="L4360" s="9">
        <f>(PricingDataTable[[#This Row],[Vendor Price ($)]]-PricingDataTable[[#This Row],[Current Price ($)]])/PricingDataTable[[#This Row],[Current Price ($)]]</f>
        <v>8.3155820337871787E-4</v>
      </c>
      <c r="M4360" t="str">
        <f t="shared" si="136"/>
        <v>PASS</v>
      </c>
      <c r="N4360" s="10" t="str">
        <f t="shared" si="137"/>
        <v>NONE</v>
      </c>
    </row>
    <row r="4361" spans="1:14">
      <c r="A4361" s="4" t="s">
        <v>8738</v>
      </c>
      <c r="B4361" s="4" t="s">
        <v>8739</v>
      </c>
      <c r="C4361" s="4" t="s">
        <v>12</v>
      </c>
      <c r="D4361" s="4" t="s">
        <v>13</v>
      </c>
      <c r="E4361" s="5">
        <v>109.3685</v>
      </c>
      <c r="F4361" s="5">
        <v>109.8143</v>
      </c>
      <c r="G4361" s="5">
        <v>109.5283</v>
      </c>
      <c r="H4361" s="4">
        <v>4</v>
      </c>
      <c r="I4361" s="6">
        <v>460473</v>
      </c>
      <c r="J4361" s="7">
        <v>748.42</v>
      </c>
      <c r="K4361" s="9">
        <f>(PricingDataTable[[#This Row],[Current Price ($)]]-PricingDataTable[[#This Row],[Prior Price ($)]])/PricingDataTable[[#This Row],[Prior Price ($)]]</f>
        <v>4.0761279527469566E-3</v>
      </c>
      <c r="L4361" s="9">
        <f>(PricingDataTable[[#This Row],[Vendor Price ($)]]-PricingDataTable[[#This Row],[Current Price ($)]])/PricingDataTable[[#This Row],[Current Price ($)]]</f>
        <v>-2.6043966951480942E-3</v>
      </c>
      <c r="M4361" t="str">
        <f t="shared" si="136"/>
        <v>STALE</v>
      </c>
      <c r="N4361" s="10" t="str">
        <f t="shared" si="137"/>
        <v>LOW</v>
      </c>
    </row>
    <row r="4362" spans="1:14">
      <c r="A4362" s="4" t="s">
        <v>8740</v>
      </c>
      <c r="B4362" s="4" t="s">
        <v>8741</v>
      </c>
      <c r="C4362" s="4" t="s">
        <v>16</v>
      </c>
      <c r="D4362" s="4" t="s">
        <v>13</v>
      </c>
      <c r="E4362" s="5">
        <v>121.669</v>
      </c>
      <c r="F4362" s="5">
        <v>122.35339999999999</v>
      </c>
      <c r="G4362" s="5">
        <v>121.5774</v>
      </c>
      <c r="H4362" s="4">
        <v>4</v>
      </c>
      <c r="I4362" s="6">
        <v>102532</v>
      </c>
      <c r="J4362" s="7">
        <v>591.62</v>
      </c>
      <c r="K4362" s="9">
        <f>(PricingDataTable[[#This Row],[Current Price ($)]]-PricingDataTable[[#This Row],[Prior Price ($)]])/PricingDataTable[[#This Row],[Prior Price ($)]]</f>
        <v>5.6250976008679005E-3</v>
      </c>
      <c r="L4362" s="9">
        <f>(PricingDataTable[[#This Row],[Vendor Price ($)]]-PricingDataTable[[#This Row],[Current Price ($)]])/PricingDataTable[[#This Row],[Current Price ($)]]</f>
        <v>-6.3422839087430042E-3</v>
      </c>
      <c r="M4362" t="str">
        <f t="shared" si="136"/>
        <v>STALE</v>
      </c>
      <c r="N4362" s="10" t="str">
        <f t="shared" si="137"/>
        <v>LOW</v>
      </c>
    </row>
    <row r="4363" spans="1:14">
      <c r="A4363" s="4" t="s">
        <v>8742</v>
      </c>
      <c r="B4363" s="4" t="s">
        <v>8743</v>
      </c>
      <c r="C4363" s="4" t="s">
        <v>16</v>
      </c>
      <c r="D4363" s="4" t="s">
        <v>13</v>
      </c>
      <c r="E4363" s="5">
        <v>77.650000000000006</v>
      </c>
      <c r="F4363" s="5">
        <v>76.5946</v>
      </c>
      <c r="G4363" s="5">
        <v>76.985500000000002</v>
      </c>
      <c r="H4363" s="4">
        <v>0</v>
      </c>
      <c r="I4363" s="6">
        <v>4628740</v>
      </c>
      <c r="J4363" s="7">
        <v>657.08</v>
      </c>
      <c r="K4363" s="9">
        <f>(PricingDataTable[[#This Row],[Current Price ($)]]-PricingDataTable[[#This Row],[Prior Price ($)]])/PricingDataTable[[#This Row],[Prior Price ($)]]</f>
        <v>-1.3591757887958864E-2</v>
      </c>
      <c r="L4363" s="9">
        <f>(PricingDataTable[[#This Row],[Vendor Price ($)]]-PricingDataTable[[#This Row],[Current Price ($)]])/PricingDataTable[[#This Row],[Current Price ($)]]</f>
        <v>5.1034929355333412E-3</v>
      </c>
      <c r="M4363" t="str">
        <f t="shared" si="136"/>
        <v>PASS</v>
      </c>
      <c r="N4363" s="10" t="str">
        <f t="shared" si="137"/>
        <v>NONE</v>
      </c>
    </row>
    <row r="4364" spans="1:14">
      <c r="A4364" s="4" t="s">
        <v>8744</v>
      </c>
      <c r="B4364" s="4" t="s">
        <v>8745</v>
      </c>
      <c r="C4364" s="4" t="s">
        <v>12</v>
      </c>
      <c r="D4364" s="4" t="s">
        <v>32</v>
      </c>
      <c r="E4364" s="5">
        <v>77.0351</v>
      </c>
      <c r="F4364" s="5">
        <v>76.497500000000002</v>
      </c>
      <c r="G4364" s="5">
        <v>76.371700000000004</v>
      </c>
      <c r="H4364" s="4">
        <v>2</v>
      </c>
      <c r="I4364" s="6">
        <v>850401</v>
      </c>
      <c r="J4364" s="7">
        <v>409.17</v>
      </c>
      <c r="K4364" s="9">
        <f>(PricingDataTable[[#This Row],[Current Price ($)]]-PricingDataTable[[#This Row],[Prior Price ($)]])/PricingDataTable[[#This Row],[Prior Price ($)]]</f>
        <v>-6.9786370109209649E-3</v>
      </c>
      <c r="L4364" s="9">
        <f>(PricingDataTable[[#This Row],[Vendor Price ($)]]-PricingDataTable[[#This Row],[Current Price ($)]])/PricingDataTable[[#This Row],[Current Price ($)]]</f>
        <v>-1.6444981862152113E-3</v>
      </c>
      <c r="M4364" t="str">
        <f t="shared" si="136"/>
        <v>PASS</v>
      </c>
      <c r="N4364" s="10" t="str">
        <f t="shared" si="137"/>
        <v>NONE</v>
      </c>
    </row>
    <row r="4365" spans="1:14">
      <c r="A4365" s="4" t="s">
        <v>8746</v>
      </c>
      <c r="B4365" s="4" t="s">
        <v>8747</v>
      </c>
      <c r="C4365" s="4" t="s">
        <v>39</v>
      </c>
      <c r="D4365" s="4" t="s">
        <v>13</v>
      </c>
      <c r="E4365" s="5">
        <v>128.012</v>
      </c>
      <c r="F4365" s="5">
        <v>127.5783</v>
      </c>
      <c r="G4365" s="5">
        <v>127.3831</v>
      </c>
      <c r="H4365" s="4">
        <v>0</v>
      </c>
      <c r="I4365" s="6">
        <v>4633228</v>
      </c>
      <c r="J4365" s="7">
        <v>741.31</v>
      </c>
      <c r="K4365" s="9">
        <f>(PricingDataTable[[#This Row],[Current Price ($)]]-PricingDataTable[[#This Row],[Prior Price ($)]])/PricingDataTable[[#This Row],[Prior Price ($)]]</f>
        <v>-3.3879636284098501E-3</v>
      </c>
      <c r="L4365" s="9">
        <f>(PricingDataTable[[#This Row],[Vendor Price ($)]]-PricingDataTable[[#This Row],[Current Price ($)]])/PricingDataTable[[#This Row],[Current Price ($)]]</f>
        <v>-1.530040767121053E-3</v>
      </c>
      <c r="M4365" t="str">
        <f t="shared" si="136"/>
        <v>PASS</v>
      </c>
      <c r="N4365" s="10" t="str">
        <f t="shared" si="137"/>
        <v>NONE</v>
      </c>
    </row>
    <row r="4366" spans="1:14">
      <c r="A4366" s="4" t="s">
        <v>8748</v>
      </c>
      <c r="B4366" s="4" t="s">
        <v>8749</v>
      </c>
      <c r="C4366" s="4" t="s">
        <v>16</v>
      </c>
      <c r="D4366" s="4" t="s">
        <v>13</v>
      </c>
      <c r="E4366" s="5">
        <v>81.662199999999999</v>
      </c>
      <c r="F4366" s="5">
        <v>82.073599999999999</v>
      </c>
      <c r="G4366" s="5">
        <v>81.860699999999994</v>
      </c>
      <c r="H4366" s="4">
        <v>0</v>
      </c>
      <c r="I4366" s="6">
        <v>3440148</v>
      </c>
      <c r="J4366" s="7">
        <v>709.12</v>
      </c>
      <c r="K4366" s="9">
        <f>(PricingDataTable[[#This Row],[Current Price ($)]]-PricingDataTable[[#This Row],[Prior Price ($)]])/PricingDataTable[[#This Row],[Prior Price ($)]]</f>
        <v>5.037826558677092E-3</v>
      </c>
      <c r="L4366" s="9">
        <f>(PricingDataTable[[#This Row],[Vendor Price ($)]]-PricingDataTable[[#This Row],[Current Price ($)]])/PricingDataTable[[#This Row],[Current Price ($)]]</f>
        <v>-2.5940131784155289E-3</v>
      </c>
      <c r="M4366" t="str">
        <f t="shared" si="136"/>
        <v>PASS</v>
      </c>
      <c r="N4366" s="10" t="str">
        <f t="shared" si="137"/>
        <v>NONE</v>
      </c>
    </row>
    <row r="4367" spans="1:14">
      <c r="A4367" s="4" t="s">
        <v>8750</v>
      </c>
      <c r="B4367" s="4" t="s">
        <v>8751</v>
      </c>
      <c r="C4367" s="4" t="s">
        <v>16</v>
      </c>
      <c r="D4367" s="4" t="s">
        <v>13</v>
      </c>
      <c r="E4367" s="5">
        <v>95.463300000000004</v>
      </c>
      <c r="F4367" s="5">
        <v>96.776499999999999</v>
      </c>
      <c r="G4367" s="5">
        <v>96.556700000000006</v>
      </c>
      <c r="H4367" s="4">
        <v>0</v>
      </c>
      <c r="I4367" s="6">
        <v>1806429</v>
      </c>
      <c r="J4367" s="7">
        <v>790.37</v>
      </c>
      <c r="K4367" s="9">
        <f>(PricingDataTable[[#This Row],[Current Price ($)]]-PricingDataTable[[#This Row],[Prior Price ($)]])/PricingDataTable[[#This Row],[Prior Price ($)]]</f>
        <v>1.3756071705042616E-2</v>
      </c>
      <c r="L4367" s="9">
        <f>(PricingDataTable[[#This Row],[Vendor Price ($)]]-PricingDataTable[[#This Row],[Current Price ($)]])/PricingDataTable[[#This Row],[Current Price ($)]]</f>
        <v>-2.2712125361011425E-3</v>
      </c>
      <c r="M4367" t="str">
        <f t="shared" si="136"/>
        <v>PASS</v>
      </c>
      <c r="N4367" s="10" t="str">
        <f t="shared" si="137"/>
        <v>NONE</v>
      </c>
    </row>
    <row r="4368" spans="1:14">
      <c r="A4368" s="4" t="s">
        <v>8752</v>
      </c>
      <c r="B4368" s="4" t="s">
        <v>8753</v>
      </c>
      <c r="C4368" s="4" t="s">
        <v>16</v>
      </c>
      <c r="D4368" s="4" t="s">
        <v>13</v>
      </c>
      <c r="E4368" s="5">
        <v>96.447599999999994</v>
      </c>
      <c r="F4368" s="5">
        <v>95.777900000000002</v>
      </c>
      <c r="G4368" s="5">
        <v>95.705699999999993</v>
      </c>
      <c r="H4368" s="4">
        <v>0</v>
      </c>
      <c r="I4368" s="6">
        <v>2140107</v>
      </c>
      <c r="J4368" s="7">
        <v>555.19000000000005</v>
      </c>
      <c r="K4368" s="9">
        <f>(PricingDataTable[[#This Row],[Current Price ($)]]-PricingDataTable[[#This Row],[Prior Price ($)]])/PricingDataTable[[#This Row],[Prior Price ($)]]</f>
        <v>-6.9436668201177821E-3</v>
      </c>
      <c r="L4368" s="9">
        <f>(PricingDataTable[[#This Row],[Vendor Price ($)]]-PricingDataTable[[#This Row],[Current Price ($)]])/PricingDataTable[[#This Row],[Current Price ($)]]</f>
        <v>-7.5382734430395079E-4</v>
      </c>
      <c r="M4368" t="str">
        <f t="shared" si="136"/>
        <v>PASS</v>
      </c>
      <c r="N4368" s="10" t="str">
        <f t="shared" si="137"/>
        <v>NONE</v>
      </c>
    </row>
    <row r="4369" spans="1:14">
      <c r="A4369" s="4" t="s">
        <v>8754</v>
      </c>
      <c r="B4369" s="4" t="s">
        <v>8755</v>
      </c>
      <c r="C4369" s="4" t="s">
        <v>12</v>
      </c>
      <c r="D4369" s="4" t="s">
        <v>13</v>
      </c>
      <c r="E4369" s="5">
        <v>91.444000000000003</v>
      </c>
      <c r="F4369" s="5">
        <v>92.254800000000003</v>
      </c>
      <c r="G4369" s="5">
        <v>91.999799999999993</v>
      </c>
      <c r="H4369" s="4">
        <v>0</v>
      </c>
      <c r="I4369" s="6">
        <v>1962773</v>
      </c>
      <c r="J4369" s="7">
        <v>52.7</v>
      </c>
      <c r="K4369" s="9">
        <f>(PricingDataTable[[#This Row],[Current Price ($)]]-PricingDataTable[[#This Row],[Prior Price ($)]])/PricingDataTable[[#This Row],[Prior Price ($)]]</f>
        <v>8.8666287563973628E-3</v>
      </c>
      <c r="L4369" s="9">
        <f>(PricingDataTable[[#This Row],[Vendor Price ($)]]-PricingDataTable[[#This Row],[Current Price ($)]])/PricingDataTable[[#This Row],[Current Price ($)]]</f>
        <v>-2.764083820028981E-3</v>
      </c>
      <c r="M4369" t="str">
        <f t="shared" si="136"/>
        <v>PASS</v>
      </c>
      <c r="N4369" s="10" t="str">
        <f t="shared" si="137"/>
        <v>NONE</v>
      </c>
    </row>
    <row r="4370" spans="1:14">
      <c r="A4370" s="4" t="s">
        <v>8756</v>
      </c>
      <c r="B4370" s="4" t="s">
        <v>8757</v>
      </c>
      <c r="C4370" s="4" t="s">
        <v>39</v>
      </c>
      <c r="D4370" s="4" t="s">
        <v>32</v>
      </c>
      <c r="E4370" s="5">
        <v>232.22319999999999</v>
      </c>
      <c r="F4370" s="5">
        <v>201.4752</v>
      </c>
      <c r="G4370" s="5">
        <v>176.11060000000001</v>
      </c>
      <c r="H4370" s="4">
        <v>0</v>
      </c>
      <c r="I4370" s="6">
        <v>565829</v>
      </c>
      <c r="J4370" s="7">
        <v>28.61</v>
      </c>
      <c r="K4370" s="9">
        <f>(PricingDataTable[[#This Row],[Current Price ($)]]-PricingDataTable[[#This Row],[Prior Price ($)]])/PricingDataTable[[#This Row],[Prior Price ($)]]</f>
        <v>-0.13240709799882178</v>
      </c>
      <c r="L4370" s="9">
        <f>(PricingDataTable[[#This Row],[Vendor Price ($)]]-PricingDataTable[[#This Row],[Current Price ($)]])/PricingDataTable[[#This Row],[Current Price ($)]]</f>
        <v>-0.12589440288432518</v>
      </c>
      <c r="M4370" t="str">
        <f t="shared" si="136"/>
        <v>LARGE MOVE</v>
      </c>
      <c r="N4370" s="10" t="str">
        <f t="shared" si="137"/>
        <v>HIGH</v>
      </c>
    </row>
    <row r="4371" spans="1:14">
      <c r="A4371" s="4" t="s">
        <v>8758</v>
      </c>
      <c r="B4371" s="4" t="s">
        <v>8759</v>
      </c>
      <c r="C4371" s="4" t="s">
        <v>12</v>
      </c>
      <c r="D4371" s="4" t="s">
        <v>13</v>
      </c>
      <c r="E4371" s="5">
        <v>109.75369999999999</v>
      </c>
      <c r="F4371" s="5"/>
      <c r="G4371" s="5">
        <v>109.4346</v>
      </c>
      <c r="H4371" s="4">
        <v>0</v>
      </c>
      <c r="I4371" s="6">
        <v>2246536</v>
      </c>
      <c r="J4371" s="7">
        <v>249.59</v>
      </c>
      <c r="K4371" s="9">
        <f>(PricingDataTable[[#This Row],[Current Price ($)]]-PricingDataTable[[#This Row],[Prior Price ($)]])/PricingDataTable[[#This Row],[Prior Price ($)]]</f>
        <v>-1</v>
      </c>
      <c r="L4371" s="9" t="e">
        <f>(PricingDataTable[[#This Row],[Vendor Price ($)]]-PricingDataTable[[#This Row],[Current Price ($)]])/PricingDataTable[[#This Row],[Current Price ($)]]</f>
        <v>#DIV/0!</v>
      </c>
      <c r="M4371" t="str">
        <f t="shared" si="136"/>
        <v>MISSING</v>
      </c>
      <c r="N4371" s="10" t="str">
        <f t="shared" si="137"/>
        <v>HIGH</v>
      </c>
    </row>
    <row r="4372" spans="1:14">
      <c r="A4372" s="4" t="s">
        <v>8760</v>
      </c>
      <c r="B4372" s="4" t="s">
        <v>8761</v>
      </c>
      <c r="C4372" s="4" t="s">
        <v>19</v>
      </c>
      <c r="D4372" s="4" t="s">
        <v>64</v>
      </c>
      <c r="E4372" s="5">
        <v>272.94080000000002</v>
      </c>
      <c r="F4372" s="5">
        <v>273.91120000000001</v>
      </c>
      <c r="G4372" s="5">
        <v>273.54340000000002</v>
      </c>
      <c r="H4372" s="4">
        <v>4</v>
      </c>
      <c r="I4372" s="6">
        <v>2784484</v>
      </c>
      <c r="J4372" s="7">
        <v>68.459999999999994</v>
      </c>
      <c r="K4372" s="9">
        <f>(PricingDataTable[[#This Row],[Current Price ($)]]-PricingDataTable[[#This Row],[Prior Price ($)]])/PricingDataTable[[#This Row],[Prior Price ($)]]</f>
        <v>3.5553497315168113E-3</v>
      </c>
      <c r="L4372" s="9">
        <f>(PricingDataTable[[#This Row],[Vendor Price ($)]]-PricingDataTable[[#This Row],[Current Price ($)]])/PricingDataTable[[#This Row],[Current Price ($)]]</f>
        <v>-1.342770941823439E-3</v>
      </c>
      <c r="M4372" t="str">
        <f t="shared" si="136"/>
        <v>STALE</v>
      </c>
      <c r="N4372" s="10" t="str">
        <f t="shared" si="137"/>
        <v>LOW</v>
      </c>
    </row>
    <row r="4373" spans="1:14">
      <c r="A4373" s="4" t="s">
        <v>8762</v>
      </c>
      <c r="B4373" s="4" t="s">
        <v>8763</v>
      </c>
      <c r="C4373" s="4" t="s">
        <v>16</v>
      </c>
      <c r="D4373" s="4" t="s">
        <v>13</v>
      </c>
      <c r="E4373" s="5">
        <v>109.3134</v>
      </c>
      <c r="F4373" s="5">
        <v>109.6133</v>
      </c>
      <c r="G4373" s="5">
        <v>109.2884</v>
      </c>
      <c r="H4373" s="4">
        <v>3</v>
      </c>
      <c r="I4373" s="6">
        <v>743459</v>
      </c>
      <c r="J4373" s="7">
        <v>270.18</v>
      </c>
      <c r="K4373" s="9">
        <f>(PricingDataTable[[#This Row],[Current Price ($)]]-PricingDataTable[[#This Row],[Prior Price ($)]])/PricingDataTable[[#This Row],[Prior Price ($)]]</f>
        <v>2.7434879895785313E-3</v>
      </c>
      <c r="L4373" s="9">
        <f>(PricingDataTable[[#This Row],[Vendor Price ($)]]-PricingDataTable[[#This Row],[Current Price ($)]])/PricingDataTable[[#This Row],[Current Price ($)]]</f>
        <v>-2.964056369071997E-3</v>
      </c>
      <c r="M4373" t="str">
        <f t="shared" si="136"/>
        <v>STALE</v>
      </c>
      <c r="N4373" s="10" t="str">
        <f t="shared" si="137"/>
        <v>LOW</v>
      </c>
    </row>
    <row r="4374" spans="1:14">
      <c r="A4374" s="4" t="s">
        <v>8764</v>
      </c>
      <c r="B4374" s="4" t="s">
        <v>8765</v>
      </c>
      <c r="C4374" s="4" t="s">
        <v>12</v>
      </c>
      <c r="D4374" s="4" t="s">
        <v>64</v>
      </c>
      <c r="E4374" s="5">
        <v>117.5004</v>
      </c>
      <c r="F4374" s="5">
        <v>123.3626</v>
      </c>
      <c r="G4374" s="5">
        <v>123.42910000000001</v>
      </c>
      <c r="H4374" s="4">
        <v>4</v>
      </c>
      <c r="I4374" s="6">
        <v>896997</v>
      </c>
      <c r="J4374" s="7">
        <v>277.61</v>
      </c>
      <c r="K4374" s="9">
        <f>(PricingDataTable[[#This Row],[Current Price ($)]]-PricingDataTable[[#This Row],[Prior Price ($)]])/PricingDataTable[[#This Row],[Prior Price ($)]]</f>
        <v>4.9890893988446011E-2</v>
      </c>
      <c r="L4374" s="9">
        <f>(PricingDataTable[[#This Row],[Vendor Price ($)]]-PricingDataTable[[#This Row],[Current Price ($)]])/PricingDataTable[[#This Row],[Current Price ($)]]</f>
        <v>5.3906127140644644E-4</v>
      </c>
      <c r="M4374" t="str">
        <f t="shared" si="136"/>
        <v>STALE</v>
      </c>
      <c r="N4374" s="10" t="str">
        <f t="shared" si="137"/>
        <v>LOW</v>
      </c>
    </row>
    <row r="4375" spans="1:14">
      <c r="A4375" s="4" t="s">
        <v>8766</v>
      </c>
      <c r="B4375" s="4" t="s">
        <v>8767</v>
      </c>
      <c r="C4375" s="4" t="s">
        <v>19</v>
      </c>
      <c r="D4375" s="4" t="s">
        <v>13</v>
      </c>
      <c r="E4375" s="5">
        <v>134.0985</v>
      </c>
      <c r="F4375" s="5">
        <v>135.69210000000001</v>
      </c>
      <c r="G4375" s="5">
        <v>135.5386</v>
      </c>
      <c r="H4375" s="4">
        <v>0</v>
      </c>
      <c r="I4375" s="6">
        <v>1944171</v>
      </c>
      <c r="J4375" s="7">
        <v>319.64</v>
      </c>
      <c r="K4375" s="9">
        <f>(PricingDataTable[[#This Row],[Current Price ($)]]-PricingDataTable[[#This Row],[Prior Price ($)]])/PricingDataTable[[#This Row],[Prior Price ($)]]</f>
        <v>1.1883801832235329E-2</v>
      </c>
      <c r="L4375" s="9">
        <f>(PricingDataTable[[#This Row],[Vendor Price ($)]]-PricingDataTable[[#This Row],[Current Price ($)]])/PricingDataTable[[#This Row],[Current Price ($)]]</f>
        <v>-1.1312375591505193E-3</v>
      </c>
      <c r="M4375" t="str">
        <f t="shared" si="136"/>
        <v>PASS</v>
      </c>
      <c r="N4375" s="10" t="str">
        <f t="shared" si="137"/>
        <v>NONE</v>
      </c>
    </row>
    <row r="4376" spans="1:14">
      <c r="A4376" s="4" t="s">
        <v>8768</v>
      </c>
      <c r="B4376" s="4" t="s">
        <v>8769</v>
      </c>
      <c r="C4376" s="4" t="s">
        <v>19</v>
      </c>
      <c r="D4376" s="4" t="s">
        <v>13</v>
      </c>
      <c r="E4376" s="5">
        <v>326.51299999999998</v>
      </c>
      <c r="F4376" s="5">
        <v>327.84269999999998</v>
      </c>
      <c r="G4376" s="5">
        <v>328.88819999999998</v>
      </c>
      <c r="H4376" s="4">
        <v>2</v>
      </c>
      <c r="I4376" s="6">
        <v>343064</v>
      </c>
      <c r="J4376" s="7">
        <v>213.31</v>
      </c>
      <c r="K4376" s="9">
        <f>(PricingDataTable[[#This Row],[Current Price ($)]]-PricingDataTable[[#This Row],[Prior Price ($)]])/PricingDataTable[[#This Row],[Prior Price ($)]]</f>
        <v>4.0724259064723383E-3</v>
      </c>
      <c r="L4376" s="9">
        <f>(PricingDataTable[[#This Row],[Vendor Price ($)]]-PricingDataTable[[#This Row],[Current Price ($)]])/PricingDataTable[[#This Row],[Current Price ($)]]</f>
        <v>3.1890293729279441E-3</v>
      </c>
      <c r="M4376" t="str">
        <f t="shared" si="136"/>
        <v>PASS</v>
      </c>
      <c r="N4376" s="10" t="str">
        <f t="shared" si="137"/>
        <v>NONE</v>
      </c>
    </row>
    <row r="4377" spans="1:14">
      <c r="A4377" s="4" t="s">
        <v>8770</v>
      </c>
      <c r="B4377" s="4" t="s">
        <v>8771</v>
      </c>
      <c r="C4377" s="4" t="s">
        <v>19</v>
      </c>
      <c r="D4377" s="4" t="s">
        <v>13</v>
      </c>
      <c r="E4377" s="5">
        <v>279.2183</v>
      </c>
      <c r="F4377" s="5">
        <v>280.43720000000002</v>
      </c>
      <c r="G4377" s="5">
        <v>279.76620000000003</v>
      </c>
      <c r="H4377" s="4">
        <v>5</v>
      </c>
      <c r="I4377" s="6">
        <v>1840496</v>
      </c>
      <c r="J4377" s="7">
        <v>187.74</v>
      </c>
      <c r="K4377" s="9">
        <f>(PricingDataTable[[#This Row],[Current Price ($)]]-PricingDataTable[[#This Row],[Prior Price ($)]])/PricingDataTable[[#This Row],[Prior Price ($)]]</f>
        <v>4.365401551402681E-3</v>
      </c>
      <c r="L4377" s="9">
        <f>(PricingDataTable[[#This Row],[Vendor Price ($)]]-PricingDataTable[[#This Row],[Current Price ($)]])/PricingDataTable[[#This Row],[Current Price ($)]]</f>
        <v>-2.3926925529137795E-3</v>
      </c>
      <c r="M4377" t="str">
        <f t="shared" si="136"/>
        <v>STALE</v>
      </c>
      <c r="N4377" s="10" t="str">
        <f t="shared" si="137"/>
        <v>MEDIUM</v>
      </c>
    </row>
    <row r="4378" spans="1:14">
      <c r="A4378" s="4" t="s">
        <v>8772</v>
      </c>
      <c r="B4378" s="4" t="s">
        <v>8773</v>
      </c>
      <c r="C4378" s="4" t="s">
        <v>19</v>
      </c>
      <c r="D4378" s="4" t="s">
        <v>237</v>
      </c>
      <c r="E4378" s="5">
        <v>236.17939999999999</v>
      </c>
      <c r="F4378" s="5">
        <v>233.5718</v>
      </c>
      <c r="G4378" s="5">
        <v>259.23559999999998</v>
      </c>
      <c r="H4378" s="4">
        <v>0</v>
      </c>
      <c r="I4378" s="6">
        <v>4930498</v>
      </c>
      <c r="J4378" s="7">
        <v>412.4</v>
      </c>
      <c r="K4378" s="9">
        <f>(PricingDataTable[[#This Row],[Current Price ($)]]-PricingDataTable[[#This Row],[Prior Price ($)]])/PricingDataTable[[#This Row],[Prior Price ($)]]</f>
        <v>-1.1040759693690436E-2</v>
      </c>
      <c r="L4378" s="9">
        <f>(PricingDataTable[[#This Row],[Vendor Price ($)]]-PricingDataTable[[#This Row],[Current Price ($)]])/PricingDataTable[[#This Row],[Current Price ($)]]</f>
        <v>0.10987542160483406</v>
      </c>
      <c r="M4378" t="str">
        <f t="shared" si="136"/>
        <v>VENDOR DIFFERENCE</v>
      </c>
      <c r="N4378" s="10" t="str">
        <f t="shared" si="137"/>
        <v>HIGH</v>
      </c>
    </row>
    <row r="4379" spans="1:14">
      <c r="A4379" s="4" t="s">
        <v>8774</v>
      </c>
      <c r="B4379" s="4" t="s">
        <v>8775</v>
      </c>
      <c r="C4379" s="4" t="s">
        <v>16</v>
      </c>
      <c r="D4379" s="4" t="s">
        <v>13</v>
      </c>
      <c r="E4379" s="5">
        <v>101.2393</v>
      </c>
      <c r="F4379" s="5">
        <v>100.693</v>
      </c>
      <c r="G4379" s="5">
        <v>100.6888</v>
      </c>
      <c r="H4379" s="4">
        <v>0</v>
      </c>
      <c r="I4379" s="6">
        <v>270441</v>
      </c>
      <c r="J4379" s="7">
        <v>291.88</v>
      </c>
      <c r="K4379" s="9">
        <f>(PricingDataTable[[#This Row],[Current Price ($)]]-PricingDataTable[[#This Row],[Prior Price ($)]])/PricingDataTable[[#This Row],[Prior Price ($)]]</f>
        <v>-5.3961258128019671E-3</v>
      </c>
      <c r="L4379" s="9">
        <f>(PricingDataTable[[#This Row],[Vendor Price ($)]]-PricingDataTable[[#This Row],[Current Price ($)]])/PricingDataTable[[#This Row],[Current Price ($)]]</f>
        <v>-4.1710943163847707E-5</v>
      </c>
      <c r="M4379" t="str">
        <f t="shared" si="136"/>
        <v>PASS</v>
      </c>
      <c r="N4379" s="10" t="str">
        <f t="shared" si="137"/>
        <v>NONE</v>
      </c>
    </row>
    <row r="4380" spans="1:14">
      <c r="A4380" s="4" t="s">
        <v>8776</v>
      </c>
      <c r="B4380" s="4" t="s">
        <v>8777</v>
      </c>
      <c r="C4380" s="4" t="s">
        <v>35</v>
      </c>
      <c r="D4380" s="4" t="s">
        <v>13</v>
      </c>
      <c r="E4380" s="5">
        <v>114.7747</v>
      </c>
      <c r="F4380" s="5">
        <v>112.9945</v>
      </c>
      <c r="G4380" s="5">
        <v>112.00060000000001</v>
      </c>
      <c r="H4380" s="4">
        <v>0</v>
      </c>
      <c r="I4380" s="6">
        <v>4977271</v>
      </c>
      <c r="J4380" s="7">
        <v>644.58000000000004</v>
      </c>
      <c r="K4380" s="9">
        <f>(PricingDataTable[[#This Row],[Current Price ($)]]-PricingDataTable[[#This Row],[Prior Price ($)]])/PricingDataTable[[#This Row],[Prior Price ($)]]</f>
        <v>-1.5510386870974122E-2</v>
      </c>
      <c r="L4380" s="9">
        <f>(PricingDataTable[[#This Row],[Vendor Price ($)]]-PricingDataTable[[#This Row],[Current Price ($)]])/PricingDataTable[[#This Row],[Current Price ($)]]</f>
        <v>-8.7960033452955354E-3</v>
      </c>
      <c r="M4380" t="str">
        <f t="shared" si="136"/>
        <v>PASS</v>
      </c>
      <c r="N4380" s="10" t="str">
        <f t="shared" si="137"/>
        <v>NONE</v>
      </c>
    </row>
    <row r="4381" spans="1:14">
      <c r="A4381" s="4" t="s">
        <v>8778</v>
      </c>
      <c r="B4381" s="4" t="s">
        <v>8779</v>
      </c>
      <c r="C4381" s="4" t="s">
        <v>12</v>
      </c>
      <c r="D4381" s="4" t="s">
        <v>13</v>
      </c>
      <c r="E4381" s="5">
        <v>93.662099999999995</v>
      </c>
      <c r="F4381" s="5">
        <v>110.69199999999999</v>
      </c>
      <c r="G4381" s="5">
        <v>111.0206</v>
      </c>
      <c r="H4381" s="4">
        <v>0</v>
      </c>
      <c r="I4381" s="6">
        <v>4157371</v>
      </c>
      <c r="J4381" s="7">
        <v>755.26</v>
      </c>
      <c r="K4381" s="9">
        <f>(PricingDataTable[[#This Row],[Current Price ($)]]-PricingDataTable[[#This Row],[Prior Price ($)]])/PricingDataTable[[#This Row],[Prior Price ($)]]</f>
        <v>0.18182274367113271</v>
      </c>
      <c r="L4381" s="9">
        <f>(PricingDataTable[[#This Row],[Vendor Price ($)]]-PricingDataTable[[#This Row],[Current Price ($)]])/PricingDataTable[[#This Row],[Current Price ($)]]</f>
        <v>2.9685975499585218E-3</v>
      </c>
      <c r="M4381" t="str">
        <f t="shared" si="136"/>
        <v>LARGE MOVE</v>
      </c>
      <c r="N4381" s="10" t="str">
        <f t="shared" si="137"/>
        <v>HIGH</v>
      </c>
    </row>
    <row r="4382" spans="1:14">
      <c r="A4382" s="4" t="s">
        <v>8780</v>
      </c>
      <c r="B4382" s="4" t="s">
        <v>8781</v>
      </c>
      <c r="C4382" s="4" t="s">
        <v>19</v>
      </c>
      <c r="D4382" s="4" t="s">
        <v>13</v>
      </c>
      <c r="E4382" s="5">
        <v>341.73349999999999</v>
      </c>
      <c r="F4382" s="5">
        <v>347.72149999999999</v>
      </c>
      <c r="G4382" s="5">
        <v>349.07920000000001</v>
      </c>
      <c r="H4382" s="4">
        <v>1</v>
      </c>
      <c r="I4382" s="6">
        <v>3239637</v>
      </c>
      <c r="J4382" s="7">
        <v>470.31</v>
      </c>
      <c r="K4382" s="9">
        <f>(PricingDataTable[[#This Row],[Current Price ($)]]-PricingDataTable[[#This Row],[Prior Price ($)]])/PricingDataTable[[#This Row],[Prior Price ($)]]</f>
        <v>1.7522426101040722E-2</v>
      </c>
      <c r="L4382" s="9">
        <f>(PricingDataTable[[#This Row],[Vendor Price ($)]]-PricingDataTable[[#This Row],[Current Price ($)]])/PricingDataTable[[#This Row],[Current Price ($)]]</f>
        <v>3.9045615528519881E-3</v>
      </c>
      <c r="M4382" t="str">
        <f t="shared" si="136"/>
        <v>PASS</v>
      </c>
      <c r="N4382" s="10" t="str">
        <f t="shared" si="137"/>
        <v>NONE</v>
      </c>
    </row>
    <row r="4383" spans="1:14">
      <c r="A4383" s="4" t="s">
        <v>8782</v>
      </c>
      <c r="B4383" s="4" t="s">
        <v>8783</v>
      </c>
      <c r="C4383" s="4" t="s">
        <v>16</v>
      </c>
      <c r="D4383" s="4" t="s">
        <v>13</v>
      </c>
      <c r="E4383" s="5">
        <v>101.17740000000001</v>
      </c>
      <c r="F4383" s="5">
        <v>102.3811</v>
      </c>
      <c r="G4383" s="5">
        <v>102.0534</v>
      </c>
      <c r="H4383" s="4">
        <v>0</v>
      </c>
      <c r="I4383" s="6">
        <v>26075</v>
      </c>
      <c r="J4383" s="7">
        <v>567.51</v>
      </c>
      <c r="K4383" s="9">
        <f>(PricingDataTable[[#This Row],[Current Price ($)]]-PricingDataTable[[#This Row],[Prior Price ($)]])/PricingDataTable[[#This Row],[Prior Price ($)]]</f>
        <v>1.1896925598009018E-2</v>
      </c>
      <c r="L4383" s="9">
        <f>(PricingDataTable[[#This Row],[Vendor Price ($)]]-PricingDataTable[[#This Row],[Current Price ($)]])/PricingDataTable[[#This Row],[Current Price ($)]]</f>
        <v>-3.2007860825875793E-3</v>
      </c>
      <c r="M4383" t="str">
        <f t="shared" si="136"/>
        <v>PASS</v>
      </c>
      <c r="N4383" s="10" t="str">
        <f t="shared" si="137"/>
        <v>NONE</v>
      </c>
    </row>
    <row r="4384" spans="1:14">
      <c r="A4384" s="4" t="s">
        <v>8784</v>
      </c>
      <c r="B4384" s="4" t="s">
        <v>8785</v>
      </c>
      <c r="C4384" s="4" t="s">
        <v>35</v>
      </c>
      <c r="D4384" s="4" t="s">
        <v>13</v>
      </c>
      <c r="E4384" s="5">
        <v>61.0625</v>
      </c>
      <c r="F4384" s="5">
        <v>60.064100000000003</v>
      </c>
      <c r="G4384" s="5">
        <v>60.054299999999998</v>
      </c>
      <c r="H4384" s="4">
        <v>0</v>
      </c>
      <c r="I4384" s="6">
        <v>1925732</v>
      </c>
      <c r="J4384" s="7">
        <v>169.92</v>
      </c>
      <c r="K4384" s="9">
        <f>(PricingDataTable[[#This Row],[Current Price ($)]]-PricingDataTable[[#This Row],[Prior Price ($)]])/PricingDataTable[[#This Row],[Prior Price ($)]]</f>
        <v>-1.6350460593653988E-2</v>
      </c>
      <c r="L4384" s="9">
        <f>(PricingDataTable[[#This Row],[Vendor Price ($)]]-PricingDataTable[[#This Row],[Current Price ($)]])/PricingDataTable[[#This Row],[Current Price ($)]]</f>
        <v>-1.6315902510826902E-4</v>
      </c>
      <c r="M4384" t="str">
        <f t="shared" si="136"/>
        <v>PASS</v>
      </c>
      <c r="N4384" s="10" t="str">
        <f t="shared" si="137"/>
        <v>NONE</v>
      </c>
    </row>
    <row r="4385" spans="1:14">
      <c r="A4385" s="4" t="s">
        <v>8786</v>
      </c>
      <c r="B4385" s="4" t="s">
        <v>8787</v>
      </c>
      <c r="C4385" s="4" t="s">
        <v>19</v>
      </c>
      <c r="D4385" s="4" t="s">
        <v>13</v>
      </c>
      <c r="E4385" s="5">
        <v>214.90889999999999</v>
      </c>
      <c r="F4385" s="5">
        <v>217.0847</v>
      </c>
      <c r="G4385" s="5">
        <v>217.06950000000001</v>
      </c>
      <c r="H4385" s="4">
        <v>0</v>
      </c>
      <c r="I4385" s="6">
        <v>2376772</v>
      </c>
      <c r="J4385" s="7">
        <v>281.11</v>
      </c>
      <c r="K4385" s="9">
        <f>(PricingDataTable[[#This Row],[Current Price ($)]]-PricingDataTable[[#This Row],[Prior Price ($)]])/PricingDataTable[[#This Row],[Prior Price ($)]]</f>
        <v>1.0124289873523198E-2</v>
      </c>
      <c r="L4385" s="9">
        <f>(PricingDataTable[[#This Row],[Vendor Price ($)]]-PricingDataTable[[#This Row],[Current Price ($)]])/PricingDataTable[[#This Row],[Current Price ($)]]</f>
        <v>-7.0018753048892889E-5</v>
      </c>
      <c r="M4385" t="str">
        <f t="shared" si="136"/>
        <v>PASS</v>
      </c>
      <c r="N4385" s="10" t="str">
        <f t="shared" si="137"/>
        <v>NONE</v>
      </c>
    </row>
    <row r="4386" spans="1:14">
      <c r="A4386" s="4" t="s">
        <v>8788</v>
      </c>
      <c r="B4386" s="4" t="s">
        <v>8789</v>
      </c>
      <c r="C4386" s="4" t="s">
        <v>19</v>
      </c>
      <c r="D4386" s="4" t="s">
        <v>32</v>
      </c>
      <c r="E4386" s="5">
        <v>242.2672</v>
      </c>
      <c r="F4386" s="5">
        <v>242.4727</v>
      </c>
      <c r="G4386" s="5">
        <v>241.42140000000001</v>
      </c>
      <c r="H4386" s="4">
        <v>3</v>
      </c>
      <c r="I4386" s="6">
        <v>3243933</v>
      </c>
      <c r="J4386" s="7">
        <v>691.23</v>
      </c>
      <c r="K4386" s="9">
        <f>(PricingDataTable[[#This Row],[Current Price ($)]]-PricingDataTable[[#This Row],[Prior Price ($)]])/PricingDataTable[[#This Row],[Prior Price ($)]]</f>
        <v>8.4823698792077789E-4</v>
      </c>
      <c r="L4386" s="9">
        <f>(PricingDataTable[[#This Row],[Vendor Price ($)]]-PricingDataTable[[#This Row],[Current Price ($)]])/PricingDataTable[[#This Row],[Current Price ($)]]</f>
        <v>-4.3357458386036763E-3</v>
      </c>
      <c r="M4386" t="str">
        <f t="shared" si="136"/>
        <v>STALE</v>
      </c>
      <c r="N4386" s="10" t="str">
        <f t="shared" si="137"/>
        <v>LOW</v>
      </c>
    </row>
    <row r="4387" spans="1:14">
      <c r="A4387" s="4" t="s">
        <v>8790</v>
      </c>
      <c r="B4387" s="4" t="s">
        <v>8791</v>
      </c>
      <c r="C4387" s="4" t="s">
        <v>16</v>
      </c>
      <c r="D4387" s="4" t="s">
        <v>13</v>
      </c>
      <c r="E4387" s="5">
        <v>86.037700000000001</v>
      </c>
      <c r="F4387" s="5">
        <v>85.865700000000004</v>
      </c>
      <c r="G4387" s="5">
        <v>85.882499999999993</v>
      </c>
      <c r="H4387" s="4">
        <v>0</v>
      </c>
      <c r="I4387" s="6">
        <v>329127</v>
      </c>
      <c r="J4387" s="7">
        <v>383.23</v>
      </c>
      <c r="K4387" s="9">
        <f>(PricingDataTable[[#This Row],[Current Price ($)]]-PricingDataTable[[#This Row],[Prior Price ($)]])/PricingDataTable[[#This Row],[Prior Price ($)]]</f>
        <v>-1.9991236399856927E-3</v>
      </c>
      <c r="L4387" s="9">
        <f>(PricingDataTable[[#This Row],[Vendor Price ($)]]-PricingDataTable[[#This Row],[Current Price ($)]])/PricingDataTable[[#This Row],[Current Price ($)]]</f>
        <v>1.9565437654371032E-4</v>
      </c>
      <c r="M4387" t="str">
        <f t="shared" si="136"/>
        <v>PASS</v>
      </c>
      <c r="N4387" s="10" t="str">
        <f t="shared" si="137"/>
        <v>NONE</v>
      </c>
    </row>
    <row r="4388" spans="1:14">
      <c r="A4388" s="4" t="s">
        <v>8792</v>
      </c>
      <c r="B4388" s="4" t="s">
        <v>8793</v>
      </c>
      <c r="C4388" s="4" t="s">
        <v>19</v>
      </c>
      <c r="D4388" s="4" t="s">
        <v>64</v>
      </c>
      <c r="E4388" s="5">
        <v>266.93400000000003</v>
      </c>
      <c r="F4388" s="5">
        <v>272.8997</v>
      </c>
      <c r="G4388" s="5">
        <v>273.15249999999997</v>
      </c>
      <c r="H4388" s="4">
        <v>3</v>
      </c>
      <c r="I4388" s="6">
        <v>4878993</v>
      </c>
      <c r="J4388" s="7">
        <v>87.3</v>
      </c>
      <c r="K4388" s="9">
        <f>(PricingDataTable[[#This Row],[Current Price ($)]]-PricingDataTable[[#This Row],[Prior Price ($)]])/PricingDataTable[[#This Row],[Prior Price ($)]]</f>
        <v>2.2348970157417075E-2</v>
      </c>
      <c r="L4388" s="9">
        <f>(PricingDataTable[[#This Row],[Vendor Price ($)]]-PricingDataTable[[#This Row],[Current Price ($)]])/PricingDataTable[[#This Row],[Current Price ($)]]</f>
        <v>9.2634766546089743E-4</v>
      </c>
      <c r="M4388" t="str">
        <f t="shared" si="136"/>
        <v>STALE</v>
      </c>
      <c r="N4388" s="10" t="str">
        <f t="shared" si="137"/>
        <v>LOW</v>
      </c>
    </row>
    <row r="4389" spans="1:14">
      <c r="A4389" s="4" t="s">
        <v>8794</v>
      </c>
      <c r="B4389" s="4" t="s">
        <v>8795</v>
      </c>
      <c r="C4389" s="4" t="s">
        <v>16</v>
      </c>
      <c r="D4389" s="4" t="s">
        <v>13</v>
      </c>
      <c r="E4389" s="5">
        <v>75.583600000000004</v>
      </c>
      <c r="F4389" s="5">
        <v>75.8523</v>
      </c>
      <c r="G4389" s="5">
        <v>75.682500000000005</v>
      </c>
      <c r="H4389" s="4">
        <v>0</v>
      </c>
      <c r="I4389" s="6">
        <v>3731213</v>
      </c>
      <c r="J4389" s="7">
        <v>784.15</v>
      </c>
      <c r="K4389" s="9">
        <f>(PricingDataTable[[#This Row],[Current Price ($)]]-PricingDataTable[[#This Row],[Prior Price ($)]])/PricingDataTable[[#This Row],[Prior Price ($)]]</f>
        <v>3.5550039955757002E-3</v>
      </c>
      <c r="L4389" s="9">
        <f>(PricingDataTable[[#This Row],[Vendor Price ($)]]-PricingDataTable[[#This Row],[Current Price ($)]])/PricingDataTable[[#This Row],[Current Price ($)]]</f>
        <v>-2.2385609928768815E-3</v>
      </c>
      <c r="M4389" t="str">
        <f t="shared" si="136"/>
        <v>PASS</v>
      </c>
      <c r="N4389" s="10" t="str">
        <f t="shared" si="137"/>
        <v>NONE</v>
      </c>
    </row>
    <row r="4390" spans="1:14">
      <c r="A4390" s="4" t="s">
        <v>8796</v>
      </c>
      <c r="B4390" s="4" t="s">
        <v>8797</v>
      </c>
      <c r="C4390" s="4" t="s">
        <v>16</v>
      </c>
      <c r="D4390" s="4" t="s">
        <v>13</v>
      </c>
      <c r="E4390" s="5">
        <v>113.7428</v>
      </c>
      <c r="F4390" s="5">
        <v>116.4815</v>
      </c>
      <c r="G4390" s="5">
        <v>116.08110000000001</v>
      </c>
      <c r="H4390" s="4">
        <v>2</v>
      </c>
      <c r="I4390" s="6">
        <v>3661077</v>
      </c>
      <c r="J4390" s="7">
        <v>876.42</v>
      </c>
      <c r="K4390" s="9">
        <f>(PricingDataTable[[#This Row],[Current Price ($)]]-PricingDataTable[[#This Row],[Prior Price ($)]])/PricingDataTable[[#This Row],[Prior Price ($)]]</f>
        <v>2.4078007574984916E-2</v>
      </c>
      <c r="L4390" s="9">
        <f>(PricingDataTable[[#This Row],[Vendor Price ($)]]-PricingDataTable[[#This Row],[Current Price ($)]])/PricingDataTable[[#This Row],[Current Price ($)]]</f>
        <v>-3.4374557333137928E-3</v>
      </c>
      <c r="M4390" t="str">
        <f t="shared" si="136"/>
        <v>PASS</v>
      </c>
      <c r="N4390" s="10" t="str">
        <f t="shared" si="137"/>
        <v>NONE</v>
      </c>
    </row>
    <row r="4391" spans="1:14">
      <c r="A4391" s="4" t="s">
        <v>8798</v>
      </c>
      <c r="B4391" s="4" t="s">
        <v>8799</v>
      </c>
      <c r="C4391" s="4" t="s">
        <v>12</v>
      </c>
      <c r="D4391" s="4" t="s">
        <v>13</v>
      </c>
      <c r="E4391" s="5">
        <v>93.579700000000003</v>
      </c>
      <c r="F4391" s="5">
        <v>91.799400000000006</v>
      </c>
      <c r="G4391" s="5">
        <v>91.640900000000002</v>
      </c>
      <c r="H4391" s="4">
        <v>1</v>
      </c>
      <c r="I4391" s="6">
        <v>4164620</v>
      </c>
      <c r="J4391" s="7">
        <v>708.99</v>
      </c>
      <c r="K4391" s="9">
        <f>(PricingDataTable[[#This Row],[Current Price ($)]]-PricingDataTable[[#This Row],[Prior Price ($)]])/PricingDataTable[[#This Row],[Prior Price ($)]]</f>
        <v>-1.9024425169133871E-2</v>
      </c>
      <c r="L4391" s="9">
        <f>(PricingDataTable[[#This Row],[Vendor Price ($)]]-PricingDataTable[[#This Row],[Current Price ($)]])/PricingDataTable[[#This Row],[Current Price ($)]]</f>
        <v>-1.7265908056044335E-3</v>
      </c>
      <c r="M4391" t="str">
        <f t="shared" si="136"/>
        <v>PASS</v>
      </c>
      <c r="N4391" s="10" t="str">
        <f t="shared" si="137"/>
        <v>NONE</v>
      </c>
    </row>
    <row r="4392" spans="1:14">
      <c r="A4392" s="4" t="s">
        <v>8800</v>
      </c>
      <c r="B4392" s="4" t="s">
        <v>8801</v>
      </c>
      <c r="C4392" s="4" t="s">
        <v>35</v>
      </c>
      <c r="D4392" s="4" t="s">
        <v>13</v>
      </c>
      <c r="E4392" s="5">
        <v>13.5989</v>
      </c>
      <c r="F4392" s="5">
        <v>13.344099999999999</v>
      </c>
      <c r="G4392" s="5">
        <v>13.296900000000001</v>
      </c>
      <c r="H4392" s="4">
        <v>0</v>
      </c>
      <c r="I4392" s="6">
        <v>4908648</v>
      </c>
      <c r="J4392" s="7">
        <v>387.39</v>
      </c>
      <c r="K4392" s="9">
        <f>(PricingDataTable[[#This Row],[Current Price ($)]]-PricingDataTable[[#This Row],[Prior Price ($)]])/PricingDataTable[[#This Row],[Prior Price ($)]]</f>
        <v>-1.8736809594893798E-2</v>
      </c>
      <c r="L4392" s="9">
        <f>(PricingDataTable[[#This Row],[Vendor Price ($)]]-PricingDataTable[[#This Row],[Current Price ($)]])/PricingDataTable[[#This Row],[Current Price ($)]]</f>
        <v>-3.5371437564165704E-3</v>
      </c>
      <c r="M4392" t="str">
        <f t="shared" si="136"/>
        <v>PASS</v>
      </c>
      <c r="N4392" s="10" t="str">
        <f t="shared" si="137"/>
        <v>NONE</v>
      </c>
    </row>
    <row r="4393" spans="1:14">
      <c r="A4393" s="4" t="s">
        <v>8802</v>
      </c>
      <c r="B4393" s="4" t="s">
        <v>8803</v>
      </c>
      <c r="C4393" s="4" t="s">
        <v>19</v>
      </c>
      <c r="D4393" s="4" t="s">
        <v>13</v>
      </c>
      <c r="E4393" s="5">
        <v>31.152799999999999</v>
      </c>
      <c r="F4393" s="5">
        <v>30.722200000000001</v>
      </c>
      <c r="G4393" s="5">
        <v>30.766500000000001</v>
      </c>
      <c r="H4393" s="4">
        <v>0</v>
      </c>
      <c r="I4393" s="6">
        <v>2736907</v>
      </c>
      <c r="J4393" s="7">
        <v>498.63</v>
      </c>
      <c r="K4393" s="9">
        <f>(PricingDataTable[[#This Row],[Current Price ($)]]-PricingDataTable[[#This Row],[Prior Price ($)]])/PricingDataTable[[#This Row],[Prior Price ($)]]</f>
        <v>-1.3822192547700314E-2</v>
      </c>
      <c r="L4393" s="9">
        <f>(PricingDataTable[[#This Row],[Vendor Price ($)]]-PricingDataTable[[#This Row],[Current Price ($)]])/PricingDataTable[[#This Row],[Current Price ($)]]</f>
        <v>1.4419540267298495E-3</v>
      </c>
      <c r="M4393" t="str">
        <f t="shared" si="136"/>
        <v>PASS</v>
      </c>
      <c r="N4393" s="10" t="str">
        <f t="shared" si="137"/>
        <v>NONE</v>
      </c>
    </row>
    <row r="4394" spans="1:14">
      <c r="A4394" s="4" t="s">
        <v>8804</v>
      </c>
      <c r="B4394" s="4" t="s">
        <v>8805</v>
      </c>
      <c r="C4394" s="4" t="s">
        <v>12</v>
      </c>
      <c r="D4394" s="4" t="s">
        <v>13</v>
      </c>
      <c r="E4394" s="5">
        <v>102.7191</v>
      </c>
      <c r="F4394" s="5">
        <v>102.9181</v>
      </c>
      <c r="G4394" s="5">
        <v>102.9498</v>
      </c>
      <c r="H4394" s="4">
        <v>4</v>
      </c>
      <c r="I4394" s="6">
        <v>3121513</v>
      </c>
      <c r="J4394" s="7">
        <v>577.74</v>
      </c>
      <c r="K4394" s="9">
        <f>(PricingDataTable[[#This Row],[Current Price ($)]]-PricingDataTable[[#This Row],[Prior Price ($)]])/PricingDataTable[[#This Row],[Prior Price ($)]]</f>
        <v>1.9373222701522703E-3</v>
      </c>
      <c r="L4394" s="9">
        <f>(PricingDataTable[[#This Row],[Vendor Price ($)]]-PricingDataTable[[#This Row],[Current Price ($)]])/PricingDataTable[[#This Row],[Current Price ($)]]</f>
        <v>3.0801190461153798E-4</v>
      </c>
      <c r="M4394" t="str">
        <f t="shared" si="136"/>
        <v>STALE</v>
      </c>
      <c r="N4394" s="10" t="str">
        <f t="shared" si="137"/>
        <v>LOW</v>
      </c>
    </row>
    <row r="4395" spans="1:14">
      <c r="A4395" s="4" t="s">
        <v>8806</v>
      </c>
      <c r="B4395" s="4" t="s">
        <v>8807</v>
      </c>
      <c r="C4395" s="4" t="s">
        <v>19</v>
      </c>
      <c r="D4395" s="4" t="s">
        <v>13</v>
      </c>
      <c r="E4395" s="5">
        <v>333.81189999999998</v>
      </c>
      <c r="F4395" s="5">
        <v>330.43689999999998</v>
      </c>
      <c r="G4395" s="5">
        <v>291.74930000000001</v>
      </c>
      <c r="H4395" s="4">
        <v>0</v>
      </c>
      <c r="I4395" s="6">
        <v>28774</v>
      </c>
      <c r="J4395" s="7">
        <v>252.82</v>
      </c>
      <c r="K4395" s="9">
        <f>(PricingDataTable[[#This Row],[Current Price ($)]]-PricingDataTable[[#This Row],[Prior Price ($)]])/PricingDataTable[[#This Row],[Prior Price ($)]]</f>
        <v>-1.011048437757911E-2</v>
      </c>
      <c r="L4395" s="9">
        <f>(PricingDataTable[[#This Row],[Vendor Price ($)]]-PricingDataTable[[#This Row],[Current Price ($)]])/PricingDataTable[[#This Row],[Current Price ($)]]</f>
        <v>-0.1170801444996003</v>
      </c>
      <c r="M4395" t="str">
        <f t="shared" si="136"/>
        <v>VENDOR DIFFERENCE</v>
      </c>
      <c r="N4395" s="10" t="str">
        <f t="shared" si="137"/>
        <v>HIGH</v>
      </c>
    </row>
    <row r="4396" spans="1:14">
      <c r="A4396" s="4" t="s">
        <v>8808</v>
      </c>
      <c r="B4396" s="4" t="s">
        <v>8809</v>
      </c>
      <c r="C4396" s="4" t="s">
        <v>19</v>
      </c>
      <c r="D4396" s="4" t="s">
        <v>64</v>
      </c>
      <c r="E4396" s="5">
        <v>19.944299999999998</v>
      </c>
      <c r="F4396" s="5">
        <v>20.461200000000002</v>
      </c>
      <c r="G4396" s="5">
        <v>20.434999999999999</v>
      </c>
      <c r="H4396" s="4">
        <v>1</v>
      </c>
      <c r="I4396" s="6">
        <v>769102</v>
      </c>
      <c r="J4396" s="7">
        <v>476.37</v>
      </c>
      <c r="K4396" s="9">
        <f>(PricingDataTable[[#This Row],[Current Price ($)]]-PricingDataTable[[#This Row],[Prior Price ($)]])/PricingDataTable[[#This Row],[Prior Price ($)]]</f>
        <v>2.5917179344474527E-2</v>
      </c>
      <c r="L4396" s="9">
        <f>(PricingDataTable[[#This Row],[Vendor Price ($)]]-PricingDataTable[[#This Row],[Current Price ($)]])/PricingDataTable[[#This Row],[Current Price ($)]]</f>
        <v>-1.2804723085646436E-3</v>
      </c>
      <c r="M4396" t="str">
        <f t="shared" si="136"/>
        <v>PASS</v>
      </c>
      <c r="N4396" s="10" t="str">
        <f t="shared" si="137"/>
        <v>NONE</v>
      </c>
    </row>
    <row r="4397" spans="1:14">
      <c r="A4397" s="4" t="s">
        <v>8810</v>
      </c>
      <c r="B4397" s="4" t="s">
        <v>8811</v>
      </c>
      <c r="C4397" s="4" t="s">
        <v>12</v>
      </c>
      <c r="D4397" s="4" t="s">
        <v>13</v>
      </c>
      <c r="E4397" s="5">
        <v>91.211500000000001</v>
      </c>
      <c r="F4397" s="5">
        <v>94.566199999999995</v>
      </c>
      <c r="G4397" s="5">
        <v>94.552300000000002</v>
      </c>
      <c r="H4397" s="4">
        <v>0</v>
      </c>
      <c r="I4397" s="6">
        <v>4024016</v>
      </c>
      <c r="J4397" s="7">
        <v>503.26</v>
      </c>
      <c r="K4397" s="9">
        <f>(PricingDataTable[[#This Row],[Current Price ($)]]-PricingDataTable[[#This Row],[Prior Price ($)]])/PricingDataTable[[#This Row],[Prior Price ($)]]</f>
        <v>3.6779353480646565E-2</v>
      </c>
      <c r="L4397" s="9">
        <f>(PricingDataTable[[#This Row],[Vendor Price ($)]]-PricingDataTable[[#This Row],[Current Price ($)]])/PricingDataTable[[#This Row],[Current Price ($)]]</f>
        <v>-1.4698697843407553E-4</v>
      </c>
      <c r="M4397" t="str">
        <f t="shared" si="136"/>
        <v>PASS</v>
      </c>
      <c r="N4397" s="10" t="str">
        <f t="shared" si="137"/>
        <v>NONE</v>
      </c>
    </row>
    <row r="4398" spans="1:14">
      <c r="A4398" s="4" t="s">
        <v>8812</v>
      </c>
      <c r="B4398" s="4" t="s">
        <v>8813</v>
      </c>
      <c r="C4398" s="4" t="s">
        <v>39</v>
      </c>
      <c r="D4398" s="4" t="s">
        <v>13</v>
      </c>
      <c r="E4398" s="5">
        <v>251.93020000000001</v>
      </c>
      <c r="F4398" s="5">
        <v>251.03700000000001</v>
      </c>
      <c r="G4398" s="5">
        <v>251.2337</v>
      </c>
      <c r="H4398" s="4">
        <v>1</v>
      </c>
      <c r="I4398" s="6">
        <v>818946</v>
      </c>
      <c r="J4398" s="7">
        <v>867.74</v>
      </c>
      <c r="K4398" s="9">
        <f>(PricingDataTable[[#This Row],[Current Price ($)]]-PricingDataTable[[#This Row],[Prior Price ($)]])/PricingDataTable[[#This Row],[Prior Price ($)]]</f>
        <v>-3.5454264713004127E-3</v>
      </c>
      <c r="L4398" s="9">
        <f>(PricingDataTable[[#This Row],[Vendor Price ($)]]-PricingDataTable[[#This Row],[Current Price ($)]])/PricingDataTable[[#This Row],[Current Price ($)]]</f>
        <v>7.8354983528321632E-4</v>
      </c>
      <c r="M4398" t="str">
        <f t="shared" si="136"/>
        <v>PASS</v>
      </c>
      <c r="N4398" s="10" t="str">
        <f t="shared" si="137"/>
        <v>NONE</v>
      </c>
    </row>
    <row r="4399" spans="1:14">
      <c r="A4399" s="4" t="s">
        <v>8814</v>
      </c>
      <c r="B4399" s="4" t="s">
        <v>8815</v>
      </c>
      <c r="C4399" s="4" t="s">
        <v>12</v>
      </c>
      <c r="D4399" s="4" t="s">
        <v>13</v>
      </c>
      <c r="E4399" s="5">
        <v>78.168800000000005</v>
      </c>
      <c r="F4399" s="5">
        <v>78.387100000000004</v>
      </c>
      <c r="G4399" s="5">
        <v>78.259600000000006</v>
      </c>
      <c r="H4399" s="4">
        <v>1</v>
      </c>
      <c r="I4399" s="6">
        <v>1782158</v>
      </c>
      <c r="J4399" s="7">
        <v>491.77</v>
      </c>
      <c r="K4399" s="9">
        <f>(PricingDataTable[[#This Row],[Current Price ($)]]-PricingDataTable[[#This Row],[Prior Price ($)]])/PricingDataTable[[#This Row],[Prior Price ($)]]</f>
        <v>2.7926743150719887E-3</v>
      </c>
      <c r="L4399" s="9">
        <f>(PricingDataTable[[#This Row],[Vendor Price ($)]]-PricingDataTable[[#This Row],[Current Price ($)]])/PricingDataTable[[#This Row],[Current Price ($)]]</f>
        <v>-1.6265431429405824E-3</v>
      </c>
      <c r="M4399" t="str">
        <f t="shared" si="136"/>
        <v>PASS</v>
      </c>
      <c r="N4399" s="10" t="str">
        <f t="shared" si="137"/>
        <v>NONE</v>
      </c>
    </row>
    <row r="4400" spans="1:14">
      <c r="A4400" s="4" t="s">
        <v>8816</v>
      </c>
      <c r="B4400" s="4" t="s">
        <v>8817</v>
      </c>
      <c r="C4400" s="4" t="s">
        <v>19</v>
      </c>
      <c r="D4400" s="4" t="s">
        <v>13</v>
      </c>
      <c r="E4400" s="5">
        <v>280.39620000000002</v>
      </c>
      <c r="F4400" s="5">
        <v>276.74900000000002</v>
      </c>
      <c r="G4400" s="5">
        <v>275.51220000000001</v>
      </c>
      <c r="H4400" s="4">
        <v>0</v>
      </c>
      <c r="I4400" s="6">
        <v>3868729</v>
      </c>
      <c r="J4400" s="7">
        <v>204.62</v>
      </c>
      <c r="K4400" s="9">
        <f>(PricingDataTable[[#This Row],[Current Price ($)]]-PricingDataTable[[#This Row],[Prior Price ($)]])/PricingDataTable[[#This Row],[Prior Price ($)]]</f>
        <v>-1.3007308943559141E-2</v>
      </c>
      <c r="L4400" s="9">
        <f>(PricingDataTable[[#This Row],[Vendor Price ($)]]-PricingDataTable[[#This Row],[Current Price ($)]])/PricingDataTable[[#This Row],[Current Price ($)]]</f>
        <v>-4.4690315050822816E-3</v>
      </c>
      <c r="M4400" t="str">
        <f t="shared" si="136"/>
        <v>PASS</v>
      </c>
      <c r="N4400" s="10" t="str">
        <f t="shared" si="137"/>
        <v>NONE</v>
      </c>
    </row>
    <row r="4401" spans="1:14">
      <c r="A4401" s="4" t="s">
        <v>8818</v>
      </c>
      <c r="B4401" s="4" t="s">
        <v>8819</v>
      </c>
      <c r="C4401" s="4" t="s">
        <v>16</v>
      </c>
      <c r="D4401" s="4" t="s">
        <v>36</v>
      </c>
      <c r="E4401" s="5">
        <v>112.19070000000001</v>
      </c>
      <c r="F4401" s="5">
        <v>114.92310000000001</v>
      </c>
      <c r="G4401" s="5">
        <v>121.51690000000001</v>
      </c>
      <c r="H4401" s="4">
        <v>0</v>
      </c>
      <c r="I4401" s="6">
        <v>2286752</v>
      </c>
      <c r="J4401" s="7">
        <v>669.89</v>
      </c>
      <c r="K4401" s="9">
        <f>(PricingDataTable[[#This Row],[Current Price ($)]]-PricingDataTable[[#This Row],[Prior Price ($)]])/PricingDataTable[[#This Row],[Prior Price ($)]]</f>
        <v>2.4354959903093557E-2</v>
      </c>
      <c r="L4401" s="9">
        <f>(PricingDataTable[[#This Row],[Vendor Price ($)]]-PricingDataTable[[#This Row],[Current Price ($)]])/PricingDataTable[[#This Row],[Current Price ($)]]</f>
        <v>5.7375758224412682E-2</v>
      </c>
      <c r="M4401" t="str">
        <f t="shared" si="136"/>
        <v>VENDOR DIFFERENCE</v>
      </c>
      <c r="N4401" s="10" t="str">
        <f t="shared" si="137"/>
        <v>HIGH</v>
      </c>
    </row>
    <row r="4402" spans="1:14">
      <c r="A4402" s="4" t="s">
        <v>8820</v>
      </c>
      <c r="B4402" s="4" t="s">
        <v>8821</v>
      </c>
      <c r="C4402" s="4" t="s">
        <v>16</v>
      </c>
      <c r="D4402" s="4" t="s">
        <v>13</v>
      </c>
      <c r="E4402" s="5">
        <v>109.70740000000001</v>
      </c>
      <c r="F4402" s="5">
        <v>129.18109999999999</v>
      </c>
      <c r="G4402" s="5">
        <v>129.44800000000001</v>
      </c>
      <c r="H4402" s="4">
        <v>1</v>
      </c>
      <c r="I4402" s="6">
        <v>2436654</v>
      </c>
      <c r="J4402" s="7">
        <v>862.67</v>
      </c>
      <c r="K4402" s="9">
        <f>(PricingDataTable[[#This Row],[Current Price ($)]]-PricingDataTable[[#This Row],[Prior Price ($)]])/PricingDataTable[[#This Row],[Prior Price ($)]]</f>
        <v>0.17750580179641462</v>
      </c>
      <c r="L4402" s="9">
        <f>(PricingDataTable[[#This Row],[Vendor Price ($)]]-PricingDataTable[[#This Row],[Current Price ($)]])/PricingDataTable[[#This Row],[Current Price ($)]]</f>
        <v>2.0660917115585876E-3</v>
      </c>
      <c r="M4402" t="str">
        <f t="shared" si="136"/>
        <v>LARGE MOVE</v>
      </c>
      <c r="N4402" s="10" t="str">
        <f t="shared" si="137"/>
        <v>HIGH</v>
      </c>
    </row>
    <row r="4403" spans="1:14">
      <c r="A4403" s="4" t="s">
        <v>8822</v>
      </c>
      <c r="B4403" s="4" t="s">
        <v>8823</v>
      </c>
      <c r="C4403" s="4" t="s">
        <v>39</v>
      </c>
      <c r="D4403" s="4" t="s">
        <v>13</v>
      </c>
      <c r="E4403" s="5">
        <v>124.66419999999999</v>
      </c>
      <c r="F4403" s="5">
        <v>125.0487</v>
      </c>
      <c r="G4403" s="5">
        <v>124.9417</v>
      </c>
      <c r="H4403" s="4">
        <v>0</v>
      </c>
      <c r="I4403" s="6">
        <v>2645909</v>
      </c>
      <c r="J4403" s="7">
        <v>475.21</v>
      </c>
      <c r="K4403" s="9">
        <f>(PricingDataTable[[#This Row],[Current Price ($)]]-PricingDataTable[[#This Row],[Prior Price ($)]])/PricingDataTable[[#This Row],[Prior Price ($)]]</f>
        <v>3.0842856249027606E-3</v>
      </c>
      <c r="L4403" s="9">
        <f>(PricingDataTable[[#This Row],[Vendor Price ($)]]-PricingDataTable[[#This Row],[Current Price ($)]])/PricingDataTable[[#This Row],[Current Price ($)]]</f>
        <v>-8.5566663228005822E-4</v>
      </c>
      <c r="M4403" t="str">
        <f t="shared" si="136"/>
        <v>PASS</v>
      </c>
      <c r="N4403" s="10" t="str">
        <f t="shared" si="137"/>
        <v>NONE</v>
      </c>
    </row>
    <row r="4404" spans="1:14">
      <c r="A4404" s="4" t="s">
        <v>8824</v>
      </c>
      <c r="B4404" s="4" t="s">
        <v>8825</v>
      </c>
      <c r="C4404" s="4" t="s">
        <v>19</v>
      </c>
      <c r="D4404" s="4" t="s">
        <v>32</v>
      </c>
      <c r="E4404" s="5">
        <v>325.28309999999999</v>
      </c>
      <c r="F4404" s="5">
        <v>326.10219999999998</v>
      </c>
      <c r="G4404" s="5">
        <v>326.98309999999998</v>
      </c>
      <c r="H4404" s="4">
        <v>2</v>
      </c>
      <c r="I4404" s="6">
        <v>2048887</v>
      </c>
      <c r="J4404" s="7">
        <v>443.48</v>
      </c>
      <c r="K4404" s="9">
        <f>(PricingDataTable[[#This Row],[Current Price ($)]]-PricingDataTable[[#This Row],[Prior Price ($)]])/PricingDataTable[[#This Row],[Prior Price ($)]]</f>
        <v>2.5181142211199775E-3</v>
      </c>
      <c r="L4404" s="9">
        <f>(PricingDataTable[[#This Row],[Vendor Price ($)]]-PricingDataTable[[#This Row],[Current Price ($)]])/PricingDataTable[[#This Row],[Current Price ($)]]</f>
        <v>2.7013003898777653E-3</v>
      </c>
      <c r="M4404" t="str">
        <f t="shared" si="136"/>
        <v>PASS</v>
      </c>
      <c r="N4404" s="10" t="str">
        <f t="shared" si="137"/>
        <v>NONE</v>
      </c>
    </row>
    <row r="4405" spans="1:14">
      <c r="A4405" s="4" t="s">
        <v>8826</v>
      </c>
      <c r="B4405" s="4" t="s">
        <v>8827</v>
      </c>
      <c r="C4405" s="4" t="s">
        <v>16</v>
      </c>
      <c r="D4405" s="4" t="s">
        <v>13</v>
      </c>
      <c r="E4405" s="5">
        <v>77.706000000000003</v>
      </c>
      <c r="F4405" s="5">
        <v>78.6768</v>
      </c>
      <c r="G4405" s="5">
        <v>79.202500000000001</v>
      </c>
      <c r="H4405" s="4">
        <v>0</v>
      </c>
      <c r="I4405" s="6">
        <v>1274684</v>
      </c>
      <c r="J4405" s="7">
        <v>68.95</v>
      </c>
      <c r="K4405" s="9">
        <f>(PricingDataTable[[#This Row],[Current Price ($)]]-PricingDataTable[[#This Row],[Prior Price ($)]])/PricingDataTable[[#This Row],[Prior Price ($)]]</f>
        <v>1.2493243764960195E-2</v>
      </c>
      <c r="L4405" s="9">
        <f>(PricingDataTable[[#This Row],[Vendor Price ($)]]-PricingDataTable[[#This Row],[Current Price ($)]])/PricingDataTable[[#This Row],[Current Price ($)]]</f>
        <v>6.6817664165294026E-3</v>
      </c>
      <c r="M4405" t="str">
        <f t="shared" si="136"/>
        <v>PASS</v>
      </c>
      <c r="N4405" s="10" t="str">
        <f t="shared" si="137"/>
        <v>NONE</v>
      </c>
    </row>
    <row r="4406" spans="1:14">
      <c r="A4406" s="4" t="s">
        <v>8828</v>
      </c>
      <c r="B4406" s="4" t="s">
        <v>8829</v>
      </c>
      <c r="C4406" s="4" t="s">
        <v>19</v>
      </c>
      <c r="D4406" s="4" t="s">
        <v>13</v>
      </c>
      <c r="E4406" s="5">
        <v>331.0453</v>
      </c>
      <c r="F4406" s="5">
        <v>325.4674</v>
      </c>
      <c r="G4406" s="5">
        <v>325.02890000000002</v>
      </c>
      <c r="H4406" s="4">
        <v>0</v>
      </c>
      <c r="I4406" s="6">
        <v>531338</v>
      </c>
      <c r="J4406" s="7">
        <v>169.58</v>
      </c>
      <c r="K4406" s="9">
        <f>(PricingDataTable[[#This Row],[Current Price ($)]]-PricingDataTable[[#This Row],[Prior Price ($)]])/PricingDataTable[[#This Row],[Prior Price ($)]]</f>
        <v>-1.6849355662200912E-2</v>
      </c>
      <c r="L4406" s="9">
        <f>(PricingDataTable[[#This Row],[Vendor Price ($)]]-PricingDataTable[[#This Row],[Current Price ($)]])/PricingDataTable[[#This Row],[Current Price ($)]]</f>
        <v>-1.3472931543988011E-3</v>
      </c>
      <c r="M4406" t="str">
        <f t="shared" si="136"/>
        <v>PASS</v>
      </c>
      <c r="N4406" s="10" t="str">
        <f t="shared" si="137"/>
        <v>NONE</v>
      </c>
    </row>
    <row r="4407" spans="1:14">
      <c r="A4407" s="4" t="s">
        <v>8830</v>
      </c>
      <c r="B4407" s="4" t="s">
        <v>8831</v>
      </c>
      <c r="C4407" s="4" t="s">
        <v>19</v>
      </c>
      <c r="D4407" s="4" t="s">
        <v>13</v>
      </c>
      <c r="E4407" s="5">
        <v>200.2929</v>
      </c>
      <c r="F4407" s="5">
        <v>202.80950000000001</v>
      </c>
      <c r="G4407" s="5">
        <v>202.77770000000001</v>
      </c>
      <c r="H4407" s="4">
        <v>2</v>
      </c>
      <c r="I4407" s="6">
        <v>4714470</v>
      </c>
      <c r="J4407" s="7">
        <v>507.51</v>
      </c>
      <c r="K4407" s="9">
        <f>(PricingDataTable[[#This Row],[Current Price ($)]]-PricingDataTable[[#This Row],[Prior Price ($)]])/PricingDataTable[[#This Row],[Prior Price ($)]]</f>
        <v>1.2564599144552857E-2</v>
      </c>
      <c r="L4407" s="9">
        <f>(PricingDataTable[[#This Row],[Vendor Price ($)]]-PricingDataTable[[#This Row],[Current Price ($)]])/PricingDataTable[[#This Row],[Current Price ($)]]</f>
        <v>-1.5679738868250277E-4</v>
      </c>
      <c r="M4407" t="str">
        <f t="shared" si="136"/>
        <v>PASS</v>
      </c>
      <c r="N4407" s="10" t="str">
        <f t="shared" si="137"/>
        <v>NONE</v>
      </c>
    </row>
    <row r="4408" spans="1:14">
      <c r="A4408" s="4" t="s">
        <v>8832</v>
      </c>
      <c r="B4408" s="4" t="s">
        <v>8833</v>
      </c>
      <c r="C4408" s="4" t="s">
        <v>12</v>
      </c>
      <c r="D4408" s="4" t="s">
        <v>13</v>
      </c>
      <c r="E4408" s="5">
        <v>88.298299999999998</v>
      </c>
      <c r="F4408" s="5">
        <v>88.562899999999999</v>
      </c>
      <c r="G4408" s="5">
        <v>88.785600000000002</v>
      </c>
      <c r="H4408" s="4">
        <v>2</v>
      </c>
      <c r="I4408" s="6">
        <v>2082593</v>
      </c>
      <c r="J4408" s="7">
        <v>794.82</v>
      </c>
      <c r="K4408" s="9">
        <f>(PricingDataTable[[#This Row],[Current Price ($)]]-PricingDataTable[[#This Row],[Prior Price ($)]])/PricingDataTable[[#This Row],[Prior Price ($)]]</f>
        <v>2.9966601848506881E-3</v>
      </c>
      <c r="L4408" s="9">
        <f>(PricingDataTable[[#This Row],[Vendor Price ($)]]-PricingDataTable[[#This Row],[Current Price ($)]])/PricingDataTable[[#This Row],[Current Price ($)]]</f>
        <v>2.5145969700631214E-3</v>
      </c>
      <c r="M4408" t="str">
        <f t="shared" si="136"/>
        <v>PASS</v>
      </c>
      <c r="N4408" s="10" t="str">
        <f t="shared" si="137"/>
        <v>NONE</v>
      </c>
    </row>
    <row r="4409" spans="1:14">
      <c r="A4409" s="4" t="s">
        <v>8834</v>
      </c>
      <c r="B4409" s="4" t="s">
        <v>8835</v>
      </c>
      <c r="C4409" s="4" t="s">
        <v>12</v>
      </c>
      <c r="D4409" s="4" t="s">
        <v>13</v>
      </c>
      <c r="E4409" s="5">
        <v>123.93380000000001</v>
      </c>
      <c r="F4409" s="5">
        <v>121.4014</v>
      </c>
      <c r="G4409" s="5">
        <v>121.3045</v>
      </c>
      <c r="H4409" s="4">
        <v>0</v>
      </c>
      <c r="I4409" s="6">
        <v>4669109</v>
      </c>
      <c r="J4409" s="7">
        <v>445.54</v>
      </c>
      <c r="K4409" s="9">
        <f>(PricingDataTable[[#This Row],[Current Price ($)]]-PricingDataTable[[#This Row],[Prior Price ($)]])/PricingDataTable[[#This Row],[Prior Price ($)]]</f>
        <v>-2.043348949197079E-2</v>
      </c>
      <c r="L4409" s="9">
        <f>(PricingDataTable[[#This Row],[Vendor Price ($)]]-PricingDataTable[[#This Row],[Current Price ($)]])/PricingDataTable[[#This Row],[Current Price ($)]]</f>
        <v>-7.981786042005355E-4</v>
      </c>
      <c r="M4409" t="str">
        <f t="shared" si="136"/>
        <v>PASS</v>
      </c>
      <c r="N4409" s="10" t="str">
        <f t="shared" si="137"/>
        <v>NONE</v>
      </c>
    </row>
    <row r="4410" spans="1:14">
      <c r="A4410" s="4" t="s">
        <v>8836</v>
      </c>
      <c r="B4410" s="4" t="s">
        <v>8837</v>
      </c>
      <c r="C4410" s="4" t="s">
        <v>19</v>
      </c>
      <c r="D4410" s="4" t="s">
        <v>13</v>
      </c>
      <c r="E4410" s="5">
        <v>101.495</v>
      </c>
      <c r="F4410" s="5">
        <v>103.0958</v>
      </c>
      <c r="G4410" s="5">
        <v>102.8985</v>
      </c>
      <c r="H4410" s="4">
        <v>5</v>
      </c>
      <c r="I4410" s="6">
        <v>2293979</v>
      </c>
      <c r="J4410" s="7">
        <v>25.62</v>
      </c>
      <c r="K4410" s="9">
        <f>(PricingDataTable[[#This Row],[Current Price ($)]]-PricingDataTable[[#This Row],[Prior Price ($)]])/PricingDataTable[[#This Row],[Prior Price ($)]]</f>
        <v>1.5772205527365805E-2</v>
      </c>
      <c r="L4410" s="9">
        <f>(PricingDataTable[[#This Row],[Vendor Price ($)]]-PricingDataTable[[#This Row],[Current Price ($)]])/PricingDataTable[[#This Row],[Current Price ($)]]</f>
        <v>-1.9137540035578412E-3</v>
      </c>
      <c r="M4410" t="str">
        <f t="shared" si="136"/>
        <v>STALE</v>
      </c>
      <c r="N4410" s="10" t="str">
        <f t="shared" si="137"/>
        <v>MEDIUM</v>
      </c>
    </row>
    <row r="4411" spans="1:14">
      <c r="A4411" s="4" t="s">
        <v>8838</v>
      </c>
      <c r="B4411" s="4" t="s">
        <v>8839</v>
      </c>
      <c r="C4411" s="4" t="s">
        <v>19</v>
      </c>
      <c r="D4411" s="4" t="s">
        <v>32</v>
      </c>
      <c r="E4411" s="5">
        <v>18.014199999999999</v>
      </c>
      <c r="F4411" s="5">
        <v>18.052199999999999</v>
      </c>
      <c r="G4411" s="5">
        <v>18.064499999999999</v>
      </c>
      <c r="H4411" s="4">
        <v>5</v>
      </c>
      <c r="I4411" s="6">
        <v>2212357</v>
      </c>
      <c r="J4411" s="7">
        <v>499.07</v>
      </c>
      <c r="K4411" s="9">
        <f>(PricingDataTable[[#This Row],[Current Price ($)]]-PricingDataTable[[#This Row],[Prior Price ($)]])/PricingDataTable[[#This Row],[Prior Price ($)]]</f>
        <v>2.1094469918175804E-3</v>
      </c>
      <c r="L4411" s="9">
        <f>(PricingDataTable[[#This Row],[Vendor Price ($)]]-PricingDataTable[[#This Row],[Current Price ($)]])/PricingDataTable[[#This Row],[Current Price ($)]]</f>
        <v>6.8135739688236091E-4</v>
      </c>
      <c r="M4411" t="str">
        <f t="shared" si="136"/>
        <v>STALE</v>
      </c>
      <c r="N4411" s="10" t="str">
        <f t="shared" si="137"/>
        <v>MEDIUM</v>
      </c>
    </row>
    <row r="4412" spans="1:14">
      <c r="A4412" s="4" t="s">
        <v>8840</v>
      </c>
      <c r="B4412" s="4" t="s">
        <v>8841</v>
      </c>
      <c r="C4412" s="4" t="s">
        <v>19</v>
      </c>
      <c r="D4412" s="4" t="s">
        <v>13</v>
      </c>
      <c r="E4412" s="5">
        <v>192.98179999999999</v>
      </c>
      <c r="F4412" s="5">
        <v>188.69280000000001</v>
      </c>
      <c r="G4412" s="5">
        <v>188.35149999999999</v>
      </c>
      <c r="H4412" s="4">
        <v>0</v>
      </c>
      <c r="I4412" s="6">
        <v>3286345</v>
      </c>
      <c r="J4412" s="7">
        <v>321.5</v>
      </c>
      <c r="K4412" s="9">
        <f>(PricingDataTable[[#This Row],[Current Price ($)]]-PricingDataTable[[#This Row],[Prior Price ($)]])/PricingDataTable[[#This Row],[Prior Price ($)]]</f>
        <v>-2.2224893746456854E-2</v>
      </c>
      <c r="L4412" s="9">
        <f>(PricingDataTable[[#This Row],[Vendor Price ($)]]-PricingDataTable[[#This Row],[Current Price ($)]])/PricingDataTable[[#This Row],[Current Price ($)]]</f>
        <v>-1.8087600586774808E-3</v>
      </c>
      <c r="M4412" t="str">
        <f t="shared" si="136"/>
        <v>PASS</v>
      </c>
      <c r="N4412" s="10" t="str">
        <f t="shared" si="137"/>
        <v>NONE</v>
      </c>
    </row>
    <row r="4413" spans="1:14">
      <c r="A4413" s="4" t="s">
        <v>8842</v>
      </c>
      <c r="B4413" s="4" t="s">
        <v>8843</v>
      </c>
      <c r="C4413" s="4" t="s">
        <v>16</v>
      </c>
      <c r="D4413" s="4" t="s">
        <v>13</v>
      </c>
      <c r="E4413" s="5">
        <v>122.37090000000001</v>
      </c>
      <c r="F4413" s="5">
        <v>122.0003</v>
      </c>
      <c r="G4413" s="5">
        <v>122.6307</v>
      </c>
      <c r="H4413" s="4">
        <v>0</v>
      </c>
      <c r="I4413" s="6">
        <v>2028289</v>
      </c>
      <c r="J4413" s="7">
        <v>379.36</v>
      </c>
      <c r="K4413" s="9">
        <f>(PricingDataTable[[#This Row],[Current Price ($)]]-PricingDataTable[[#This Row],[Prior Price ($)]])/PricingDataTable[[#This Row],[Prior Price ($)]]</f>
        <v>-3.0284977882814477E-3</v>
      </c>
      <c r="L4413" s="9">
        <f>(PricingDataTable[[#This Row],[Vendor Price ($)]]-PricingDataTable[[#This Row],[Current Price ($)]])/PricingDataTable[[#This Row],[Current Price ($)]]</f>
        <v>5.167200408523657E-3</v>
      </c>
      <c r="M4413" t="str">
        <f t="shared" si="136"/>
        <v>PASS</v>
      </c>
      <c r="N4413" s="10" t="str">
        <f t="shared" si="137"/>
        <v>NONE</v>
      </c>
    </row>
    <row r="4414" spans="1:14">
      <c r="A4414" s="4" t="s">
        <v>8844</v>
      </c>
      <c r="B4414" s="4" t="s">
        <v>8845</v>
      </c>
      <c r="C4414" s="4" t="s">
        <v>12</v>
      </c>
      <c r="D4414" s="4" t="s">
        <v>13</v>
      </c>
      <c r="E4414" s="5">
        <v>95.829700000000003</v>
      </c>
      <c r="F4414" s="5">
        <v>96.041799999999995</v>
      </c>
      <c r="G4414" s="5">
        <v>96.301299999999998</v>
      </c>
      <c r="H4414" s="4">
        <v>0</v>
      </c>
      <c r="I4414" s="6">
        <v>4976604</v>
      </c>
      <c r="J4414" s="7">
        <v>340.15</v>
      </c>
      <c r="K4414" s="9">
        <f>(PricingDataTable[[#This Row],[Current Price ($)]]-PricingDataTable[[#This Row],[Prior Price ($)]])/PricingDataTable[[#This Row],[Prior Price ($)]]</f>
        <v>2.2133013042928487E-3</v>
      </c>
      <c r="L4414" s="9">
        <f>(PricingDataTable[[#This Row],[Vendor Price ($)]]-PricingDataTable[[#This Row],[Current Price ($)]])/PricingDataTable[[#This Row],[Current Price ($)]]</f>
        <v>2.7019485265790807E-3</v>
      </c>
      <c r="M4414" t="str">
        <f t="shared" si="136"/>
        <v>PASS</v>
      </c>
      <c r="N4414" s="10" t="str">
        <f t="shared" si="137"/>
        <v>NONE</v>
      </c>
    </row>
    <row r="4415" spans="1:14">
      <c r="A4415" s="4" t="s">
        <v>8846</v>
      </c>
      <c r="B4415" s="4" t="s">
        <v>8847</v>
      </c>
      <c r="C4415" s="4" t="s">
        <v>19</v>
      </c>
      <c r="D4415" s="4" t="s">
        <v>13</v>
      </c>
      <c r="E4415" s="5">
        <v>135.62029999999999</v>
      </c>
      <c r="F4415" s="5">
        <v>133.73689999999999</v>
      </c>
      <c r="G4415" s="5">
        <v>132.9238</v>
      </c>
      <c r="H4415" s="4">
        <v>1</v>
      </c>
      <c r="I4415" s="6">
        <v>413185</v>
      </c>
      <c r="J4415" s="7">
        <v>435.16</v>
      </c>
      <c r="K4415" s="9">
        <f>(PricingDataTable[[#This Row],[Current Price ($)]]-PricingDataTable[[#This Row],[Prior Price ($)]])/PricingDataTable[[#This Row],[Prior Price ($)]]</f>
        <v>-1.3887301532292694E-2</v>
      </c>
      <c r="L4415" s="9">
        <f>(PricingDataTable[[#This Row],[Vendor Price ($)]]-PricingDataTable[[#This Row],[Current Price ($)]])/PricingDataTable[[#This Row],[Current Price ($)]]</f>
        <v>-6.0798478206089083E-3</v>
      </c>
      <c r="M4415" t="str">
        <f t="shared" si="136"/>
        <v>PASS</v>
      </c>
      <c r="N4415" s="10" t="str">
        <f t="shared" si="137"/>
        <v>NONE</v>
      </c>
    </row>
    <row r="4416" spans="1:14">
      <c r="A4416" s="4" t="s">
        <v>8848</v>
      </c>
      <c r="B4416" s="4" t="s">
        <v>8849</v>
      </c>
      <c r="C4416" s="4" t="s">
        <v>19</v>
      </c>
      <c r="D4416" s="4" t="s">
        <v>64</v>
      </c>
      <c r="E4416" s="5">
        <v>329.08710000000002</v>
      </c>
      <c r="F4416" s="5">
        <v>330.4563</v>
      </c>
      <c r="G4416" s="5">
        <v>331.05239999999998</v>
      </c>
      <c r="H4416" s="4">
        <v>3</v>
      </c>
      <c r="I4416" s="6">
        <v>2943378</v>
      </c>
      <c r="J4416" s="7">
        <v>469.01</v>
      </c>
      <c r="K4416" s="9">
        <f>(PricingDataTable[[#This Row],[Current Price ($)]]-PricingDataTable[[#This Row],[Prior Price ($)]])/PricingDataTable[[#This Row],[Prior Price ($)]]</f>
        <v>4.16060064341622E-3</v>
      </c>
      <c r="L4416" s="9">
        <f>(PricingDataTable[[#This Row],[Vendor Price ($)]]-PricingDataTable[[#This Row],[Current Price ($)]])/PricingDataTable[[#This Row],[Current Price ($)]]</f>
        <v>1.8038693769795841E-3</v>
      </c>
      <c r="M4416" t="str">
        <f t="shared" si="136"/>
        <v>STALE</v>
      </c>
      <c r="N4416" s="10" t="str">
        <f t="shared" si="137"/>
        <v>LOW</v>
      </c>
    </row>
    <row r="4417" spans="1:14">
      <c r="A4417" s="4" t="s">
        <v>8850</v>
      </c>
      <c r="B4417" s="4" t="s">
        <v>8851</v>
      </c>
      <c r="C4417" s="4" t="s">
        <v>19</v>
      </c>
      <c r="D4417" s="4" t="s">
        <v>32</v>
      </c>
      <c r="E4417" s="5">
        <v>275.32049999999998</v>
      </c>
      <c r="F4417" s="5">
        <v>276.02539999999999</v>
      </c>
      <c r="G4417" s="5">
        <v>276.00209999999998</v>
      </c>
      <c r="H4417" s="4">
        <v>0</v>
      </c>
      <c r="I4417" s="6">
        <v>4314052</v>
      </c>
      <c r="J4417" s="7">
        <v>730.64</v>
      </c>
      <c r="K4417" s="9">
        <f>(PricingDataTable[[#This Row],[Current Price ($)]]-PricingDataTable[[#This Row],[Prior Price ($)]])/PricingDataTable[[#This Row],[Prior Price ($)]]</f>
        <v>2.5602888270216321E-3</v>
      </c>
      <c r="L4417" s="9">
        <f>(PricingDataTable[[#This Row],[Vendor Price ($)]]-PricingDataTable[[#This Row],[Current Price ($)]])/PricingDataTable[[#This Row],[Current Price ($)]]</f>
        <v>-8.4412521456380806E-5</v>
      </c>
      <c r="M4417" t="str">
        <f t="shared" si="136"/>
        <v>PASS</v>
      </c>
      <c r="N4417" s="10" t="str">
        <f t="shared" si="137"/>
        <v>NONE</v>
      </c>
    </row>
    <row r="4418" spans="1:14">
      <c r="A4418" s="4" t="s">
        <v>8852</v>
      </c>
      <c r="B4418" s="4" t="s">
        <v>8853</v>
      </c>
      <c r="C4418" s="4" t="s">
        <v>12</v>
      </c>
      <c r="D4418" s="4" t="s">
        <v>13</v>
      </c>
      <c r="E4418" s="5">
        <v>94.745099999999994</v>
      </c>
      <c r="F4418" s="5">
        <v>94.854200000000006</v>
      </c>
      <c r="G4418" s="5">
        <v>94.504099999999994</v>
      </c>
      <c r="H4418" s="4">
        <v>1</v>
      </c>
      <c r="I4418" s="6">
        <v>1091371</v>
      </c>
      <c r="J4418" s="7">
        <v>389.16</v>
      </c>
      <c r="K4418" s="9">
        <f>(PricingDataTable[[#This Row],[Current Price ($)]]-PricingDataTable[[#This Row],[Prior Price ($)]])/PricingDataTable[[#This Row],[Prior Price ($)]]</f>
        <v>1.1515107377585985E-3</v>
      </c>
      <c r="L4418" s="9">
        <f>(PricingDataTable[[#This Row],[Vendor Price ($)]]-PricingDataTable[[#This Row],[Current Price ($)]])/PricingDataTable[[#This Row],[Current Price ($)]]</f>
        <v>-3.6909277607107731E-3</v>
      </c>
      <c r="M4418" t="str">
        <f t="shared" ref="M4418:M4481" si="138">IF(OR(F4418="",F4418=0),"MISSING",IF(H4418&gt;=3,"STALE",IF(ABS(K4418)&gt;=5%,"LARGE MOVE",IF(ABS(L4418)&gt;=2%,"VENDOR DIFFERENCE","PASS"))))</f>
        <v>PASS</v>
      </c>
      <c r="N4418" s="10" t="str">
        <f t="shared" ref="N4418:N4481" si="139">IF(M4418="PASS","NONE",IF(M4418="MISSING","HIGH",IF(OR(ABS(K4418)&gt;=10%,ABS(L4418)&gt;=5%),"HIGH",IF(OR(ABS(K4418)&gt;=7%,ABS(L4418)&gt;=3%,H4418&gt;=5),"MEDIUM","LOW"))))</f>
        <v>NONE</v>
      </c>
    </row>
    <row r="4419" spans="1:14">
      <c r="A4419" s="4" t="s">
        <v>8854</v>
      </c>
      <c r="B4419" s="4" t="s">
        <v>8855</v>
      </c>
      <c r="C4419" s="4" t="s">
        <v>12</v>
      </c>
      <c r="D4419" s="4" t="s">
        <v>13</v>
      </c>
      <c r="E4419" s="5">
        <v>106.7662</v>
      </c>
      <c r="F4419" s="5">
        <v>108.2003</v>
      </c>
      <c r="G4419" s="5">
        <v>107.9739</v>
      </c>
      <c r="H4419" s="4">
        <v>0</v>
      </c>
      <c r="I4419" s="6">
        <v>2980464</v>
      </c>
      <c r="J4419" s="7">
        <v>869.55</v>
      </c>
      <c r="K4419" s="9">
        <f>(PricingDataTable[[#This Row],[Current Price ($)]]-PricingDataTable[[#This Row],[Prior Price ($)]])/PricingDataTable[[#This Row],[Prior Price ($)]]</f>
        <v>1.3432153621651803E-2</v>
      </c>
      <c r="L4419" s="9">
        <f>(PricingDataTable[[#This Row],[Vendor Price ($)]]-PricingDataTable[[#This Row],[Current Price ($)]])/PricingDataTable[[#This Row],[Current Price ($)]]</f>
        <v>-2.092415640252367E-3</v>
      </c>
      <c r="M4419" t="str">
        <f t="shared" si="138"/>
        <v>PASS</v>
      </c>
      <c r="N4419" s="10" t="str">
        <f t="shared" si="139"/>
        <v>NONE</v>
      </c>
    </row>
    <row r="4420" spans="1:14">
      <c r="A4420" s="4" t="s">
        <v>8856</v>
      </c>
      <c r="B4420" s="4" t="s">
        <v>8857</v>
      </c>
      <c r="C4420" s="4" t="s">
        <v>16</v>
      </c>
      <c r="D4420" s="4" t="s">
        <v>13</v>
      </c>
      <c r="E4420" s="5">
        <v>96.879400000000004</v>
      </c>
      <c r="F4420" s="5">
        <v>97.649000000000001</v>
      </c>
      <c r="G4420" s="5">
        <v>100.5254</v>
      </c>
      <c r="H4420" s="4">
        <v>0</v>
      </c>
      <c r="I4420" s="6">
        <v>1674510</v>
      </c>
      <c r="J4420" s="7">
        <v>186.1</v>
      </c>
      <c r="K4420" s="9">
        <f>(PricingDataTable[[#This Row],[Current Price ($)]]-PricingDataTable[[#This Row],[Prior Price ($)]])/PricingDataTable[[#This Row],[Prior Price ($)]]</f>
        <v>7.9438972578277419E-3</v>
      </c>
      <c r="L4420" s="9">
        <f>(PricingDataTable[[#This Row],[Vendor Price ($)]]-PricingDataTable[[#This Row],[Current Price ($)]])/PricingDataTable[[#This Row],[Current Price ($)]]</f>
        <v>2.9456522852256591E-2</v>
      </c>
      <c r="M4420" t="str">
        <f t="shared" si="138"/>
        <v>VENDOR DIFFERENCE</v>
      </c>
      <c r="N4420" s="10" t="str">
        <f t="shared" si="139"/>
        <v>LOW</v>
      </c>
    </row>
    <row r="4421" spans="1:14">
      <c r="A4421" s="4" t="s">
        <v>8858</v>
      </c>
      <c r="B4421" s="4" t="s">
        <v>8859</v>
      </c>
      <c r="C4421" s="4" t="s">
        <v>39</v>
      </c>
      <c r="D4421" s="4" t="s">
        <v>237</v>
      </c>
      <c r="E4421" s="5">
        <v>168.7149</v>
      </c>
      <c r="F4421" s="5">
        <v>170.7612</v>
      </c>
      <c r="G4421" s="5">
        <v>171.34180000000001</v>
      </c>
      <c r="H4421" s="4">
        <v>0</v>
      </c>
      <c r="I4421" s="6">
        <v>4250424</v>
      </c>
      <c r="J4421" s="7">
        <v>320.69</v>
      </c>
      <c r="K4421" s="9">
        <f>(PricingDataTable[[#This Row],[Current Price ($)]]-PricingDataTable[[#This Row],[Prior Price ($)]])/PricingDataTable[[#This Row],[Prior Price ($)]]</f>
        <v>1.2128745001182481E-2</v>
      </c>
      <c r="L4421" s="9">
        <f>(PricingDataTable[[#This Row],[Vendor Price ($)]]-PricingDataTable[[#This Row],[Current Price ($)]])/PricingDataTable[[#This Row],[Current Price ($)]]</f>
        <v>3.4000698050845506E-3</v>
      </c>
      <c r="M4421" t="str">
        <f t="shared" si="138"/>
        <v>PASS</v>
      </c>
      <c r="N4421" s="10" t="str">
        <f t="shared" si="139"/>
        <v>NONE</v>
      </c>
    </row>
    <row r="4422" spans="1:14">
      <c r="A4422" s="4" t="s">
        <v>8860</v>
      </c>
      <c r="B4422" s="4" t="s">
        <v>8861</v>
      </c>
      <c r="C4422" s="4" t="s">
        <v>19</v>
      </c>
      <c r="D4422" s="4" t="s">
        <v>13</v>
      </c>
      <c r="E4422" s="5">
        <v>313.86810000000003</v>
      </c>
      <c r="F4422" s="5">
        <v>314.41590000000002</v>
      </c>
      <c r="G4422" s="5">
        <v>314.15170000000001</v>
      </c>
      <c r="H4422" s="4">
        <v>0</v>
      </c>
      <c r="I4422" s="6">
        <v>1420548</v>
      </c>
      <c r="J4422" s="7">
        <v>187.39</v>
      </c>
      <c r="K4422" s="9">
        <f>(PricingDataTable[[#This Row],[Current Price ($)]]-PricingDataTable[[#This Row],[Prior Price ($)]])/PricingDataTable[[#This Row],[Prior Price ($)]]</f>
        <v>1.7453191324635895E-3</v>
      </c>
      <c r="L4422" s="9">
        <f>(PricingDataTable[[#This Row],[Vendor Price ($)]]-PricingDataTable[[#This Row],[Current Price ($)]])/PricingDataTable[[#This Row],[Current Price ($)]]</f>
        <v>-8.4028829330837478E-4</v>
      </c>
      <c r="M4422" t="str">
        <f t="shared" si="138"/>
        <v>PASS</v>
      </c>
      <c r="N4422" s="10" t="str">
        <f t="shared" si="139"/>
        <v>NONE</v>
      </c>
    </row>
    <row r="4423" spans="1:14">
      <c r="A4423" s="4" t="s">
        <v>8862</v>
      </c>
      <c r="B4423" s="4" t="s">
        <v>8863</v>
      </c>
      <c r="C4423" s="4" t="s">
        <v>16</v>
      </c>
      <c r="D4423" s="4" t="s">
        <v>237</v>
      </c>
      <c r="E4423" s="5">
        <v>101.009</v>
      </c>
      <c r="F4423" s="5">
        <v>100.276</v>
      </c>
      <c r="G4423" s="5">
        <v>99.630300000000005</v>
      </c>
      <c r="H4423" s="4">
        <v>0</v>
      </c>
      <c r="I4423" s="6">
        <v>3119715</v>
      </c>
      <c r="J4423" s="7">
        <v>755.17</v>
      </c>
      <c r="K4423" s="9">
        <f>(PricingDataTable[[#This Row],[Current Price ($)]]-PricingDataTable[[#This Row],[Prior Price ($)]])/PricingDataTable[[#This Row],[Prior Price ($)]]</f>
        <v>-7.2567790988922187E-3</v>
      </c>
      <c r="L4423" s="9">
        <f>(PricingDataTable[[#This Row],[Vendor Price ($)]]-PricingDataTable[[#This Row],[Current Price ($)]])/PricingDataTable[[#This Row],[Current Price ($)]]</f>
        <v>-6.4392277314610762E-3</v>
      </c>
      <c r="M4423" t="str">
        <f t="shared" si="138"/>
        <v>PASS</v>
      </c>
      <c r="N4423" s="10" t="str">
        <f t="shared" si="139"/>
        <v>NONE</v>
      </c>
    </row>
    <row r="4424" spans="1:14">
      <c r="A4424" s="4" t="s">
        <v>8864</v>
      </c>
      <c r="B4424" s="4" t="s">
        <v>8865</v>
      </c>
      <c r="C4424" s="4" t="s">
        <v>39</v>
      </c>
      <c r="D4424" s="4" t="s">
        <v>13</v>
      </c>
      <c r="E4424" s="5">
        <v>185.3186</v>
      </c>
      <c r="F4424" s="5">
        <v>183.24289999999999</v>
      </c>
      <c r="G4424" s="5">
        <v>183.65369999999999</v>
      </c>
      <c r="H4424" s="4">
        <v>1</v>
      </c>
      <c r="I4424" s="6">
        <v>4578835</v>
      </c>
      <c r="J4424" s="7">
        <v>82.86</v>
      </c>
      <c r="K4424" s="9">
        <f>(PricingDataTable[[#This Row],[Current Price ($)]]-PricingDataTable[[#This Row],[Prior Price ($)]])/PricingDataTable[[#This Row],[Prior Price ($)]]</f>
        <v>-1.1200710560084157E-2</v>
      </c>
      <c r="L4424" s="9">
        <f>(PricingDataTable[[#This Row],[Vendor Price ($)]]-PricingDataTable[[#This Row],[Current Price ($)]])/PricingDataTable[[#This Row],[Current Price ($)]]</f>
        <v>2.2418331078584478E-3</v>
      </c>
      <c r="M4424" t="str">
        <f t="shared" si="138"/>
        <v>PASS</v>
      </c>
      <c r="N4424" s="10" t="str">
        <f t="shared" si="139"/>
        <v>NONE</v>
      </c>
    </row>
    <row r="4425" spans="1:14">
      <c r="A4425" s="4" t="s">
        <v>8866</v>
      </c>
      <c r="B4425" s="4" t="s">
        <v>8867</v>
      </c>
      <c r="C4425" s="4" t="s">
        <v>39</v>
      </c>
      <c r="D4425" s="4" t="s">
        <v>13</v>
      </c>
      <c r="E4425" s="5">
        <v>95.595799999999997</v>
      </c>
      <c r="F4425" s="5">
        <v>95.1661</v>
      </c>
      <c r="G4425" s="5">
        <v>95.131500000000003</v>
      </c>
      <c r="H4425" s="4">
        <v>0</v>
      </c>
      <c r="I4425" s="6">
        <v>867104</v>
      </c>
      <c r="J4425" s="7">
        <v>697.18</v>
      </c>
      <c r="K4425" s="9">
        <f>(PricingDataTable[[#This Row],[Current Price ($)]]-PricingDataTable[[#This Row],[Prior Price ($)]])/PricingDataTable[[#This Row],[Prior Price ($)]]</f>
        <v>-4.4949673521221317E-3</v>
      </c>
      <c r="L4425" s="9">
        <f>(PricingDataTable[[#This Row],[Vendor Price ($)]]-PricingDataTable[[#This Row],[Current Price ($)]])/PricingDataTable[[#This Row],[Current Price ($)]]</f>
        <v>-3.6357484440360089E-4</v>
      </c>
      <c r="M4425" t="str">
        <f t="shared" si="138"/>
        <v>PASS</v>
      </c>
      <c r="N4425" s="10" t="str">
        <f t="shared" si="139"/>
        <v>NONE</v>
      </c>
    </row>
    <row r="4426" spans="1:14">
      <c r="A4426" s="4" t="s">
        <v>8868</v>
      </c>
      <c r="B4426" s="4" t="s">
        <v>8869</v>
      </c>
      <c r="C4426" s="4" t="s">
        <v>19</v>
      </c>
      <c r="D4426" s="4" t="s">
        <v>13</v>
      </c>
      <c r="E4426" s="5">
        <v>192.1129</v>
      </c>
      <c r="F4426" s="5">
        <v>192.3433</v>
      </c>
      <c r="G4426" s="5">
        <v>191.6986</v>
      </c>
      <c r="H4426" s="4">
        <v>1</v>
      </c>
      <c r="I4426" s="6">
        <v>3748144</v>
      </c>
      <c r="J4426" s="7">
        <v>660.45</v>
      </c>
      <c r="K4426" s="9">
        <f>(PricingDataTable[[#This Row],[Current Price ($)]]-PricingDataTable[[#This Row],[Prior Price ($)]])/PricingDataTable[[#This Row],[Prior Price ($)]]</f>
        <v>1.199294789678377E-3</v>
      </c>
      <c r="L4426" s="9">
        <f>(PricingDataTable[[#This Row],[Vendor Price ($)]]-PricingDataTable[[#This Row],[Current Price ($)]])/PricingDataTable[[#This Row],[Current Price ($)]]</f>
        <v>-3.3518193771241329E-3</v>
      </c>
      <c r="M4426" t="str">
        <f t="shared" si="138"/>
        <v>PASS</v>
      </c>
      <c r="N4426" s="10" t="str">
        <f t="shared" si="139"/>
        <v>NONE</v>
      </c>
    </row>
    <row r="4427" spans="1:14">
      <c r="A4427" s="4" t="s">
        <v>8870</v>
      </c>
      <c r="B4427" s="4" t="s">
        <v>8871</v>
      </c>
      <c r="C4427" s="4" t="s">
        <v>16</v>
      </c>
      <c r="D4427" s="4" t="s">
        <v>13</v>
      </c>
      <c r="E4427" s="5">
        <v>84.846999999999994</v>
      </c>
      <c r="F4427" s="5">
        <v>85.996700000000004</v>
      </c>
      <c r="G4427" s="5">
        <v>85.979799999999997</v>
      </c>
      <c r="H4427" s="4">
        <v>0</v>
      </c>
      <c r="I4427" s="6">
        <v>3751990</v>
      </c>
      <c r="J4427" s="7">
        <v>166.71</v>
      </c>
      <c r="K4427" s="9">
        <f>(PricingDataTable[[#This Row],[Current Price ($)]]-PricingDataTable[[#This Row],[Prior Price ($)]])/PricingDataTable[[#This Row],[Prior Price ($)]]</f>
        <v>1.3550272844060603E-2</v>
      </c>
      <c r="L4427" s="9">
        <f>(PricingDataTable[[#This Row],[Vendor Price ($)]]-PricingDataTable[[#This Row],[Current Price ($)]])/PricingDataTable[[#This Row],[Current Price ($)]]</f>
        <v>-1.9651916875888025E-4</v>
      </c>
      <c r="M4427" t="str">
        <f t="shared" si="138"/>
        <v>PASS</v>
      </c>
      <c r="N4427" s="10" t="str">
        <f t="shared" si="139"/>
        <v>NONE</v>
      </c>
    </row>
    <row r="4428" spans="1:14">
      <c r="A4428" s="4" t="s">
        <v>8872</v>
      </c>
      <c r="B4428" s="4" t="s">
        <v>8873</v>
      </c>
      <c r="C4428" s="4" t="s">
        <v>12</v>
      </c>
      <c r="D4428" s="4" t="s">
        <v>13</v>
      </c>
      <c r="E4428" s="5">
        <v>118.7941</v>
      </c>
      <c r="F4428" s="5">
        <v>109.13930000000001</v>
      </c>
      <c r="G4428" s="5">
        <v>108.77979999999999</v>
      </c>
      <c r="H4428" s="4">
        <v>0</v>
      </c>
      <c r="I4428" s="6">
        <v>902472</v>
      </c>
      <c r="J4428" s="7">
        <v>298.52999999999997</v>
      </c>
      <c r="K4428" s="9">
        <f>(PricingDataTable[[#This Row],[Current Price ($)]]-PricingDataTable[[#This Row],[Prior Price ($)]])/PricingDataTable[[#This Row],[Prior Price ($)]]</f>
        <v>-8.1273396574408949E-2</v>
      </c>
      <c r="L4428" s="9">
        <f>(PricingDataTable[[#This Row],[Vendor Price ($)]]-PricingDataTable[[#This Row],[Current Price ($)]])/PricingDataTable[[#This Row],[Current Price ($)]]</f>
        <v>-3.2939555228960718E-3</v>
      </c>
      <c r="M4428" t="str">
        <f t="shared" si="138"/>
        <v>LARGE MOVE</v>
      </c>
      <c r="N4428" s="10" t="str">
        <f t="shared" si="139"/>
        <v>MEDIUM</v>
      </c>
    </row>
    <row r="4429" spans="1:14">
      <c r="A4429" s="4" t="s">
        <v>8874</v>
      </c>
      <c r="B4429" s="4" t="s">
        <v>8875</v>
      </c>
      <c r="C4429" s="4" t="s">
        <v>39</v>
      </c>
      <c r="D4429" s="4" t="s">
        <v>13</v>
      </c>
      <c r="E4429" s="5">
        <v>209.4753</v>
      </c>
      <c r="F4429" s="5">
        <v>207.16220000000001</v>
      </c>
      <c r="G4429" s="5">
        <v>196.6824</v>
      </c>
      <c r="H4429" s="4">
        <v>1</v>
      </c>
      <c r="I4429" s="6">
        <v>3471089</v>
      </c>
      <c r="J4429" s="7">
        <v>75.599999999999994</v>
      </c>
      <c r="K4429" s="9">
        <f>(PricingDataTable[[#This Row],[Current Price ($)]]-PricingDataTable[[#This Row],[Prior Price ($)]])/PricingDataTable[[#This Row],[Prior Price ($)]]</f>
        <v>-1.1042352009998275E-2</v>
      </c>
      <c r="L4429" s="9">
        <f>(PricingDataTable[[#This Row],[Vendor Price ($)]]-PricingDataTable[[#This Row],[Current Price ($)]])/PricingDataTable[[#This Row],[Current Price ($)]]</f>
        <v>-5.0587414113192515E-2</v>
      </c>
      <c r="M4429" t="str">
        <f t="shared" si="138"/>
        <v>VENDOR DIFFERENCE</v>
      </c>
      <c r="N4429" s="10" t="str">
        <f t="shared" si="139"/>
        <v>HIGH</v>
      </c>
    </row>
    <row r="4430" spans="1:14">
      <c r="A4430" s="4" t="s">
        <v>8876</v>
      </c>
      <c r="B4430" s="4" t="s">
        <v>8877</v>
      </c>
      <c r="C4430" s="4" t="s">
        <v>19</v>
      </c>
      <c r="D4430" s="4" t="s">
        <v>13</v>
      </c>
      <c r="E4430" s="5">
        <v>200.71019999999999</v>
      </c>
      <c r="F4430" s="5">
        <v>205.3776</v>
      </c>
      <c r="G4430" s="5">
        <v>204.28380000000001</v>
      </c>
      <c r="H4430" s="4">
        <v>0</v>
      </c>
      <c r="I4430" s="6">
        <v>2182325</v>
      </c>
      <c r="J4430" s="7">
        <v>647.77</v>
      </c>
      <c r="K4430" s="9">
        <f>(PricingDataTable[[#This Row],[Current Price ($)]]-PricingDataTable[[#This Row],[Prior Price ($)]])/PricingDataTable[[#This Row],[Prior Price ($)]]</f>
        <v>2.3254423542002425E-2</v>
      </c>
      <c r="L4430" s="9">
        <f>(PricingDataTable[[#This Row],[Vendor Price ($)]]-PricingDataTable[[#This Row],[Current Price ($)]])/PricingDataTable[[#This Row],[Current Price ($)]]</f>
        <v>-5.3257998924906491E-3</v>
      </c>
      <c r="M4430" t="str">
        <f t="shared" si="138"/>
        <v>PASS</v>
      </c>
      <c r="N4430" s="10" t="str">
        <f t="shared" si="139"/>
        <v>NONE</v>
      </c>
    </row>
    <row r="4431" spans="1:14">
      <c r="A4431" s="4" t="s">
        <v>8878</v>
      </c>
      <c r="B4431" s="4" t="s">
        <v>8879</v>
      </c>
      <c r="C4431" s="4" t="s">
        <v>19</v>
      </c>
      <c r="D4431" s="4" t="s">
        <v>13</v>
      </c>
      <c r="E4431" s="5">
        <v>59.282600000000002</v>
      </c>
      <c r="F4431" s="5">
        <v>59.946599999999997</v>
      </c>
      <c r="G4431" s="5">
        <v>59.483499999999999</v>
      </c>
      <c r="H4431" s="4">
        <v>0</v>
      </c>
      <c r="I4431" s="6">
        <v>3852297</v>
      </c>
      <c r="J4431" s="7">
        <v>366.78</v>
      </c>
      <c r="K4431" s="9">
        <f>(PricingDataTable[[#This Row],[Current Price ($)]]-PricingDataTable[[#This Row],[Prior Price ($)]])/PricingDataTable[[#This Row],[Prior Price ($)]]</f>
        <v>1.1200588368256357E-2</v>
      </c>
      <c r="L4431" s="9">
        <f>(PricingDataTable[[#This Row],[Vendor Price ($)]]-PricingDataTable[[#This Row],[Current Price ($)]])/PricingDataTable[[#This Row],[Current Price ($)]]</f>
        <v>-7.7252087691378193E-3</v>
      </c>
      <c r="M4431" t="str">
        <f t="shared" si="138"/>
        <v>PASS</v>
      </c>
      <c r="N4431" s="10" t="str">
        <f t="shared" si="139"/>
        <v>NONE</v>
      </c>
    </row>
    <row r="4432" spans="1:14">
      <c r="A4432" s="4" t="s">
        <v>8880</v>
      </c>
      <c r="B4432" s="4" t="s">
        <v>8881</v>
      </c>
      <c r="C4432" s="4" t="s">
        <v>12</v>
      </c>
      <c r="D4432" s="4" t="s">
        <v>13</v>
      </c>
      <c r="E4432" s="5">
        <v>95.886899999999997</v>
      </c>
      <c r="F4432" s="5">
        <v>95.270600000000002</v>
      </c>
      <c r="G4432" s="5">
        <v>95.030900000000003</v>
      </c>
      <c r="H4432" s="4">
        <v>0</v>
      </c>
      <c r="I4432" s="6">
        <v>4509738</v>
      </c>
      <c r="J4432" s="7">
        <v>605.91</v>
      </c>
      <c r="K4432" s="9">
        <f>(PricingDataTable[[#This Row],[Current Price ($)]]-PricingDataTable[[#This Row],[Prior Price ($)]])/PricingDataTable[[#This Row],[Prior Price ($)]]</f>
        <v>-6.4273639047669221E-3</v>
      </c>
      <c r="L4432" s="9">
        <f>(PricingDataTable[[#This Row],[Vendor Price ($)]]-PricingDataTable[[#This Row],[Current Price ($)]])/PricingDataTable[[#This Row],[Current Price ($)]]</f>
        <v>-2.5159912921719728E-3</v>
      </c>
      <c r="M4432" t="str">
        <f t="shared" si="138"/>
        <v>PASS</v>
      </c>
      <c r="N4432" s="10" t="str">
        <f t="shared" si="139"/>
        <v>NONE</v>
      </c>
    </row>
    <row r="4433" spans="1:14">
      <c r="A4433" s="4" t="s">
        <v>8882</v>
      </c>
      <c r="B4433" s="4" t="s">
        <v>8883</v>
      </c>
      <c r="C4433" s="4" t="s">
        <v>12</v>
      </c>
      <c r="D4433" s="4" t="s">
        <v>13</v>
      </c>
      <c r="E4433" s="5">
        <v>113.90470000000001</v>
      </c>
      <c r="F4433" s="5">
        <v>114.8574</v>
      </c>
      <c r="G4433" s="5">
        <v>114.53489999999999</v>
      </c>
      <c r="H4433" s="4">
        <v>2</v>
      </c>
      <c r="I4433" s="6">
        <v>4476636</v>
      </c>
      <c r="J4433" s="7">
        <v>852.5</v>
      </c>
      <c r="K4433" s="9">
        <f>(PricingDataTable[[#This Row],[Current Price ($)]]-PricingDataTable[[#This Row],[Prior Price ($)]])/PricingDataTable[[#This Row],[Prior Price ($)]]</f>
        <v>8.3640095623797178E-3</v>
      </c>
      <c r="L4433" s="9">
        <f>(PricingDataTable[[#This Row],[Vendor Price ($)]]-PricingDataTable[[#This Row],[Current Price ($)]])/PricingDataTable[[#This Row],[Current Price ($)]]</f>
        <v>-2.8078295347100414E-3</v>
      </c>
      <c r="M4433" t="str">
        <f t="shared" si="138"/>
        <v>PASS</v>
      </c>
      <c r="N4433" s="10" t="str">
        <f t="shared" si="139"/>
        <v>NONE</v>
      </c>
    </row>
    <row r="4434" spans="1:14">
      <c r="A4434" s="4" t="s">
        <v>8884</v>
      </c>
      <c r="B4434" s="4" t="s">
        <v>8885</v>
      </c>
      <c r="C4434" s="4" t="s">
        <v>39</v>
      </c>
      <c r="D4434" s="4" t="s">
        <v>13</v>
      </c>
      <c r="E4434" s="5">
        <v>317.47430000000003</v>
      </c>
      <c r="F4434" s="5">
        <v>307.4255</v>
      </c>
      <c r="G4434" s="5">
        <v>306.15800000000002</v>
      </c>
      <c r="H4434" s="4">
        <v>0</v>
      </c>
      <c r="I4434" s="6">
        <v>1588445</v>
      </c>
      <c r="J4434" s="7">
        <v>363.55</v>
      </c>
      <c r="K4434" s="9">
        <f>(PricingDataTable[[#This Row],[Current Price ($)]]-PricingDataTable[[#This Row],[Prior Price ($)]])/PricingDataTable[[#This Row],[Prior Price ($)]]</f>
        <v>-3.1652325873306998E-2</v>
      </c>
      <c r="L4434" s="9">
        <f>(PricingDataTable[[#This Row],[Vendor Price ($)]]-PricingDataTable[[#This Row],[Current Price ($)]])/PricingDataTable[[#This Row],[Current Price ($)]]</f>
        <v>-4.1229501131167844E-3</v>
      </c>
      <c r="M4434" t="str">
        <f t="shared" si="138"/>
        <v>PASS</v>
      </c>
      <c r="N4434" s="10" t="str">
        <f t="shared" si="139"/>
        <v>NONE</v>
      </c>
    </row>
    <row r="4435" spans="1:14">
      <c r="A4435" s="4" t="s">
        <v>8886</v>
      </c>
      <c r="B4435" s="4" t="s">
        <v>8887</v>
      </c>
      <c r="C4435" s="4" t="s">
        <v>19</v>
      </c>
      <c r="D4435" s="4" t="s">
        <v>32</v>
      </c>
      <c r="E4435" s="5">
        <v>35.955300000000001</v>
      </c>
      <c r="F4435" s="5">
        <v>35.626199999999997</v>
      </c>
      <c r="G4435" s="5">
        <v>35.7654</v>
      </c>
      <c r="H4435" s="4">
        <v>0</v>
      </c>
      <c r="I4435" s="6">
        <v>2117020</v>
      </c>
      <c r="J4435" s="7">
        <v>833.58</v>
      </c>
      <c r="K4435" s="9">
        <f>(PricingDataTable[[#This Row],[Current Price ($)]]-PricingDataTable[[#This Row],[Prior Price ($)]])/PricingDataTable[[#This Row],[Prior Price ($)]]</f>
        <v>-9.153031681004023E-3</v>
      </c>
      <c r="L4435" s="9">
        <f>(PricingDataTable[[#This Row],[Vendor Price ($)]]-PricingDataTable[[#This Row],[Current Price ($)]])/PricingDataTable[[#This Row],[Current Price ($)]]</f>
        <v>3.9072368088654543E-3</v>
      </c>
      <c r="M4435" t="str">
        <f t="shared" si="138"/>
        <v>PASS</v>
      </c>
      <c r="N4435" s="10" t="str">
        <f t="shared" si="139"/>
        <v>NONE</v>
      </c>
    </row>
    <row r="4436" spans="1:14">
      <c r="A4436" s="4" t="s">
        <v>8888</v>
      </c>
      <c r="B4436" s="4" t="s">
        <v>8889</v>
      </c>
      <c r="C4436" s="4" t="s">
        <v>12</v>
      </c>
      <c r="D4436" s="4" t="s">
        <v>64</v>
      </c>
      <c r="E4436" s="5">
        <v>82.227400000000003</v>
      </c>
      <c r="F4436" s="5">
        <v>94.415899999999993</v>
      </c>
      <c r="G4436" s="5">
        <v>94.052199999999999</v>
      </c>
      <c r="H4436" s="4">
        <v>0</v>
      </c>
      <c r="I4436" s="6">
        <v>4202442</v>
      </c>
      <c r="J4436" s="7">
        <v>785.44</v>
      </c>
      <c r="K4436" s="9">
        <f>(PricingDataTable[[#This Row],[Current Price ($)]]-PricingDataTable[[#This Row],[Prior Price ($)]])/PricingDataTable[[#This Row],[Prior Price ($)]]</f>
        <v>0.1482291790814253</v>
      </c>
      <c r="L4436" s="9">
        <f>(PricingDataTable[[#This Row],[Vendor Price ($)]]-PricingDataTable[[#This Row],[Current Price ($)]])/PricingDataTable[[#This Row],[Current Price ($)]]</f>
        <v>-3.8521054186847173E-3</v>
      </c>
      <c r="M4436" t="str">
        <f t="shared" si="138"/>
        <v>LARGE MOVE</v>
      </c>
      <c r="N4436" s="10" t="str">
        <f t="shared" si="139"/>
        <v>HIGH</v>
      </c>
    </row>
    <row r="4437" spans="1:14">
      <c r="A4437" s="4" t="s">
        <v>8890</v>
      </c>
      <c r="B4437" s="4" t="s">
        <v>8891</v>
      </c>
      <c r="C4437" s="4" t="s">
        <v>12</v>
      </c>
      <c r="D4437" s="4" t="s">
        <v>13</v>
      </c>
      <c r="E4437" s="5">
        <v>89.341999999999999</v>
      </c>
      <c r="F4437" s="5">
        <v>89.901600000000002</v>
      </c>
      <c r="G4437" s="5">
        <v>89.908199999999994</v>
      </c>
      <c r="H4437" s="4">
        <v>0</v>
      </c>
      <c r="I4437" s="6">
        <v>3799041</v>
      </c>
      <c r="J4437" s="7">
        <v>779.06</v>
      </c>
      <c r="K4437" s="9">
        <f>(PricingDataTable[[#This Row],[Current Price ($)]]-PricingDataTable[[#This Row],[Prior Price ($)]])/PricingDataTable[[#This Row],[Prior Price ($)]]</f>
        <v>6.2635714445613841E-3</v>
      </c>
      <c r="L4437" s="9">
        <f>(PricingDataTable[[#This Row],[Vendor Price ($)]]-PricingDataTable[[#This Row],[Current Price ($)]])/PricingDataTable[[#This Row],[Current Price ($)]]</f>
        <v>7.3413598868003727E-5</v>
      </c>
      <c r="M4437" t="str">
        <f t="shared" si="138"/>
        <v>PASS</v>
      </c>
      <c r="N4437" s="10" t="str">
        <f t="shared" si="139"/>
        <v>NONE</v>
      </c>
    </row>
    <row r="4438" spans="1:14">
      <c r="A4438" s="4" t="s">
        <v>8892</v>
      </c>
      <c r="B4438" s="4" t="s">
        <v>8893</v>
      </c>
      <c r="C4438" s="4" t="s">
        <v>39</v>
      </c>
      <c r="D4438" s="4" t="s">
        <v>64</v>
      </c>
      <c r="E4438" s="5">
        <v>105.223</v>
      </c>
      <c r="F4438" s="5">
        <v>104.39400000000001</v>
      </c>
      <c r="G4438" s="5">
        <v>103.9829</v>
      </c>
      <c r="H4438" s="4">
        <v>3</v>
      </c>
      <c r="I4438" s="6">
        <v>2287280</v>
      </c>
      <c r="J4438" s="7">
        <v>546.87</v>
      </c>
      <c r="K4438" s="9">
        <f>(PricingDataTable[[#This Row],[Current Price ($)]]-PricingDataTable[[#This Row],[Prior Price ($)]])/PricingDataTable[[#This Row],[Prior Price ($)]]</f>
        <v>-7.878505649905377E-3</v>
      </c>
      <c r="L4438" s="9">
        <f>(PricingDataTable[[#This Row],[Vendor Price ($)]]-PricingDataTable[[#This Row],[Current Price ($)]])/PricingDataTable[[#This Row],[Current Price ($)]]</f>
        <v>-3.9379657834741908E-3</v>
      </c>
      <c r="M4438" t="str">
        <f t="shared" si="138"/>
        <v>STALE</v>
      </c>
      <c r="N4438" s="10" t="str">
        <f t="shared" si="139"/>
        <v>LOW</v>
      </c>
    </row>
    <row r="4439" spans="1:14">
      <c r="A4439" s="4" t="s">
        <v>8894</v>
      </c>
      <c r="B4439" s="4" t="s">
        <v>8895</v>
      </c>
      <c r="C4439" s="4" t="s">
        <v>39</v>
      </c>
      <c r="D4439" s="4" t="s">
        <v>64</v>
      </c>
      <c r="E4439" s="5">
        <v>275.59870000000001</v>
      </c>
      <c r="F4439" s="5">
        <v>276.51729999999998</v>
      </c>
      <c r="G4439" s="5">
        <v>275.70679999999999</v>
      </c>
      <c r="H4439" s="4">
        <v>0</v>
      </c>
      <c r="I4439" s="6">
        <v>3905150</v>
      </c>
      <c r="J4439" s="7">
        <v>283.49</v>
      </c>
      <c r="K4439" s="9">
        <f>(PricingDataTable[[#This Row],[Current Price ($)]]-PricingDataTable[[#This Row],[Prior Price ($)]])/PricingDataTable[[#This Row],[Prior Price ($)]]</f>
        <v>3.3331071590684911E-3</v>
      </c>
      <c r="L4439" s="9">
        <f>(PricingDataTable[[#This Row],[Vendor Price ($)]]-PricingDataTable[[#This Row],[Current Price ($)]])/PricingDataTable[[#This Row],[Current Price ($)]]</f>
        <v>-2.9311005134217299E-3</v>
      </c>
      <c r="M4439" t="str">
        <f t="shared" si="138"/>
        <v>PASS</v>
      </c>
      <c r="N4439" s="10" t="str">
        <f t="shared" si="139"/>
        <v>NONE</v>
      </c>
    </row>
    <row r="4440" spans="1:14">
      <c r="A4440" s="4" t="s">
        <v>8896</v>
      </c>
      <c r="B4440" s="4" t="s">
        <v>8897</v>
      </c>
      <c r="C4440" s="4" t="s">
        <v>35</v>
      </c>
      <c r="D4440" s="4" t="s">
        <v>13</v>
      </c>
      <c r="E4440" s="5">
        <v>26.411200000000001</v>
      </c>
      <c r="F4440" s="5">
        <v>26.536100000000001</v>
      </c>
      <c r="G4440" s="5"/>
      <c r="H4440" s="4">
        <v>3</v>
      </c>
      <c r="I4440" s="6">
        <v>1543597</v>
      </c>
      <c r="J4440" s="7">
        <v>135.29</v>
      </c>
      <c r="K4440" s="9">
        <f>(PricingDataTable[[#This Row],[Current Price ($)]]-PricingDataTable[[#This Row],[Prior Price ($)]])/PricingDataTable[[#This Row],[Prior Price ($)]]</f>
        <v>4.7290543405827919E-3</v>
      </c>
      <c r="L4440" s="9">
        <f>(PricingDataTable[[#This Row],[Vendor Price ($)]]-PricingDataTable[[#This Row],[Current Price ($)]])/PricingDataTable[[#This Row],[Current Price ($)]]</f>
        <v>-1</v>
      </c>
      <c r="M4440" t="str">
        <f t="shared" si="138"/>
        <v>STALE</v>
      </c>
      <c r="N4440" s="10" t="str">
        <f t="shared" si="139"/>
        <v>HIGH</v>
      </c>
    </row>
    <row r="4441" spans="1:14">
      <c r="A4441" s="4" t="s">
        <v>8898</v>
      </c>
      <c r="B4441" s="4" t="s">
        <v>8899</v>
      </c>
      <c r="C4441" s="4" t="s">
        <v>19</v>
      </c>
      <c r="D4441" s="4" t="s">
        <v>13</v>
      </c>
      <c r="E4441" s="5">
        <v>348.923</v>
      </c>
      <c r="F4441" s="5">
        <v>355.23219999999998</v>
      </c>
      <c r="G4441" s="5">
        <v>356.1694</v>
      </c>
      <c r="H4441" s="4">
        <v>0</v>
      </c>
      <c r="I4441" s="6">
        <v>4509299</v>
      </c>
      <c r="J4441" s="7">
        <v>278.05</v>
      </c>
      <c r="K4441" s="9">
        <f>(PricingDataTable[[#This Row],[Current Price ($)]]-PricingDataTable[[#This Row],[Prior Price ($)]])/PricingDataTable[[#This Row],[Prior Price ($)]]</f>
        <v>1.8081926384904336E-2</v>
      </c>
      <c r="L4441" s="9">
        <f>(PricingDataTable[[#This Row],[Vendor Price ($)]]-PricingDataTable[[#This Row],[Current Price ($)]])/PricingDataTable[[#This Row],[Current Price ($)]]</f>
        <v>2.6382743456252519E-3</v>
      </c>
      <c r="M4441" t="str">
        <f t="shared" si="138"/>
        <v>PASS</v>
      </c>
      <c r="N4441" s="10" t="str">
        <f t="shared" si="139"/>
        <v>NONE</v>
      </c>
    </row>
    <row r="4442" spans="1:14">
      <c r="A4442" s="4" t="s">
        <v>8900</v>
      </c>
      <c r="B4442" s="4" t="s">
        <v>8901</v>
      </c>
      <c r="C4442" s="4" t="s">
        <v>19</v>
      </c>
      <c r="D4442" s="4" t="s">
        <v>237</v>
      </c>
      <c r="E4442" s="5">
        <v>203.74289999999999</v>
      </c>
      <c r="F4442" s="5">
        <v>204.47550000000001</v>
      </c>
      <c r="G4442" s="5">
        <v>205.99160000000001</v>
      </c>
      <c r="H4442" s="4">
        <v>0</v>
      </c>
      <c r="I4442" s="6">
        <v>62773</v>
      </c>
      <c r="J4442" s="7">
        <v>34.340000000000003</v>
      </c>
      <c r="K4442" s="9">
        <f>(PricingDataTable[[#This Row],[Current Price ($)]]-PricingDataTable[[#This Row],[Prior Price ($)]])/PricingDataTable[[#This Row],[Prior Price ($)]]</f>
        <v>3.5957081203812219E-3</v>
      </c>
      <c r="L4442" s="9">
        <f>(PricingDataTable[[#This Row],[Vendor Price ($)]]-PricingDataTable[[#This Row],[Current Price ($)]])/PricingDataTable[[#This Row],[Current Price ($)]]</f>
        <v>7.4145802308833789E-3</v>
      </c>
      <c r="M4442" t="str">
        <f t="shared" si="138"/>
        <v>PASS</v>
      </c>
      <c r="N4442" s="10" t="str">
        <f t="shared" si="139"/>
        <v>NONE</v>
      </c>
    </row>
    <row r="4443" spans="1:14">
      <c r="A4443" s="4" t="s">
        <v>8902</v>
      </c>
      <c r="B4443" s="4" t="s">
        <v>8903</v>
      </c>
      <c r="C4443" s="4" t="s">
        <v>19</v>
      </c>
      <c r="D4443" s="4" t="s">
        <v>13</v>
      </c>
      <c r="E4443" s="5">
        <v>310.22329999999999</v>
      </c>
      <c r="F4443" s="5">
        <v>309.51119999999997</v>
      </c>
      <c r="G4443" s="5"/>
      <c r="H4443" s="4">
        <v>0</v>
      </c>
      <c r="I4443" s="6">
        <v>3113128</v>
      </c>
      <c r="J4443" s="7">
        <v>286.11</v>
      </c>
      <c r="K4443" s="9">
        <f>(PricingDataTable[[#This Row],[Current Price ($)]]-PricingDataTable[[#This Row],[Prior Price ($)]])/PricingDataTable[[#This Row],[Prior Price ($)]]</f>
        <v>-2.2954433145415602E-3</v>
      </c>
      <c r="L4443" s="9">
        <f>(PricingDataTable[[#This Row],[Vendor Price ($)]]-PricingDataTable[[#This Row],[Current Price ($)]])/PricingDataTable[[#This Row],[Current Price ($)]]</f>
        <v>-1</v>
      </c>
      <c r="M4443" t="str">
        <f t="shared" si="138"/>
        <v>VENDOR DIFFERENCE</v>
      </c>
      <c r="N4443" s="10" t="str">
        <f t="shared" si="139"/>
        <v>HIGH</v>
      </c>
    </row>
    <row r="4444" spans="1:14">
      <c r="A4444" s="4" t="s">
        <v>8904</v>
      </c>
      <c r="B4444" s="4" t="s">
        <v>8905</v>
      </c>
      <c r="C4444" s="4" t="s">
        <v>19</v>
      </c>
      <c r="D4444" s="4" t="s">
        <v>13</v>
      </c>
      <c r="E4444" s="5">
        <v>147.38249999999999</v>
      </c>
      <c r="F4444" s="5">
        <v>150.3408</v>
      </c>
      <c r="G4444" s="5">
        <v>150.34950000000001</v>
      </c>
      <c r="H4444" s="4">
        <v>0</v>
      </c>
      <c r="I4444" s="6">
        <v>4273011</v>
      </c>
      <c r="J4444" s="7">
        <v>123.01</v>
      </c>
      <c r="K4444" s="9">
        <f>(PricingDataTable[[#This Row],[Current Price ($)]]-PricingDataTable[[#This Row],[Prior Price ($)]])/PricingDataTable[[#This Row],[Prior Price ($)]]</f>
        <v>2.0072260953641095E-2</v>
      </c>
      <c r="L4444" s="9">
        <f>(PricingDataTable[[#This Row],[Vendor Price ($)]]-PricingDataTable[[#This Row],[Current Price ($)]])/PricingDataTable[[#This Row],[Current Price ($)]]</f>
        <v>5.7868522716418919E-5</v>
      </c>
      <c r="M4444" t="str">
        <f t="shared" si="138"/>
        <v>PASS</v>
      </c>
      <c r="N4444" s="10" t="str">
        <f t="shared" si="139"/>
        <v>NONE</v>
      </c>
    </row>
    <row r="4445" spans="1:14">
      <c r="A4445" s="4" t="s">
        <v>8906</v>
      </c>
      <c r="B4445" s="4" t="s">
        <v>8907</v>
      </c>
      <c r="C4445" s="4" t="s">
        <v>19</v>
      </c>
      <c r="D4445" s="4" t="s">
        <v>13</v>
      </c>
      <c r="E4445" s="5">
        <v>305.17419999999998</v>
      </c>
      <c r="F4445" s="5">
        <v>305.02170000000001</v>
      </c>
      <c r="G4445" s="5">
        <v>303.8218</v>
      </c>
      <c r="H4445" s="4">
        <v>0</v>
      </c>
      <c r="I4445" s="6">
        <v>1016635</v>
      </c>
      <c r="J4445" s="7">
        <v>195.71</v>
      </c>
      <c r="K4445" s="9">
        <f>(PricingDataTable[[#This Row],[Current Price ($)]]-PricingDataTable[[#This Row],[Prior Price ($)]])/PricingDataTable[[#This Row],[Prior Price ($)]]</f>
        <v>-4.9971458924107938E-4</v>
      </c>
      <c r="L4445" s="9">
        <f>(PricingDataTable[[#This Row],[Vendor Price ($)]]-PricingDataTable[[#This Row],[Current Price ($)]])/PricingDataTable[[#This Row],[Current Price ($)]]</f>
        <v>-3.9338184791443158E-3</v>
      </c>
      <c r="M4445" t="str">
        <f t="shared" si="138"/>
        <v>PASS</v>
      </c>
      <c r="N4445" s="10" t="str">
        <f t="shared" si="139"/>
        <v>NONE</v>
      </c>
    </row>
    <row r="4446" spans="1:14">
      <c r="A4446" s="4" t="s">
        <v>8908</v>
      </c>
      <c r="B4446" s="4" t="s">
        <v>8909</v>
      </c>
      <c r="C4446" s="4" t="s">
        <v>35</v>
      </c>
      <c r="D4446" s="4" t="s">
        <v>13</v>
      </c>
      <c r="E4446" s="5">
        <v>166.90950000000001</v>
      </c>
      <c r="F4446" s="5">
        <v>169.12350000000001</v>
      </c>
      <c r="G4446" s="5">
        <v>168.2064</v>
      </c>
      <c r="H4446" s="4">
        <v>0</v>
      </c>
      <c r="I4446" s="6">
        <v>2255727</v>
      </c>
      <c r="J4446" s="7">
        <v>703.45</v>
      </c>
      <c r="K4446" s="9">
        <f>(PricingDataTable[[#This Row],[Current Price ($)]]-PricingDataTable[[#This Row],[Prior Price ($)]])/PricingDataTable[[#This Row],[Prior Price ($)]]</f>
        <v>1.3264673370898592E-2</v>
      </c>
      <c r="L4446" s="9">
        <f>(PricingDataTable[[#This Row],[Vendor Price ($)]]-PricingDataTable[[#This Row],[Current Price ($)]])/PricingDataTable[[#This Row],[Current Price ($)]]</f>
        <v>-5.4226645025676791E-3</v>
      </c>
      <c r="M4446" t="str">
        <f t="shared" si="138"/>
        <v>PASS</v>
      </c>
      <c r="N4446" s="10" t="str">
        <f t="shared" si="139"/>
        <v>NONE</v>
      </c>
    </row>
    <row r="4447" spans="1:14">
      <c r="A4447" s="4" t="s">
        <v>8910</v>
      </c>
      <c r="B4447" s="4" t="s">
        <v>8911</v>
      </c>
      <c r="C4447" s="4" t="s">
        <v>16</v>
      </c>
      <c r="D4447" s="4" t="s">
        <v>13</v>
      </c>
      <c r="E4447" s="5">
        <v>109.5213</v>
      </c>
      <c r="F4447" s="5">
        <v>111.6309</v>
      </c>
      <c r="G4447" s="5">
        <v>111.946</v>
      </c>
      <c r="H4447" s="4">
        <v>0</v>
      </c>
      <c r="I4447" s="6">
        <v>4022677</v>
      </c>
      <c r="J4447" s="7">
        <v>452.26</v>
      </c>
      <c r="K4447" s="9">
        <f>(PricingDataTable[[#This Row],[Current Price ($)]]-PricingDataTable[[#This Row],[Prior Price ($)]])/PricingDataTable[[#This Row],[Prior Price ($)]]</f>
        <v>1.9262006568585292E-2</v>
      </c>
      <c r="L4447" s="9">
        <f>(PricingDataTable[[#This Row],[Vendor Price ($)]]-PricingDataTable[[#This Row],[Current Price ($)]])/PricingDataTable[[#This Row],[Current Price ($)]]</f>
        <v>2.8226951498196381E-3</v>
      </c>
      <c r="M4447" t="str">
        <f t="shared" si="138"/>
        <v>PASS</v>
      </c>
      <c r="N4447" s="10" t="str">
        <f t="shared" si="139"/>
        <v>NONE</v>
      </c>
    </row>
    <row r="4448" spans="1:14">
      <c r="A4448" s="4" t="s">
        <v>8912</v>
      </c>
      <c r="B4448" s="4" t="s">
        <v>8913</v>
      </c>
      <c r="C4448" s="4" t="s">
        <v>39</v>
      </c>
      <c r="D4448" s="4" t="s">
        <v>64</v>
      </c>
      <c r="E4448" s="5">
        <v>234.4111</v>
      </c>
      <c r="F4448" s="5">
        <v>236.39949999999999</v>
      </c>
      <c r="G4448" s="5">
        <v>236.7123</v>
      </c>
      <c r="H4448" s="4">
        <v>0</v>
      </c>
      <c r="I4448" s="6">
        <v>2556728</v>
      </c>
      <c r="J4448" s="7">
        <v>618.98</v>
      </c>
      <c r="K4448" s="9">
        <f>(PricingDataTable[[#This Row],[Current Price ($)]]-PricingDataTable[[#This Row],[Prior Price ($)]])/PricingDataTable[[#This Row],[Prior Price ($)]]</f>
        <v>8.4825334636456397E-3</v>
      </c>
      <c r="L4448" s="9">
        <f>(PricingDataTable[[#This Row],[Vendor Price ($)]]-PricingDataTable[[#This Row],[Current Price ($)]])/PricingDataTable[[#This Row],[Current Price ($)]]</f>
        <v>1.3231838476816151E-3</v>
      </c>
      <c r="M4448" t="str">
        <f t="shared" si="138"/>
        <v>PASS</v>
      </c>
      <c r="N4448" s="10" t="str">
        <f t="shared" si="139"/>
        <v>NONE</v>
      </c>
    </row>
    <row r="4449" spans="1:14">
      <c r="A4449" s="4" t="s">
        <v>8914</v>
      </c>
      <c r="B4449" s="4" t="s">
        <v>8915</v>
      </c>
      <c r="C4449" s="4" t="s">
        <v>39</v>
      </c>
      <c r="D4449" s="4" t="s">
        <v>13</v>
      </c>
      <c r="E4449" s="5">
        <v>215.38640000000001</v>
      </c>
      <c r="F4449" s="5">
        <v>214.3158</v>
      </c>
      <c r="G4449" s="5">
        <v>196.7885</v>
      </c>
      <c r="H4449" s="4">
        <v>0</v>
      </c>
      <c r="I4449" s="6">
        <v>907179</v>
      </c>
      <c r="J4449" s="7">
        <v>313.14</v>
      </c>
      <c r="K4449" s="9">
        <f>(PricingDataTable[[#This Row],[Current Price ($)]]-PricingDataTable[[#This Row],[Prior Price ($)]])/PricingDataTable[[#This Row],[Prior Price ($)]]</f>
        <v>-4.9706016721576341E-3</v>
      </c>
      <c r="L4449" s="9">
        <f>(PricingDataTable[[#This Row],[Vendor Price ($)]]-PricingDataTable[[#This Row],[Current Price ($)]])/PricingDataTable[[#This Row],[Current Price ($)]]</f>
        <v>-8.1782584391818042E-2</v>
      </c>
      <c r="M4449" t="str">
        <f t="shared" si="138"/>
        <v>VENDOR DIFFERENCE</v>
      </c>
      <c r="N4449" s="10" t="str">
        <f t="shared" si="139"/>
        <v>HIGH</v>
      </c>
    </row>
    <row r="4450" spans="1:14">
      <c r="A4450" s="4" t="s">
        <v>8916</v>
      </c>
      <c r="B4450" s="4" t="s">
        <v>8917</v>
      </c>
      <c r="C4450" s="4" t="s">
        <v>39</v>
      </c>
      <c r="D4450" s="4" t="s">
        <v>13</v>
      </c>
      <c r="E4450" s="5">
        <v>349.82580000000002</v>
      </c>
      <c r="F4450" s="5">
        <v>352.90249999999997</v>
      </c>
      <c r="G4450" s="5">
        <v>384.74650000000003</v>
      </c>
      <c r="H4450" s="4">
        <v>2</v>
      </c>
      <c r="I4450" s="6">
        <v>230664</v>
      </c>
      <c r="J4450" s="7">
        <v>365.91</v>
      </c>
      <c r="K4450" s="9">
        <f>(PricingDataTable[[#This Row],[Current Price ($)]]-PricingDataTable[[#This Row],[Prior Price ($)]])/PricingDataTable[[#This Row],[Prior Price ($)]]</f>
        <v>8.7949488002313139E-3</v>
      </c>
      <c r="L4450" s="9">
        <f>(PricingDataTable[[#This Row],[Vendor Price ($)]]-PricingDataTable[[#This Row],[Current Price ($)]])/PricingDataTable[[#This Row],[Current Price ($)]]</f>
        <v>9.0234554869971312E-2</v>
      </c>
      <c r="M4450" t="str">
        <f t="shared" si="138"/>
        <v>VENDOR DIFFERENCE</v>
      </c>
      <c r="N4450" s="10" t="str">
        <f t="shared" si="139"/>
        <v>HIGH</v>
      </c>
    </row>
    <row r="4451" spans="1:14">
      <c r="A4451" s="4" t="s">
        <v>8918</v>
      </c>
      <c r="B4451" s="4" t="s">
        <v>8919</v>
      </c>
      <c r="C4451" s="4" t="s">
        <v>16</v>
      </c>
      <c r="D4451" s="4" t="s">
        <v>13</v>
      </c>
      <c r="E4451" s="5">
        <v>106.2796</v>
      </c>
      <c r="F4451" s="5">
        <v>105.06959999999999</v>
      </c>
      <c r="G4451" s="5">
        <v>104.7521</v>
      </c>
      <c r="H4451" s="4">
        <v>0</v>
      </c>
      <c r="I4451" s="6">
        <v>4724736</v>
      </c>
      <c r="J4451" s="7">
        <v>875.93</v>
      </c>
      <c r="K4451" s="9">
        <f>(PricingDataTable[[#This Row],[Current Price ($)]]-PricingDataTable[[#This Row],[Prior Price ($)]])/PricingDataTable[[#This Row],[Prior Price ($)]]</f>
        <v>-1.1385063549354795E-2</v>
      </c>
      <c r="L4451" s="9">
        <f>(PricingDataTable[[#This Row],[Vendor Price ($)]]-PricingDataTable[[#This Row],[Current Price ($)]])/PricingDataTable[[#This Row],[Current Price ($)]]</f>
        <v>-3.0218064977880895E-3</v>
      </c>
      <c r="M4451" t="str">
        <f t="shared" si="138"/>
        <v>PASS</v>
      </c>
      <c r="N4451" s="10" t="str">
        <f t="shared" si="139"/>
        <v>NONE</v>
      </c>
    </row>
    <row r="4452" spans="1:14">
      <c r="A4452" s="4" t="s">
        <v>8920</v>
      </c>
      <c r="B4452" s="4" t="s">
        <v>8921</v>
      </c>
      <c r="C4452" s="4" t="s">
        <v>19</v>
      </c>
      <c r="D4452" s="4" t="s">
        <v>237</v>
      </c>
      <c r="E4452" s="5">
        <v>257.52210000000002</v>
      </c>
      <c r="F4452" s="5">
        <v>261.0967</v>
      </c>
      <c r="G4452" s="5">
        <v>262.01729999999998</v>
      </c>
      <c r="H4452" s="4">
        <v>0</v>
      </c>
      <c r="I4452" s="6">
        <v>794424</v>
      </c>
      <c r="J4452" s="7">
        <v>792.34</v>
      </c>
      <c r="K4452" s="9">
        <f>(PricingDataTable[[#This Row],[Current Price ($)]]-PricingDataTable[[#This Row],[Prior Price ($)]])/PricingDataTable[[#This Row],[Prior Price ($)]]</f>
        <v>1.3880750428798053E-2</v>
      </c>
      <c r="L4452" s="9">
        <f>(PricingDataTable[[#This Row],[Vendor Price ($)]]-PricingDataTable[[#This Row],[Current Price ($)]])/PricingDataTable[[#This Row],[Current Price ($)]]</f>
        <v>3.5258967271512009E-3</v>
      </c>
      <c r="M4452" t="str">
        <f t="shared" si="138"/>
        <v>PASS</v>
      </c>
      <c r="N4452" s="10" t="str">
        <f t="shared" si="139"/>
        <v>NONE</v>
      </c>
    </row>
    <row r="4453" spans="1:14">
      <c r="A4453" s="4" t="s">
        <v>8922</v>
      </c>
      <c r="B4453" s="4" t="s">
        <v>8923</v>
      </c>
      <c r="C4453" s="4" t="s">
        <v>35</v>
      </c>
      <c r="D4453" s="4" t="s">
        <v>13</v>
      </c>
      <c r="E4453" s="5">
        <v>176.51589999999999</v>
      </c>
      <c r="F4453" s="5">
        <v>172.76820000000001</v>
      </c>
      <c r="G4453" s="5">
        <v>172.97980000000001</v>
      </c>
      <c r="H4453" s="4">
        <v>0</v>
      </c>
      <c r="I4453" s="6">
        <v>2921541</v>
      </c>
      <c r="J4453" s="7">
        <v>879.52</v>
      </c>
      <c r="K4453" s="9">
        <f>(PricingDataTable[[#This Row],[Current Price ($)]]-PricingDataTable[[#This Row],[Prior Price ($)]])/PricingDataTable[[#This Row],[Prior Price ($)]]</f>
        <v>-2.1231515121300577E-2</v>
      </c>
      <c r="L4453" s="9">
        <f>(PricingDataTable[[#This Row],[Vendor Price ($)]]-PricingDataTable[[#This Row],[Current Price ($)]])/PricingDataTable[[#This Row],[Current Price ($)]]</f>
        <v>1.2247624273448714E-3</v>
      </c>
      <c r="M4453" t="str">
        <f t="shared" si="138"/>
        <v>PASS</v>
      </c>
      <c r="N4453" s="10" t="str">
        <f t="shared" si="139"/>
        <v>NONE</v>
      </c>
    </row>
    <row r="4454" spans="1:14">
      <c r="A4454" s="4" t="s">
        <v>8924</v>
      </c>
      <c r="B4454" s="4" t="s">
        <v>8925</v>
      </c>
      <c r="C4454" s="4" t="s">
        <v>19</v>
      </c>
      <c r="D4454" s="4" t="s">
        <v>13</v>
      </c>
      <c r="E4454" s="5">
        <v>229.8279</v>
      </c>
      <c r="F4454" s="5">
        <v>232.24109999999999</v>
      </c>
      <c r="G4454" s="5">
        <v>233.273</v>
      </c>
      <c r="H4454" s="4">
        <v>0</v>
      </c>
      <c r="I4454" s="6">
        <v>3568931</v>
      </c>
      <c r="J4454" s="7">
        <v>779.99</v>
      </c>
      <c r="K4454" s="9">
        <f>(PricingDataTable[[#This Row],[Current Price ($)]]-PricingDataTable[[#This Row],[Prior Price ($)]])/PricingDataTable[[#This Row],[Prior Price ($)]]</f>
        <v>1.0500030675126863E-2</v>
      </c>
      <c r="L4454" s="9">
        <f>(PricingDataTable[[#This Row],[Vendor Price ($)]]-PricingDataTable[[#This Row],[Current Price ($)]])/PricingDataTable[[#This Row],[Current Price ($)]]</f>
        <v>4.443227318506532E-3</v>
      </c>
      <c r="M4454" t="str">
        <f t="shared" si="138"/>
        <v>PASS</v>
      </c>
      <c r="N4454" s="10" t="str">
        <f t="shared" si="139"/>
        <v>NONE</v>
      </c>
    </row>
    <row r="4455" spans="1:14">
      <c r="A4455" s="4" t="s">
        <v>8926</v>
      </c>
      <c r="B4455" s="4" t="s">
        <v>8927</v>
      </c>
      <c r="C4455" s="4" t="s">
        <v>35</v>
      </c>
      <c r="D4455" s="4" t="s">
        <v>64</v>
      </c>
      <c r="E4455" s="5">
        <v>149.2877</v>
      </c>
      <c r="F4455" s="5">
        <v>145.4718</v>
      </c>
      <c r="G4455" s="5">
        <v>145.00280000000001</v>
      </c>
      <c r="H4455" s="4">
        <v>4</v>
      </c>
      <c r="I4455" s="6">
        <v>4556976</v>
      </c>
      <c r="J4455" s="7">
        <v>631.51</v>
      </c>
      <c r="K4455" s="9">
        <f>(PricingDataTable[[#This Row],[Current Price ($)]]-PricingDataTable[[#This Row],[Prior Price ($)]])/PricingDataTable[[#This Row],[Prior Price ($)]]</f>
        <v>-2.5560712637410846E-2</v>
      </c>
      <c r="L4455" s="9">
        <f>(PricingDataTable[[#This Row],[Vendor Price ($)]]-PricingDataTable[[#This Row],[Current Price ($)]])/PricingDataTable[[#This Row],[Current Price ($)]]</f>
        <v>-3.223992553883255E-3</v>
      </c>
      <c r="M4455" t="str">
        <f t="shared" si="138"/>
        <v>STALE</v>
      </c>
      <c r="N4455" s="10" t="str">
        <f t="shared" si="139"/>
        <v>LOW</v>
      </c>
    </row>
    <row r="4456" spans="1:14">
      <c r="A4456" s="4" t="s">
        <v>8928</v>
      </c>
      <c r="B4456" s="4" t="s">
        <v>8929</v>
      </c>
      <c r="C4456" s="4" t="s">
        <v>19</v>
      </c>
      <c r="D4456" s="4" t="s">
        <v>13</v>
      </c>
      <c r="E4456" s="5">
        <v>264.59249999999997</v>
      </c>
      <c r="F4456" s="5">
        <v>261.74740000000003</v>
      </c>
      <c r="G4456" s="5">
        <v>262.08629999999999</v>
      </c>
      <c r="H4456" s="4">
        <v>0</v>
      </c>
      <c r="I4456" s="6">
        <v>3623144</v>
      </c>
      <c r="J4456" s="7">
        <v>673.68</v>
      </c>
      <c r="K4456" s="9">
        <f>(PricingDataTable[[#This Row],[Current Price ($)]]-PricingDataTable[[#This Row],[Prior Price ($)]])/PricingDataTable[[#This Row],[Prior Price ($)]]</f>
        <v>-1.0752761321654793E-2</v>
      </c>
      <c r="L4456" s="9">
        <f>(PricingDataTable[[#This Row],[Vendor Price ($)]]-PricingDataTable[[#This Row],[Current Price ($)]])/PricingDataTable[[#This Row],[Current Price ($)]]</f>
        <v>1.2947597569258258E-3</v>
      </c>
      <c r="M4456" t="str">
        <f t="shared" si="138"/>
        <v>PASS</v>
      </c>
      <c r="N4456" s="10" t="str">
        <f t="shared" si="139"/>
        <v>NONE</v>
      </c>
    </row>
    <row r="4457" spans="1:14">
      <c r="A4457" s="4" t="s">
        <v>8930</v>
      </c>
      <c r="B4457" s="4" t="s">
        <v>8931</v>
      </c>
      <c r="C4457" s="4" t="s">
        <v>19</v>
      </c>
      <c r="D4457" s="4" t="s">
        <v>13</v>
      </c>
      <c r="E4457" s="5">
        <v>185.27940000000001</v>
      </c>
      <c r="F4457" s="5">
        <v>220.34119999999999</v>
      </c>
      <c r="G4457" s="5">
        <v>220.25360000000001</v>
      </c>
      <c r="H4457" s="4">
        <v>0</v>
      </c>
      <c r="I4457" s="6">
        <v>2376670</v>
      </c>
      <c r="J4457" s="7">
        <v>810.31</v>
      </c>
      <c r="K4457" s="9">
        <f>(PricingDataTable[[#This Row],[Current Price ($)]]-PricingDataTable[[#This Row],[Prior Price ($)]])/PricingDataTable[[#This Row],[Prior Price ($)]]</f>
        <v>0.18923744355821517</v>
      </c>
      <c r="L4457" s="9">
        <f>(PricingDataTable[[#This Row],[Vendor Price ($)]]-PricingDataTable[[#This Row],[Current Price ($)]])/PricingDataTable[[#This Row],[Current Price ($)]]</f>
        <v>-3.9756523065128351E-4</v>
      </c>
      <c r="M4457" t="str">
        <f t="shared" si="138"/>
        <v>LARGE MOVE</v>
      </c>
      <c r="N4457" s="10" t="str">
        <f t="shared" si="139"/>
        <v>HIGH</v>
      </c>
    </row>
    <row r="4458" spans="1:14">
      <c r="A4458" s="4" t="s">
        <v>8932</v>
      </c>
      <c r="B4458" s="4" t="s">
        <v>8933</v>
      </c>
      <c r="C4458" s="4" t="s">
        <v>12</v>
      </c>
      <c r="D4458" s="4" t="s">
        <v>13</v>
      </c>
      <c r="E4458" s="5">
        <v>105.62869999999999</v>
      </c>
      <c r="F4458" s="5">
        <v>105.0759</v>
      </c>
      <c r="G4458" s="5">
        <v>105.1103</v>
      </c>
      <c r="H4458" s="4">
        <v>0</v>
      </c>
      <c r="I4458" s="6">
        <v>2046363</v>
      </c>
      <c r="J4458" s="7">
        <v>200.69</v>
      </c>
      <c r="K4458" s="9">
        <f>(PricingDataTable[[#This Row],[Current Price ($)]]-PricingDataTable[[#This Row],[Prior Price ($)]])/PricingDataTable[[#This Row],[Prior Price ($)]]</f>
        <v>-5.2334261427054449E-3</v>
      </c>
      <c r="L4458" s="9">
        <f>(PricingDataTable[[#This Row],[Vendor Price ($)]]-PricingDataTable[[#This Row],[Current Price ($)]])/PricingDataTable[[#This Row],[Current Price ($)]]</f>
        <v>3.2738239691490516E-4</v>
      </c>
      <c r="M4458" t="str">
        <f t="shared" si="138"/>
        <v>PASS</v>
      </c>
      <c r="N4458" s="10" t="str">
        <f t="shared" si="139"/>
        <v>NONE</v>
      </c>
    </row>
    <row r="4459" spans="1:14">
      <c r="A4459" s="4" t="s">
        <v>8934</v>
      </c>
      <c r="B4459" s="4" t="s">
        <v>8935</v>
      </c>
      <c r="C4459" s="4" t="s">
        <v>19</v>
      </c>
      <c r="D4459" s="4" t="s">
        <v>13</v>
      </c>
      <c r="E4459" s="5">
        <v>79.266900000000007</v>
      </c>
      <c r="F4459" s="5">
        <v>78.87</v>
      </c>
      <c r="G4459" s="5">
        <v>78.786799999999999</v>
      </c>
      <c r="H4459" s="4">
        <v>0</v>
      </c>
      <c r="I4459" s="6">
        <v>1479920</v>
      </c>
      <c r="J4459" s="7">
        <v>818.67</v>
      </c>
      <c r="K4459" s="9">
        <f>(PricingDataTable[[#This Row],[Current Price ($)]]-PricingDataTable[[#This Row],[Prior Price ($)]])/PricingDataTable[[#This Row],[Prior Price ($)]]</f>
        <v>-5.0071341253411228E-3</v>
      </c>
      <c r="L4459" s="9">
        <f>(PricingDataTable[[#This Row],[Vendor Price ($)]]-PricingDataTable[[#This Row],[Current Price ($)]])/PricingDataTable[[#This Row],[Current Price ($)]]</f>
        <v>-1.0549004691264745E-3</v>
      </c>
      <c r="M4459" t="str">
        <f t="shared" si="138"/>
        <v>PASS</v>
      </c>
      <c r="N4459" s="10" t="str">
        <f t="shared" si="139"/>
        <v>NONE</v>
      </c>
    </row>
    <row r="4460" spans="1:14">
      <c r="A4460" s="4" t="s">
        <v>8936</v>
      </c>
      <c r="B4460" s="4" t="s">
        <v>8937</v>
      </c>
      <c r="C4460" s="4" t="s">
        <v>19</v>
      </c>
      <c r="D4460" s="4" t="s">
        <v>13</v>
      </c>
      <c r="E4460" s="5">
        <v>227.7912</v>
      </c>
      <c r="F4460" s="5">
        <v>225.7816</v>
      </c>
      <c r="G4460" s="5">
        <v>226.143</v>
      </c>
      <c r="H4460" s="4">
        <v>0</v>
      </c>
      <c r="I4460" s="6">
        <v>3005441</v>
      </c>
      <c r="J4460" s="7">
        <v>393.52</v>
      </c>
      <c r="K4460" s="9">
        <f>(PricingDataTable[[#This Row],[Current Price ($)]]-PricingDataTable[[#This Row],[Prior Price ($)]])/PricingDataTable[[#This Row],[Prior Price ($)]]</f>
        <v>-8.822114287119107E-3</v>
      </c>
      <c r="L4460" s="9">
        <f>(PricingDataTable[[#This Row],[Vendor Price ($)]]-PricingDataTable[[#This Row],[Current Price ($)]])/PricingDataTable[[#This Row],[Current Price ($)]]</f>
        <v>1.6006618785587633E-3</v>
      </c>
      <c r="M4460" t="str">
        <f t="shared" si="138"/>
        <v>PASS</v>
      </c>
      <c r="N4460" s="10" t="str">
        <f t="shared" si="139"/>
        <v>NONE</v>
      </c>
    </row>
    <row r="4461" spans="1:14">
      <c r="A4461" s="4" t="s">
        <v>8938</v>
      </c>
      <c r="B4461" s="4" t="s">
        <v>8939</v>
      </c>
      <c r="C4461" s="4" t="s">
        <v>39</v>
      </c>
      <c r="D4461" s="4" t="s">
        <v>13</v>
      </c>
      <c r="E4461" s="5">
        <v>286.85840000000002</v>
      </c>
      <c r="F4461" s="5">
        <v>286.75409999999999</v>
      </c>
      <c r="G4461" s="5">
        <v>285.42149999999998</v>
      </c>
      <c r="H4461" s="4">
        <v>3</v>
      </c>
      <c r="I4461" s="6">
        <v>2524215</v>
      </c>
      <c r="J4461" s="7">
        <v>780.19</v>
      </c>
      <c r="K4461" s="9">
        <f>(PricingDataTable[[#This Row],[Current Price ($)]]-PricingDataTable[[#This Row],[Prior Price ($)]])/PricingDataTable[[#This Row],[Prior Price ($)]]</f>
        <v>-3.6359402409001575E-4</v>
      </c>
      <c r="L4461" s="9">
        <f>(PricingDataTable[[#This Row],[Vendor Price ($)]]-PricingDataTable[[#This Row],[Current Price ($)]])/PricingDataTable[[#This Row],[Current Price ($)]]</f>
        <v>-4.6471872590488281E-3</v>
      </c>
      <c r="M4461" t="str">
        <f t="shared" si="138"/>
        <v>STALE</v>
      </c>
      <c r="N4461" s="10" t="str">
        <f t="shared" si="139"/>
        <v>LOW</v>
      </c>
    </row>
    <row r="4462" spans="1:14">
      <c r="A4462" s="4" t="s">
        <v>8940</v>
      </c>
      <c r="B4462" s="4" t="s">
        <v>8941</v>
      </c>
      <c r="C4462" s="4" t="s">
        <v>39</v>
      </c>
      <c r="D4462" s="4" t="s">
        <v>32</v>
      </c>
      <c r="E4462" s="5">
        <v>266.1875</v>
      </c>
      <c r="F4462" s="5">
        <v>269.25020000000001</v>
      </c>
      <c r="G4462" s="5">
        <v>269.33569999999997</v>
      </c>
      <c r="H4462" s="4">
        <v>0</v>
      </c>
      <c r="I4462" s="6">
        <v>607981</v>
      </c>
      <c r="J4462" s="7">
        <v>751.27</v>
      </c>
      <c r="K4462" s="9">
        <f>(PricingDataTable[[#This Row],[Current Price ($)]]-PricingDataTable[[#This Row],[Prior Price ($)]])/PricingDataTable[[#This Row],[Prior Price ($)]]</f>
        <v>1.1505799483446844E-2</v>
      </c>
      <c r="L4462" s="9">
        <f>(PricingDataTable[[#This Row],[Vendor Price ($)]]-PricingDataTable[[#This Row],[Current Price ($)]])/PricingDataTable[[#This Row],[Current Price ($)]]</f>
        <v>3.175485106416549E-4</v>
      </c>
      <c r="M4462" t="str">
        <f t="shared" si="138"/>
        <v>PASS</v>
      </c>
      <c r="N4462" s="10" t="str">
        <f t="shared" si="139"/>
        <v>NONE</v>
      </c>
    </row>
    <row r="4463" spans="1:14">
      <c r="A4463" s="4" t="s">
        <v>8942</v>
      </c>
      <c r="B4463" s="4" t="s">
        <v>8943</v>
      </c>
      <c r="C4463" s="4" t="s">
        <v>39</v>
      </c>
      <c r="D4463" s="4" t="s">
        <v>36</v>
      </c>
      <c r="E4463" s="5">
        <v>207.61490000000001</v>
      </c>
      <c r="F4463" s="5">
        <v>212.10390000000001</v>
      </c>
      <c r="G4463" s="5">
        <v>211.3108</v>
      </c>
      <c r="H4463" s="4">
        <v>0</v>
      </c>
      <c r="I4463" s="6">
        <v>4203156</v>
      </c>
      <c r="J4463" s="7">
        <v>801.18</v>
      </c>
      <c r="K4463" s="9">
        <f>(PricingDataTable[[#This Row],[Current Price ($)]]-PricingDataTable[[#This Row],[Prior Price ($)]])/PricingDataTable[[#This Row],[Prior Price ($)]]</f>
        <v>2.1621762214561691E-2</v>
      </c>
      <c r="L4463" s="9">
        <f>(PricingDataTable[[#This Row],[Vendor Price ($)]]-PricingDataTable[[#This Row],[Current Price ($)]])/PricingDataTable[[#This Row],[Current Price ($)]]</f>
        <v>-3.7392051725593429E-3</v>
      </c>
      <c r="M4463" t="str">
        <f t="shared" si="138"/>
        <v>PASS</v>
      </c>
      <c r="N4463" s="10" t="str">
        <f t="shared" si="139"/>
        <v>NONE</v>
      </c>
    </row>
    <row r="4464" spans="1:14">
      <c r="A4464" s="4" t="s">
        <v>8944</v>
      </c>
      <c r="B4464" s="4" t="s">
        <v>8945</v>
      </c>
      <c r="C4464" s="4" t="s">
        <v>16</v>
      </c>
      <c r="D4464" s="4" t="s">
        <v>237</v>
      </c>
      <c r="E4464" s="5">
        <v>120.0176</v>
      </c>
      <c r="F4464" s="5">
        <v>117.43429999999999</v>
      </c>
      <c r="G4464" s="5">
        <v>126.7756</v>
      </c>
      <c r="H4464" s="4">
        <v>0</v>
      </c>
      <c r="I4464" s="6">
        <v>2552658</v>
      </c>
      <c r="J4464" s="7">
        <v>875.2</v>
      </c>
      <c r="K4464" s="9">
        <f>(PricingDataTable[[#This Row],[Current Price ($)]]-PricingDataTable[[#This Row],[Prior Price ($)]])/PricingDataTable[[#This Row],[Prior Price ($)]]</f>
        <v>-2.152434309634594E-2</v>
      </c>
      <c r="L4464" s="9">
        <f>(PricingDataTable[[#This Row],[Vendor Price ($)]]-PricingDataTable[[#This Row],[Current Price ($)]])/PricingDataTable[[#This Row],[Current Price ($)]]</f>
        <v>7.9544902979793844E-2</v>
      </c>
      <c r="M4464" t="str">
        <f t="shared" si="138"/>
        <v>VENDOR DIFFERENCE</v>
      </c>
      <c r="N4464" s="10" t="str">
        <f t="shared" si="139"/>
        <v>HIGH</v>
      </c>
    </row>
    <row r="4465" spans="1:14">
      <c r="A4465" s="4" t="s">
        <v>8946</v>
      </c>
      <c r="B4465" s="4" t="s">
        <v>8947</v>
      </c>
      <c r="C4465" s="4" t="s">
        <v>12</v>
      </c>
      <c r="D4465" s="4" t="s">
        <v>13</v>
      </c>
      <c r="E4465" s="5">
        <v>96.713499999999996</v>
      </c>
      <c r="F4465" s="5">
        <v>94.614099999999993</v>
      </c>
      <c r="G4465" s="5">
        <v>94.460300000000004</v>
      </c>
      <c r="H4465" s="4">
        <v>0</v>
      </c>
      <c r="I4465" s="6">
        <v>4729600</v>
      </c>
      <c r="J4465" s="7">
        <v>683.15</v>
      </c>
      <c r="K4465" s="9">
        <f>(PricingDataTable[[#This Row],[Current Price ($)]]-PricingDataTable[[#This Row],[Prior Price ($)]])/PricingDataTable[[#This Row],[Prior Price ($)]]</f>
        <v>-2.1707414166584841E-2</v>
      </c>
      <c r="L4465" s="9">
        <f>(PricingDataTable[[#This Row],[Vendor Price ($)]]-PricingDataTable[[#This Row],[Current Price ($)]])/PricingDataTable[[#This Row],[Current Price ($)]]</f>
        <v>-1.6255505257671925E-3</v>
      </c>
      <c r="M4465" t="str">
        <f t="shared" si="138"/>
        <v>PASS</v>
      </c>
      <c r="N4465" s="10" t="str">
        <f t="shared" si="139"/>
        <v>NONE</v>
      </c>
    </row>
    <row r="4466" spans="1:14">
      <c r="A4466" s="4" t="s">
        <v>8948</v>
      </c>
      <c r="B4466" s="4" t="s">
        <v>8949</v>
      </c>
      <c r="C4466" s="4" t="s">
        <v>19</v>
      </c>
      <c r="D4466" s="4" t="s">
        <v>13</v>
      </c>
      <c r="E4466" s="5">
        <v>319.1891</v>
      </c>
      <c r="F4466" s="5">
        <v>312.61599999999999</v>
      </c>
      <c r="G4466" s="5">
        <v>311.57929999999999</v>
      </c>
      <c r="H4466" s="4">
        <v>0</v>
      </c>
      <c r="I4466" s="6">
        <v>3155143</v>
      </c>
      <c r="J4466" s="7">
        <v>332.4</v>
      </c>
      <c r="K4466" s="9">
        <f>(PricingDataTable[[#This Row],[Current Price ($)]]-PricingDataTable[[#This Row],[Prior Price ($)]])/PricingDataTable[[#This Row],[Prior Price ($)]]</f>
        <v>-2.0593121757603913E-2</v>
      </c>
      <c r="L4466" s="9">
        <f>(PricingDataTable[[#This Row],[Vendor Price ($)]]-PricingDataTable[[#This Row],[Current Price ($)]])/PricingDataTable[[#This Row],[Current Price ($)]]</f>
        <v>-3.316209023210572E-3</v>
      </c>
      <c r="M4466" t="str">
        <f t="shared" si="138"/>
        <v>PASS</v>
      </c>
      <c r="N4466" s="10" t="str">
        <f t="shared" si="139"/>
        <v>NONE</v>
      </c>
    </row>
    <row r="4467" spans="1:14">
      <c r="A4467" s="4" t="s">
        <v>8950</v>
      </c>
      <c r="B4467" s="4" t="s">
        <v>8951</v>
      </c>
      <c r="C4467" s="4" t="s">
        <v>19</v>
      </c>
      <c r="D4467" s="4" t="s">
        <v>13</v>
      </c>
      <c r="E4467" s="5">
        <v>304.79669999999999</v>
      </c>
      <c r="F4467" s="5">
        <v>313.3449</v>
      </c>
      <c r="G4467" s="5">
        <v>313.35120000000001</v>
      </c>
      <c r="H4467" s="4">
        <v>0</v>
      </c>
      <c r="I4467" s="6">
        <v>341044</v>
      </c>
      <c r="J4467" s="7">
        <v>71.14</v>
      </c>
      <c r="K4467" s="9">
        <f>(PricingDataTable[[#This Row],[Current Price ($)]]-PricingDataTable[[#This Row],[Prior Price ($)]])/PricingDataTable[[#This Row],[Prior Price ($)]]</f>
        <v>2.8045579233633464E-2</v>
      </c>
      <c r="L4467" s="9">
        <f>(PricingDataTable[[#This Row],[Vendor Price ($)]]-PricingDataTable[[#This Row],[Current Price ($)]])/PricingDataTable[[#This Row],[Current Price ($)]]</f>
        <v>2.0105640781165374E-5</v>
      </c>
      <c r="M4467" t="str">
        <f t="shared" si="138"/>
        <v>PASS</v>
      </c>
      <c r="N4467" s="10" t="str">
        <f t="shared" si="139"/>
        <v>NONE</v>
      </c>
    </row>
    <row r="4468" spans="1:14">
      <c r="A4468" s="4" t="s">
        <v>8952</v>
      </c>
      <c r="B4468" s="4" t="s">
        <v>8953</v>
      </c>
      <c r="C4468" s="4" t="s">
        <v>19</v>
      </c>
      <c r="D4468" s="4" t="s">
        <v>13</v>
      </c>
      <c r="E4468" s="5">
        <v>223.3109</v>
      </c>
      <c r="F4468" s="5">
        <v>225.6534</v>
      </c>
      <c r="G4468" s="5">
        <v>224.68100000000001</v>
      </c>
      <c r="H4468" s="4">
        <v>2</v>
      </c>
      <c r="I4468" s="6">
        <v>3717458</v>
      </c>
      <c r="J4468" s="7">
        <v>897.79</v>
      </c>
      <c r="K4468" s="9">
        <f>(PricingDataTable[[#This Row],[Current Price ($)]]-PricingDataTable[[#This Row],[Prior Price ($)]])/PricingDataTable[[#This Row],[Prior Price ($)]]</f>
        <v>1.0489859653066648E-2</v>
      </c>
      <c r="L4468" s="9">
        <f>(PricingDataTable[[#This Row],[Vendor Price ($)]]-PricingDataTable[[#This Row],[Current Price ($)]])/PricingDataTable[[#This Row],[Current Price ($)]]</f>
        <v>-4.3092636760624628E-3</v>
      </c>
      <c r="M4468" t="str">
        <f t="shared" si="138"/>
        <v>PASS</v>
      </c>
      <c r="N4468" s="10" t="str">
        <f t="shared" si="139"/>
        <v>NONE</v>
      </c>
    </row>
    <row r="4469" spans="1:14">
      <c r="A4469" s="4" t="s">
        <v>8954</v>
      </c>
      <c r="B4469" s="4" t="s">
        <v>8955</v>
      </c>
      <c r="C4469" s="4" t="s">
        <v>35</v>
      </c>
      <c r="D4469" s="4" t="s">
        <v>13</v>
      </c>
      <c r="E4469" s="5">
        <v>91.790099999999995</v>
      </c>
      <c r="F4469" s="5">
        <v>91.423500000000004</v>
      </c>
      <c r="G4469" s="5">
        <v>90.911699999999996</v>
      </c>
      <c r="H4469" s="4">
        <v>1</v>
      </c>
      <c r="I4469" s="6">
        <v>852106</v>
      </c>
      <c r="J4469" s="7">
        <v>591.12</v>
      </c>
      <c r="K4469" s="9">
        <f>(PricingDataTable[[#This Row],[Current Price ($)]]-PricingDataTable[[#This Row],[Prior Price ($)]])/PricingDataTable[[#This Row],[Prior Price ($)]]</f>
        <v>-3.9938947664289633E-3</v>
      </c>
      <c r="L4469" s="9">
        <f>(PricingDataTable[[#This Row],[Vendor Price ($)]]-PricingDataTable[[#This Row],[Current Price ($)]])/PricingDataTable[[#This Row],[Current Price ($)]]</f>
        <v>-5.598123020886402E-3</v>
      </c>
      <c r="M4469" t="str">
        <f t="shared" si="138"/>
        <v>PASS</v>
      </c>
      <c r="N4469" s="10" t="str">
        <f t="shared" si="139"/>
        <v>NONE</v>
      </c>
    </row>
    <row r="4470" spans="1:14">
      <c r="A4470" s="4" t="s">
        <v>8956</v>
      </c>
      <c r="B4470" s="4" t="s">
        <v>8957</v>
      </c>
      <c r="C4470" s="4" t="s">
        <v>35</v>
      </c>
      <c r="D4470" s="4" t="s">
        <v>13</v>
      </c>
      <c r="E4470" s="5">
        <v>124.3695</v>
      </c>
      <c r="F4470" s="5">
        <v>124.3948</v>
      </c>
      <c r="G4470" s="5">
        <v>117.60169999999999</v>
      </c>
      <c r="H4470" s="4">
        <v>0</v>
      </c>
      <c r="I4470" s="6">
        <v>972388</v>
      </c>
      <c r="J4470" s="7">
        <v>75.989999999999995</v>
      </c>
      <c r="K4470" s="9">
        <f>(PricingDataTable[[#This Row],[Current Price ($)]]-PricingDataTable[[#This Row],[Prior Price ($)]])/PricingDataTable[[#This Row],[Prior Price ($)]]</f>
        <v>2.0342608115334895E-4</v>
      </c>
      <c r="L4470" s="9">
        <f>(PricingDataTable[[#This Row],[Vendor Price ($)]]-PricingDataTable[[#This Row],[Current Price ($)]])/PricingDataTable[[#This Row],[Current Price ($)]]</f>
        <v>-5.4609195882786177E-2</v>
      </c>
      <c r="M4470" t="str">
        <f t="shared" si="138"/>
        <v>VENDOR DIFFERENCE</v>
      </c>
      <c r="N4470" s="10" t="str">
        <f t="shared" si="139"/>
        <v>HIGH</v>
      </c>
    </row>
    <row r="4471" spans="1:14">
      <c r="A4471" s="4" t="s">
        <v>8958</v>
      </c>
      <c r="B4471" s="4" t="s">
        <v>8959</v>
      </c>
      <c r="C4471" s="4" t="s">
        <v>39</v>
      </c>
      <c r="D4471" s="4" t="s">
        <v>13</v>
      </c>
      <c r="E4471" s="5">
        <v>141.42920000000001</v>
      </c>
      <c r="F4471" s="5">
        <v>141.97139999999999</v>
      </c>
      <c r="G4471" s="5">
        <v>142.84739999999999</v>
      </c>
      <c r="H4471" s="4">
        <v>0</v>
      </c>
      <c r="I4471" s="6">
        <v>2378186</v>
      </c>
      <c r="J4471" s="7">
        <v>180.93</v>
      </c>
      <c r="K4471" s="9">
        <f>(PricingDataTable[[#This Row],[Current Price ($)]]-PricingDataTable[[#This Row],[Prior Price ($)]])/PricingDataTable[[#This Row],[Prior Price ($)]]</f>
        <v>3.8337203349801865E-3</v>
      </c>
      <c r="L4471" s="9">
        <f>(PricingDataTable[[#This Row],[Vendor Price ($)]]-PricingDataTable[[#This Row],[Current Price ($)]])/PricingDataTable[[#This Row],[Current Price ($)]]</f>
        <v>6.1702568263749241E-3</v>
      </c>
      <c r="M4471" t="str">
        <f t="shared" si="138"/>
        <v>PASS</v>
      </c>
      <c r="N4471" s="10" t="str">
        <f t="shared" si="139"/>
        <v>NONE</v>
      </c>
    </row>
    <row r="4472" spans="1:14">
      <c r="A4472" s="4" t="s">
        <v>8960</v>
      </c>
      <c r="B4472" s="4" t="s">
        <v>8961</v>
      </c>
      <c r="C4472" s="4" t="s">
        <v>16</v>
      </c>
      <c r="D4472" s="4" t="s">
        <v>13</v>
      </c>
      <c r="E4472" s="5">
        <v>92.233000000000004</v>
      </c>
      <c r="F4472" s="5">
        <v>92.765799999999999</v>
      </c>
      <c r="G4472" s="5">
        <v>93.078800000000001</v>
      </c>
      <c r="H4472" s="4">
        <v>0</v>
      </c>
      <c r="I4472" s="6">
        <v>4193171</v>
      </c>
      <c r="J4472" s="7">
        <v>663.23</v>
      </c>
      <c r="K4472" s="9">
        <f>(PricingDataTable[[#This Row],[Current Price ($)]]-PricingDataTable[[#This Row],[Prior Price ($)]])/PricingDataTable[[#This Row],[Prior Price ($)]]</f>
        <v>5.7766742922814454E-3</v>
      </c>
      <c r="L4472" s="9">
        <f>(PricingDataTable[[#This Row],[Vendor Price ($)]]-PricingDataTable[[#This Row],[Current Price ($)]])/PricingDataTable[[#This Row],[Current Price ($)]]</f>
        <v>3.3740882954709861E-3</v>
      </c>
      <c r="M4472" t="str">
        <f t="shared" si="138"/>
        <v>PASS</v>
      </c>
      <c r="N4472" s="10" t="str">
        <f t="shared" si="139"/>
        <v>NONE</v>
      </c>
    </row>
    <row r="4473" spans="1:14">
      <c r="A4473" s="4" t="s">
        <v>8962</v>
      </c>
      <c r="B4473" s="4" t="s">
        <v>8963</v>
      </c>
      <c r="C4473" s="4" t="s">
        <v>16</v>
      </c>
      <c r="D4473" s="4" t="s">
        <v>36</v>
      </c>
      <c r="E4473" s="5">
        <v>80.788600000000002</v>
      </c>
      <c r="F4473" s="5">
        <v>83.060199999999995</v>
      </c>
      <c r="G4473" s="5">
        <v>82.892899999999997</v>
      </c>
      <c r="H4473" s="4">
        <v>1</v>
      </c>
      <c r="I4473" s="6">
        <v>2809388</v>
      </c>
      <c r="J4473" s="7">
        <v>33.08</v>
      </c>
      <c r="K4473" s="9">
        <f>(PricingDataTable[[#This Row],[Current Price ($)]]-PricingDataTable[[#This Row],[Prior Price ($)]])/PricingDataTable[[#This Row],[Prior Price ($)]]</f>
        <v>2.811782850550687E-2</v>
      </c>
      <c r="L4473" s="9">
        <f>(PricingDataTable[[#This Row],[Vendor Price ($)]]-PricingDataTable[[#This Row],[Current Price ($)]])/PricingDataTable[[#This Row],[Current Price ($)]]</f>
        <v>-2.0142017476480595E-3</v>
      </c>
      <c r="M4473" t="str">
        <f t="shared" si="138"/>
        <v>PASS</v>
      </c>
      <c r="N4473" s="10" t="str">
        <f t="shared" si="139"/>
        <v>NONE</v>
      </c>
    </row>
    <row r="4474" spans="1:14">
      <c r="A4474" s="4" t="s">
        <v>8964</v>
      </c>
      <c r="B4474" s="4" t="s">
        <v>8965</v>
      </c>
      <c r="C4474" s="4" t="s">
        <v>39</v>
      </c>
      <c r="D4474" s="4" t="s">
        <v>32</v>
      </c>
      <c r="E4474" s="5">
        <v>42.137999999999998</v>
      </c>
      <c r="F4474" s="5">
        <v>41.708399999999997</v>
      </c>
      <c r="G4474" s="5">
        <v>41.5077</v>
      </c>
      <c r="H4474" s="4">
        <v>0</v>
      </c>
      <c r="I4474" s="6">
        <v>465564</v>
      </c>
      <c r="J4474" s="7">
        <v>564.97</v>
      </c>
      <c r="K4474" s="9">
        <f>(PricingDataTable[[#This Row],[Current Price ($)]]-PricingDataTable[[#This Row],[Prior Price ($)]])/PricingDataTable[[#This Row],[Prior Price ($)]]</f>
        <v>-1.0195073330485563E-2</v>
      </c>
      <c r="L4474" s="9">
        <f>(PricingDataTable[[#This Row],[Vendor Price ($)]]-PricingDataTable[[#This Row],[Current Price ($)]])/PricingDataTable[[#This Row],[Current Price ($)]]</f>
        <v>-4.8119803205109203E-3</v>
      </c>
      <c r="M4474" t="str">
        <f t="shared" si="138"/>
        <v>PASS</v>
      </c>
      <c r="N4474" s="10" t="str">
        <f t="shared" si="139"/>
        <v>NONE</v>
      </c>
    </row>
    <row r="4475" spans="1:14">
      <c r="A4475" s="4" t="s">
        <v>8966</v>
      </c>
      <c r="B4475" s="4" t="s">
        <v>8967</v>
      </c>
      <c r="C4475" s="4" t="s">
        <v>16</v>
      </c>
      <c r="D4475" s="4" t="s">
        <v>13</v>
      </c>
      <c r="E4475" s="5">
        <v>90.075800000000001</v>
      </c>
      <c r="F4475" s="5">
        <v>107.98569999999999</v>
      </c>
      <c r="G4475" s="5">
        <v>107.6185</v>
      </c>
      <c r="H4475" s="4">
        <v>0</v>
      </c>
      <c r="I4475" s="6">
        <v>3153704</v>
      </c>
      <c r="J4475" s="7">
        <v>788.85</v>
      </c>
      <c r="K4475" s="9">
        <f>(PricingDataTable[[#This Row],[Current Price ($)]]-PricingDataTable[[#This Row],[Prior Price ($)]])/PricingDataTable[[#This Row],[Prior Price ($)]]</f>
        <v>0.19883142864121101</v>
      </c>
      <c r="L4475" s="9">
        <f>(PricingDataTable[[#This Row],[Vendor Price ($)]]-PricingDataTable[[#This Row],[Current Price ($)]])/PricingDataTable[[#This Row],[Current Price ($)]]</f>
        <v>-3.4004502448009032E-3</v>
      </c>
      <c r="M4475" t="str">
        <f t="shared" si="138"/>
        <v>LARGE MOVE</v>
      </c>
      <c r="N4475" s="10" t="str">
        <f t="shared" si="139"/>
        <v>HIGH</v>
      </c>
    </row>
    <row r="4476" spans="1:14">
      <c r="A4476" s="4" t="s">
        <v>8968</v>
      </c>
      <c r="B4476" s="4" t="s">
        <v>8969</v>
      </c>
      <c r="C4476" s="4" t="s">
        <v>35</v>
      </c>
      <c r="D4476" s="4" t="s">
        <v>13</v>
      </c>
      <c r="E4476" s="5">
        <v>140.85390000000001</v>
      </c>
      <c r="F4476" s="5">
        <v>140.0763</v>
      </c>
      <c r="G4476" s="5">
        <v>140.2081</v>
      </c>
      <c r="H4476" s="4">
        <v>0</v>
      </c>
      <c r="I4476" s="6">
        <v>3249751</v>
      </c>
      <c r="J4476" s="7">
        <v>673.06</v>
      </c>
      <c r="K4476" s="9">
        <f>(PricingDataTable[[#This Row],[Current Price ($)]]-PricingDataTable[[#This Row],[Prior Price ($)]])/PricingDataTable[[#This Row],[Prior Price ($)]]</f>
        <v>-5.5206139127138591E-3</v>
      </c>
      <c r="L4476" s="9">
        <f>(PricingDataTable[[#This Row],[Vendor Price ($)]]-PricingDataTable[[#This Row],[Current Price ($)]])/PricingDataTable[[#This Row],[Current Price ($)]]</f>
        <v>9.4091577233263845E-4</v>
      </c>
      <c r="M4476" t="str">
        <f t="shared" si="138"/>
        <v>PASS</v>
      </c>
      <c r="N4476" s="10" t="str">
        <f t="shared" si="139"/>
        <v>NONE</v>
      </c>
    </row>
    <row r="4477" spans="1:14">
      <c r="A4477" s="4" t="s">
        <v>8970</v>
      </c>
      <c r="B4477" s="4" t="s">
        <v>8971</v>
      </c>
      <c r="C4477" s="4" t="s">
        <v>16</v>
      </c>
      <c r="D4477" s="4" t="s">
        <v>13</v>
      </c>
      <c r="E4477" s="5">
        <v>105.36969999999999</v>
      </c>
      <c r="F4477" s="5">
        <v>103.99550000000001</v>
      </c>
      <c r="G4477" s="5">
        <v>104.32259999999999</v>
      </c>
      <c r="H4477" s="4">
        <v>2</v>
      </c>
      <c r="I4477" s="6">
        <v>1369100</v>
      </c>
      <c r="J4477" s="7">
        <v>834.38</v>
      </c>
      <c r="K4477" s="9">
        <f>(PricingDataTable[[#This Row],[Current Price ($)]]-PricingDataTable[[#This Row],[Prior Price ($)]])/PricingDataTable[[#This Row],[Prior Price ($)]]</f>
        <v>-1.3041699843503281E-2</v>
      </c>
      <c r="L4477" s="9">
        <f>(PricingDataTable[[#This Row],[Vendor Price ($)]]-PricingDataTable[[#This Row],[Current Price ($)]])/PricingDataTable[[#This Row],[Current Price ($)]]</f>
        <v>3.1453284036327273E-3</v>
      </c>
      <c r="M4477" t="str">
        <f t="shared" si="138"/>
        <v>PASS</v>
      </c>
      <c r="N4477" s="10" t="str">
        <f t="shared" si="139"/>
        <v>NONE</v>
      </c>
    </row>
    <row r="4478" spans="1:14">
      <c r="A4478" s="4" t="s">
        <v>8972</v>
      </c>
      <c r="B4478" s="4" t="s">
        <v>8973</v>
      </c>
      <c r="C4478" s="4" t="s">
        <v>16</v>
      </c>
      <c r="D4478" s="4" t="s">
        <v>13</v>
      </c>
      <c r="E4478" s="5">
        <v>95.606700000000004</v>
      </c>
      <c r="F4478" s="5">
        <v>96.797399999999996</v>
      </c>
      <c r="G4478" s="5">
        <v>96.683700000000002</v>
      </c>
      <c r="H4478" s="4">
        <v>1</v>
      </c>
      <c r="I4478" s="6">
        <v>992563</v>
      </c>
      <c r="J4478" s="7">
        <v>375.12</v>
      </c>
      <c r="K4478" s="9">
        <f>(PricingDataTable[[#This Row],[Current Price ($)]]-PricingDataTable[[#This Row],[Prior Price ($)]])/PricingDataTable[[#This Row],[Prior Price ($)]]</f>
        <v>1.2454148087947732E-2</v>
      </c>
      <c r="L4478" s="9">
        <f>(PricingDataTable[[#This Row],[Vendor Price ($)]]-PricingDataTable[[#This Row],[Current Price ($)]])/PricingDataTable[[#This Row],[Current Price ($)]]</f>
        <v>-1.174618326525241E-3</v>
      </c>
      <c r="M4478" t="str">
        <f t="shared" si="138"/>
        <v>PASS</v>
      </c>
      <c r="N4478" s="10" t="str">
        <f t="shared" si="139"/>
        <v>NONE</v>
      </c>
    </row>
    <row r="4479" spans="1:14">
      <c r="A4479" s="4" t="s">
        <v>8974</v>
      </c>
      <c r="B4479" s="4" t="s">
        <v>8975</v>
      </c>
      <c r="C4479" s="4" t="s">
        <v>19</v>
      </c>
      <c r="D4479" s="4" t="s">
        <v>13</v>
      </c>
      <c r="E4479" s="5">
        <v>251.9752</v>
      </c>
      <c r="F4479" s="5">
        <v>251.88640000000001</v>
      </c>
      <c r="G4479" s="5">
        <v>251.49279999999999</v>
      </c>
      <c r="H4479" s="4">
        <v>0</v>
      </c>
      <c r="I4479" s="6">
        <v>3763993</v>
      </c>
      <c r="J4479" s="7">
        <v>157.03</v>
      </c>
      <c r="K4479" s="9">
        <f>(PricingDataTable[[#This Row],[Current Price ($)]]-PricingDataTable[[#This Row],[Prior Price ($)]])/PricingDataTable[[#This Row],[Prior Price ($)]]</f>
        <v>-3.5241563455447994E-4</v>
      </c>
      <c r="L4479" s="9">
        <f>(PricingDataTable[[#This Row],[Vendor Price ($)]]-PricingDataTable[[#This Row],[Current Price ($)]])/PricingDataTable[[#This Row],[Current Price ($)]]</f>
        <v>-1.5626091762001464E-3</v>
      </c>
      <c r="M4479" t="str">
        <f t="shared" si="138"/>
        <v>PASS</v>
      </c>
      <c r="N4479" s="10" t="str">
        <f t="shared" si="139"/>
        <v>NONE</v>
      </c>
    </row>
    <row r="4480" spans="1:14">
      <c r="A4480" s="4" t="s">
        <v>8976</v>
      </c>
      <c r="B4480" s="4" t="s">
        <v>8977</v>
      </c>
      <c r="C4480" s="4" t="s">
        <v>12</v>
      </c>
      <c r="D4480" s="4" t="s">
        <v>13</v>
      </c>
      <c r="E4480" s="5">
        <v>96.524100000000004</v>
      </c>
      <c r="F4480" s="5">
        <v>94.063599999999994</v>
      </c>
      <c r="G4480" s="5">
        <v>93.917599999999993</v>
      </c>
      <c r="H4480" s="4">
        <v>0</v>
      </c>
      <c r="I4480" s="6">
        <v>2854778</v>
      </c>
      <c r="J4480" s="7">
        <v>826.48</v>
      </c>
      <c r="K4480" s="9">
        <f>(PricingDataTable[[#This Row],[Current Price ($)]]-PricingDataTable[[#This Row],[Prior Price ($)]])/PricingDataTable[[#This Row],[Prior Price ($)]]</f>
        <v>-2.5491043169529787E-2</v>
      </c>
      <c r="L4480" s="9">
        <f>(PricingDataTable[[#This Row],[Vendor Price ($)]]-PricingDataTable[[#This Row],[Current Price ($)]])/PricingDataTable[[#This Row],[Current Price ($)]]</f>
        <v>-1.5521413171513828E-3</v>
      </c>
      <c r="M4480" t="str">
        <f t="shared" si="138"/>
        <v>PASS</v>
      </c>
      <c r="N4480" s="10" t="str">
        <f t="shared" si="139"/>
        <v>NONE</v>
      </c>
    </row>
    <row r="4481" spans="1:14">
      <c r="A4481" s="4" t="s">
        <v>8978</v>
      </c>
      <c r="B4481" s="4" t="s">
        <v>8979</v>
      </c>
      <c r="C4481" s="4" t="s">
        <v>39</v>
      </c>
      <c r="D4481" s="4" t="s">
        <v>237</v>
      </c>
      <c r="E4481" s="5">
        <v>91.535799999999995</v>
      </c>
      <c r="F4481" s="5">
        <v>89.691000000000003</v>
      </c>
      <c r="G4481" s="5">
        <v>81.013800000000003</v>
      </c>
      <c r="H4481" s="4">
        <v>0</v>
      </c>
      <c r="I4481" s="6">
        <v>80361</v>
      </c>
      <c r="J4481" s="7">
        <v>306.3</v>
      </c>
      <c r="K4481" s="9">
        <f>(PricingDataTable[[#This Row],[Current Price ($)]]-PricingDataTable[[#This Row],[Prior Price ($)]])/PricingDataTable[[#This Row],[Prior Price ($)]]</f>
        <v>-2.0153863297201667E-2</v>
      </c>
      <c r="L4481" s="9">
        <f>(PricingDataTable[[#This Row],[Vendor Price ($)]]-PricingDataTable[[#This Row],[Current Price ($)]])/PricingDataTable[[#This Row],[Current Price ($)]]</f>
        <v>-9.6745492858815257E-2</v>
      </c>
      <c r="M4481" t="str">
        <f t="shared" si="138"/>
        <v>VENDOR DIFFERENCE</v>
      </c>
      <c r="N4481" s="10" t="str">
        <f t="shared" si="139"/>
        <v>HIGH</v>
      </c>
    </row>
    <row r="4482" spans="1:14">
      <c r="A4482" s="4" t="s">
        <v>8980</v>
      </c>
      <c r="B4482" s="4" t="s">
        <v>8981</v>
      </c>
      <c r="C4482" s="4" t="s">
        <v>16</v>
      </c>
      <c r="D4482" s="4" t="s">
        <v>13</v>
      </c>
      <c r="E4482" s="5">
        <v>104.9691</v>
      </c>
      <c r="F4482" s="5">
        <v>105.5626</v>
      </c>
      <c r="G4482" s="5">
        <v>106.0146</v>
      </c>
      <c r="H4482" s="4">
        <v>1</v>
      </c>
      <c r="I4482" s="6">
        <v>3055028</v>
      </c>
      <c r="J4482" s="7">
        <v>375.14</v>
      </c>
      <c r="K4482" s="9">
        <f>(PricingDataTable[[#This Row],[Current Price ($)]]-PricingDataTable[[#This Row],[Prior Price ($)]])/PricingDataTable[[#This Row],[Prior Price ($)]]</f>
        <v>5.6540448570103572E-3</v>
      </c>
      <c r="L4482" s="9">
        <f>(PricingDataTable[[#This Row],[Vendor Price ($)]]-PricingDataTable[[#This Row],[Current Price ($)]])/PricingDataTable[[#This Row],[Current Price ($)]]</f>
        <v>4.2818195080454461E-3</v>
      </c>
      <c r="M4482" t="str">
        <f t="shared" ref="M4482:M4545" si="140">IF(OR(F4482="",F4482=0),"MISSING",IF(H4482&gt;=3,"STALE",IF(ABS(K4482)&gt;=5%,"LARGE MOVE",IF(ABS(L4482)&gt;=2%,"VENDOR DIFFERENCE","PASS"))))</f>
        <v>PASS</v>
      </c>
      <c r="N4482" s="10" t="str">
        <f t="shared" ref="N4482:N4545" si="141">IF(M4482="PASS","NONE",IF(M4482="MISSING","HIGH",IF(OR(ABS(K4482)&gt;=10%,ABS(L4482)&gt;=5%),"HIGH",IF(OR(ABS(K4482)&gt;=7%,ABS(L4482)&gt;=3%,H4482&gt;=5),"MEDIUM","LOW"))))</f>
        <v>NONE</v>
      </c>
    </row>
    <row r="4483" spans="1:14">
      <c r="A4483" s="4" t="s">
        <v>8982</v>
      </c>
      <c r="B4483" s="4" t="s">
        <v>8983</v>
      </c>
      <c r="C4483" s="4" t="s">
        <v>19</v>
      </c>
      <c r="D4483" s="4" t="s">
        <v>64</v>
      </c>
      <c r="E4483" s="5">
        <v>12.601100000000001</v>
      </c>
      <c r="F4483" s="5">
        <v>12.280799999999999</v>
      </c>
      <c r="G4483" s="5">
        <v>12.259499999999999</v>
      </c>
      <c r="H4483" s="4">
        <v>0</v>
      </c>
      <c r="I4483" s="6">
        <v>238085</v>
      </c>
      <c r="J4483" s="7">
        <v>839.93</v>
      </c>
      <c r="K4483" s="9">
        <f>(PricingDataTable[[#This Row],[Current Price ($)]]-PricingDataTable[[#This Row],[Prior Price ($)]])/PricingDataTable[[#This Row],[Prior Price ($)]]</f>
        <v>-2.5418415852584406E-2</v>
      </c>
      <c r="L4483" s="9">
        <f>(PricingDataTable[[#This Row],[Vendor Price ($)]]-PricingDataTable[[#This Row],[Current Price ($)]])/PricingDataTable[[#This Row],[Current Price ($)]]</f>
        <v>-1.7344146961110105E-3</v>
      </c>
      <c r="M4483" t="str">
        <f t="shared" si="140"/>
        <v>PASS</v>
      </c>
      <c r="N4483" s="10" t="str">
        <f t="shared" si="141"/>
        <v>NONE</v>
      </c>
    </row>
    <row r="4484" spans="1:14">
      <c r="A4484" s="4" t="s">
        <v>8984</v>
      </c>
      <c r="B4484" s="4" t="s">
        <v>8985</v>
      </c>
      <c r="C4484" s="4" t="s">
        <v>39</v>
      </c>
      <c r="D4484" s="4" t="s">
        <v>13</v>
      </c>
      <c r="E4484" s="5">
        <v>140.92840000000001</v>
      </c>
      <c r="F4484" s="5">
        <v>139.01949999999999</v>
      </c>
      <c r="G4484" s="5">
        <v>139.37989999999999</v>
      </c>
      <c r="H4484" s="4">
        <v>1</v>
      </c>
      <c r="I4484" s="6">
        <v>4414851</v>
      </c>
      <c r="J4484" s="7">
        <v>314.63</v>
      </c>
      <c r="K4484" s="9">
        <f>(PricingDataTable[[#This Row],[Current Price ($)]]-PricingDataTable[[#This Row],[Prior Price ($)]])/PricingDataTable[[#This Row],[Prior Price ($)]]</f>
        <v>-1.3545176131993386E-2</v>
      </c>
      <c r="L4484" s="9">
        <f>(PricingDataTable[[#This Row],[Vendor Price ($)]]-PricingDataTable[[#This Row],[Current Price ($)]])/PricingDataTable[[#This Row],[Current Price ($)]]</f>
        <v>2.5924420674797314E-3</v>
      </c>
      <c r="M4484" t="str">
        <f t="shared" si="140"/>
        <v>PASS</v>
      </c>
      <c r="N4484" s="10" t="str">
        <f t="shared" si="141"/>
        <v>NONE</v>
      </c>
    </row>
    <row r="4485" spans="1:14">
      <c r="A4485" s="4" t="s">
        <v>8986</v>
      </c>
      <c r="B4485" s="4" t="s">
        <v>8987</v>
      </c>
      <c r="C4485" s="4" t="s">
        <v>19</v>
      </c>
      <c r="D4485" s="4" t="s">
        <v>32</v>
      </c>
      <c r="E4485" s="5">
        <v>275.43270000000001</v>
      </c>
      <c r="F4485" s="5">
        <v>277.9359</v>
      </c>
      <c r="G4485" s="5">
        <v>262.40309999999999</v>
      </c>
      <c r="H4485" s="4">
        <v>0</v>
      </c>
      <c r="I4485" s="6">
        <v>4888826</v>
      </c>
      <c r="J4485" s="7">
        <v>470.6</v>
      </c>
      <c r="K4485" s="9">
        <f>(PricingDataTable[[#This Row],[Current Price ($)]]-PricingDataTable[[#This Row],[Prior Price ($)]])/PricingDataTable[[#This Row],[Prior Price ($)]]</f>
        <v>9.0882455133322673E-3</v>
      </c>
      <c r="L4485" s="9">
        <f>(PricingDataTable[[#This Row],[Vendor Price ($)]]-PricingDataTable[[#This Row],[Current Price ($)]])/PricingDataTable[[#This Row],[Current Price ($)]]</f>
        <v>-5.5886267301201498E-2</v>
      </c>
      <c r="M4485" t="str">
        <f t="shared" si="140"/>
        <v>VENDOR DIFFERENCE</v>
      </c>
      <c r="N4485" s="10" t="str">
        <f t="shared" si="141"/>
        <v>HIGH</v>
      </c>
    </row>
    <row r="4486" spans="1:14">
      <c r="A4486" s="4" t="s">
        <v>8988</v>
      </c>
      <c r="B4486" s="4" t="s">
        <v>8989</v>
      </c>
      <c r="C4486" s="4" t="s">
        <v>16</v>
      </c>
      <c r="D4486" s="4" t="s">
        <v>13</v>
      </c>
      <c r="E4486" s="5">
        <v>87.654300000000006</v>
      </c>
      <c r="F4486" s="5">
        <v>87.590699999999998</v>
      </c>
      <c r="G4486" s="5">
        <v>87.505099999999999</v>
      </c>
      <c r="H4486" s="4">
        <v>0</v>
      </c>
      <c r="I4486" s="6">
        <v>1194587</v>
      </c>
      <c r="J4486" s="7">
        <v>412.72</v>
      </c>
      <c r="K4486" s="9">
        <f>(PricingDataTable[[#This Row],[Current Price ($)]]-PricingDataTable[[#This Row],[Prior Price ($)]])/PricingDataTable[[#This Row],[Prior Price ($)]]</f>
        <v>-7.2557763851868176E-4</v>
      </c>
      <c r="L4486" s="9">
        <f>(PricingDataTable[[#This Row],[Vendor Price ($)]]-PricingDataTable[[#This Row],[Current Price ($)]])/PricingDataTable[[#This Row],[Current Price ($)]]</f>
        <v>-9.7727270132559108E-4</v>
      </c>
      <c r="M4486" t="str">
        <f t="shared" si="140"/>
        <v>PASS</v>
      </c>
      <c r="N4486" s="10" t="str">
        <f t="shared" si="141"/>
        <v>NONE</v>
      </c>
    </row>
    <row r="4487" spans="1:14">
      <c r="A4487" s="4" t="s">
        <v>8990</v>
      </c>
      <c r="B4487" s="4" t="s">
        <v>8991</v>
      </c>
      <c r="C4487" s="4" t="s">
        <v>19</v>
      </c>
      <c r="D4487" s="4" t="s">
        <v>13</v>
      </c>
      <c r="E4487" s="5">
        <v>303.29829999999998</v>
      </c>
      <c r="F4487" s="5">
        <v>303.06079999999997</v>
      </c>
      <c r="G4487" s="5">
        <v>303.77769999999998</v>
      </c>
      <c r="H4487" s="4">
        <v>1</v>
      </c>
      <c r="I4487" s="6">
        <v>3672298</v>
      </c>
      <c r="J4487" s="7">
        <v>816.16</v>
      </c>
      <c r="K4487" s="9">
        <f>(PricingDataTable[[#This Row],[Current Price ($)]]-PricingDataTable[[#This Row],[Prior Price ($)]])/PricingDataTable[[#This Row],[Prior Price ($)]]</f>
        <v>-7.8305747180255013E-4</v>
      </c>
      <c r="L4487" s="9">
        <f>(PricingDataTable[[#This Row],[Vendor Price ($)]]-PricingDataTable[[#This Row],[Current Price ($)]])/PricingDataTable[[#This Row],[Current Price ($)]]</f>
        <v>2.3655319328663082E-3</v>
      </c>
      <c r="M4487" t="str">
        <f t="shared" si="140"/>
        <v>PASS</v>
      </c>
      <c r="N4487" s="10" t="str">
        <f t="shared" si="141"/>
        <v>NONE</v>
      </c>
    </row>
    <row r="4488" spans="1:14">
      <c r="A4488" s="4" t="s">
        <v>8992</v>
      </c>
      <c r="B4488" s="4" t="s">
        <v>8993</v>
      </c>
      <c r="C4488" s="4" t="s">
        <v>35</v>
      </c>
      <c r="D4488" s="4" t="s">
        <v>13</v>
      </c>
      <c r="E4488" s="5">
        <v>108.8796</v>
      </c>
      <c r="F4488" s="5">
        <v>109.2274</v>
      </c>
      <c r="G4488" s="5">
        <v>109.3229</v>
      </c>
      <c r="H4488" s="4">
        <v>1</v>
      </c>
      <c r="I4488" s="6">
        <v>2476148</v>
      </c>
      <c r="J4488" s="7">
        <v>331.11</v>
      </c>
      <c r="K4488" s="9">
        <f>(PricingDataTable[[#This Row],[Current Price ($)]]-PricingDataTable[[#This Row],[Prior Price ($)]])/PricingDataTable[[#This Row],[Prior Price ($)]]</f>
        <v>3.1943541306177332E-3</v>
      </c>
      <c r="L4488" s="9">
        <f>(PricingDataTable[[#This Row],[Vendor Price ($)]]-PricingDataTable[[#This Row],[Current Price ($)]])/PricingDataTable[[#This Row],[Current Price ($)]]</f>
        <v>8.7432274319448465E-4</v>
      </c>
      <c r="M4488" t="str">
        <f t="shared" si="140"/>
        <v>PASS</v>
      </c>
      <c r="N4488" s="10" t="str">
        <f t="shared" si="141"/>
        <v>NONE</v>
      </c>
    </row>
    <row r="4489" spans="1:14">
      <c r="A4489" s="4" t="s">
        <v>8994</v>
      </c>
      <c r="B4489" s="4" t="s">
        <v>8995</v>
      </c>
      <c r="C4489" s="4" t="s">
        <v>16</v>
      </c>
      <c r="D4489" s="4" t="s">
        <v>13</v>
      </c>
      <c r="E4489" s="5">
        <v>77.349999999999994</v>
      </c>
      <c r="F4489" s="5">
        <v>78.210400000000007</v>
      </c>
      <c r="G4489" s="5">
        <v>78.391499999999994</v>
      </c>
      <c r="H4489" s="4">
        <v>0</v>
      </c>
      <c r="I4489" s="6">
        <v>749796</v>
      </c>
      <c r="J4489" s="7">
        <v>876.09</v>
      </c>
      <c r="K4489" s="9">
        <f>(PricingDataTable[[#This Row],[Current Price ($)]]-PricingDataTable[[#This Row],[Prior Price ($)]])/PricingDataTable[[#This Row],[Prior Price ($)]]</f>
        <v>1.1123464770523759E-2</v>
      </c>
      <c r="L4489" s="9">
        <f>(PricingDataTable[[#This Row],[Vendor Price ($)]]-PricingDataTable[[#This Row],[Current Price ($)]])/PricingDataTable[[#This Row],[Current Price ($)]]</f>
        <v>2.315548827265766E-3</v>
      </c>
      <c r="M4489" t="str">
        <f t="shared" si="140"/>
        <v>PASS</v>
      </c>
      <c r="N4489" s="10" t="str">
        <f t="shared" si="141"/>
        <v>NONE</v>
      </c>
    </row>
    <row r="4490" spans="1:14">
      <c r="A4490" s="4" t="s">
        <v>8996</v>
      </c>
      <c r="B4490" s="4" t="s">
        <v>8997</v>
      </c>
      <c r="C4490" s="4" t="s">
        <v>39</v>
      </c>
      <c r="D4490" s="4" t="s">
        <v>13</v>
      </c>
      <c r="E4490" s="5">
        <v>306.28460000000001</v>
      </c>
      <c r="F4490" s="5">
        <v>308.1542</v>
      </c>
      <c r="G4490" s="5">
        <v>307.35390000000001</v>
      </c>
      <c r="H4490" s="4">
        <v>1</v>
      </c>
      <c r="I4490" s="6">
        <v>503950</v>
      </c>
      <c r="J4490" s="7">
        <v>714.04</v>
      </c>
      <c r="K4490" s="9">
        <f>(PricingDataTable[[#This Row],[Current Price ($)]]-PricingDataTable[[#This Row],[Prior Price ($)]])/PricingDataTable[[#This Row],[Prior Price ($)]]</f>
        <v>6.1041266847892163E-3</v>
      </c>
      <c r="L4490" s="9">
        <f>(PricingDataTable[[#This Row],[Vendor Price ($)]]-PricingDataTable[[#This Row],[Current Price ($)]])/PricingDataTable[[#This Row],[Current Price ($)]]</f>
        <v>-2.5970763987639722E-3</v>
      </c>
      <c r="M4490" t="str">
        <f t="shared" si="140"/>
        <v>PASS</v>
      </c>
      <c r="N4490" s="10" t="str">
        <f t="shared" si="141"/>
        <v>NONE</v>
      </c>
    </row>
    <row r="4491" spans="1:14">
      <c r="A4491" s="4" t="s">
        <v>8998</v>
      </c>
      <c r="B4491" s="4" t="s">
        <v>8999</v>
      </c>
      <c r="C4491" s="4" t="s">
        <v>39</v>
      </c>
      <c r="D4491" s="4" t="s">
        <v>13</v>
      </c>
      <c r="E4491" s="5">
        <v>77.854900000000001</v>
      </c>
      <c r="F4491" s="5">
        <v>78.842600000000004</v>
      </c>
      <c r="G4491" s="5">
        <v>78.834999999999994</v>
      </c>
      <c r="H4491" s="4">
        <v>0</v>
      </c>
      <c r="I4491" s="6">
        <v>2197834</v>
      </c>
      <c r="J4491" s="7">
        <v>733.42</v>
      </c>
      <c r="K4491" s="9">
        <f>(PricingDataTable[[#This Row],[Current Price ($)]]-PricingDataTable[[#This Row],[Prior Price ($)]])/PricingDataTable[[#This Row],[Prior Price ($)]]</f>
        <v>1.2686420507893578E-2</v>
      </c>
      <c r="L4491" s="9">
        <f>(PricingDataTable[[#This Row],[Vendor Price ($)]]-PricingDataTable[[#This Row],[Current Price ($)]])/PricingDataTable[[#This Row],[Current Price ($)]]</f>
        <v>-9.6394588712329481E-5</v>
      </c>
      <c r="M4491" t="str">
        <f t="shared" si="140"/>
        <v>PASS</v>
      </c>
      <c r="N4491" s="10" t="str">
        <f t="shared" si="141"/>
        <v>NONE</v>
      </c>
    </row>
    <row r="4492" spans="1:14">
      <c r="A4492" s="4" t="s">
        <v>9000</v>
      </c>
      <c r="B4492" s="4" t="s">
        <v>9001</v>
      </c>
      <c r="C4492" s="4" t="s">
        <v>35</v>
      </c>
      <c r="D4492" s="4" t="s">
        <v>13</v>
      </c>
      <c r="E4492" s="5">
        <v>143.78450000000001</v>
      </c>
      <c r="F4492" s="5">
        <v>148.7465</v>
      </c>
      <c r="G4492" s="5">
        <v>148.88069999999999</v>
      </c>
      <c r="H4492" s="4">
        <v>1</v>
      </c>
      <c r="I4492" s="6">
        <v>22854</v>
      </c>
      <c r="J4492" s="7">
        <v>342.03</v>
      </c>
      <c r="K4492" s="9">
        <f>(PricingDataTable[[#This Row],[Current Price ($)]]-PricingDataTable[[#This Row],[Prior Price ($)]])/PricingDataTable[[#This Row],[Prior Price ($)]]</f>
        <v>3.4509978474731202E-2</v>
      </c>
      <c r="L4492" s="9">
        <f>(PricingDataTable[[#This Row],[Vendor Price ($)]]-PricingDataTable[[#This Row],[Current Price ($)]])/PricingDataTable[[#This Row],[Current Price ($)]]</f>
        <v>9.0220610232840954E-4</v>
      </c>
      <c r="M4492" t="str">
        <f t="shared" si="140"/>
        <v>PASS</v>
      </c>
      <c r="N4492" s="10" t="str">
        <f t="shared" si="141"/>
        <v>NONE</v>
      </c>
    </row>
    <row r="4493" spans="1:14">
      <c r="A4493" s="4" t="s">
        <v>9002</v>
      </c>
      <c r="B4493" s="4" t="s">
        <v>9003</v>
      </c>
      <c r="C4493" s="4" t="s">
        <v>12</v>
      </c>
      <c r="D4493" s="4" t="s">
        <v>32</v>
      </c>
      <c r="E4493" s="5">
        <v>114.3993</v>
      </c>
      <c r="F4493" s="5">
        <v>113.6258</v>
      </c>
      <c r="G4493" s="5">
        <v>113.307</v>
      </c>
      <c r="H4493" s="4">
        <v>0</v>
      </c>
      <c r="I4493" s="6">
        <v>1957798</v>
      </c>
      <c r="J4493" s="7">
        <v>801.61</v>
      </c>
      <c r="K4493" s="9">
        <f>(PricingDataTable[[#This Row],[Current Price ($)]]-PricingDataTable[[#This Row],[Prior Price ($)]])/PricingDataTable[[#This Row],[Prior Price ($)]]</f>
        <v>-6.7614050085970682E-3</v>
      </c>
      <c r="L4493" s="9">
        <f>(PricingDataTable[[#This Row],[Vendor Price ($)]]-PricingDataTable[[#This Row],[Current Price ($)]])/PricingDataTable[[#This Row],[Current Price ($)]]</f>
        <v>-2.8057008179480009E-3</v>
      </c>
      <c r="M4493" t="str">
        <f t="shared" si="140"/>
        <v>PASS</v>
      </c>
      <c r="N4493" s="10" t="str">
        <f t="shared" si="141"/>
        <v>NONE</v>
      </c>
    </row>
    <row r="4494" spans="1:14">
      <c r="A4494" s="4" t="s">
        <v>9004</v>
      </c>
      <c r="B4494" s="4" t="s">
        <v>9005</v>
      </c>
      <c r="C4494" s="4" t="s">
        <v>16</v>
      </c>
      <c r="D4494" s="4" t="s">
        <v>13</v>
      </c>
      <c r="E4494" s="5">
        <v>110.09010000000001</v>
      </c>
      <c r="F4494" s="5">
        <v>109.8625</v>
      </c>
      <c r="G4494" s="5">
        <v>109.8706</v>
      </c>
      <c r="H4494" s="4">
        <v>0</v>
      </c>
      <c r="I4494" s="6">
        <v>2214654</v>
      </c>
      <c r="J4494" s="7">
        <v>205.2</v>
      </c>
      <c r="K4494" s="9">
        <f>(PricingDataTable[[#This Row],[Current Price ($)]]-PricingDataTable[[#This Row],[Prior Price ($)]])/PricingDataTable[[#This Row],[Prior Price ($)]]</f>
        <v>-2.0673975225747781E-3</v>
      </c>
      <c r="L4494" s="9">
        <f>(PricingDataTable[[#This Row],[Vendor Price ($)]]-PricingDataTable[[#This Row],[Current Price ($)]])/PricingDataTable[[#This Row],[Current Price ($)]]</f>
        <v>7.3728524291718164E-5</v>
      </c>
      <c r="M4494" t="str">
        <f t="shared" si="140"/>
        <v>PASS</v>
      </c>
      <c r="N4494" s="10" t="str">
        <f t="shared" si="141"/>
        <v>NONE</v>
      </c>
    </row>
    <row r="4495" spans="1:14">
      <c r="A4495" s="4" t="s">
        <v>9006</v>
      </c>
      <c r="B4495" s="4" t="s">
        <v>9007</v>
      </c>
      <c r="C4495" s="4" t="s">
        <v>39</v>
      </c>
      <c r="D4495" s="4" t="s">
        <v>13</v>
      </c>
      <c r="E4495" s="5">
        <v>333.95179999999999</v>
      </c>
      <c r="F4495" s="5">
        <v>342.15559999999999</v>
      </c>
      <c r="G4495" s="5">
        <v>341.20249999999999</v>
      </c>
      <c r="H4495" s="4">
        <v>3</v>
      </c>
      <c r="I4495" s="6">
        <v>3572036</v>
      </c>
      <c r="J4495" s="7">
        <v>186.18</v>
      </c>
      <c r="K4495" s="9">
        <f>(PricingDataTable[[#This Row],[Current Price ($)]]-PricingDataTable[[#This Row],[Prior Price ($)]])/PricingDataTable[[#This Row],[Prior Price ($)]]</f>
        <v>2.4565820576502362E-2</v>
      </c>
      <c r="L4495" s="9">
        <f>(PricingDataTable[[#This Row],[Vendor Price ($)]]-PricingDataTable[[#This Row],[Current Price ($)]])/PricingDataTable[[#This Row],[Current Price ($)]]</f>
        <v>-2.7855747502013887E-3</v>
      </c>
      <c r="M4495" t="str">
        <f t="shared" si="140"/>
        <v>STALE</v>
      </c>
      <c r="N4495" s="10" t="str">
        <f t="shared" si="141"/>
        <v>LOW</v>
      </c>
    </row>
    <row r="4496" spans="1:14">
      <c r="A4496" s="4" t="s">
        <v>9008</v>
      </c>
      <c r="B4496" s="4" t="s">
        <v>9009</v>
      </c>
      <c r="C4496" s="4" t="s">
        <v>16</v>
      </c>
      <c r="D4496" s="4" t="s">
        <v>237</v>
      </c>
      <c r="E4496" s="5">
        <v>75.8643</v>
      </c>
      <c r="F4496" s="5">
        <v>75.742400000000004</v>
      </c>
      <c r="G4496" s="5">
        <v>75.655500000000004</v>
      </c>
      <c r="H4496" s="4">
        <v>0</v>
      </c>
      <c r="I4496" s="6">
        <v>3348703</v>
      </c>
      <c r="J4496" s="7">
        <v>447.4</v>
      </c>
      <c r="K4496" s="9">
        <f>(PricingDataTable[[#This Row],[Current Price ($)]]-PricingDataTable[[#This Row],[Prior Price ($)]])/PricingDataTable[[#This Row],[Prior Price ($)]]</f>
        <v>-1.6068163813545576E-3</v>
      </c>
      <c r="L4496" s="9">
        <f>(PricingDataTable[[#This Row],[Vendor Price ($)]]-PricingDataTable[[#This Row],[Current Price ($)]])/PricingDataTable[[#This Row],[Current Price ($)]]</f>
        <v>-1.1473098291049659E-3</v>
      </c>
      <c r="M4496" t="str">
        <f t="shared" si="140"/>
        <v>PASS</v>
      </c>
      <c r="N4496" s="10" t="str">
        <f t="shared" si="141"/>
        <v>NONE</v>
      </c>
    </row>
    <row r="4497" spans="1:14">
      <c r="A4497" s="4" t="s">
        <v>9010</v>
      </c>
      <c r="B4497" s="4" t="s">
        <v>9011</v>
      </c>
      <c r="C4497" s="4" t="s">
        <v>19</v>
      </c>
      <c r="D4497" s="4" t="s">
        <v>13</v>
      </c>
      <c r="E4497" s="5">
        <v>344.98480000000001</v>
      </c>
      <c r="F4497" s="5">
        <v>340.87569999999999</v>
      </c>
      <c r="G4497" s="5">
        <v>340.59809999999999</v>
      </c>
      <c r="H4497" s="4">
        <v>0</v>
      </c>
      <c r="I4497" s="6">
        <v>1074193</v>
      </c>
      <c r="J4497" s="7">
        <v>39.68</v>
      </c>
      <c r="K4497" s="9">
        <f>(PricingDataTable[[#This Row],[Current Price ($)]]-PricingDataTable[[#This Row],[Prior Price ($)]])/PricingDataTable[[#This Row],[Prior Price ($)]]</f>
        <v>-1.1910959555319574E-2</v>
      </c>
      <c r="L4497" s="9">
        <f>(PricingDataTable[[#This Row],[Vendor Price ($)]]-PricingDataTable[[#This Row],[Current Price ($)]])/PricingDataTable[[#This Row],[Current Price ($)]]</f>
        <v>-8.1437309846377063E-4</v>
      </c>
      <c r="M4497" t="str">
        <f t="shared" si="140"/>
        <v>PASS</v>
      </c>
      <c r="N4497" s="10" t="str">
        <f t="shared" si="141"/>
        <v>NONE</v>
      </c>
    </row>
    <row r="4498" spans="1:14">
      <c r="A4498" s="4" t="s">
        <v>9012</v>
      </c>
      <c r="B4498" s="4" t="s">
        <v>9013</v>
      </c>
      <c r="C4498" s="4" t="s">
        <v>12</v>
      </c>
      <c r="D4498" s="4" t="s">
        <v>13</v>
      </c>
      <c r="E4498" s="5">
        <v>101.3626</v>
      </c>
      <c r="F4498" s="5">
        <v>102.0209</v>
      </c>
      <c r="G4498" s="5">
        <v>102.0301</v>
      </c>
      <c r="H4498" s="4">
        <v>1</v>
      </c>
      <c r="I4498" s="6">
        <v>3614831</v>
      </c>
      <c r="J4498" s="7">
        <v>472.96</v>
      </c>
      <c r="K4498" s="9">
        <f>(PricingDataTable[[#This Row],[Current Price ($)]]-PricingDataTable[[#This Row],[Prior Price ($)]])/PricingDataTable[[#This Row],[Prior Price ($)]]</f>
        <v>6.4945058631092432E-3</v>
      </c>
      <c r="L4498" s="9">
        <f>(PricingDataTable[[#This Row],[Vendor Price ($)]]-PricingDataTable[[#This Row],[Current Price ($)]])/PricingDataTable[[#This Row],[Current Price ($)]]</f>
        <v>9.0177600864205085E-5</v>
      </c>
      <c r="M4498" t="str">
        <f t="shared" si="140"/>
        <v>PASS</v>
      </c>
      <c r="N4498" s="10" t="str">
        <f t="shared" si="141"/>
        <v>NONE</v>
      </c>
    </row>
    <row r="4499" spans="1:14">
      <c r="A4499" s="4" t="s">
        <v>9014</v>
      </c>
      <c r="B4499" s="4" t="s">
        <v>9015</v>
      </c>
      <c r="C4499" s="4" t="s">
        <v>12</v>
      </c>
      <c r="D4499" s="4" t="s">
        <v>13</v>
      </c>
      <c r="E4499" s="5">
        <v>78.259699999999995</v>
      </c>
      <c r="F4499" s="5">
        <v>77.989699999999999</v>
      </c>
      <c r="G4499" s="5">
        <v>78.152299999999997</v>
      </c>
      <c r="H4499" s="4">
        <v>0</v>
      </c>
      <c r="I4499" s="6">
        <v>2218808</v>
      </c>
      <c r="J4499" s="7">
        <v>348.17</v>
      </c>
      <c r="K4499" s="9">
        <f>(PricingDataTable[[#This Row],[Current Price ($)]]-PricingDataTable[[#This Row],[Prior Price ($)]])/PricingDataTable[[#This Row],[Prior Price ($)]]</f>
        <v>-3.4500515591038049E-3</v>
      </c>
      <c r="L4499" s="9">
        <f>(PricingDataTable[[#This Row],[Vendor Price ($)]]-PricingDataTable[[#This Row],[Current Price ($)]])/PricingDataTable[[#This Row],[Current Price ($)]]</f>
        <v>2.0848906971048437E-3</v>
      </c>
      <c r="M4499" t="str">
        <f t="shared" si="140"/>
        <v>PASS</v>
      </c>
      <c r="N4499" s="10" t="str">
        <f t="shared" si="141"/>
        <v>NONE</v>
      </c>
    </row>
    <row r="4500" spans="1:14">
      <c r="A4500" s="4" t="s">
        <v>9016</v>
      </c>
      <c r="B4500" s="4" t="s">
        <v>9017</v>
      </c>
      <c r="C4500" s="4" t="s">
        <v>35</v>
      </c>
      <c r="D4500" s="4" t="s">
        <v>13</v>
      </c>
      <c r="E4500" s="5">
        <v>24.909600000000001</v>
      </c>
      <c r="F4500" s="5">
        <v>25.1555</v>
      </c>
      <c r="G4500" s="5">
        <v>25.383800000000001</v>
      </c>
      <c r="H4500" s="4">
        <v>0</v>
      </c>
      <c r="I4500" s="6">
        <v>4145942</v>
      </c>
      <c r="J4500" s="7">
        <v>261.70999999999998</v>
      </c>
      <c r="K4500" s="9">
        <f>(PricingDataTable[[#This Row],[Current Price ($)]]-PricingDataTable[[#This Row],[Prior Price ($)]])/PricingDataTable[[#This Row],[Prior Price ($)]]</f>
        <v>9.8716960529273406E-3</v>
      </c>
      <c r="L4500" s="9">
        <f>(PricingDataTable[[#This Row],[Vendor Price ($)]]-PricingDataTable[[#This Row],[Current Price ($)]])/PricingDataTable[[#This Row],[Current Price ($)]]</f>
        <v>9.0755500785116901E-3</v>
      </c>
      <c r="M4500" t="str">
        <f t="shared" si="140"/>
        <v>PASS</v>
      </c>
      <c r="N4500" s="10" t="str">
        <f t="shared" si="141"/>
        <v>NONE</v>
      </c>
    </row>
    <row r="4501" spans="1:14">
      <c r="A4501" s="4" t="s">
        <v>9018</v>
      </c>
      <c r="B4501" s="4" t="s">
        <v>9019</v>
      </c>
      <c r="C4501" s="4" t="s">
        <v>19</v>
      </c>
      <c r="D4501" s="4" t="s">
        <v>13</v>
      </c>
      <c r="E4501" s="5">
        <v>13.7662</v>
      </c>
      <c r="F4501" s="5">
        <v>13.667</v>
      </c>
      <c r="G4501" s="5">
        <v>13.664199999999999</v>
      </c>
      <c r="H4501" s="4">
        <v>0</v>
      </c>
      <c r="I4501" s="6">
        <v>2923438</v>
      </c>
      <c r="J4501" s="7">
        <v>228.5</v>
      </c>
      <c r="K4501" s="9">
        <f>(PricingDataTable[[#This Row],[Current Price ($)]]-PricingDataTable[[#This Row],[Prior Price ($)]])/PricingDataTable[[#This Row],[Prior Price ($)]]</f>
        <v>-7.2060554110792907E-3</v>
      </c>
      <c r="L4501" s="9">
        <f>(PricingDataTable[[#This Row],[Vendor Price ($)]]-PricingDataTable[[#This Row],[Current Price ($)]])/PricingDataTable[[#This Row],[Current Price ($)]]</f>
        <v>-2.0487305187682592E-4</v>
      </c>
      <c r="M4501" t="str">
        <f t="shared" si="140"/>
        <v>PASS</v>
      </c>
      <c r="N4501" s="10" t="str">
        <f t="shared" si="141"/>
        <v>NONE</v>
      </c>
    </row>
    <row r="4502" spans="1:14">
      <c r="A4502" s="4" t="s">
        <v>9020</v>
      </c>
      <c r="B4502" s="4" t="s">
        <v>9021</v>
      </c>
      <c r="C4502" s="4" t="s">
        <v>16</v>
      </c>
      <c r="D4502" s="4" t="s">
        <v>13</v>
      </c>
      <c r="E4502" s="5">
        <v>122.5127</v>
      </c>
      <c r="F4502" s="5">
        <v>121.8891</v>
      </c>
      <c r="G4502" s="5">
        <v>121.7266</v>
      </c>
      <c r="H4502" s="4">
        <v>2</v>
      </c>
      <c r="I4502" s="6">
        <v>3819863</v>
      </c>
      <c r="J4502" s="7">
        <v>757.79</v>
      </c>
      <c r="K4502" s="9">
        <f>(PricingDataTable[[#This Row],[Current Price ($)]]-PricingDataTable[[#This Row],[Prior Price ($)]])/PricingDataTable[[#This Row],[Prior Price ($)]]</f>
        <v>-5.0900845381743783E-3</v>
      </c>
      <c r="L4502" s="9">
        <f>(PricingDataTable[[#This Row],[Vendor Price ($)]]-PricingDataTable[[#This Row],[Current Price ($)]])/PricingDataTable[[#This Row],[Current Price ($)]]</f>
        <v>-1.333179094767246E-3</v>
      </c>
      <c r="M4502" t="str">
        <f t="shared" si="140"/>
        <v>PASS</v>
      </c>
      <c r="N4502" s="10" t="str">
        <f t="shared" si="141"/>
        <v>NONE</v>
      </c>
    </row>
    <row r="4503" spans="1:14">
      <c r="A4503" s="4" t="s">
        <v>9022</v>
      </c>
      <c r="B4503" s="4" t="s">
        <v>9023</v>
      </c>
      <c r="C4503" s="4" t="s">
        <v>39</v>
      </c>
      <c r="D4503" s="4" t="s">
        <v>13</v>
      </c>
      <c r="E4503" s="5">
        <v>87.477699999999999</v>
      </c>
      <c r="F4503" s="5">
        <v>88.390500000000003</v>
      </c>
      <c r="G4503" s="5">
        <v>88.1661</v>
      </c>
      <c r="H4503" s="4">
        <v>3</v>
      </c>
      <c r="I4503" s="6">
        <v>3084762</v>
      </c>
      <c r="J4503" s="7">
        <v>711.62</v>
      </c>
      <c r="K4503" s="9">
        <f>(PricingDataTable[[#This Row],[Current Price ($)]]-PricingDataTable[[#This Row],[Prior Price ($)]])/PricingDataTable[[#This Row],[Prior Price ($)]]</f>
        <v>1.0434659347468032E-2</v>
      </c>
      <c r="L4503" s="9">
        <f>(PricingDataTable[[#This Row],[Vendor Price ($)]]-PricingDataTable[[#This Row],[Current Price ($)]])/PricingDataTable[[#This Row],[Current Price ($)]]</f>
        <v>-2.5387343662497987E-3</v>
      </c>
      <c r="M4503" t="str">
        <f t="shared" si="140"/>
        <v>STALE</v>
      </c>
      <c r="N4503" s="10" t="str">
        <f t="shared" si="141"/>
        <v>LOW</v>
      </c>
    </row>
    <row r="4504" spans="1:14">
      <c r="A4504" s="4" t="s">
        <v>9024</v>
      </c>
      <c r="B4504" s="4" t="s">
        <v>9025</v>
      </c>
      <c r="C4504" s="4" t="s">
        <v>19</v>
      </c>
      <c r="D4504" s="4" t="s">
        <v>13</v>
      </c>
      <c r="E4504" s="5">
        <v>209.7594</v>
      </c>
      <c r="F4504" s="5">
        <v>0</v>
      </c>
      <c r="G4504" s="5">
        <v>211.9229</v>
      </c>
      <c r="H4504" s="4">
        <v>0</v>
      </c>
      <c r="I4504" s="6">
        <v>2115908</v>
      </c>
      <c r="J4504" s="7">
        <v>163.4</v>
      </c>
      <c r="K4504" s="9">
        <f>(PricingDataTable[[#This Row],[Current Price ($)]]-PricingDataTable[[#This Row],[Prior Price ($)]])/PricingDataTable[[#This Row],[Prior Price ($)]]</f>
        <v>-1</v>
      </c>
      <c r="L4504" s="9" t="e">
        <f>(PricingDataTable[[#This Row],[Vendor Price ($)]]-PricingDataTable[[#This Row],[Current Price ($)]])/PricingDataTable[[#This Row],[Current Price ($)]]</f>
        <v>#DIV/0!</v>
      </c>
      <c r="M4504" t="str">
        <f t="shared" si="140"/>
        <v>MISSING</v>
      </c>
      <c r="N4504" s="10" t="str">
        <f t="shared" si="141"/>
        <v>HIGH</v>
      </c>
    </row>
    <row r="4505" spans="1:14">
      <c r="A4505" s="4" t="s">
        <v>9026</v>
      </c>
      <c r="B4505" s="4" t="s">
        <v>9027</v>
      </c>
      <c r="C4505" s="4" t="s">
        <v>16</v>
      </c>
      <c r="D4505" s="4" t="s">
        <v>13</v>
      </c>
      <c r="E4505" s="5">
        <v>95.559799999999996</v>
      </c>
      <c r="F4505" s="5">
        <v>96.501499999999993</v>
      </c>
      <c r="G4505" s="5">
        <v>96.465500000000006</v>
      </c>
      <c r="H4505" s="4">
        <v>0</v>
      </c>
      <c r="I4505" s="6">
        <v>1654185</v>
      </c>
      <c r="J4505" s="7">
        <v>613.77</v>
      </c>
      <c r="K4505" s="9">
        <f>(PricingDataTable[[#This Row],[Current Price ($)]]-PricingDataTable[[#This Row],[Prior Price ($)]])/PricingDataTable[[#This Row],[Prior Price ($)]]</f>
        <v>9.8545622740943088E-3</v>
      </c>
      <c r="L4505" s="9">
        <f>(PricingDataTable[[#This Row],[Vendor Price ($)]]-PricingDataTable[[#This Row],[Current Price ($)]])/PricingDataTable[[#This Row],[Current Price ($)]]</f>
        <v>-3.7305119609526438E-4</v>
      </c>
      <c r="M4505" t="str">
        <f t="shared" si="140"/>
        <v>PASS</v>
      </c>
      <c r="N4505" s="10" t="str">
        <f t="shared" si="141"/>
        <v>NONE</v>
      </c>
    </row>
    <row r="4506" spans="1:14">
      <c r="A4506" s="4" t="s">
        <v>9028</v>
      </c>
      <c r="B4506" s="4" t="s">
        <v>9029</v>
      </c>
      <c r="C4506" s="4" t="s">
        <v>12</v>
      </c>
      <c r="D4506" s="4" t="s">
        <v>13</v>
      </c>
      <c r="E4506" s="5">
        <v>111.55880000000001</v>
      </c>
      <c r="F4506" s="5">
        <v>112.1459</v>
      </c>
      <c r="G4506" s="5">
        <v>112.8493</v>
      </c>
      <c r="H4506" s="4">
        <v>3</v>
      </c>
      <c r="I4506" s="6">
        <v>3249521</v>
      </c>
      <c r="J4506" s="7">
        <v>445.97</v>
      </c>
      <c r="K4506" s="9">
        <f>(PricingDataTable[[#This Row],[Current Price ($)]]-PricingDataTable[[#This Row],[Prior Price ($)]])/PricingDataTable[[#This Row],[Prior Price ($)]]</f>
        <v>5.2626955471015502E-3</v>
      </c>
      <c r="L4506" s="9">
        <f>(PricingDataTable[[#This Row],[Vendor Price ($)]]-PricingDataTable[[#This Row],[Current Price ($)]])/PricingDataTable[[#This Row],[Current Price ($)]]</f>
        <v>6.272186499907728E-3</v>
      </c>
      <c r="M4506" t="str">
        <f t="shared" si="140"/>
        <v>STALE</v>
      </c>
      <c r="N4506" s="10" t="str">
        <f t="shared" si="141"/>
        <v>LOW</v>
      </c>
    </row>
    <row r="4507" spans="1:14">
      <c r="A4507" s="4" t="s">
        <v>9030</v>
      </c>
      <c r="B4507" s="4" t="s">
        <v>9031</v>
      </c>
      <c r="C4507" s="4" t="s">
        <v>39</v>
      </c>
      <c r="D4507" s="4" t="s">
        <v>32</v>
      </c>
      <c r="E4507" s="5">
        <v>336.154</v>
      </c>
      <c r="F4507" s="5">
        <v>331.94869999999997</v>
      </c>
      <c r="G4507" s="5">
        <v>330.4828</v>
      </c>
      <c r="H4507" s="4">
        <v>1</v>
      </c>
      <c r="I4507" s="6">
        <v>1101035</v>
      </c>
      <c r="J4507" s="7">
        <v>527.25</v>
      </c>
      <c r="K4507" s="9">
        <f>(PricingDataTable[[#This Row],[Current Price ($)]]-PricingDataTable[[#This Row],[Prior Price ($)]])/PricingDataTable[[#This Row],[Prior Price ($)]]</f>
        <v>-1.2510040041171672E-2</v>
      </c>
      <c r="L4507" s="9">
        <f>(PricingDataTable[[#This Row],[Vendor Price ($)]]-PricingDataTable[[#This Row],[Current Price ($)]])/PricingDataTable[[#This Row],[Current Price ($)]]</f>
        <v>-4.4160438043588561E-3</v>
      </c>
      <c r="M4507" t="str">
        <f t="shared" si="140"/>
        <v>PASS</v>
      </c>
      <c r="N4507" s="10" t="str">
        <f t="shared" si="141"/>
        <v>NONE</v>
      </c>
    </row>
    <row r="4508" spans="1:14">
      <c r="A4508" s="4" t="s">
        <v>9032</v>
      </c>
      <c r="B4508" s="4" t="s">
        <v>9033</v>
      </c>
      <c r="C4508" s="4" t="s">
        <v>19</v>
      </c>
      <c r="D4508" s="4" t="s">
        <v>13</v>
      </c>
      <c r="E4508" s="5">
        <v>44.782600000000002</v>
      </c>
      <c r="F4508" s="5">
        <v>44.124499999999998</v>
      </c>
      <c r="G4508" s="5">
        <v>44.075899999999997</v>
      </c>
      <c r="H4508" s="4">
        <v>0</v>
      </c>
      <c r="I4508" s="6">
        <v>334302</v>
      </c>
      <c r="J4508" s="7">
        <v>312.04000000000002</v>
      </c>
      <c r="K4508" s="9">
        <f>(PricingDataTable[[#This Row],[Current Price ($)]]-PricingDataTable[[#This Row],[Prior Price ($)]])/PricingDataTable[[#This Row],[Prior Price ($)]]</f>
        <v>-1.469543974668743E-2</v>
      </c>
      <c r="L4508" s="9">
        <f>(PricingDataTable[[#This Row],[Vendor Price ($)]]-PricingDataTable[[#This Row],[Current Price ($)]])/PricingDataTable[[#This Row],[Current Price ($)]]</f>
        <v>-1.1014289113757758E-3</v>
      </c>
      <c r="M4508" t="str">
        <f t="shared" si="140"/>
        <v>PASS</v>
      </c>
      <c r="N4508" s="10" t="str">
        <f t="shared" si="141"/>
        <v>NONE</v>
      </c>
    </row>
    <row r="4509" spans="1:14">
      <c r="A4509" s="4" t="s">
        <v>9034</v>
      </c>
      <c r="B4509" s="4" t="s">
        <v>9035</v>
      </c>
      <c r="C4509" s="4" t="s">
        <v>39</v>
      </c>
      <c r="D4509" s="4" t="s">
        <v>13</v>
      </c>
      <c r="E4509" s="5">
        <v>213.6746</v>
      </c>
      <c r="F4509" s="5">
        <v>213.56469999999999</v>
      </c>
      <c r="G4509" s="5">
        <v>214.19040000000001</v>
      </c>
      <c r="H4509" s="4">
        <v>0</v>
      </c>
      <c r="I4509" s="6">
        <v>2182878</v>
      </c>
      <c r="J4509" s="7">
        <v>93.52</v>
      </c>
      <c r="K4509" s="9">
        <f>(PricingDataTable[[#This Row],[Current Price ($)]]-PricingDataTable[[#This Row],[Prior Price ($)]])/PricingDataTable[[#This Row],[Prior Price ($)]]</f>
        <v>-5.1433347716579479E-4</v>
      </c>
      <c r="L4509" s="9">
        <f>(PricingDataTable[[#This Row],[Vendor Price ($)]]-PricingDataTable[[#This Row],[Current Price ($)]])/PricingDataTable[[#This Row],[Current Price ($)]]</f>
        <v>2.92979129977952E-3</v>
      </c>
      <c r="M4509" t="str">
        <f t="shared" si="140"/>
        <v>PASS</v>
      </c>
      <c r="N4509" s="10" t="str">
        <f t="shared" si="141"/>
        <v>NONE</v>
      </c>
    </row>
    <row r="4510" spans="1:14">
      <c r="A4510" s="4" t="s">
        <v>9036</v>
      </c>
      <c r="B4510" s="4" t="s">
        <v>9037</v>
      </c>
      <c r="C4510" s="4" t="s">
        <v>12</v>
      </c>
      <c r="D4510" s="4" t="s">
        <v>32</v>
      </c>
      <c r="E4510" s="5">
        <v>123.2423</v>
      </c>
      <c r="F4510" s="5">
        <v>138.3338</v>
      </c>
      <c r="G4510" s="5">
        <v>137.68039999999999</v>
      </c>
      <c r="H4510" s="4">
        <v>0</v>
      </c>
      <c r="I4510" s="6">
        <v>1830678</v>
      </c>
      <c r="J4510" s="7">
        <v>838.72</v>
      </c>
      <c r="K4510" s="9">
        <f>(PricingDataTable[[#This Row],[Current Price ($)]]-PricingDataTable[[#This Row],[Prior Price ($)]])/PricingDataTable[[#This Row],[Prior Price ($)]]</f>
        <v>0.12245389772829618</v>
      </c>
      <c r="L4510" s="9">
        <f>(PricingDataTable[[#This Row],[Vendor Price ($)]]-PricingDataTable[[#This Row],[Current Price ($)]])/PricingDataTable[[#This Row],[Current Price ($)]]</f>
        <v>-4.7233575597576648E-3</v>
      </c>
      <c r="M4510" t="str">
        <f t="shared" si="140"/>
        <v>LARGE MOVE</v>
      </c>
      <c r="N4510" s="10" t="str">
        <f t="shared" si="141"/>
        <v>HIGH</v>
      </c>
    </row>
    <row r="4511" spans="1:14">
      <c r="A4511" s="4" t="s">
        <v>9038</v>
      </c>
      <c r="B4511" s="4" t="s">
        <v>9039</v>
      </c>
      <c r="C4511" s="4" t="s">
        <v>35</v>
      </c>
      <c r="D4511" s="4" t="s">
        <v>13</v>
      </c>
      <c r="E4511" s="5">
        <v>136.12979999999999</v>
      </c>
      <c r="F4511" s="5">
        <v>134.5453</v>
      </c>
      <c r="G4511" s="5">
        <v>133.6671</v>
      </c>
      <c r="H4511" s="4">
        <v>2</v>
      </c>
      <c r="I4511" s="6">
        <v>3516550</v>
      </c>
      <c r="J4511" s="7">
        <v>352.1</v>
      </c>
      <c r="K4511" s="9">
        <f>(PricingDataTable[[#This Row],[Current Price ($)]]-PricingDataTable[[#This Row],[Prior Price ($)]])/PricingDataTable[[#This Row],[Prior Price ($)]]</f>
        <v>-1.1639626297842143E-2</v>
      </c>
      <c r="L4511" s="9">
        <f>(PricingDataTable[[#This Row],[Vendor Price ($)]]-PricingDataTable[[#This Row],[Current Price ($)]])/PricingDataTable[[#This Row],[Current Price ($)]]</f>
        <v>-6.5271696595867162E-3</v>
      </c>
      <c r="M4511" t="str">
        <f t="shared" si="140"/>
        <v>PASS</v>
      </c>
      <c r="N4511" s="10" t="str">
        <f t="shared" si="141"/>
        <v>NONE</v>
      </c>
    </row>
    <row r="4512" spans="1:14">
      <c r="A4512" s="4" t="s">
        <v>9040</v>
      </c>
      <c r="B4512" s="4" t="s">
        <v>9041</v>
      </c>
      <c r="C4512" s="4" t="s">
        <v>39</v>
      </c>
      <c r="D4512" s="4" t="s">
        <v>13</v>
      </c>
      <c r="E4512" s="5">
        <v>322.95510000000002</v>
      </c>
      <c r="F4512" s="5">
        <v>324.20310000000001</v>
      </c>
      <c r="G4512" s="5">
        <v>323.84960000000001</v>
      </c>
      <c r="H4512" s="4">
        <v>0</v>
      </c>
      <c r="I4512" s="6">
        <v>2305541</v>
      </c>
      <c r="J4512" s="7">
        <v>434.35</v>
      </c>
      <c r="K4512" s="9">
        <f>(PricingDataTable[[#This Row],[Current Price ($)]]-PricingDataTable[[#This Row],[Prior Price ($)]])/PricingDataTable[[#This Row],[Prior Price ($)]]</f>
        <v>3.8643142653576002E-3</v>
      </c>
      <c r="L4512" s="9">
        <f>(PricingDataTable[[#This Row],[Vendor Price ($)]]-PricingDataTable[[#This Row],[Current Price ($)]])/PricingDataTable[[#This Row],[Current Price ($)]]</f>
        <v>-1.0903658848419302E-3</v>
      </c>
      <c r="M4512" t="str">
        <f t="shared" si="140"/>
        <v>PASS</v>
      </c>
      <c r="N4512" s="10" t="str">
        <f t="shared" si="141"/>
        <v>NONE</v>
      </c>
    </row>
    <row r="4513" spans="1:14">
      <c r="A4513" s="4" t="s">
        <v>9042</v>
      </c>
      <c r="B4513" s="4" t="s">
        <v>9043</v>
      </c>
      <c r="C4513" s="4" t="s">
        <v>39</v>
      </c>
      <c r="D4513" s="4" t="s">
        <v>13</v>
      </c>
      <c r="E4513" s="5">
        <v>98.801400000000001</v>
      </c>
      <c r="F4513" s="5">
        <v>98.4358</v>
      </c>
      <c r="G4513" s="5">
        <v>98.076700000000002</v>
      </c>
      <c r="H4513" s="4">
        <v>0</v>
      </c>
      <c r="I4513" s="6">
        <v>3515594</v>
      </c>
      <c r="J4513" s="7">
        <v>847.56</v>
      </c>
      <c r="K4513" s="9">
        <f>(PricingDataTable[[#This Row],[Current Price ($)]]-PricingDataTable[[#This Row],[Prior Price ($)]])/PricingDataTable[[#This Row],[Prior Price ($)]]</f>
        <v>-3.7003524241559392E-3</v>
      </c>
      <c r="L4513" s="9">
        <f>(PricingDataTable[[#This Row],[Vendor Price ($)]]-PricingDataTable[[#This Row],[Current Price ($)]])/PricingDataTable[[#This Row],[Current Price ($)]]</f>
        <v>-3.6480630014689573E-3</v>
      </c>
      <c r="M4513" t="str">
        <f t="shared" si="140"/>
        <v>PASS</v>
      </c>
      <c r="N4513" s="10" t="str">
        <f t="shared" si="141"/>
        <v>NONE</v>
      </c>
    </row>
    <row r="4514" spans="1:14">
      <c r="A4514" s="4" t="s">
        <v>9044</v>
      </c>
      <c r="B4514" s="4" t="s">
        <v>9045</v>
      </c>
      <c r="C4514" s="4" t="s">
        <v>12</v>
      </c>
      <c r="D4514" s="4" t="s">
        <v>13</v>
      </c>
      <c r="E4514" s="5">
        <v>120.7968</v>
      </c>
      <c r="F4514" s="5">
        <v>120.4552</v>
      </c>
      <c r="G4514" s="5">
        <v>115.19370000000001</v>
      </c>
      <c r="H4514" s="4">
        <v>1</v>
      </c>
      <c r="I4514" s="6">
        <v>2060394</v>
      </c>
      <c r="J4514" s="7">
        <v>137.27000000000001</v>
      </c>
      <c r="K4514" s="9">
        <f>(PricingDataTable[[#This Row],[Current Price ($)]]-PricingDataTable[[#This Row],[Prior Price ($)]])/PricingDataTable[[#This Row],[Prior Price ($)]]</f>
        <v>-2.8278894805160372E-3</v>
      </c>
      <c r="L4514" s="9">
        <f>(PricingDataTable[[#This Row],[Vendor Price ($)]]-PricingDataTable[[#This Row],[Current Price ($)]])/PricingDataTable[[#This Row],[Current Price ($)]]</f>
        <v>-4.3680140002258082E-2</v>
      </c>
      <c r="M4514" t="str">
        <f t="shared" si="140"/>
        <v>VENDOR DIFFERENCE</v>
      </c>
      <c r="N4514" s="10" t="str">
        <f t="shared" si="141"/>
        <v>MEDIUM</v>
      </c>
    </row>
    <row r="4515" spans="1:14">
      <c r="A4515" s="4" t="s">
        <v>9046</v>
      </c>
      <c r="B4515" s="4" t="s">
        <v>9047</v>
      </c>
      <c r="C4515" s="4" t="s">
        <v>19</v>
      </c>
      <c r="D4515" s="4" t="s">
        <v>13</v>
      </c>
      <c r="E4515" s="5">
        <v>319.1542</v>
      </c>
      <c r="F4515" s="5">
        <v>315.82600000000002</v>
      </c>
      <c r="G4515" s="5">
        <v>315.88080000000002</v>
      </c>
      <c r="H4515" s="4">
        <v>0</v>
      </c>
      <c r="I4515" s="6">
        <v>3277180</v>
      </c>
      <c r="J4515" s="7">
        <v>827.1</v>
      </c>
      <c r="K4515" s="9">
        <f>(PricingDataTable[[#This Row],[Current Price ($)]]-PricingDataTable[[#This Row],[Prior Price ($)]])/PricingDataTable[[#This Row],[Prior Price ($)]]</f>
        <v>-1.0428188004419121E-2</v>
      </c>
      <c r="L4515" s="9">
        <f>(PricingDataTable[[#This Row],[Vendor Price ($)]]-PricingDataTable[[#This Row],[Current Price ($)]])/PricingDataTable[[#This Row],[Current Price ($)]]</f>
        <v>1.7351326363250708E-4</v>
      </c>
      <c r="M4515" t="str">
        <f t="shared" si="140"/>
        <v>PASS</v>
      </c>
      <c r="N4515" s="10" t="str">
        <f t="shared" si="141"/>
        <v>NONE</v>
      </c>
    </row>
    <row r="4516" spans="1:14">
      <c r="A4516" s="4" t="s">
        <v>9048</v>
      </c>
      <c r="B4516" s="4" t="s">
        <v>9049</v>
      </c>
      <c r="C4516" s="4" t="s">
        <v>35</v>
      </c>
      <c r="D4516" s="4" t="s">
        <v>13</v>
      </c>
      <c r="E4516" s="5">
        <v>14.5505</v>
      </c>
      <c r="F4516" s="5">
        <v>14.506600000000001</v>
      </c>
      <c r="G4516" s="5">
        <v>14.6008</v>
      </c>
      <c r="H4516" s="4">
        <v>0</v>
      </c>
      <c r="I4516" s="6">
        <v>1664989</v>
      </c>
      <c r="J4516" s="7">
        <v>471.35</v>
      </c>
      <c r="K4516" s="9">
        <f>(PricingDataTable[[#This Row],[Current Price ($)]]-PricingDataTable[[#This Row],[Prior Price ($)]])/PricingDataTable[[#This Row],[Prior Price ($)]]</f>
        <v>-3.017078450912267E-3</v>
      </c>
      <c r="L4516" s="9">
        <f>(PricingDataTable[[#This Row],[Vendor Price ($)]]-PricingDataTable[[#This Row],[Current Price ($)]])/PricingDataTable[[#This Row],[Current Price ($)]]</f>
        <v>6.4935960183639821E-3</v>
      </c>
      <c r="M4516" t="str">
        <f t="shared" si="140"/>
        <v>PASS</v>
      </c>
      <c r="N4516" s="10" t="str">
        <f t="shared" si="141"/>
        <v>NONE</v>
      </c>
    </row>
    <row r="4517" spans="1:14">
      <c r="A4517" s="4" t="s">
        <v>9050</v>
      </c>
      <c r="B4517" s="4" t="s">
        <v>9051</v>
      </c>
      <c r="C4517" s="4" t="s">
        <v>19</v>
      </c>
      <c r="D4517" s="4" t="s">
        <v>32</v>
      </c>
      <c r="E4517" s="5">
        <v>166.9025</v>
      </c>
      <c r="F4517" s="5">
        <v>166.92840000000001</v>
      </c>
      <c r="G4517" s="5">
        <v>165.89609999999999</v>
      </c>
      <c r="H4517" s="4">
        <v>0</v>
      </c>
      <c r="I4517" s="6">
        <v>2353980</v>
      </c>
      <c r="J4517" s="7">
        <v>695.61</v>
      </c>
      <c r="K4517" s="9">
        <f>(PricingDataTable[[#This Row],[Current Price ($)]]-PricingDataTable[[#This Row],[Prior Price ($)]])/PricingDataTable[[#This Row],[Prior Price ($)]]</f>
        <v>1.5518041970615862E-4</v>
      </c>
      <c r="L4517" s="9">
        <f>(PricingDataTable[[#This Row],[Vendor Price ($)]]-PricingDataTable[[#This Row],[Current Price ($)]])/PricingDataTable[[#This Row],[Current Price ($)]]</f>
        <v>-6.1840885074080894E-3</v>
      </c>
      <c r="M4517" t="str">
        <f t="shared" si="140"/>
        <v>PASS</v>
      </c>
      <c r="N4517" s="10" t="str">
        <f t="shared" si="141"/>
        <v>NONE</v>
      </c>
    </row>
    <row r="4518" spans="1:14">
      <c r="A4518" s="4" t="s">
        <v>9052</v>
      </c>
      <c r="B4518" s="4" t="s">
        <v>9053</v>
      </c>
      <c r="C4518" s="4" t="s">
        <v>19</v>
      </c>
      <c r="D4518" s="4" t="s">
        <v>13</v>
      </c>
      <c r="E4518" s="5">
        <v>227.26400000000001</v>
      </c>
      <c r="F4518" s="5">
        <v>229.0128</v>
      </c>
      <c r="G4518" s="5">
        <v>228.09229999999999</v>
      </c>
      <c r="H4518" s="4">
        <v>0</v>
      </c>
      <c r="I4518" s="6">
        <v>4753743</v>
      </c>
      <c r="J4518" s="7">
        <v>418.21</v>
      </c>
      <c r="K4518" s="9">
        <f>(PricingDataTable[[#This Row],[Current Price ($)]]-PricingDataTable[[#This Row],[Prior Price ($)]])/PricingDataTable[[#This Row],[Prior Price ($)]]</f>
        <v>7.6950154885947111E-3</v>
      </c>
      <c r="L4518" s="9">
        <f>(PricingDataTable[[#This Row],[Vendor Price ($)]]-PricingDataTable[[#This Row],[Current Price ($)]])/PricingDataTable[[#This Row],[Current Price ($)]]</f>
        <v>-4.0194259884163861E-3</v>
      </c>
      <c r="M4518" t="str">
        <f t="shared" si="140"/>
        <v>PASS</v>
      </c>
      <c r="N4518" s="10" t="str">
        <f t="shared" si="141"/>
        <v>NONE</v>
      </c>
    </row>
    <row r="4519" spans="1:14">
      <c r="A4519" s="4" t="s">
        <v>9054</v>
      </c>
      <c r="B4519" s="4" t="s">
        <v>9055</v>
      </c>
      <c r="C4519" s="4" t="s">
        <v>16</v>
      </c>
      <c r="D4519" s="4" t="s">
        <v>13</v>
      </c>
      <c r="E4519" s="5">
        <v>117.5629</v>
      </c>
      <c r="F4519" s="5">
        <v>119.08240000000001</v>
      </c>
      <c r="G4519" s="5">
        <v>118.89919999999999</v>
      </c>
      <c r="H4519" s="4">
        <v>0</v>
      </c>
      <c r="I4519" s="6">
        <v>3041021</v>
      </c>
      <c r="J4519" s="7">
        <v>565.75</v>
      </c>
      <c r="K4519" s="9">
        <f>(PricingDataTable[[#This Row],[Current Price ($)]]-PricingDataTable[[#This Row],[Prior Price ($)]])/PricingDataTable[[#This Row],[Prior Price ($)]]</f>
        <v>1.2924995895814138E-2</v>
      </c>
      <c r="L4519" s="9">
        <f>(PricingDataTable[[#This Row],[Vendor Price ($)]]-PricingDataTable[[#This Row],[Current Price ($)]])/PricingDataTable[[#This Row],[Current Price ($)]]</f>
        <v>-1.5384305321358451E-3</v>
      </c>
      <c r="M4519" t="str">
        <f t="shared" si="140"/>
        <v>PASS</v>
      </c>
      <c r="N4519" s="10" t="str">
        <f t="shared" si="141"/>
        <v>NONE</v>
      </c>
    </row>
    <row r="4520" spans="1:14">
      <c r="A4520" s="4" t="s">
        <v>9056</v>
      </c>
      <c r="B4520" s="4" t="s">
        <v>9057</v>
      </c>
      <c r="C4520" s="4" t="s">
        <v>16</v>
      </c>
      <c r="D4520" s="4" t="s">
        <v>13</v>
      </c>
      <c r="E4520" s="5">
        <v>98.381600000000006</v>
      </c>
      <c r="F4520" s="5">
        <v>97.6952</v>
      </c>
      <c r="G4520" s="5">
        <v>97.967399999999998</v>
      </c>
      <c r="H4520" s="4">
        <v>0</v>
      </c>
      <c r="I4520" s="6">
        <v>2874273</v>
      </c>
      <c r="J4520" s="7">
        <v>899.28</v>
      </c>
      <c r="K4520" s="9">
        <f>(PricingDataTable[[#This Row],[Current Price ($)]]-PricingDataTable[[#This Row],[Prior Price ($)]])/PricingDataTable[[#This Row],[Prior Price ($)]]</f>
        <v>-6.9769143823642434E-3</v>
      </c>
      <c r="L4520" s="9">
        <f>(PricingDataTable[[#This Row],[Vendor Price ($)]]-PricingDataTable[[#This Row],[Current Price ($)]])/PricingDataTable[[#This Row],[Current Price ($)]]</f>
        <v>2.7862167230324314E-3</v>
      </c>
      <c r="M4520" t="str">
        <f t="shared" si="140"/>
        <v>PASS</v>
      </c>
      <c r="N4520" s="10" t="str">
        <f t="shared" si="141"/>
        <v>NONE</v>
      </c>
    </row>
    <row r="4521" spans="1:14">
      <c r="A4521" s="4" t="s">
        <v>9058</v>
      </c>
      <c r="B4521" s="4" t="s">
        <v>9059</v>
      </c>
      <c r="C4521" s="4" t="s">
        <v>39</v>
      </c>
      <c r="D4521" s="4" t="s">
        <v>13</v>
      </c>
      <c r="E4521" s="5">
        <v>287.19040000000001</v>
      </c>
      <c r="F4521" s="5">
        <v>298.62950000000001</v>
      </c>
      <c r="G4521" s="5">
        <v>298.34890000000001</v>
      </c>
      <c r="H4521" s="4">
        <v>0</v>
      </c>
      <c r="I4521" s="6">
        <v>3316667</v>
      </c>
      <c r="J4521" s="7">
        <v>592.97</v>
      </c>
      <c r="K4521" s="9">
        <f>(PricingDataTable[[#This Row],[Current Price ($)]]-PricingDataTable[[#This Row],[Prior Price ($)]])/PricingDataTable[[#This Row],[Prior Price ($)]]</f>
        <v>3.9831066776605334E-2</v>
      </c>
      <c r="L4521" s="9">
        <f>(PricingDataTable[[#This Row],[Vendor Price ($)]]-PricingDataTable[[#This Row],[Current Price ($)]])/PricingDataTable[[#This Row],[Current Price ($)]]</f>
        <v>-9.3962585745879974E-4</v>
      </c>
      <c r="M4521" t="str">
        <f t="shared" si="140"/>
        <v>PASS</v>
      </c>
      <c r="N4521" s="10" t="str">
        <f t="shared" si="141"/>
        <v>NONE</v>
      </c>
    </row>
    <row r="4522" spans="1:14">
      <c r="A4522" s="4" t="s">
        <v>9060</v>
      </c>
      <c r="B4522" s="4" t="s">
        <v>9061</v>
      </c>
      <c r="C4522" s="4" t="s">
        <v>19</v>
      </c>
      <c r="D4522" s="4" t="s">
        <v>13</v>
      </c>
      <c r="E4522" s="5">
        <v>114.068</v>
      </c>
      <c r="F4522" s="5">
        <v>110.8314</v>
      </c>
      <c r="G4522" s="5">
        <v>110.50839999999999</v>
      </c>
      <c r="H4522" s="4">
        <v>0</v>
      </c>
      <c r="I4522" s="6">
        <v>2991837</v>
      </c>
      <c r="J4522" s="7">
        <v>549.24</v>
      </c>
      <c r="K4522" s="9">
        <f>(PricingDataTable[[#This Row],[Current Price ($)]]-PricingDataTable[[#This Row],[Prior Price ($)]])/PricingDataTable[[#This Row],[Prior Price ($)]]</f>
        <v>-2.837430304730508E-2</v>
      </c>
      <c r="L4522" s="9">
        <f>(PricingDataTable[[#This Row],[Vendor Price ($)]]-PricingDataTable[[#This Row],[Current Price ($)]])/PricingDataTable[[#This Row],[Current Price ($)]]</f>
        <v>-2.9143365508331348E-3</v>
      </c>
      <c r="M4522" t="str">
        <f t="shared" si="140"/>
        <v>PASS</v>
      </c>
      <c r="N4522" s="10" t="str">
        <f t="shared" si="141"/>
        <v>NONE</v>
      </c>
    </row>
    <row r="4523" spans="1:14">
      <c r="A4523" s="4" t="s">
        <v>9062</v>
      </c>
      <c r="B4523" s="4" t="s">
        <v>9063</v>
      </c>
      <c r="C4523" s="4" t="s">
        <v>35</v>
      </c>
      <c r="D4523" s="4" t="s">
        <v>13</v>
      </c>
      <c r="E4523" s="5">
        <v>86.818700000000007</v>
      </c>
      <c r="F4523" s="5">
        <v>86.276300000000006</v>
      </c>
      <c r="G4523" s="5">
        <v>86.038200000000003</v>
      </c>
      <c r="H4523" s="4">
        <v>1</v>
      </c>
      <c r="I4523" s="6">
        <v>3635089</v>
      </c>
      <c r="J4523" s="7">
        <v>71.55</v>
      </c>
      <c r="K4523" s="9">
        <f>(PricingDataTable[[#This Row],[Current Price ($)]]-PricingDataTable[[#This Row],[Prior Price ($)]])/PricingDataTable[[#This Row],[Prior Price ($)]]</f>
        <v>-6.2475019782604509E-3</v>
      </c>
      <c r="L4523" s="9">
        <f>(PricingDataTable[[#This Row],[Vendor Price ($)]]-PricingDataTable[[#This Row],[Current Price ($)]])/PricingDataTable[[#This Row],[Current Price ($)]]</f>
        <v>-2.7597381899780453E-3</v>
      </c>
      <c r="M4523" t="str">
        <f t="shared" si="140"/>
        <v>PASS</v>
      </c>
      <c r="N4523" s="10" t="str">
        <f t="shared" si="141"/>
        <v>NONE</v>
      </c>
    </row>
    <row r="4524" spans="1:14">
      <c r="A4524" s="4" t="s">
        <v>9064</v>
      </c>
      <c r="B4524" s="4" t="s">
        <v>9065</v>
      </c>
      <c r="C4524" s="4" t="s">
        <v>39</v>
      </c>
      <c r="D4524" s="4" t="s">
        <v>13</v>
      </c>
      <c r="E4524" s="5">
        <v>238.8467</v>
      </c>
      <c r="F4524" s="5">
        <v>238.173</v>
      </c>
      <c r="G4524" s="5">
        <v>238.1619</v>
      </c>
      <c r="H4524" s="4">
        <v>0</v>
      </c>
      <c r="I4524" s="6">
        <v>3126740</v>
      </c>
      <c r="J4524" s="7">
        <v>137.13999999999999</v>
      </c>
      <c r="K4524" s="9">
        <f>(PricingDataTable[[#This Row],[Current Price ($)]]-PricingDataTable[[#This Row],[Prior Price ($)]])/PricingDataTable[[#This Row],[Prior Price ($)]]</f>
        <v>-2.820637672615936E-3</v>
      </c>
      <c r="L4524" s="9">
        <f>(PricingDataTable[[#This Row],[Vendor Price ($)]]-PricingDataTable[[#This Row],[Current Price ($)]])/PricingDataTable[[#This Row],[Current Price ($)]]</f>
        <v>-4.6604778879213848E-5</v>
      </c>
      <c r="M4524" t="str">
        <f t="shared" si="140"/>
        <v>PASS</v>
      </c>
      <c r="N4524" s="10" t="str">
        <f t="shared" si="141"/>
        <v>NONE</v>
      </c>
    </row>
    <row r="4525" spans="1:14">
      <c r="A4525" s="4" t="s">
        <v>9066</v>
      </c>
      <c r="B4525" s="4" t="s">
        <v>9067</v>
      </c>
      <c r="C4525" s="4" t="s">
        <v>39</v>
      </c>
      <c r="D4525" s="4" t="s">
        <v>13</v>
      </c>
      <c r="E4525" s="5">
        <v>60.524000000000001</v>
      </c>
      <c r="F4525" s="5">
        <v>60.321100000000001</v>
      </c>
      <c r="G4525" s="5">
        <v>60.515799999999999</v>
      </c>
      <c r="H4525" s="4">
        <v>4</v>
      </c>
      <c r="I4525" s="6">
        <v>3556446</v>
      </c>
      <c r="J4525" s="7">
        <v>376.91</v>
      </c>
      <c r="K4525" s="9">
        <f>(PricingDataTable[[#This Row],[Current Price ($)]]-PricingDataTable[[#This Row],[Prior Price ($)]])/PricingDataTable[[#This Row],[Prior Price ($)]]</f>
        <v>-3.3523891348886331E-3</v>
      </c>
      <c r="L4525" s="9">
        <f>(PricingDataTable[[#This Row],[Vendor Price ($)]]-PricingDataTable[[#This Row],[Current Price ($)]])/PricingDataTable[[#This Row],[Current Price ($)]]</f>
        <v>3.2277262848322964E-3</v>
      </c>
      <c r="M4525" t="str">
        <f t="shared" si="140"/>
        <v>STALE</v>
      </c>
      <c r="N4525" s="10" t="str">
        <f t="shared" si="141"/>
        <v>LOW</v>
      </c>
    </row>
    <row r="4526" spans="1:14">
      <c r="A4526" s="4" t="s">
        <v>9068</v>
      </c>
      <c r="B4526" s="4" t="s">
        <v>9069</v>
      </c>
      <c r="C4526" s="4" t="s">
        <v>16</v>
      </c>
      <c r="D4526" s="4" t="s">
        <v>13</v>
      </c>
      <c r="E4526" s="5">
        <v>107.1382</v>
      </c>
      <c r="F4526" s="5">
        <v>105.678</v>
      </c>
      <c r="G4526" s="5">
        <v>105.2572</v>
      </c>
      <c r="H4526" s="4">
        <v>4</v>
      </c>
      <c r="I4526" s="6">
        <v>429468</v>
      </c>
      <c r="J4526" s="7">
        <v>509.46</v>
      </c>
      <c r="K4526" s="9">
        <f>(PricingDataTable[[#This Row],[Current Price ($)]]-PricingDataTable[[#This Row],[Prior Price ($)]])/PricingDataTable[[#This Row],[Prior Price ($)]]</f>
        <v>-1.3629125745999096E-2</v>
      </c>
      <c r="L4526" s="9">
        <f>(PricingDataTable[[#This Row],[Vendor Price ($)]]-PricingDataTable[[#This Row],[Current Price ($)]])/PricingDataTable[[#This Row],[Current Price ($)]]</f>
        <v>-3.9819073033176234E-3</v>
      </c>
      <c r="M4526" t="str">
        <f t="shared" si="140"/>
        <v>STALE</v>
      </c>
      <c r="N4526" s="10" t="str">
        <f t="shared" si="141"/>
        <v>LOW</v>
      </c>
    </row>
    <row r="4527" spans="1:14">
      <c r="A4527" s="4" t="s">
        <v>9070</v>
      </c>
      <c r="B4527" s="4" t="s">
        <v>9071</v>
      </c>
      <c r="C4527" s="4" t="s">
        <v>16</v>
      </c>
      <c r="D4527" s="4" t="s">
        <v>237</v>
      </c>
      <c r="E4527" s="5">
        <v>86.682100000000005</v>
      </c>
      <c r="F4527" s="5">
        <v>85.408000000000001</v>
      </c>
      <c r="G4527" s="5">
        <v>85.393000000000001</v>
      </c>
      <c r="H4527" s="4">
        <v>1</v>
      </c>
      <c r="I4527" s="6">
        <v>1727956</v>
      </c>
      <c r="J4527" s="7">
        <v>413.15</v>
      </c>
      <c r="K4527" s="9">
        <f>(PricingDataTable[[#This Row],[Current Price ($)]]-PricingDataTable[[#This Row],[Prior Price ($)]])/PricingDataTable[[#This Row],[Prior Price ($)]]</f>
        <v>-1.4698536376022317E-2</v>
      </c>
      <c r="L4527" s="9">
        <f>(PricingDataTable[[#This Row],[Vendor Price ($)]]-PricingDataTable[[#This Row],[Current Price ($)]])/PricingDataTable[[#This Row],[Current Price ($)]]</f>
        <v>-1.7562757587111943E-4</v>
      </c>
      <c r="M4527" t="str">
        <f t="shared" si="140"/>
        <v>PASS</v>
      </c>
      <c r="N4527" s="10" t="str">
        <f t="shared" si="141"/>
        <v>NONE</v>
      </c>
    </row>
    <row r="4528" spans="1:14">
      <c r="A4528" s="4" t="s">
        <v>9072</v>
      </c>
      <c r="B4528" s="4" t="s">
        <v>9073</v>
      </c>
      <c r="C4528" s="4" t="s">
        <v>12</v>
      </c>
      <c r="D4528" s="4" t="s">
        <v>13</v>
      </c>
      <c r="E4528" s="5">
        <v>108.81399999999999</v>
      </c>
      <c r="F4528" s="5">
        <v>109.9948</v>
      </c>
      <c r="G4528" s="5">
        <v>109.6983</v>
      </c>
      <c r="H4528" s="4">
        <v>0</v>
      </c>
      <c r="I4528" s="6">
        <v>3964067</v>
      </c>
      <c r="J4528" s="7">
        <v>757.77</v>
      </c>
      <c r="K4528" s="9">
        <f>(PricingDataTable[[#This Row],[Current Price ($)]]-PricingDataTable[[#This Row],[Prior Price ($)]])/PricingDataTable[[#This Row],[Prior Price ($)]]</f>
        <v>1.0851544837980454E-2</v>
      </c>
      <c r="L4528" s="9">
        <f>(PricingDataTable[[#This Row],[Vendor Price ($)]]-PricingDataTable[[#This Row],[Current Price ($)]])/PricingDataTable[[#This Row],[Current Price ($)]]</f>
        <v>-2.6955819729659464E-3</v>
      </c>
      <c r="M4528" t="str">
        <f t="shared" si="140"/>
        <v>PASS</v>
      </c>
      <c r="N4528" s="10" t="str">
        <f t="shared" si="141"/>
        <v>NONE</v>
      </c>
    </row>
    <row r="4529" spans="1:14">
      <c r="A4529" s="4" t="s">
        <v>9074</v>
      </c>
      <c r="B4529" s="4" t="s">
        <v>9075</v>
      </c>
      <c r="C4529" s="4" t="s">
        <v>16</v>
      </c>
      <c r="D4529" s="4" t="s">
        <v>13</v>
      </c>
      <c r="E4529" s="5">
        <v>91.451099999999997</v>
      </c>
      <c r="F4529" s="5">
        <v>91.989699999999999</v>
      </c>
      <c r="G4529" s="5">
        <v>91.542599999999993</v>
      </c>
      <c r="H4529" s="4">
        <v>0</v>
      </c>
      <c r="I4529" s="6">
        <v>1979446</v>
      </c>
      <c r="J4529" s="7">
        <v>541.9</v>
      </c>
      <c r="K4529" s="9">
        <f>(PricingDataTable[[#This Row],[Current Price ($)]]-PricingDataTable[[#This Row],[Prior Price ($)]])/PricingDataTable[[#This Row],[Prior Price ($)]]</f>
        <v>5.8894862937679529E-3</v>
      </c>
      <c r="L4529" s="9">
        <f>(PricingDataTable[[#This Row],[Vendor Price ($)]]-PricingDataTable[[#This Row],[Current Price ($)]])/PricingDataTable[[#This Row],[Current Price ($)]]</f>
        <v>-4.8603267539736083E-3</v>
      </c>
      <c r="M4529" t="str">
        <f t="shared" si="140"/>
        <v>PASS</v>
      </c>
      <c r="N4529" s="10" t="str">
        <f t="shared" si="141"/>
        <v>NONE</v>
      </c>
    </row>
    <row r="4530" spans="1:14">
      <c r="A4530" s="4" t="s">
        <v>9076</v>
      </c>
      <c r="B4530" s="4" t="s">
        <v>9077</v>
      </c>
      <c r="C4530" s="4" t="s">
        <v>19</v>
      </c>
      <c r="D4530" s="4" t="s">
        <v>13</v>
      </c>
      <c r="E4530" s="5">
        <v>166.32040000000001</v>
      </c>
      <c r="F4530" s="5">
        <v>164.29660000000001</v>
      </c>
      <c r="G4530" s="5">
        <v>164.04169999999999</v>
      </c>
      <c r="H4530" s="4">
        <v>1</v>
      </c>
      <c r="I4530" s="6">
        <v>410813</v>
      </c>
      <c r="J4530" s="7">
        <v>745.68</v>
      </c>
      <c r="K4530" s="9">
        <f>(PricingDataTable[[#This Row],[Current Price ($)]]-PricingDataTable[[#This Row],[Prior Price ($)]])/PricingDataTable[[#This Row],[Prior Price ($)]]</f>
        <v>-1.2168080403846997E-2</v>
      </c>
      <c r="L4530" s="9">
        <f>(PricingDataTable[[#This Row],[Vendor Price ($)]]-PricingDataTable[[#This Row],[Current Price ($)]])/PricingDataTable[[#This Row],[Current Price ($)]]</f>
        <v>-1.5514624161426379E-3</v>
      </c>
      <c r="M4530" t="str">
        <f t="shared" si="140"/>
        <v>PASS</v>
      </c>
      <c r="N4530" s="10" t="str">
        <f t="shared" si="141"/>
        <v>NONE</v>
      </c>
    </row>
    <row r="4531" spans="1:14">
      <c r="A4531" s="4" t="s">
        <v>9078</v>
      </c>
      <c r="B4531" s="4" t="s">
        <v>9079</v>
      </c>
      <c r="C4531" s="4" t="s">
        <v>12</v>
      </c>
      <c r="D4531" s="4" t="s">
        <v>13</v>
      </c>
      <c r="E4531" s="5">
        <v>103.5639</v>
      </c>
      <c r="F4531" s="5">
        <v>103.22280000000001</v>
      </c>
      <c r="G4531" s="5">
        <v>103.5421</v>
      </c>
      <c r="H4531" s="4">
        <v>0</v>
      </c>
      <c r="I4531" s="6">
        <v>1625787</v>
      </c>
      <c r="J4531" s="7">
        <v>811.1</v>
      </c>
      <c r="K4531" s="9">
        <f>(PricingDataTable[[#This Row],[Current Price ($)]]-PricingDataTable[[#This Row],[Prior Price ($)]])/PricingDataTable[[#This Row],[Prior Price ($)]]</f>
        <v>-3.2936187223539986E-3</v>
      </c>
      <c r="L4531" s="9">
        <f>(PricingDataTable[[#This Row],[Vendor Price ($)]]-PricingDataTable[[#This Row],[Current Price ($)]])/PricingDataTable[[#This Row],[Current Price ($)]]</f>
        <v>3.0933088426200253E-3</v>
      </c>
      <c r="M4531" t="str">
        <f t="shared" si="140"/>
        <v>PASS</v>
      </c>
      <c r="N4531" s="10" t="str">
        <f t="shared" si="141"/>
        <v>NONE</v>
      </c>
    </row>
    <row r="4532" spans="1:14">
      <c r="A4532" s="4" t="s">
        <v>9080</v>
      </c>
      <c r="B4532" s="4" t="s">
        <v>9081</v>
      </c>
      <c r="C4532" s="4" t="s">
        <v>35</v>
      </c>
      <c r="D4532" s="4" t="s">
        <v>237</v>
      </c>
      <c r="E4532" s="5">
        <v>157.90600000000001</v>
      </c>
      <c r="F4532" s="5">
        <v>159.3451</v>
      </c>
      <c r="G4532" s="5">
        <v>159.16370000000001</v>
      </c>
      <c r="H4532" s="4">
        <v>0</v>
      </c>
      <c r="I4532" s="6">
        <v>2462362</v>
      </c>
      <c r="J4532" s="7">
        <v>156.16999999999999</v>
      </c>
      <c r="K4532" s="9">
        <f>(PricingDataTable[[#This Row],[Current Price ($)]]-PricingDataTable[[#This Row],[Prior Price ($)]])/PricingDataTable[[#This Row],[Prior Price ($)]]</f>
        <v>9.1136498929742776E-3</v>
      </c>
      <c r="L4532" s="9">
        <f>(PricingDataTable[[#This Row],[Vendor Price ($)]]-PricingDataTable[[#This Row],[Current Price ($)]])/PricingDataTable[[#This Row],[Current Price ($)]]</f>
        <v>-1.1384096530109582E-3</v>
      </c>
      <c r="M4532" t="str">
        <f t="shared" si="140"/>
        <v>PASS</v>
      </c>
      <c r="N4532" s="10" t="str">
        <f t="shared" si="141"/>
        <v>NONE</v>
      </c>
    </row>
    <row r="4533" spans="1:14">
      <c r="A4533" s="4" t="s">
        <v>9082</v>
      </c>
      <c r="B4533" s="4" t="s">
        <v>9083</v>
      </c>
      <c r="C4533" s="4" t="s">
        <v>19</v>
      </c>
      <c r="D4533" s="4" t="s">
        <v>237</v>
      </c>
      <c r="E4533" s="5">
        <v>152.85480000000001</v>
      </c>
      <c r="F4533" s="5">
        <v>153.5779</v>
      </c>
      <c r="G4533" s="5">
        <v>153.44829999999999</v>
      </c>
      <c r="H4533" s="4">
        <v>0</v>
      </c>
      <c r="I4533" s="6">
        <v>152025</v>
      </c>
      <c r="J4533" s="7">
        <v>672.88</v>
      </c>
      <c r="K4533" s="9">
        <f>(PricingDataTable[[#This Row],[Current Price ($)]]-PricingDataTable[[#This Row],[Prior Price ($)]])/PricingDataTable[[#This Row],[Prior Price ($)]]</f>
        <v>4.7306332545656929E-3</v>
      </c>
      <c r="L4533" s="9">
        <f>(PricingDataTable[[#This Row],[Vendor Price ($)]]-PricingDataTable[[#This Row],[Current Price ($)]])/PricingDataTable[[#This Row],[Current Price ($)]]</f>
        <v>-8.4387141639526652E-4</v>
      </c>
      <c r="M4533" t="str">
        <f t="shared" si="140"/>
        <v>PASS</v>
      </c>
      <c r="N4533" s="10" t="str">
        <f t="shared" si="141"/>
        <v>NONE</v>
      </c>
    </row>
    <row r="4534" spans="1:14">
      <c r="A4534" s="4" t="s">
        <v>9084</v>
      </c>
      <c r="B4534" s="4" t="s">
        <v>9085</v>
      </c>
      <c r="C4534" s="4" t="s">
        <v>35</v>
      </c>
      <c r="D4534" s="4" t="s">
        <v>13</v>
      </c>
      <c r="E4534" s="5">
        <v>71.011300000000006</v>
      </c>
      <c r="F4534" s="5">
        <v>71.336699999999993</v>
      </c>
      <c r="G4534" s="5">
        <v>71.469800000000006</v>
      </c>
      <c r="H4534" s="4">
        <v>5</v>
      </c>
      <c r="I4534" s="6">
        <v>854350</v>
      </c>
      <c r="J4534" s="7">
        <v>226.48</v>
      </c>
      <c r="K4534" s="9">
        <f>(PricingDataTable[[#This Row],[Current Price ($)]]-PricingDataTable[[#This Row],[Prior Price ($)]])/PricingDataTable[[#This Row],[Prior Price ($)]]</f>
        <v>4.5823692848882876E-3</v>
      </c>
      <c r="L4534" s="9">
        <f>(PricingDataTable[[#This Row],[Vendor Price ($)]]-PricingDataTable[[#This Row],[Current Price ($)]])/PricingDataTable[[#This Row],[Current Price ($)]]</f>
        <v>1.8657997916922582E-3</v>
      </c>
      <c r="M4534" t="str">
        <f t="shared" si="140"/>
        <v>STALE</v>
      </c>
      <c r="N4534" s="10" t="str">
        <f t="shared" si="141"/>
        <v>MEDIUM</v>
      </c>
    </row>
    <row r="4535" spans="1:14">
      <c r="A4535" s="4" t="s">
        <v>9086</v>
      </c>
      <c r="B4535" s="4" t="s">
        <v>9087</v>
      </c>
      <c r="C4535" s="4" t="s">
        <v>16</v>
      </c>
      <c r="D4535" s="4" t="s">
        <v>13</v>
      </c>
      <c r="E4535" s="5">
        <v>110.2426</v>
      </c>
      <c r="F4535" s="5">
        <v>104.9975</v>
      </c>
      <c r="G4535" s="5">
        <v>104.99339999999999</v>
      </c>
      <c r="H4535" s="4">
        <v>0</v>
      </c>
      <c r="I4535" s="6">
        <v>4369090</v>
      </c>
      <c r="J4535" s="7">
        <v>489.01</v>
      </c>
      <c r="K4535" s="9">
        <f>(PricingDataTable[[#This Row],[Current Price ($)]]-PricingDataTable[[#This Row],[Prior Price ($)]])/PricingDataTable[[#This Row],[Prior Price ($)]]</f>
        <v>-4.7577796604942137E-2</v>
      </c>
      <c r="L4535" s="9">
        <f>(PricingDataTable[[#This Row],[Vendor Price ($)]]-PricingDataTable[[#This Row],[Current Price ($)]])/PricingDataTable[[#This Row],[Current Price ($)]]</f>
        <v>-3.9048548775049006E-5</v>
      </c>
      <c r="M4535" t="str">
        <f t="shared" si="140"/>
        <v>PASS</v>
      </c>
      <c r="N4535" s="10" t="str">
        <f t="shared" si="141"/>
        <v>NONE</v>
      </c>
    </row>
    <row r="4536" spans="1:14">
      <c r="A4536" s="4" t="s">
        <v>9088</v>
      </c>
      <c r="B4536" s="4" t="s">
        <v>9089</v>
      </c>
      <c r="C4536" s="4" t="s">
        <v>12</v>
      </c>
      <c r="D4536" s="4" t="s">
        <v>13</v>
      </c>
      <c r="E4536" s="5">
        <v>92.457400000000007</v>
      </c>
      <c r="F4536" s="5">
        <v>90.797799999999995</v>
      </c>
      <c r="G4536" s="5">
        <v>90.786100000000005</v>
      </c>
      <c r="H4536" s="4">
        <v>1</v>
      </c>
      <c r="I4536" s="6">
        <v>4442472</v>
      </c>
      <c r="J4536" s="7">
        <v>811.16</v>
      </c>
      <c r="K4536" s="9">
        <f>(PricingDataTable[[#This Row],[Current Price ($)]]-PricingDataTable[[#This Row],[Prior Price ($)]])/PricingDataTable[[#This Row],[Prior Price ($)]]</f>
        <v>-1.7949888272869578E-2</v>
      </c>
      <c r="L4536" s="9">
        <f>(PricingDataTable[[#This Row],[Vendor Price ($)]]-PricingDataTable[[#This Row],[Current Price ($)]])/PricingDataTable[[#This Row],[Current Price ($)]]</f>
        <v>-1.288577476545742E-4</v>
      </c>
      <c r="M4536" t="str">
        <f t="shared" si="140"/>
        <v>PASS</v>
      </c>
      <c r="N4536" s="10" t="str">
        <f t="shared" si="141"/>
        <v>NONE</v>
      </c>
    </row>
    <row r="4537" spans="1:14">
      <c r="A4537" s="4" t="s">
        <v>9090</v>
      </c>
      <c r="B4537" s="4" t="s">
        <v>9091</v>
      </c>
      <c r="C4537" s="4" t="s">
        <v>12</v>
      </c>
      <c r="D4537" s="4" t="s">
        <v>36</v>
      </c>
      <c r="E4537" s="5">
        <v>105.39190000000001</v>
      </c>
      <c r="F4537" s="5">
        <v>104.7731</v>
      </c>
      <c r="G4537" s="5">
        <v>104.7747</v>
      </c>
      <c r="H4537" s="4">
        <v>1</v>
      </c>
      <c r="I4537" s="6">
        <v>4645210</v>
      </c>
      <c r="J4537" s="7">
        <v>467.01</v>
      </c>
      <c r="K4537" s="9">
        <f>(PricingDataTable[[#This Row],[Current Price ($)]]-PricingDataTable[[#This Row],[Prior Price ($)]])/PricingDataTable[[#This Row],[Prior Price ($)]]</f>
        <v>-5.8714189610397701E-3</v>
      </c>
      <c r="L4537" s="9">
        <f>(PricingDataTable[[#This Row],[Vendor Price ($)]]-PricingDataTable[[#This Row],[Current Price ($)]])/PricingDataTable[[#This Row],[Current Price ($)]]</f>
        <v>1.5271095347911546E-5</v>
      </c>
      <c r="M4537" t="str">
        <f t="shared" si="140"/>
        <v>PASS</v>
      </c>
      <c r="N4537" s="10" t="str">
        <f t="shared" si="141"/>
        <v>NONE</v>
      </c>
    </row>
    <row r="4538" spans="1:14">
      <c r="A4538" s="4" t="s">
        <v>9092</v>
      </c>
      <c r="B4538" s="4" t="s">
        <v>9093</v>
      </c>
      <c r="C4538" s="4" t="s">
        <v>12</v>
      </c>
      <c r="D4538" s="4" t="s">
        <v>13</v>
      </c>
      <c r="E4538" s="5">
        <v>117.12690000000001</v>
      </c>
      <c r="F4538" s="5">
        <v>116.8643</v>
      </c>
      <c r="G4538" s="5">
        <v>117.0043</v>
      </c>
      <c r="H4538" s="4">
        <v>0</v>
      </c>
      <c r="I4538" s="6">
        <v>2362061</v>
      </c>
      <c r="J4538" s="7">
        <v>24.39</v>
      </c>
      <c r="K4538" s="9">
        <f>(PricingDataTable[[#This Row],[Current Price ($)]]-PricingDataTable[[#This Row],[Prior Price ($)]])/PricingDataTable[[#This Row],[Prior Price ($)]]</f>
        <v>-2.2420127229526789E-3</v>
      </c>
      <c r="L4538" s="9">
        <f>(PricingDataTable[[#This Row],[Vendor Price ($)]]-PricingDataTable[[#This Row],[Current Price ($)]])/PricingDataTable[[#This Row],[Current Price ($)]]</f>
        <v>1.1979706377396738E-3</v>
      </c>
      <c r="M4538" t="str">
        <f t="shared" si="140"/>
        <v>PASS</v>
      </c>
      <c r="N4538" s="10" t="str">
        <f t="shared" si="141"/>
        <v>NONE</v>
      </c>
    </row>
    <row r="4539" spans="1:14">
      <c r="A4539" s="4" t="s">
        <v>9094</v>
      </c>
      <c r="B4539" s="4" t="s">
        <v>9095</v>
      </c>
      <c r="C4539" s="4" t="s">
        <v>16</v>
      </c>
      <c r="D4539" s="4" t="s">
        <v>13</v>
      </c>
      <c r="E4539" s="5">
        <v>84.1447</v>
      </c>
      <c r="F4539" s="5">
        <v>86.401899999999998</v>
      </c>
      <c r="G4539" s="5">
        <v>86.329400000000007</v>
      </c>
      <c r="H4539" s="4">
        <v>0</v>
      </c>
      <c r="I4539" s="6">
        <v>1327622</v>
      </c>
      <c r="J4539" s="7">
        <v>652.37</v>
      </c>
      <c r="K4539" s="9">
        <f>(PricingDataTable[[#This Row],[Current Price ($)]]-PricingDataTable[[#This Row],[Prior Price ($)]])/PricingDataTable[[#This Row],[Prior Price ($)]]</f>
        <v>2.6825218938328826E-2</v>
      </c>
      <c r="L4539" s="9">
        <f>(PricingDataTable[[#This Row],[Vendor Price ($)]]-PricingDataTable[[#This Row],[Current Price ($)]])/PricingDataTable[[#This Row],[Current Price ($)]]</f>
        <v>-8.3910191789753356E-4</v>
      </c>
      <c r="M4539" t="str">
        <f t="shared" si="140"/>
        <v>PASS</v>
      </c>
      <c r="N4539" s="10" t="str">
        <f t="shared" si="141"/>
        <v>NONE</v>
      </c>
    </row>
    <row r="4540" spans="1:14">
      <c r="A4540" s="4" t="s">
        <v>9096</v>
      </c>
      <c r="B4540" s="4" t="s">
        <v>9097</v>
      </c>
      <c r="C4540" s="4" t="s">
        <v>12</v>
      </c>
      <c r="D4540" s="4" t="s">
        <v>13</v>
      </c>
      <c r="E4540" s="5">
        <v>108.7234</v>
      </c>
      <c r="F4540" s="5">
        <v>110.1884</v>
      </c>
      <c r="G4540" s="5">
        <v>110.2178</v>
      </c>
      <c r="H4540" s="4">
        <v>0</v>
      </c>
      <c r="I4540" s="6">
        <v>2989592</v>
      </c>
      <c r="J4540" s="7">
        <v>665.73</v>
      </c>
      <c r="K4540" s="9">
        <f>(PricingDataTable[[#This Row],[Current Price ($)]]-PricingDataTable[[#This Row],[Prior Price ($)]])/PricingDataTable[[#This Row],[Prior Price ($)]]</f>
        <v>1.3474560214268533E-2</v>
      </c>
      <c r="L4540" s="9">
        <f>(PricingDataTable[[#This Row],[Vendor Price ($)]]-PricingDataTable[[#This Row],[Current Price ($)]])/PricingDataTable[[#This Row],[Current Price ($)]]</f>
        <v>2.668157446699964E-4</v>
      </c>
      <c r="M4540" t="str">
        <f t="shared" si="140"/>
        <v>PASS</v>
      </c>
      <c r="N4540" s="10" t="str">
        <f t="shared" si="141"/>
        <v>NONE</v>
      </c>
    </row>
    <row r="4541" spans="1:14">
      <c r="A4541" s="4" t="s">
        <v>9098</v>
      </c>
      <c r="B4541" s="4" t="s">
        <v>9099</v>
      </c>
      <c r="C4541" s="4" t="s">
        <v>35</v>
      </c>
      <c r="D4541" s="4" t="s">
        <v>13</v>
      </c>
      <c r="E4541" s="5">
        <v>150.37649999999999</v>
      </c>
      <c r="F4541" s="5">
        <v>153.2482</v>
      </c>
      <c r="G4541" s="5">
        <v>153.0198</v>
      </c>
      <c r="H4541" s="4">
        <v>0</v>
      </c>
      <c r="I4541" s="6">
        <v>3910399</v>
      </c>
      <c r="J4541" s="7">
        <v>193.31</v>
      </c>
      <c r="K4541" s="9">
        <f>(PricingDataTable[[#This Row],[Current Price ($)]]-PricingDataTable[[#This Row],[Prior Price ($)]])/PricingDataTable[[#This Row],[Prior Price ($)]]</f>
        <v>1.9096733864666381E-2</v>
      </c>
      <c r="L4541" s="9">
        <f>(PricingDataTable[[#This Row],[Vendor Price ($)]]-PricingDataTable[[#This Row],[Current Price ($)]])/PricingDataTable[[#This Row],[Current Price ($)]]</f>
        <v>-1.4903927093433626E-3</v>
      </c>
      <c r="M4541" t="str">
        <f t="shared" si="140"/>
        <v>PASS</v>
      </c>
      <c r="N4541" s="10" t="str">
        <f t="shared" si="141"/>
        <v>NONE</v>
      </c>
    </row>
    <row r="4542" spans="1:14">
      <c r="A4542" s="4" t="s">
        <v>9100</v>
      </c>
      <c r="B4542" s="4" t="s">
        <v>9101</v>
      </c>
      <c r="C4542" s="4" t="s">
        <v>35</v>
      </c>
      <c r="D4542" s="4" t="s">
        <v>64</v>
      </c>
      <c r="E4542" s="5">
        <v>124.5018</v>
      </c>
      <c r="F4542" s="5">
        <v>125.20489999999999</v>
      </c>
      <c r="G4542" s="5">
        <v>125.0257</v>
      </c>
      <c r="H4542" s="4">
        <v>0</v>
      </c>
      <c r="I4542" s="6">
        <v>1371915</v>
      </c>
      <c r="J4542" s="7">
        <v>825.7</v>
      </c>
      <c r="K4542" s="9">
        <f>(PricingDataTable[[#This Row],[Current Price ($)]]-PricingDataTable[[#This Row],[Prior Price ($)]])/PricingDataTable[[#This Row],[Prior Price ($)]]</f>
        <v>5.6473079104076571E-3</v>
      </c>
      <c r="L4542" s="9">
        <f>(PricingDataTable[[#This Row],[Vendor Price ($)]]-PricingDataTable[[#This Row],[Current Price ($)]])/PricingDataTable[[#This Row],[Current Price ($)]]</f>
        <v>-1.4312538886257205E-3</v>
      </c>
      <c r="M4542" t="str">
        <f t="shared" si="140"/>
        <v>PASS</v>
      </c>
      <c r="N4542" s="10" t="str">
        <f t="shared" si="141"/>
        <v>NONE</v>
      </c>
    </row>
    <row r="4543" spans="1:14">
      <c r="A4543" s="4" t="s">
        <v>9102</v>
      </c>
      <c r="B4543" s="4" t="s">
        <v>9103</v>
      </c>
      <c r="C4543" s="4" t="s">
        <v>19</v>
      </c>
      <c r="D4543" s="4" t="s">
        <v>13</v>
      </c>
      <c r="E4543" s="5">
        <v>230.03200000000001</v>
      </c>
      <c r="F4543" s="5">
        <v>228.6934</v>
      </c>
      <c r="G4543" s="5">
        <v>228.3057</v>
      </c>
      <c r="H4543" s="4">
        <v>0</v>
      </c>
      <c r="I4543" s="6">
        <v>2902805</v>
      </c>
      <c r="J4543" s="7">
        <v>646.69000000000005</v>
      </c>
      <c r="K4543" s="9">
        <f>(PricingDataTable[[#This Row],[Current Price ($)]]-PricingDataTable[[#This Row],[Prior Price ($)]])/PricingDataTable[[#This Row],[Prior Price ($)]]</f>
        <v>-5.8191903735133098E-3</v>
      </c>
      <c r="L4543" s="9">
        <f>(PricingDataTable[[#This Row],[Vendor Price ($)]]-PricingDataTable[[#This Row],[Current Price ($)]])/PricingDataTable[[#This Row],[Current Price ($)]]</f>
        <v>-1.6952828546866472E-3</v>
      </c>
      <c r="M4543" t="str">
        <f t="shared" si="140"/>
        <v>PASS</v>
      </c>
      <c r="N4543" s="10" t="str">
        <f t="shared" si="141"/>
        <v>NONE</v>
      </c>
    </row>
    <row r="4544" spans="1:14">
      <c r="A4544" s="4" t="s">
        <v>9104</v>
      </c>
      <c r="B4544" s="4" t="s">
        <v>9105</v>
      </c>
      <c r="C4544" s="4" t="s">
        <v>19</v>
      </c>
      <c r="D4544" s="4" t="s">
        <v>13</v>
      </c>
      <c r="E4544" s="5">
        <v>327.76940000000002</v>
      </c>
      <c r="F4544" s="5">
        <v>360.31900000000002</v>
      </c>
      <c r="G4544" s="5">
        <v>361.24930000000001</v>
      </c>
      <c r="H4544" s="4">
        <v>1</v>
      </c>
      <c r="I4544" s="6">
        <v>2181845</v>
      </c>
      <c r="J4544" s="7">
        <v>31.8</v>
      </c>
      <c r="K4544" s="9">
        <f>(PricingDataTable[[#This Row],[Current Price ($)]]-PricingDataTable[[#This Row],[Prior Price ($)]])/PricingDataTable[[#This Row],[Prior Price ($)]]</f>
        <v>9.9306402611104017E-2</v>
      </c>
      <c r="L4544" s="9">
        <f>(PricingDataTable[[#This Row],[Vendor Price ($)]]-PricingDataTable[[#This Row],[Current Price ($)]])/PricingDataTable[[#This Row],[Current Price ($)]]</f>
        <v>2.5818788351432711E-3</v>
      </c>
      <c r="M4544" t="str">
        <f t="shared" si="140"/>
        <v>LARGE MOVE</v>
      </c>
      <c r="N4544" s="10" t="str">
        <f t="shared" si="141"/>
        <v>MEDIUM</v>
      </c>
    </row>
    <row r="4545" spans="1:14">
      <c r="A4545" s="4" t="s">
        <v>9106</v>
      </c>
      <c r="B4545" s="4" t="s">
        <v>9107</v>
      </c>
      <c r="C4545" s="4" t="s">
        <v>19</v>
      </c>
      <c r="D4545" s="4" t="s">
        <v>13</v>
      </c>
      <c r="E4545" s="5">
        <v>292.99149999999997</v>
      </c>
      <c r="F4545" s="5">
        <v>291.25069999999999</v>
      </c>
      <c r="G4545" s="5">
        <v>291.08969999999999</v>
      </c>
      <c r="H4545" s="4">
        <v>0</v>
      </c>
      <c r="I4545" s="6">
        <v>53718</v>
      </c>
      <c r="J4545" s="7">
        <v>297.97000000000003</v>
      </c>
      <c r="K4545" s="9">
        <f>(PricingDataTable[[#This Row],[Current Price ($)]]-PricingDataTable[[#This Row],[Prior Price ($)]])/PricingDataTable[[#This Row],[Prior Price ($)]]</f>
        <v>-5.941469291771191E-3</v>
      </c>
      <c r="L4545" s="9">
        <f>(PricingDataTable[[#This Row],[Vendor Price ($)]]-PricingDataTable[[#This Row],[Current Price ($)]])/PricingDataTable[[#This Row],[Current Price ($)]]</f>
        <v>-5.5278837098074398E-4</v>
      </c>
      <c r="M4545" t="str">
        <f t="shared" si="140"/>
        <v>PASS</v>
      </c>
      <c r="N4545" s="10" t="str">
        <f t="shared" si="141"/>
        <v>NONE</v>
      </c>
    </row>
    <row r="4546" spans="1:14">
      <c r="A4546" s="4" t="s">
        <v>9108</v>
      </c>
      <c r="B4546" s="4" t="s">
        <v>9109</v>
      </c>
      <c r="C4546" s="4" t="s">
        <v>12</v>
      </c>
      <c r="D4546" s="4" t="s">
        <v>13</v>
      </c>
      <c r="E4546" s="5">
        <v>120.39319999999999</v>
      </c>
      <c r="F4546" s="5">
        <v>120.0562</v>
      </c>
      <c r="G4546" s="5">
        <v>120.3486</v>
      </c>
      <c r="H4546" s="4">
        <v>0</v>
      </c>
      <c r="I4546" s="6">
        <v>2753335</v>
      </c>
      <c r="J4546" s="7">
        <v>705.86</v>
      </c>
      <c r="K4546" s="9">
        <f>(PricingDataTable[[#This Row],[Current Price ($)]]-PricingDataTable[[#This Row],[Prior Price ($)]])/PricingDataTable[[#This Row],[Prior Price ($)]]</f>
        <v>-2.7991614144319537E-3</v>
      </c>
      <c r="L4546" s="9">
        <f>(PricingDataTable[[#This Row],[Vendor Price ($)]]-PricingDataTable[[#This Row],[Current Price ($)]])/PricingDataTable[[#This Row],[Current Price ($)]]</f>
        <v>2.4355260286432574E-3</v>
      </c>
      <c r="M4546" t="str">
        <f t="shared" ref="M4546:M4609" si="142">IF(OR(F4546="",F4546=0),"MISSING",IF(H4546&gt;=3,"STALE",IF(ABS(K4546)&gt;=5%,"LARGE MOVE",IF(ABS(L4546)&gt;=2%,"VENDOR DIFFERENCE","PASS"))))</f>
        <v>PASS</v>
      </c>
      <c r="N4546" s="10" t="str">
        <f t="shared" ref="N4546:N4609" si="143">IF(M4546="PASS","NONE",IF(M4546="MISSING","HIGH",IF(OR(ABS(K4546)&gt;=10%,ABS(L4546)&gt;=5%),"HIGH",IF(OR(ABS(K4546)&gt;=7%,ABS(L4546)&gt;=3%,H4546&gt;=5),"MEDIUM","LOW"))))</f>
        <v>NONE</v>
      </c>
    </row>
    <row r="4547" spans="1:14">
      <c r="A4547" s="4" t="s">
        <v>9110</v>
      </c>
      <c r="B4547" s="4" t="s">
        <v>9111</v>
      </c>
      <c r="C4547" s="4" t="s">
        <v>19</v>
      </c>
      <c r="D4547" s="4" t="s">
        <v>13</v>
      </c>
      <c r="E4547" s="5">
        <v>268.38209999999998</v>
      </c>
      <c r="F4547" s="5">
        <v>0</v>
      </c>
      <c r="G4547" s="5">
        <v>269.23770000000002</v>
      </c>
      <c r="H4547" s="4">
        <v>0</v>
      </c>
      <c r="I4547" s="6">
        <v>149797</v>
      </c>
      <c r="J4547" s="7">
        <v>591.17999999999995</v>
      </c>
      <c r="K4547" s="9">
        <f>(PricingDataTable[[#This Row],[Current Price ($)]]-PricingDataTable[[#This Row],[Prior Price ($)]])/PricingDataTable[[#This Row],[Prior Price ($)]]</f>
        <v>-1</v>
      </c>
      <c r="L4547" s="9" t="e">
        <f>(PricingDataTable[[#This Row],[Vendor Price ($)]]-PricingDataTable[[#This Row],[Current Price ($)]])/PricingDataTable[[#This Row],[Current Price ($)]]</f>
        <v>#DIV/0!</v>
      </c>
      <c r="M4547" t="str">
        <f t="shared" si="142"/>
        <v>MISSING</v>
      </c>
      <c r="N4547" s="10" t="str">
        <f t="shared" si="143"/>
        <v>HIGH</v>
      </c>
    </row>
    <row r="4548" spans="1:14">
      <c r="A4548" s="4" t="s">
        <v>9112</v>
      </c>
      <c r="B4548" s="4" t="s">
        <v>9113</v>
      </c>
      <c r="C4548" s="4" t="s">
        <v>35</v>
      </c>
      <c r="D4548" s="4" t="s">
        <v>13</v>
      </c>
      <c r="E4548" s="5">
        <v>88.411600000000007</v>
      </c>
      <c r="F4548" s="5">
        <v>90.381</v>
      </c>
      <c r="G4548" s="5">
        <v>90.770799999999994</v>
      </c>
      <c r="H4548" s="4">
        <v>0</v>
      </c>
      <c r="I4548" s="6">
        <v>2199561</v>
      </c>
      <c r="J4548" s="7">
        <v>5.67</v>
      </c>
      <c r="K4548" s="9">
        <f>(PricingDataTable[[#This Row],[Current Price ($)]]-PricingDataTable[[#This Row],[Prior Price ($)]])/PricingDataTable[[#This Row],[Prior Price ($)]]</f>
        <v>2.2275357532269443E-2</v>
      </c>
      <c r="L4548" s="9">
        <f>(PricingDataTable[[#This Row],[Vendor Price ($)]]-PricingDataTable[[#This Row],[Current Price ($)]])/PricingDataTable[[#This Row],[Current Price ($)]]</f>
        <v>4.3128533651983708E-3</v>
      </c>
      <c r="M4548" t="str">
        <f t="shared" si="142"/>
        <v>PASS</v>
      </c>
      <c r="N4548" s="10" t="str">
        <f t="shared" si="143"/>
        <v>NONE</v>
      </c>
    </row>
    <row r="4549" spans="1:14">
      <c r="A4549" s="4" t="s">
        <v>9114</v>
      </c>
      <c r="B4549" s="4" t="s">
        <v>9115</v>
      </c>
      <c r="C4549" s="4" t="s">
        <v>16</v>
      </c>
      <c r="D4549" s="4" t="s">
        <v>13</v>
      </c>
      <c r="E4549" s="5">
        <v>97.070800000000006</v>
      </c>
      <c r="F4549" s="5">
        <v>96.816699999999997</v>
      </c>
      <c r="G4549" s="5">
        <v>96.721199999999996</v>
      </c>
      <c r="H4549" s="4">
        <v>1</v>
      </c>
      <c r="I4549" s="6">
        <v>538574</v>
      </c>
      <c r="J4549" s="7">
        <v>379.07</v>
      </c>
      <c r="K4549" s="9">
        <f>(PricingDataTable[[#This Row],[Current Price ($)]]-PricingDataTable[[#This Row],[Prior Price ($)]])/PricingDataTable[[#This Row],[Prior Price ($)]]</f>
        <v>-2.6176769945236694E-3</v>
      </c>
      <c r="L4549" s="9">
        <f>(PricingDataTable[[#This Row],[Vendor Price ($)]]-PricingDataTable[[#This Row],[Current Price ($)]])/PricingDataTable[[#This Row],[Current Price ($)]]</f>
        <v>-9.8640007354104469E-4</v>
      </c>
      <c r="M4549" t="str">
        <f t="shared" si="142"/>
        <v>PASS</v>
      </c>
      <c r="N4549" s="10" t="str">
        <f t="shared" si="143"/>
        <v>NONE</v>
      </c>
    </row>
    <row r="4550" spans="1:14">
      <c r="A4550" s="4" t="s">
        <v>9116</v>
      </c>
      <c r="B4550" s="4" t="s">
        <v>9117</v>
      </c>
      <c r="C4550" s="4" t="s">
        <v>12</v>
      </c>
      <c r="D4550" s="4" t="s">
        <v>13</v>
      </c>
      <c r="E4550" s="5">
        <v>81.520300000000006</v>
      </c>
      <c r="F4550" s="5">
        <v>80.577200000000005</v>
      </c>
      <c r="G4550" s="5">
        <v>80.525800000000004</v>
      </c>
      <c r="H4550" s="4">
        <v>0</v>
      </c>
      <c r="I4550" s="6">
        <v>882163</v>
      </c>
      <c r="J4550" s="7">
        <v>765.16</v>
      </c>
      <c r="K4550" s="9">
        <f>(PricingDataTable[[#This Row],[Current Price ($)]]-PricingDataTable[[#This Row],[Prior Price ($)]])/PricingDataTable[[#This Row],[Prior Price ($)]]</f>
        <v>-1.1568897562938324E-2</v>
      </c>
      <c r="L4550" s="9">
        <f>(PricingDataTable[[#This Row],[Vendor Price ($)]]-PricingDataTable[[#This Row],[Current Price ($)]])/PricingDataTable[[#This Row],[Current Price ($)]]</f>
        <v>-6.378975690393932E-4</v>
      </c>
      <c r="M4550" t="str">
        <f t="shared" si="142"/>
        <v>PASS</v>
      </c>
      <c r="N4550" s="10" t="str">
        <f t="shared" si="143"/>
        <v>NONE</v>
      </c>
    </row>
    <row r="4551" spans="1:14">
      <c r="A4551" s="4" t="s">
        <v>9118</v>
      </c>
      <c r="B4551" s="4" t="s">
        <v>9119</v>
      </c>
      <c r="C4551" s="4" t="s">
        <v>16</v>
      </c>
      <c r="D4551" s="4" t="s">
        <v>32</v>
      </c>
      <c r="E4551" s="5">
        <v>113.4679</v>
      </c>
      <c r="F4551" s="5">
        <v>112.6451</v>
      </c>
      <c r="G4551" s="5">
        <v>112.1538</v>
      </c>
      <c r="H4551" s="4">
        <v>0</v>
      </c>
      <c r="I4551" s="6">
        <v>4546739</v>
      </c>
      <c r="J4551" s="7">
        <v>492.24</v>
      </c>
      <c r="K4551" s="9">
        <f>(PricingDataTable[[#This Row],[Current Price ($)]]-PricingDataTable[[#This Row],[Prior Price ($)]])/PricingDataTable[[#This Row],[Prior Price ($)]]</f>
        <v>-7.2513900407075553E-3</v>
      </c>
      <c r="L4551" s="9">
        <f>(PricingDataTable[[#This Row],[Vendor Price ($)]]-PricingDataTable[[#This Row],[Current Price ($)]])/PricingDataTable[[#This Row],[Current Price ($)]]</f>
        <v>-4.3614857636949623E-3</v>
      </c>
      <c r="M4551" t="str">
        <f t="shared" si="142"/>
        <v>PASS</v>
      </c>
      <c r="N4551" s="10" t="str">
        <f t="shared" si="143"/>
        <v>NONE</v>
      </c>
    </row>
    <row r="4552" spans="1:14">
      <c r="A4552" s="4" t="s">
        <v>9120</v>
      </c>
      <c r="B4552" s="4" t="s">
        <v>9121</v>
      </c>
      <c r="C4552" s="4" t="s">
        <v>19</v>
      </c>
      <c r="D4552" s="4" t="s">
        <v>13</v>
      </c>
      <c r="E4552" s="5">
        <v>245.22630000000001</v>
      </c>
      <c r="F4552" s="5">
        <v>243.31809999999999</v>
      </c>
      <c r="G4552" s="5">
        <v>243.9958</v>
      </c>
      <c r="H4552" s="4">
        <v>0</v>
      </c>
      <c r="I4552" s="6">
        <v>842233</v>
      </c>
      <c r="J4552" s="7">
        <v>669</v>
      </c>
      <c r="K4552" s="9">
        <f>(PricingDataTable[[#This Row],[Current Price ($)]]-PricingDataTable[[#This Row],[Prior Price ($)]])/PricingDataTable[[#This Row],[Prior Price ($)]]</f>
        <v>-7.7813839706427166E-3</v>
      </c>
      <c r="L4552" s="9">
        <f>(PricingDataTable[[#This Row],[Vendor Price ($)]]-PricingDataTable[[#This Row],[Current Price ($)]])/PricingDataTable[[#This Row],[Current Price ($)]]</f>
        <v>2.7852428569843995E-3</v>
      </c>
      <c r="M4552" t="str">
        <f t="shared" si="142"/>
        <v>PASS</v>
      </c>
      <c r="N4552" s="10" t="str">
        <f t="shared" si="143"/>
        <v>NONE</v>
      </c>
    </row>
    <row r="4553" spans="1:14">
      <c r="A4553" s="4" t="s">
        <v>9122</v>
      </c>
      <c r="B4553" s="4" t="s">
        <v>9123</v>
      </c>
      <c r="C4553" s="4" t="s">
        <v>19</v>
      </c>
      <c r="D4553" s="4" t="s">
        <v>64</v>
      </c>
      <c r="E4553" s="5">
        <v>77.882400000000004</v>
      </c>
      <c r="F4553" s="5">
        <v>77.986400000000003</v>
      </c>
      <c r="G4553" s="5">
        <v>78.028000000000006</v>
      </c>
      <c r="H4553" s="4">
        <v>0</v>
      </c>
      <c r="I4553" s="6">
        <v>4205624</v>
      </c>
      <c r="J4553" s="7">
        <v>216.51</v>
      </c>
      <c r="K4553" s="9">
        <f>(PricingDataTable[[#This Row],[Current Price ($)]]-PricingDataTable[[#This Row],[Prior Price ($)]])/PricingDataTable[[#This Row],[Prior Price ($)]]</f>
        <v>1.335346625168192E-3</v>
      </c>
      <c r="L4553" s="9">
        <f>(PricingDataTable[[#This Row],[Vendor Price ($)]]-PricingDataTable[[#This Row],[Current Price ($)]])/PricingDataTable[[#This Row],[Current Price ($)]]</f>
        <v>5.33426341003079E-4</v>
      </c>
      <c r="M4553" t="str">
        <f t="shared" si="142"/>
        <v>PASS</v>
      </c>
      <c r="N4553" s="10" t="str">
        <f t="shared" si="143"/>
        <v>NONE</v>
      </c>
    </row>
    <row r="4554" spans="1:14">
      <c r="A4554" s="4" t="s">
        <v>9124</v>
      </c>
      <c r="B4554" s="4" t="s">
        <v>9125</v>
      </c>
      <c r="C4554" s="4" t="s">
        <v>12</v>
      </c>
      <c r="D4554" s="4" t="s">
        <v>13</v>
      </c>
      <c r="E4554" s="5">
        <v>111.17829999999999</v>
      </c>
      <c r="F4554" s="5">
        <v>113.76730000000001</v>
      </c>
      <c r="G4554" s="5">
        <v>113.8892</v>
      </c>
      <c r="H4554" s="4">
        <v>0</v>
      </c>
      <c r="I4554" s="6">
        <v>4286952</v>
      </c>
      <c r="J4554" s="7">
        <v>618.5</v>
      </c>
      <c r="K4554" s="9">
        <f>(PricingDataTable[[#This Row],[Current Price ($)]]-PricingDataTable[[#This Row],[Prior Price ($)]])/PricingDataTable[[#This Row],[Prior Price ($)]]</f>
        <v>2.328691840044337E-2</v>
      </c>
      <c r="L4554" s="9">
        <f>(PricingDataTable[[#This Row],[Vendor Price ($)]]-PricingDataTable[[#This Row],[Current Price ($)]])/PricingDataTable[[#This Row],[Current Price ($)]]</f>
        <v>1.0714853916722693E-3</v>
      </c>
      <c r="M4554" t="str">
        <f t="shared" si="142"/>
        <v>PASS</v>
      </c>
      <c r="N4554" s="10" t="str">
        <f t="shared" si="143"/>
        <v>NONE</v>
      </c>
    </row>
    <row r="4555" spans="1:14">
      <c r="A4555" s="4" t="s">
        <v>9126</v>
      </c>
      <c r="B4555" s="4" t="s">
        <v>9127</v>
      </c>
      <c r="C4555" s="4" t="s">
        <v>19</v>
      </c>
      <c r="D4555" s="4" t="s">
        <v>13</v>
      </c>
      <c r="E4555" s="5">
        <v>231.84780000000001</v>
      </c>
      <c r="F4555" s="5">
        <v>235.09540000000001</v>
      </c>
      <c r="G4555" s="5">
        <v>236.28530000000001</v>
      </c>
      <c r="H4555" s="4">
        <v>0</v>
      </c>
      <c r="I4555" s="6">
        <v>3615066</v>
      </c>
      <c r="J4555" s="7">
        <v>284.01</v>
      </c>
      <c r="K4555" s="9">
        <f>(PricingDataTable[[#This Row],[Current Price ($)]]-PricingDataTable[[#This Row],[Prior Price ($)]])/PricingDataTable[[#This Row],[Prior Price ($)]]</f>
        <v>1.4007465242283971E-2</v>
      </c>
      <c r="L4555" s="9">
        <f>(PricingDataTable[[#This Row],[Vendor Price ($)]]-PricingDataTable[[#This Row],[Current Price ($)]])/PricingDataTable[[#This Row],[Current Price ($)]]</f>
        <v>5.0613495627732158E-3</v>
      </c>
      <c r="M4555" t="str">
        <f t="shared" si="142"/>
        <v>PASS</v>
      </c>
      <c r="N4555" s="10" t="str">
        <f t="shared" si="143"/>
        <v>NONE</v>
      </c>
    </row>
    <row r="4556" spans="1:14">
      <c r="A4556" s="4" t="s">
        <v>9128</v>
      </c>
      <c r="B4556" s="4" t="s">
        <v>9129</v>
      </c>
      <c r="C4556" s="4" t="s">
        <v>12</v>
      </c>
      <c r="D4556" s="4" t="s">
        <v>13</v>
      </c>
      <c r="E4556" s="5">
        <v>83.7303</v>
      </c>
      <c r="F4556" s="5">
        <v>85.125900000000001</v>
      </c>
      <c r="G4556" s="5">
        <v>85.027799999999999</v>
      </c>
      <c r="H4556" s="4">
        <v>0</v>
      </c>
      <c r="I4556" s="6">
        <v>1070080</v>
      </c>
      <c r="J4556" s="7">
        <v>200.44</v>
      </c>
      <c r="K4556" s="9">
        <f>(PricingDataTable[[#This Row],[Current Price ($)]]-PricingDataTable[[#This Row],[Prior Price ($)]])/PricingDataTable[[#This Row],[Prior Price ($)]]</f>
        <v>1.6667801261908793E-2</v>
      </c>
      <c r="L4556" s="9">
        <f>(PricingDataTable[[#This Row],[Vendor Price ($)]]-PricingDataTable[[#This Row],[Current Price ($)]])/PricingDataTable[[#This Row],[Current Price ($)]]</f>
        <v>-1.1524107234108807E-3</v>
      </c>
      <c r="M4556" t="str">
        <f t="shared" si="142"/>
        <v>PASS</v>
      </c>
      <c r="N4556" s="10" t="str">
        <f t="shared" si="143"/>
        <v>NONE</v>
      </c>
    </row>
    <row r="4557" spans="1:14">
      <c r="A4557" s="4" t="s">
        <v>9130</v>
      </c>
      <c r="B4557" s="4" t="s">
        <v>9131</v>
      </c>
      <c r="C4557" s="4" t="s">
        <v>19</v>
      </c>
      <c r="D4557" s="4" t="s">
        <v>13</v>
      </c>
      <c r="E4557" s="5">
        <v>153.5598</v>
      </c>
      <c r="F4557" s="5">
        <v>156.09100000000001</v>
      </c>
      <c r="G4557" s="5">
        <v>156.2594</v>
      </c>
      <c r="H4557" s="4">
        <v>0</v>
      </c>
      <c r="I4557" s="6">
        <v>4028886</v>
      </c>
      <c r="J4557" s="7">
        <v>191.36</v>
      </c>
      <c r="K4557" s="9">
        <f>(PricingDataTable[[#This Row],[Current Price ($)]]-PricingDataTable[[#This Row],[Prior Price ($)]])/PricingDataTable[[#This Row],[Prior Price ($)]]</f>
        <v>1.6483480702631892E-2</v>
      </c>
      <c r="L4557" s="9">
        <f>(PricingDataTable[[#This Row],[Vendor Price ($)]]-PricingDataTable[[#This Row],[Current Price ($)]])/PricingDataTable[[#This Row],[Current Price ($)]]</f>
        <v>1.0788578457437727E-3</v>
      </c>
      <c r="M4557" t="str">
        <f t="shared" si="142"/>
        <v>PASS</v>
      </c>
      <c r="N4557" s="10" t="str">
        <f t="shared" si="143"/>
        <v>NONE</v>
      </c>
    </row>
    <row r="4558" spans="1:14">
      <c r="A4558" s="4" t="s">
        <v>9132</v>
      </c>
      <c r="B4558" s="4" t="s">
        <v>9133</v>
      </c>
      <c r="C4558" s="4" t="s">
        <v>12</v>
      </c>
      <c r="D4558" s="4" t="s">
        <v>36</v>
      </c>
      <c r="E4558" s="5">
        <v>78.822999999999993</v>
      </c>
      <c r="F4558" s="5">
        <v>79.077200000000005</v>
      </c>
      <c r="G4558" s="5">
        <v>79.156099999999995</v>
      </c>
      <c r="H4558" s="4">
        <v>1</v>
      </c>
      <c r="I4558" s="6">
        <v>2938426</v>
      </c>
      <c r="J4558" s="7">
        <v>849.81</v>
      </c>
      <c r="K4558" s="9">
        <f>(PricingDataTable[[#This Row],[Current Price ($)]]-PricingDataTable[[#This Row],[Prior Price ($)]])/PricingDataTable[[#This Row],[Prior Price ($)]]</f>
        <v>3.224947033226489E-3</v>
      </c>
      <c r="L4558" s="9">
        <f>(PricingDataTable[[#This Row],[Vendor Price ($)]]-PricingDataTable[[#This Row],[Current Price ($)]])/PricingDataTable[[#This Row],[Current Price ($)]]</f>
        <v>9.9775915181607596E-4</v>
      </c>
      <c r="M4558" t="str">
        <f t="shared" si="142"/>
        <v>PASS</v>
      </c>
      <c r="N4558" s="10" t="str">
        <f t="shared" si="143"/>
        <v>NONE</v>
      </c>
    </row>
    <row r="4559" spans="1:14">
      <c r="A4559" s="4" t="s">
        <v>9134</v>
      </c>
      <c r="B4559" s="4" t="s">
        <v>9135</v>
      </c>
      <c r="C4559" s="4" t="s">
        <v>19</v>
      </c>
      <c r="D4559" s="4" t="s">
        <v>13</v>
      </c>
      <c r="E4559" s="5">
        <v>226.44589999999999</v>
      </c>
      <c r="F4559" s="5">
        <v>223.5027</v>
      </c>
      <c r="G4559" s="5">
        <v>224.77440000000001</v>
      </c>
      <c r="H4559" s="4">
        <v>0</v>
      </c>
      <c r="I4559" s="6">
        <v>561661</v>
      </c>
      <c r="J4559" s="7">
        <v>547.07000000000005</v>
      </c>
      <c r="K4559" s="9">
        <f>(PricingDataTable[[#This Row],[Current Price ($)]]-PricingDataTable[[#This Row],[Prior Price ($)]])/PricingDataTable[[#This Row],[Prior Price ($)]]</f>
        <v>-1.299736493352271E-2</v>
      </c>
      <c r="L4559" s="9">
        <f>(PricingDataTable[[#This Row],[Vendor Price ($)]]-PricingDataTable[[#This Row],[Current Price ($)]])/PricingDataTable[[#This Row],[Current Price ($)]]</f>
        <v>5.6898641492922003E-3</v>
      </c>
      <c r="M4559" t="str">
        <f t="shared" si="142"/>
        <v>PASS</v>
      </c>
      <c r="N4559" s="10" t="str">
        <f t="shared" si="143"/>
        <v>NONE</v>
      </c>
    </row>
    <row r="4560" spans="1:14">
      <c r="A4560" s="4" t="s">
        <v>9136</v>
      </c>
      <c r="B4560" s="4" t="s">
        <v>9137</v>
      </c>
      <c r="C4560" s="4" t="s">
        <v>19</v>
      </c>
      <c r="D4560" s="4" t="s">
        <v>13</v>
      </c>
      <c r="E4560" s="5">
        <v>182.64169999999999</v>
      </c>
      <c r="F4560" s="5">
        <v>181.86420000000001</v>
      </c>
      <c r="G4560" s="5">
        <v>182.06649999999999</v>
      </c>
      <c r="H4560" s="4">
        <v>2</v>
      </c>
      <c r="I4560" s="6">
        <v>2540916</v>
      </c>
      <c r="J4560" s="7">
        <v>96.73</v>
      </c>
      <c r="K4560" s="9">
        <f>(PricingDataTable[[#This Row],[Current Price ($)]]-PricingDataTable[[#This Row],[Prior Price ($)]])/PricingDataTable[[#This Row],[Prior Price ($)]]</f>
        <v>-4.256968698823845E-3</v>
      </c>
      <c r="L4560" s="9">
        <f>(PricingDataTable[[#This Row],[Vendor Price ($)]]-PricingDataTable[[#This Row],[Current Price ($)]])/PricingDataTable[[#This Row],[Current Price ($)]]</f>
        <v>1.112368459542778E-3</v>
      </c>
      <c r="M4560" t="str">
        <f t="shared" si="142"/>
        <v>PASS</v>
      </c>
      <c r="N4560" s="10" t="str">
        <f t="shared" si="143"/>
        <v>NONE</v>
      </c>
    </row>
    <row r="4561" spans="1:14">
      <c r="A4561" s="4" t="s">
        <v>9138</v>
      </c>
      <c r="B4561" s="4" t="s">
        <v>9139</v>
      </c>
      <c r="C4561" s="4" t="s">
        <v>19</v>
      </c>
      <c r="D4561" s="4" t="s">
        <v>13</v>
      </c>
      <c r="E4561" s="5">
        <v>341.9024</v>
      </c>
      <c r="F4561" s="5">
        <v>345.6506</v>
      </c>
      <c r="G4561" s="5">
        <v>345.01010000000002</v>
      </c>
      <c r="H4561" s="4">
        <v>5</v>
      </c>
      <c r="I4561" s="6">
        <v>349521</v>
      </c>
      <c r="J4561" s="7">
        <v>175.77</v>
      </c>
      <c r="K4561" s="9">
        <f>(PricingDataTable[[#This Row],[Current Price ($)]]-PricingDataTable[[#This Row],[Prior Price ($)]])/PricingDataTable[[#This Row],[Prior Price ($)]]</f>
        <v>1.0962777681583975E-2</v>
      </c>
      <c r="L4561" s="9">
        <f>(PricingDataTable[[#This Row],[Vendor Price ($)]]-PricingDataTable[[#This Row],[Current Price ($)]])/PricingDataTable[[#This Row],[Current Price ($)]]</f>
        <v>-1.853027305608538E-3</v>
      </c>
      <c r="M4561" t="str">
        <f t="shared" si="142"/>
        <v>STALE</v>
      </c>
      <c r="N4561" s="10" t="str">
        <f t="shared" si="143"/>
        <v>MEDIUM</v>
      </c>
    </row>
    <row r="4562" spans="1:14">
      <c r="A4562" s="4" t="s">
        <v>9140</v>
      </c>
      <c r="B4562" s="4" t="s">
        <v>9141</v>
      </c>
      <c r="C4562" s="4" t="s">
        <v>16</v>
      </c>
      <c r="D4562" s="4" t="s">
        <v>13</v>
      </c>
      <c r="E4562" s="5">
        <v>96.941199999999995</v>
      </c>
      <c r="F4562" s="5">
        <v>96.135999999999996</v>
      </c>
      <c r="G4562" s="5">
        <v>96.010300000000001</v>
      </c>
      <c r="H4562" s="4">
        <v>2</v>
      </c>
      <c r="I4562" s="6">
        <v>2315071</v>
      </c>
      <c r="J4562" s="7">
        <v>333.01</v>
      </c>
      <c r="K4562" s="9">
        <f>(PricingDataTable[[#This Row],[Current Price ($)]]-PricingDataTable[[#This Row],[Prior Price ($)]])/PricingDataTable[[#This Row],[Prior Price ($)]]</f>
        <v>-8.3060659451296183E-3</v>
      </c>
      <c r="L4562" s="9">
        <f>(PricingDataTable[[#This Row],[Vendor Price ($)]]-PricingDataTable[[#This Row],[Current Price ($)]])/PricingDataTable[[#This Row],[Current Price ($)]]</f>
        <v>-1.3075226762086505E-3</v>
      </c>
      <c r="M4562" t="str">
        <f t="shared" si="142"/>
        <v>PASS</v>
      </c>
      <c r="N4562" s="10" t="str">
        <f t="shared" si="143"/>
        <v>NONE</v>
      </c>
    </row>
    <row r="4563" spans="1:14">
      <c r="A4563" s="4" t="s">
        <v>9142</v>
      </c>
      <c r="B4563" s="4" t="s">
        <v>9143</v>
      </c>
      <c r="C4563" s="4" t="s">
        <v>19</v>
      </c>
      <c r="D4563" s="4" t="s">
        <v>13</v>
      </c>
      <c r="E4563" s="5">
        <v>179.577</v>
      </c>
      <c r="F4563" s="5">
        <v>183.3706</v>
      </c>
      <c r="G4563" s="5">
        <v>183.36789999999999</v>
      </c>
      <c r="H4563" s="4">
        <v>0</v>
      </c>
      <c r="I4563" s="6">
        <v>2482740</v>
      </c>
      <c r="J4563" s="7">
        <v>485.59</v>
      </c>
      <c r="K4563" s="9">
        <f>(PricingDataTable[[#This Row],[Current Price ($)]]-PricingDataTable[[#This Row],[Prior Price ($)]])/PricingDataTable[[#This Row],[Prior Price ($)]]</f>
        <v>2.1125199775026856E-2</v>
      </c>
      <c r="L4563" s="9">
        <f>(PricingDataTable[[#This Row],[Vendor Price ($)]]-PricingDataTable[[#This Row],[Current Price ($)]])/PricingDataTable[[#This Row],[Current Price ($)]]</f>
        <v>-1.4724279682808288E-5</v>
      </c>
      <c r="M4563" t="str">
        <f t="shared" si="142"/>
        <v>PASS</v>
      </c>
      <c r="N4563" s="10" t="str">
        <f t="shared" si="143"/>
        <v>NONE</v>
      </c>
    </row>
    <row r="4564" spans="1:14">
      <c r="A4564" s="4" t="s">
        <v>9144</v>
      </c>
      <c r="B4564" s="4" t="s">
        <v>9145</v>
      </c>
      <c r="C4564" s="4" t="s">
        <v>35</v>
      </c>
      <c r="D4564" s="4" t="s">
        <v>13</v>
      </c>
      <c r="E4564" s="5">
        <v>30.336400000000001</v>
      </c>
      <c r="F4564" s="5">
        <v>30.202100000000002</v>
      </c>
      <c r="G4564" s="5">
        <v>30.258099999999999</v>
      </c>
      <c r="H4564" s="4">
        <v>3</v>
      </c>
      <c r="I4564" s="6">
        <v>470447</v>
      </c>
      <c r="J4564" s="7">
        <v>318.7</v>
      </c>
      <c r="K4564" s="9">
        <f>(PricingDataTable[[#This Row],[Current Price ($)]]-PricingDataTable[[#This Row],[Prior Price ($)]])/PricingDataTable[[#This Row],[Prior Price ($)]]</f>
        <v>-4.427024960113911E-3</v>
      </c>
      <c r="L4564" s="9">
        <f>(PricingDataTable[[#This Row],[Vendor Price ($)]]-PricingDataTable[[#This Row],[Current Price ($)]])/PricingDataTable[[#This Row],[Current Price ($)]]</f>
        <v>1.8541757030139422E-3</v>
      </c>
      <c r="M4564" t="str">
        <f t="shared" si="142"/>
        <v>STALE</v>
      </c>
      <c r="N4564" s="10" t="str">
        <f t="shared" si="143"/>
        <v>LOW</v>
      </c>
    </row>
    <row r="4565" spans="1:14">
      <c r="A4565" s="4" t="s">
        <v>9146</v>
      </c>
      <c r="B4565" s="4" t="s">
        <v>9147</v>
      </c>
      <c r="C4565" s="4" t="s">
        <v>35</v>
      </c>
      <c r="D4565" s="4" t="s">
        <v>13</v>
      </c>
      <c r="E4565" s="5">
        <v>56.8003</v>
      </c>
      <c r="F4565" s="5">
        <v>56.155700000000003</v>
      </c>
      <c r="G4565" s="5">
        <v>56.415300000000002</v>
      </c>
      <c r="H4565" s="4">
        <v>0</v>
      </c>
      <c r="I4565" s="6">
        <v>3538589</v>
      </c>
      <c r="J4565" s="7">
        <v>172.46</v>
      </c>
      <c r="K4565" s="9">
        <f>(PricingDataTable[[#This Row],[Current Price ($)]]-PricingDataTable[[#This Row],[Prior Price ($)]])/PricingDataTable[[#This Row],[Prior Price ($)]]</f>
        <v>-1.1348531609868205E-2</v>
      </c>
      <c r="L4565" s="9">
        <f>(PricingDataTable[[#This Row],[Vendor Price ($)]]-PricingDataTable[[#This Row],[Current Price ($)]])/PricingDataTable[[#This Row],[Current Price ($)]]</f>
        <v>4.6228610808875846E-3</v>
      </c>
      <c r="M4565" t="str">
        <f t="shared" si="142"/>
        <v>PASS</v>
      </c>
      <c r="N4565" s="10" t="str">
        <f t="shared" si="143"/>
        <v>NONE</v>
      </c>
    </row>
    <row r="4566" spans="1:14">
      <c r="A4566" s="4" t="s">
        <v>9148</v>
      </c>
      <c r="B4566" s="4" t="s">
        <v>9149</v>
      </c>
      <c r="C4566" s="4" t="s">
        <v>35</v>
      </c>
      <c r="D4566" s="4" t="s">
        <v>13</v>
      </c>
      <c r="E4566" s="5">
        <v>8.2464999999999993</v>
      </c>
      <c r="F4566" s="5">
        <v>8.1513000000000009</v>
      </c>
      <c r="G4566" s="5">
        <v>8.1259999999999994</v>
      </c>
      <c r="H4566" s="4">
        <v>0</v>
      </c>
      <c r="I4566" s="6">
        <v>2938961</v>
      </c>
      <c r="J4566" s="7">
        <v>405.3</v>
      </c>
      <c r="K4566" s="9">
        <f>(PricingDataTable[[#This Row],[Current Price ($)]]-PricingDataTable[[#This Row],[Prior Price ($)]])/PricingDataTable[[#This Row],[Prior Price ($)]]</f>
        <v>-1.1544291517613339E-2</v>
      </c>
      <c r="L4566" s="9">
        <f>(PricingDataTable[[#This Row],[Vendor Price ($)]]-PricingDataTable[[#This Row],[Current Price ($)]])/PricingDataTable[[#This Row],[Current Price ($)]]</f>
        <v>-3.1037993939618748E-3</v>
      </c>
      <c r="M4566" t="str">
        <f t="shared" si="142"/>
        <v>PASS</v>
      </c>
      <c r="N4566" s="10" t="str">
        <f t="shared" si="143"/>
        <v>NONE</v>
      </c>
    </row>
    <row r="4567" spans="1:14">
      <c r="A4567" s="4" t="s">
        <v>9150</v>
      </c>
      <c r="B4567" s="4" t="s">
        <v>9151</v>
      </c>
      <c r="C4567" s="4" t="s">
        <v>35</v>
      </c>
      <c r="D4567" s="4" t="s">
        <v>13</v>
      </c>
      <c r="E4567" s="5">
        <v>82.333299999999994</v>
      </c>
      <c r="F4567" s="5">
        <v>79.016999999999996</v>
      </c>
      <c r="G4567" s="5">
        <v>79.156599999999997</v>
      </c>
      <c r="H4567" s="4">
        <v>3</v>
      </c>
      <c r="I4567" s="6">
        <v>3272071</v>
      </c>
      <c r="J4567" s="7">
        <v>93.25</v>
      </c>
      <c r="K4567" s="9">
        <f>(PricingDataTable[[#This Row],[Current Price ($)]]-PricingDataTable[[#This Row],[Prior Price ($)]])/PricingDataTable[[#This Row],[Prior Price ($)]]</f>
        <v>-4.027896367569378E-2</v>
      </c>
      <c r="L4567" s="9">
        <f>(PricingDataTable[[#This Row],[Vendor Price ($)]]-PricingDataTable[[#This Row],[Current Price ($)]])/PricingDataTable[[#This Row],[Current Price ($)]]</f>
        <v>1.7667084298315743E-3</v>
      </c>
      <c r="M4567" t="str">
        <f t="shared" si="142"/>
        <v>STALE</v>
      </c>
      <c r="N4567" s="10" t="str">
        <f t="shared" si="143"/>
        <v>LOW</v>
      </c>
    </row>
    <row r="4568" spans="1:14">
      <c r="A4568" s="4" t="s">
        <v>9152</v>
      </c>
      <c r="B4568" s="4" t="s">
        <v>9153</v>
      </c>
      <c r="C4568" s="4" t="s">
        <v>19</v>
      </c>
      <c r="D4568" s="4" t="s">
        <v>32</v>
      </c>
      <c r="E4568" s="5">
        <v>93.461399999999998</v>
      </c>
      <c r="F4568" s="5">
        <v>90.971299999999999</v>
      </c>
      <c r="G4568" s="5">
        <v>91.075999999999993</v>
      </c>
      <c r="H4568" s="4">
        <v>0</v>
      </c>
      <c r="I4568" s="6">
        <v>2701126</v>
      </c>
      <c r="J4568" s="7">
        <v>560.41</v>
      </c>
      <c r="K4568" s="9">
        <f>(PricingDataTable[[#This Row],[Current Price ($)]]-PricingDataTable[[#This Row],[Prior Price ($)]])/PricingDataTable[[#This Row],[Prior Price ($)]]</f>
        <v>-2.6643084738726345E-2</v>
      </c>
      <c r="L4568" s="9">
        <f>(PricingDataTable[[#This Row],[Vendor Price ($)]]-PricingDataTable[[#This Row],[Current Price ($)]])/PricingDataTable[[#This Row],[Current Price ($)]]</f>
        <v>1.1509124306236585E-3</v>
      </c>
      <c r="M4568" t="str">
        <f t="shared" si="142"/>
        <v>PASS</v>
      </c>
      <c r="N4568" s="10" t="str">
        <f t="shared" si="143"/>
        <v>NONE</v>
      </c>
    </row>
    <row r="4569" spans="1:14">
      <c r="A4569" s="4" t="s">
        <v>9154</v>
      </c>
      <c r="B4569" s="4" t="s">
        <v>9155</v>
      </c>
      <c r="C4569" s="4" t="s">
        <v>19</v>
      </c>
      <c r="D4569" s="4" t="s">
        <v>32</v>
      </c>
      <c r="E4569" s="5">
        <v>326.42219999999998</v>
      </c>
      <c r="F4569" s="5"/>
      <c r="G4569" s="5">
        <v>322.49720000000002</v>
      </c>
      <c r="H4569" s="4">
        <v>0</v>
      </c>
      <c r="I4569" s="6">
        <v>2665370</v>
      </c>
      <c r="J4569" s="7">
        <v>220.99</v>
      </c>
      <c r="K4569" s="9">
        <f>(PricingDataTable[[#This Row],[Current Price ($)]]-PricingDataTable[[#This Row],[Prior Price ($)]])/PricingDataTable[[#This Row],[Prior Price ($)]]</f>
        <v>-1</v>
      </c>
      <c r="L4569" s="9" t="e">
        <f>(PricingDataTable[[#This Row],[Vendor Price ($)]]-PricingDataTable[[#This Row],[Current Price ($)]])/PricingDataTable[[#This Row],[Current Price ($)]]</f>
        <v>#DIV/0!</v>
      </c>
      <c r="M4569" t="str">
        <f t="shared" si="142"/>
        <v>MISSING</v>
      </c>
      <c r="N4569" s="10" t="str">
        <f t="shared" si="143"/>
        <v>HIGH</v>
      </c>
    </row>
    <row r="4570" spans="1:14">
      <c r="A4570" s="4" t="s">
        <v>9156</v>
      </c>
      <c r="B4570" s="4" t="s">
        <v>9157</v>
      </c>
      <c r="C4570" s="4" t="s">
        <v>19</v>
      </c>
      <c r="D4570" s="4" t="s">
        <v>13</v>
      </c>
      <c r="E4570" s="5">
        <v>158.0617</v>
      </c>
      <c r="F4570" s="5">
        <v>158.90889999999999</v>
      </c>
      <c r="G4570" s="5">
        <v>158.86109999999999</v>
      </c>
      <c r="H4570" s="4">
        <v>1</v>
      </c>
      <c r="I4570" s="6">
        <v>1411489</v>
      </c>
      <c r="J4570" s="7">
        <v>360.02</v>
      </c>
      <c r="K4570" s="9">
        <f>(PricingDataTable[[#This Row],[Current Price ($)]]-PricingDataTable[[#This Row],[Prior Price ($)]])/PricingDataTable[[#This Row],[Prior Price ($)]]</f>
        <v>5.3599322289965669E-3</v>
      </c>
      <c r="L4570" s="9">
        <f>(PricingDataTable[[#This Row],[Vendor Price ($)]]-PricingDataTable[[#This Row],[Current Price ($)]])/PricingDataTable[[#This Row],[Current Price ($)]]</f>
        <v>-3.0080127670630897E-4</v>
      </c>
      <c r="M4570" t="str">
        <f t="shared" si="142"/>
        <v>PASS</v>
      </c>
      <c r="N4570" s="10" t="str">
        <f t="shared" si="143"/>
        <v>NONE</v>
      </c>
    </row>
    <row r="4571" spans="1:14">
      <c r="A4571" s="4" t="s">
        <v>9158</v>
      </c>
      <c r="B4571" s="4" t="s">
        <v>9159</v>
      </c>
      <c r="C4571" s="4" t="s">
        <v>39</v>
      </c>
      <c r="D4571" s="4" t="s">
        <v>13</v>
      </c>
      <c r="E4571" s="5">
        <v>125.5851</v>
      </c>
      <c r="F4571" s="5">
        <v>123.5826</v>
      </c>
      <c r="G4571" s="5">
        <v>123.2907</v>
      </c>
      <c r="H4571" s="4">
        <v>0</v>
      </c>
      <c r="I4571" s="6">
        <v>2553235</v>
      </c>
      <c r="J4571" s="7">
        <v>854.38</v>
      </c>
      <c r="K4571" s="9">
        <f>(PricingDataTable[[#This Row],[Current Price ($)]]-PricingDataTable[[#This Row],[Prior Price ($)]])/PricingDataTable[[#This Row],[Prior Price ($)]]</f>
        <v>-1.5945362945126433E-2</v>
      </c>
      <c r="L4571" s="9">
        <f>(PricingDataTable[[#This Row],[Vendor Price ($)]]-PricingDataTable[[#This Row],[Current Price ($)]])/PricingDataTable[[#This Row],[Current Price ($)]]</f>
        <v>-2.3619829976064453E-3</v>
      </c>
      <c r="M4571" t="str">
        <f t="shared" si="142"/>
        <v>PASS</v>
      </c>
      <c r="N4571" s="10" t="str">
        <f t="shared" si="143"/>
        <v>NONE</v>
      </c>
    </row>
    <row r="4572" spans="1:14">
      <c r="A4572" s="4" t="s">
        <v>9160</v>
      </c>
      <c r="B4572" s="4" t="s">
        <v>9161</v>
      </c>
      <c r="C4572" s="4" t="s">
        <v>35</v>
      </c>
      <c r="D4572" s="4" t="s">
        <v>13</v>
      </c>
      <c r="E4572" s="5">
        <v>152.28270000000001</v>
      </c>
      <c r="F4572" s="5">
        <v>150.7748</v>
      </c>
      <c r="G4572" s="5">
        <v>150.4365</v>
      </c>
      <c r="H4572" s="4">
        <v>0</v>
      </c>
      <c r="I4572" s="6">
        <v>3453682</v>
      </c>
      <c r="J4572" s="7">
        <v>105.82</v>
      </c>
      <c r="K4572" s="9">
        <f>(PricingDataTable[[#This Row],[Current Price ($)]]-PricingDataTable[[#This Row],[Prior Price ($)]])/PricingDataTable[[#This Row],[Prior Price ($)]]</f>
        <v>-9.9019783599844664E-3</v>
      </c>
      <c r="L4572" s="9">
        <f>(PricingDataTable[[#This Row],[Vendor Price ($)]]-PricingDataTable[[#This Row],[Current Price ($)]])/PricingDataTable[[#This Row],[Current Price ($)]]</f>
        <v>-2.2437436494693003E-3</v>
      </c>
      <c r="M4572" t="str">
        <f t="shared" si="142"/>
        <v>PASS</v>
      </c>
      <c r="N4572" s="10" t="str">
        <f t="shared" si="143"/>
        <v>NONE</v>
      </c>
    </row>
    <row r="4573" spans="1:14">
      <c r="A4573" s="4" t="s">
        <v>9162</v>
      </c>
      <c r="B4573" s="4" t="s">
        <v>9163</v>
      </c>
      <c r="C4573" s="4" t="s">
        <v>19</v>
      </c>
      <c r="D4573" s="4" t="s">
        <v>13</v>
      </c>
      <c r="E4573" s="5">
        <v>47.862299999999998</v>
      </c>
      <c r="F4573" s="5">
        <v>48.601799999999997</v>
      </c>
      <c r="G4573" s="5">
        <v>48.215600000000002</v>
      </c>
      <c r="H4573" s="4">
        <v>0</v>
      </c>
      <c r="I4573" s="6">
        <v>3956610</v>
      </c>
      <c r="J4573" s="7">
        <v>592.66</v>
      </c>
      <c r="K4573" s="9">
        <f>(PricingDataTable[[#This Row],[Current Price ($)]]-PricingDataTable[[#This Row],[Prior Price ($)]])/PricingDataTable[[#This Row],[Prior Price ($)]]</f>
        <v>1.5450573833685378E-2</v>
      </c>
      <c r="L4573" s="9">
        <f>(PricingDataTable[[#This Row],[Vendor Price ($)]]-PricingDataTable[[#This Row],[Current Price ($)]])/PricingDataTable[[#This Row],[Current Price ($)]]</f>
        <v>-7.9462077536221962E-3</v>
      </c>
      <c r="M4573" t="str">
        <f t="shared" si="142"/>
        <v>PASS</v>
      </c>
      <c r="N4573" s="10" t="str">
        <f t="shared" si="143"/>
        <v>NONE</v>
      </c>
    </row>
    <row r="4574" spans="1:14">
      <c r="A4574" s="4" t="s">
        <v>9164</v>
      </c>
      <c r="B4574" s="4" t="s">
        <v>9165</v>
      </c>
      <c r="C4574" s="4" t="s">
        <v>12</v>
      </c>
      <c r="D4574" s="4" t="s">
        <v>13</v>
      </c>
      <c r="E4574" s="5">
        <v>103.5812</v>
      </c>
      <c r="F4574" s="5">
        <v>103.6682</v>
      </c>
      <c r="G4574" s="5">
        <v>104.0741</v>
      </c>
      <c r="H4574" s="4">
        <v>0</v>
      </c>
      <c r="I4574" s="6">
        <v>409048</v>
      </c>
      <c r="J4574" s="7">
        <v>734.13</v>
      </c>
      <c r="K4574" s="9">
        <f>(PricingDataTable[[#This Row],[Current Price ($)]]-PricingDataTable[[#This Row],[Prior Price ($)]])/PricingDataTable[[#This Row],[Prior Price ($)]]</f>
        <v>8.3992075782094919E-4</v>
      </c>
      <c r="L4574" s="9">
        <f>(PricingDataTable[[#This Row],[Vendor Price ($)]]-PricingDataTable[[#This Row],[Current Price ($)]])/PricingDataTable[[#This Row],[Current Price ($)]]</f>
        <v>3.9153761712849514E-3</v>
      </c>
      <c r="M4574" t="str">
        <f t="shared" si="142"/>
        <v>PASS</v>
      </c>
      <c r="N4574" s="10" t="str">
        <f t="shared" si="143"/>
        <v>NONE</v>
      </c>
    </row>
    <row r="4575" spans="1:14">
      <c r="A4575" s="4" t="s">
        <v>9166</v>
      </c>
      <c r="B4575" s="4" t="s">
        <v>9167</v>
      </c>
      <c r="C4575" s="4" t="s">
        <v>12</v>
      </c>
      <c r="D4575" s="4" t="s">
        <v>64</v>
      </c>
      <c r="E4575" s="5">
        <v>122.21040000000001</v>
      </c>
      <c r="F4575" s="5">
        <v>121.9855</v>
      </c>
      <c r="G4575" s="5"/>
      <c r="H4575" s="4">
        <v>1</v>
      </c>
      <c r="I4575" s="6">
        <v>16657</v>
      </c>
      <c r="J4575" s="7">
        <v>374.77</v>
      </c>
      <c r="K4575" s="9">
        <f>(PricingDataTable[[#This Row],[Current Price ($)]]-PricingDataTable[[#This Row],[Prior Price ($)]])/PricingDataTable[[#This Row],[Prior Price ($)]]</f>
        <v>-1.8402689132840182E-3</v>
      </c>
      <c r="L4575" s="9">
        <f>(PricingDataTable[[#This Row],[Vendor Price ($)]]-PricingDataTable[[#This Row],[Current Price ($)]])/PricingDataTable[[#This Row],[Current Price ($)]]</f>
        <v>-1</v>
      </c>
      <c r="M4575" t="str">
        <f t="shared" si="142"/>
        <v>VENDOR DIFFERENCE</v>
      </c>
      <c r="N4575" s="10" t="str">
        <f t="shared" si="143"/>
        <v>HIGH</v>
      </c>
    </row>
    <row r="4576" spans="1:14">
      <c r="A4576" s="4" t="s">
        <v>9168</v>
      </c>
      <c r="B4576" s="4" t="s">
        <v>9169</v>
      </c>
      <c r="C4576" s="4" t="s">
        <v>35</v>
      </c>
      <c r="D4576" s="4" t="s">
        <v>36</v>
      </c>
      <c r="E4576" s="5">
        <v>146.97810000000001</v>
      </c>
      <c r="F4576" s="5">
        <v>146.8152</v>
      </c>
      <c r="G4576" s="5">
        <v>146.0994</v>
      </c>
      <c r="H4576" s="4">
        <v>1</v>
      </c>
      <c r="I4576" s="6">
        <v>4687704</v>
      </c>
      <c r="J4576" s="7">
        <v>237.14</v>
      </c>
      <c r="K4576" s="9">
        <f>(PricingDataTable[[#This Row],[Current Price ($)]]-PricingDataTable[[#This Row],[Prior Price ($)]])/PricingDataTable[[#This Row],[Prior Price ($)]]</f>
        <v>-1.1083283836163863E-3</v>
      </c>
      <c r="L4576" s="9">
        <f>(PricingDataTable[[#This Row],[Vendor Price ($)]]-PricingDataTable[[#This Row],[Current Price ($)]])/PricingDataTable[[#This Row],[Current Price ($)]]</f>
        <v>-4.8755169764438666E-3</v>
      </c>
      <c r="M4576" t="str">
        <f t="shared" si="142"/>
        <v>PASS</v>
      </c>
      <c r="N4576" s="10" t="str">
        <f t="shared" si="143"/>
        <v>NONE</v>
      </c>
    </row>
    <row r="4577" spans="1:14">
      <c r="A4577" s="4" t="s">
        <v>9170</v>
      </c>
      <c r="B4577" s="4" t="s">
        <v>9171</v>
      </c>
      <c r="C4577" s="4" t="s">
        <v>19</v>
      </c>
      <c r="D4577" s="4" t="s">
        <v>13</v>
      </c>
      <c r="E4577" s="5">
        <v>17.172599999999999</v>
      </c>
      <c r="F4577" s="5">
        <v>17.555499999999999</v>
      </c>
      <c r="G4577" s="5">
        <v>17.555399999999999</v>
      </c>
      <c r="H4577" s="4">
        <v>3</v>
      </c>
      <c r="I4577" s="6">
        <v>1601889</v>
      </c>
      <c r="J4577" s="7">
        <v>850.67</v>
      </c>
      <c r="K4577" s="9">
        <f>(PricingDataTable[[#This Row],[Current Price ($)]]-PricingDataTable[[#This Row],[Prior Price ($)]])/PricingDataTable[[#This Row],[Prior Price ($)]]</f>
        <v>2.2297147781931644E-2</v>
      </c>
      <c r="L4577" s="9">
        <f>(PricingDataTable[[#This Row],[Vendor Price ($)]]-PricingDataTable[[#This Row],[Current Price ($)]])/PricingDataTable[[#This Row],[Current Price ($)]]</f>
        <v>-5.6962205576467178E-6</v>
      </c>
      <c r="M4577" t="str">
        <f t="shared" si="142"/>
        <v>STALE</v>
      </c>
      <c r="N4577" s="10" t="str">
        <f t="shared" si="143"/>
        <v>LOW</v>
      </c>
    </row>
    <row r="4578" spans="1:14">
      <c r="A4578" s="4" t="s">
        <v>9172</v>
      </c>
      <c r="B4578" s="4" t="s">
        <v>9173</v>
      </c>
      <c r="C4578" s="4" t="s">
        <v>39</v>
      </c>
      <c r="D4578" s="4" t="s">
        <v>13</v>
      </c>
      <c r="E4578" s="5">
        <v>297.28559999999999</v>
      </c>
      <c r="F4578" s="5">
        <v>296.07960000000003</v>
      </c>
      <c r="G4578" s="5">
        <v>296.637</v>
      </c>
      <c r="H4578" s="4">
        <v>0</v>
      </c>
      <c r="I4578" s="6">
        <v>4420608</v>
      </c>
      <c r="J4578" s="7">
        <v>884.41</v>
      </c>
      <c r="K4578" s="9">
        <f>(PricingDataTable[[#This Row],[Current Price ($)]]-PricingDataTable[[#This Row],[Prior Price ($)]])/PricingDataTable[[#This Row],[Prior Price ($)]]</f>
        <v>-4.0567050674501573E-3</v>
      </c>
      <c r="L4578" s="9">
        <f>(PricingDataTable[[#This Row],[Vendor Price ($)]]-PricingDataTable[[#This Row],[Current Price ($)]])/PricingDataTable[[#This Row],[Current Price ($)]]</f>
        <v>1.8826018408562182E-3</v>
      </c>
      <c r="M4578" t="str">
        <f t="shared" si="142"/>
        <v>PASS</v>
      </c>
      <c r="N4578" s="10" t="str">
        <f t="shared" si="143"/>
        <v>NONE</v>
      </c>
    </row>
    <row r="4579" spans="1:14">
      <c r="A4579" s="4" t="s">
        <v>9174</v>
      </c>
      <c r="B4579" s="4" t="s">
        <v>9175</v>
      </c>
      <c r="C4579" s="4" t="s">
        <v>19</v>
      </c>
      <c r="D4579" s="4" t="s">
        <v>13</v>
      </c>
      <c r="E4579" s="5">
        <v>261.37189999999998</v>
      </c>
      <c r="F4579" s="5">
        <v>260.58249999999998</v>
      </c>
      <c r="G4579" s="5">
        <v>261.01830000000001</v>
      </c>
      <c r="H4579" s="4">
        <v>4</v>
      </c>
      <c r="I4579" s="6">
        <v>2271725</v>
      </c>
      <c r="J4579" s="7">
        <v>754.97</v>
      </c>
      <c r="K4579" s="9">
        <f>(PricingDataTable[[#This Row],[Current Price ($)]]-PricingDataTable[[#This Row],[Prior Price ($)]])/PricingDataTable[[#This Row],[Prior Price ($)]]</f>
        <v>-3.020217552078095E-3</v>
      </c>
      <c r="L4579" s="9">
        <f>(PricingDataTable[[#This Row],[Vendor Price ($)]]-PricingDataTable[[#This Row],[Current Price ($)]])/PricingDataTable[[#This Row],[Current Price ($)]]</f>
        <v>1.6724070112153688E-3</v>
      </c>
      <c r="M4579" t="str">
        <f t="shared" si="142"/>
        <v>STALE</v>
      </c>
      <c r="N4579" s="10" t="str">
        <f t="shared" si="143"/>
        <v>LOW</v>
      </c>
    </row>
    <row r="4580" spans="1:14">
      <c r="A4580" s="4" t="s">
        <v>9176</v>
      </c>
      <c r="B4580" s="4" t="s">
        <v>9177</v>
      </c>
      <c r="C4580" s="4" t="s">
        <v>35</v>
      </c>
      <c r="D4580" s="4" t="s">
        <v>13</v>
      </c>
      <c r="E4580" s="5">
        <v>40.847700000000003</v>
      </c>
      <c r="F4580" s="5">
        <v>40.420400000000001</v>
      </c>
      <c r="G4580" s="5">
        <v>40.438200000000002</v>
      </c>
      <c r="H4580" s="4">
        <v>0</v>
      </c>
      <c r="I4580" s="6">
        <v>4284598</v>
      </c>
      <c r="J4580" s="7">
        <v>134.24</v>
      </c>
      <c r="K4580" s="9">
        <f>(PricingDataTable[[#This Row],[Current Price ($)]]-PricingDataTable[[#This Row],[Prior Price ($)]])/PricingDataTable[[#This Row],[Prior Price ($)]]</f>
        <v>-1.0460809298932434E-2</v>
      </c>
      <c r="L4580" s="9">
        <f>(PricingDataTable[[#This Row],[Vendor Price ($)]]-PricingDataTable[[#This Row],[Current Price ($)]])/PricingDataTable[[#This Row],[Current Price ($)]]</f>
        <v>4.4037169350132972E-4</v>
      </c>
      <c r="M4580" t="str">
        <f t="shared" si="142"/>
        <v>PASS</v>
      </c>
      <c r="N4580" s="10" t="str">
        <f t="shared" si="143"/>
        <v>NONE</v>
      </c>
    </row>
    <row r="4581" spans="1:14">
      <c r="A4581" s="4" t="s">
        <v>9178</v>
      </c>
      <c r="B4581" s="4" t="s">
        <v>9179</v>
      </c>
      <c r="C4581" s="4" t="s">
        <v>39</v>
      </c>
      <c r="D4581" s="4" t="s">
        <v>13</v>
      </c>
      <c r="E4581" s="5">
        <v>19.774100000000001</v>
      </c>
      <c r="F4581" s="5">
        <v>19.6892</v>
      </c>
      <c r="G4581" s="5">
        <v>19.587199999999999</v>
      </c>
      <c r="H4581" s="4">
        <v>0</v>
      </c>
      <c r="I4581" s="6">
        <v>4059106</v>
      </c>
      <c r="J4581" s="7">
        <v>593.48</v>
      </c>
      <c r="K4581" s="9">
        <f>(PricingDataTable[[#This Row],[Current Price ($)]]-PricingDataTable[[#This Row],[Prior Price ($)]])/PricingDataTable[[#This Row],[Prior Price ($)]]</f>
        <v>-4.2934950263223649E-3</v>
      </c>
      <c r="L4581" s="9">
        <f>(PricingDataTable[[#This Row],[Vendor Price ($)]]-PricingDataTable[[#This Row],[Current Price ($)]])/PricingDataTable[[#This Row],[Current Price ($)]]</f>
        <v>-5.1805050484529753E-3</v>
      </c>
      <c r="M4581" t="str">
        <f t="shared" si="142"/>
        <v>PASS</v>
      </c>
      <c r="N4581" s="10" t="str">
        <f t="shared" si="143"/>
        <v>NONE</v>
      </c>
    </row>
    <row r="4582" spans="1:14">
      <c r="A4582" s="4" t="s">
        <v>9180</v>
      </c>
      <c r="B4582" s="4" t="s">
        <v>9181</v>
      </c>
      <c r="C4582" s="4" t="s">
        <v>12</v>
      </c>
      <c r="D4582" s="4" t="s">
        <v>13</v>
      </c>
      <c r="E4582" s="5">
        <v>110.61279999999999</v>
      </c>
      <c r="F4582" s="5">
        <v>108.6133</v>
      </c>
      <c r="G4582" s="5">
        <v>108.63679999999999</v>
      </c>
      <c r="H4582" s="4">
        <v>0</v>
      </c>
      <c r="I4582" s="6">
        <v>1181170</v>
      </c>
      <c r="J4582" s="7">
        <v>330.77</v>
      </c>
      <c r="K4582" s="9">
        <f>(PricingDataTable[[#This Row],[Current Price ($)]]-PricingDataTable[[#This Row],[Prior Price ($)]])/PricingDataTable[[#This Row],[Prior Price ($)]]</f>
        <v>-1.8076569800240097E-2</v>
      </c>
      <c r="L4582" s="9">
        <f>(PricingDataTable[[#This Row],[Vendor Price ($)]]-PricingDataTable[[#This Row],[Current Price ($)]])/PricingDataTable[[#This Row],[Current Price ($)]]</f>
        <v>2.1636392596485442E-4</v>
      </c>
      <c r="M4582" t="str">
        <f t="shared" si="142"/>
        <v>PASS</v>
      </c>
      <c r="N4582" s="10" t="str">
        <f t="shared" si="143"/>
        <v>NONE</v>
      </c>
    </row>
    <row r="4583" spans="1:14">
      <c r="A4583" s="4" t="s">
        <v>9182</v>
      </c>
      <c r="B4583" s="4" t="s">
        <v>9183</v>
      </c>
      <c r="C4583" s="4" t="s">
        <v>39</v>
      </c>
      <c r="D4583" s="4" t="s">
        <v>13</v>
      </c>
      <c r="E4583" s="5">
        <v>152.9444</v>
      </c>
      <c r="F4583" s="5">
        <v>154.98699999999999</v>
      </c>
      <c r="G4583" s="5">
        <v>154.77520000000001</v>
      </c>
      <c r="H4583" s="4">
        <v>0</v>
      </c>
      <c r="I4583" s="6">
        <v>1767204</v>
      </c>
      <c r="J4583" s="7">
        <v>107.68</v>
      </c>
      <c r="K4583" s="9">
        <f>(PricingDataTable[[#This Row],[Current Price ($)]]-PricingDataTable[[#This Row],[Prior Price ($)]])/PricingDataTable[[#This Row],[Prior Price ($)]]</f>
        <v>1.3355180052358851E-2</v>
      </c>
      <c r="L4583" s="9">
        <f>(PricingDataTable[[#This Row],[Vendor Price ($)]]-PricingDataTable[[#This Row],[Current Price ($)]])/PricingDataTable[[#This Row],[Current Price ($)]]</f>
        <v>-1.3665662281351497E-3</v>
      </c>
      <c r="M4583" t="str">
        <f t="shared" si="142"/>
        <v>PASS</v>
      </c>
      <c r="N4583" s="10" t="str">
        <f t="shared" si="143"/>
        <v>NONE</v>
      </c>
    </row>
    <row r="4584" spans="1:14">
      <c r="A4584" s="4" t="s">
        <v>9184</v>
      </c>
      <c r="B4584" s="4" t="s">
        <v>9185</v>
      </c>
      <c r="C4584" s="4" t="s">
        <v>19</v>
      </c>
      <c r="D4584" s="4" t="s">
        <v>64</v>
      </c>
      <c r="E4584" s="5">
        <v>348.85680000000002</v>
      </c>
      <c r="F4584" s="5">
        <v>341.76339999999999</v>
      </c>
      <c r="G4584" s="5">
        <v>341.10399999999998</v>
      </c>
      <c r="H4584" s="4">
        <v>0</v>
      </c>
      <c r="I4584" s="6">
        <v>494096</v>
      </c>
      <c r="J4584" s="7">
        <v>532</v>
      </c>
      <c r="K4584" s="9">
        <f>(PricingDataTable[[#This Row],[Current Price ($)]]-PricingDataTable[[#This Row],[Prior Price ($)]])/PricingDataTable[[#This Row],[Prior Price ($)]]</f>
        <v>-2.0333271416810652E-2</v>
      </c>
      <c r="L4584" s="9">
        <f>(PricingDataTable[[#This Row],[Vendor Price ($)]]-PricingDataTable[[#This Row],[Current Price ($)]])/PricingDataTable[[#This Row],[Current Price ($)]]</f>
        <v>-1.929404962614502E-3</v>
      </c>
      <c r="M4584" t="str">
        <f t="shared" si="142"/>
        <v>PASS</v>
      </c>
      <c r="N4584" s="10" t="str">
        <f t="shared" si="143"/>
        <v>NONE</v>
      </c>
    </row>
    <row r="4585" spans="1:14">
      <c r="A4585" s="4" t="s">
        <v>9186</v>
      </c>
      <c r="B4585" s="4" t="s">
        <v>9187</v>
      </c>
      <c r="C4585" s="4" t="s">
        <v>16</v>
      </c>
      <c r="D4585" s="4" t="s">
        <v>13</v>
      </c>
      <c r="E4585" s="5">
        <v>124.2452</v>
      </c>
      <c r="F4585" s="5">
        <v>121.6202</v>
      </c>
      <c r="G4585" s="5">
        <v>122.3918</v>
      </c>
      <c r="H4585" s="4">
        <v>2</v>
      </c>
      <c r="I4585" s="6">
        <v>3169327</v>
      </c>
      <c r="J4585" s="7">
        <v>879.9</v>
      </c>
      <c r="K4585" s="9">
        <f>(PricingDataTable[[#This Row],[Current Price ($)]]-PricingDataTable[[#This Row],[Prior Price ($)]])/PricingDataTable[[#This Row],[Prior Price ($)]]</f>
        <v>-2.1127576759504593E-2</v>
      </c>
      <c r="L4585" s="9">
        <f>(PricingDataTable[[#This Row],[Vendor Price ($)]]-PricingDataTable[[#This Row],[Current Price ($)]])/PricingDataTable[[#This Row],[Current Price ($)]]</f>
        <v>6.3443408249616966E-3</v>
      </c>
      <c r="M4585" t="str">
        <f t="shared" si="142"/>
        <v>PASS</v>
      </c>
      <c r="N4585" s="10" t="str">
        <f t="shared" si="143"/>
        <v>NONE</v>
      </c>
    </row>
    <row r="4586" spans="1:14">
      <c r="A4586" s="4" t="s">
        <v>9188</v>
      </c>
      <c r="B4586" s="4" t="s">
        <v>9189</v>
      </c>
      <c r="C4586" s="4" t="s">
        <v>12</v>
      </c>
      <c r="D4586" s="4" t="s">
        <v>13</v>
      </c>
      <c r="E4586" s="5">
        <v>81.612700000000004</v>
      </c>
      <c r="F4586" s="5">
        <v>80.692700000000002</v>
      </c>
      <c r="G4586" s="5">
        <v>80.984499999999997</v>
      </c>
      <c r="H4586" s="4">
        <v>0</v>
      </c>
      <c r="I4586" s="6">
        <v>4016315</v>
      </c>
      <c r="J4586" s="7">
        <v>861.01</v>
      </c>
      <c r="K4586" s="9">
        <f>(PricingDataTable[[#This Row],[Current Price ($)]]-PricingDataTable[[#This Row],[Prior Price ($)]])/PricingDataTable[[#This Row],[Prior Price ($)]]</f>
        <v>-1.1272755343224788E-2</v>
      </c>
      <c r="L4586" s="9">
        <f>(PricingDataTable[[#This Row],[Vendor Price ($)]]-PricingDataTable[[#This Row],[Current Price ($)]])/PricingDataTable[[#This Row],[Current Price ($)]]</f>
        <v>3.6161883293035794E-3</v>
      </c>
      <c r="M4586" t="str">
        <f t="shared" si="142"/>
        <v>PASS</v>
      </c>
      <c r="N4586" s="10" t="str">
        <f t="shared" si="143"/>
        <v>NONE</v>
      </c>
    </row>
    <row r="4587" spans="1:14">
      <c r="A4587" s="4" t="s">
        <v>9190</v>
      </c>
      <c r="B4587" s="4" t="s">
        <v>9191</v>
      </c>
      <c r="C4587" s="4" t="s">
        <v>19</v>
      </c>
      <c r="D4587" s="4" t="s">
        <v>13</v>
      </c>
      <c r="E4587" s="5">
        <v>195.03569999999999</v>
      </c>
      <c r="F4587" s="5">
        <v>196.79820000000001</v>
      </c>
      <c r="G4587" s="5">
        <v>198.08940000000001</v>
      </c>
      <c r="H4587" s="4">
        <v>0</v>
      </c>
      <c r="I4587" s="6">
        <v>2624856</v>
      </c>
      <c r="J4587" s="7">
        <v>534.30999999999995</v>
      </c>
      <c r="K4587" s="9">
        <f>(PricingDataTable[[#This Row],[Current Price ($)]]-PricingDataTable[[#This Row],[Prior Price ($)]])/PricingDataTable[[#This Row],[Prior Price ($)]]</f>
        <v>9.0368071076219227E-3</v>
      </c>
      <c r="L4587" s="9">
        <f>(PricingDataTable[[#This Row],[Vendor Price ($)]]-PricingDataTable[[#This Row],[Current Price ($)]])/PricingDataTable[[#This Row],[Current Price ($)]]</f>
        <v>6.5610356192282423E-3</v>
      </c>
      <c r="M4587" t="str">
        <f t="shared" si="142"/>
        <v>PASS</v>
      </c>
      <c r="N4587" s="10" t="str">
        <f t="shared" si="143"/>
        <v>NONE</v>
      </c>
    </row>
    <row r="4588" spans="1:14">
      <c r="A4588" s="4" t="s">
        <v>9192</v>
      </c>
      <c r="B4588" s="4" t="s">
        <v>9193</v>
      </c>
      <c r="C4588" s="4" t="s">
        <v>16</v>
      </c>
      <c r="D4588" s="4" t="s">
        <v>13</v>
      </c>
      <c r="E4588" s="5">
        <v>99.425600000000003</v>
      </c>
      <c r="F4588" s="5">
        <v>99.981099999999998</v>
      </c>
      <c r="G4588" s="5">
        <v>99.724400000000003</v>
      </c>
      <c r="H4588" s="4">
        <v>0</v>
      </c>
      <c r="I4588" s="6">
        <v>4258658</v>
      </c>
      <c r="J4588" s="7">
        <v>61.86</v>
      </c>
      <c r="K4588" s="9">
        <f>(PricingDataTable[[#This Row],[Current Price ($)]]-PricingDataTable[[#This Row],[Prior Price ($)]])/PricingDataTable[[#This Row],[Prior Price ($)]]</f>
        <v>5.5870922579294964E-3</v>
      </c>
      <c r="L4588" s="9">
        <f>(PricingDataTable[[#This Row],[Vendor Price ($)]]-PricingDataTable[[#This Row],[Current Price ($)]])/PricingDataTable[[#This Row],[Current Price ($)]]</f>
        <v>-2.5674852547130913E-3</v>
      </c>
      <c r="M4588" t="str">
        <f t="shared" si="142"/>
        <v>PASS</v>
      </c>
      <c r="N4588" s="10" t="str">
        <f t="shared" si="143"/>
        <v>NONE</v>
      </c>
    </row>
    <row r="4589" spans="1:14">
      <c r="A4589" s="4" t="s">
        <v>9194</v>
      </c>
      <c r="B4589" s="4" t="s">
        <v>9195</v>
      </c>
      <c r="C4589" s="4" t="s">
        <v>19</v>
      </c>
      <c r="D4589" s="4" t="s">
        <v>13</v>
      </c>
      <c r="E4589" s="5">
        <v>167.9496</v>
      </c>
      <c r="F4589" s="5">
        <v>167.63749999999999</v>
      </c>
      <c r="G4589" s="5">
        <v>167.00360000000001</v>
      </c>
      <c r="H4589" s="4">
        <v>0</v>
      </c>
      <c r="I4589" s="6">
        <v>1109894</v>
      </c>
      <c r="J4589" s="7">
        <v>867.79</v>
      </c>
      <c r="K4589" s="9">
        <f>(PricingDataTable[[#This Row],[Current Price ($)]]-PricingDataTable[[#This Row],[Prior Price ($)]])/PricingDataTable[[#This Row],[Prior Price ($)]]</f>
        <v>-1.8582955839133593E-3</v>
      </c>
      <c r="L4589" s="9">
        <f>(PricingDataTable[[#This Row],[Vendor Price ($)]]-PricingDataTable[[#This Row],[Current Price ($)]])/PricingDataTable[[#This Row],[Current Price ($)]]</f>
        <v>-3.7813734993660895E-3</v>
      </c>
      <c r="M4589" t="str">
        <f t="shared" si="142"/>
        <v>PASS</v>
      </c>
      <c r="N4589" s="10" t="str">
        <f t="shared" si="143"/>
        <v>NONE</v>
      </c>
    </row>
    <row r="4590" spans="1:14">
      <c r="A4590" s="4" t="s">
        <v>9196</v>
      </c>
      <c r="B4590" s="4" t="s">
        <v>9197</v>
      </c>
      <c r="C4590" s="4" t="s">
        <v>19</v>
      </c>
      <c r="D4590" s="4" t="s">
        <v>13</v>
      </c>
      <c r="E4590" s="5">
        <v>229.6738</v>
      </c>
      <c r="F4590" s="5">
        <v>232.0753</v>
      </c>
      <c r="G4590" s="5">
        <v>232.74979999999999</v>
      </c>
      <c r="H4590" s="4">
        <v>0</v>
      </c>
      <c r="I4590" s="6">
        <v>4488496</v>
      </c>
      <c r="J4590" s="7">
        <v>445.1</v>
      </c>
      <c r="K4590" s="9">
        <f>(PricingDataTable[[#This Row],[Current Price ($)]]-PricingDataTable[[#This Row],[Prior Price ($)]])/PricingDataTable[[#This Row],[Prior Price ($)]]</f>
        <v>1.0456133873345583E-2</v>
      </c>
      <c r="L4590" s="9">
        <f>(PricingDataTable[[#This Row],[Vendor Price ($)]]-PricingDataTable[[#This Row],[Current Price ($)]])/PricingDataTable[[#This Row],[Current Price ($)]]</f>
        <v>2.9063842640728883E-3</v>
      </c>
      <c r="M4590" t="str">
        <f t="shared" si="142"/>
        <v>PASS</v>
      </c>
      <c r="N4590" s="10" t="str">
        <f t="shared" si="143"/>
        <v>NONE</v>
      </c>
    </row>
    <row r="4591" spans="1:14">
      <c r="A4591" s="4" t="s">
        <v>9198</v>
      </c>
      <c r="B4591" s="4" t="s">
        <v>9199</v>
      </c>
      <c r="C4591" s="4" t="s">
        <v>19</v>
      </c>
      <c r="D4591" s="4" t="s">
        <v>13</v>
      </c>
      <c r="E4591" s="5">
        <v>15.617000000000001</v>
      </c>
      <c r="F4591" s="5">
        <v>15.317</v>
      </c>
      <c r="G4591" s="5">
        <v>15.243499999999999</v>
      </c>
      <c r="H4591" s="4">
        <v>0</v>
      </c>
      <c r="I4591" s="6">
        <v>4131915</v>
      </c>
      <c r="J4591" s="7">
        <v>95.78</v>
      </c>
      <c r="K4591" s="9">
        <f>(PricingDataTable[[#This Row],[Current Price ($)]]-PricingDataTable[[#This Row],[Prior Price ($)]])/PricingDataTable[[#This Row],[Prior Price ($)]]</f>
        <v>-1.9209835435743144E-2</v>
      </c>
      <c r="L4591" s="9">
        <f>(PricingDataTable[[#This Row],[Vendor Price ($)]]-PricingDataTable[[#This Row],[Current Price ($)]])/PricingDataTable[[#This Row],[Current Price ($)]]</f>
        <v>-4.7985898021806498E-3</v>
      </c>
      <c r="M4591" t="str">
        <f t="shared" si="142"/>
        <v>PASS</v>
      </c>
      <c r="N4591" s="10" t="str">
        <f t="shared" si="143"/>
        <v>NONE</v>
      </c>
    </row>
    <row r="4592" spans="1:14">
      <c r="A4592" s="4" t="s">
        <v>9200</v>
      </c>
      <c r="B4592" s="4" t="s">
        <v>9201</v>
      </c>
      <c r="C4592" s="4" t="s">
        <v>19</v>
      </c>
      <c r="D4592" s="4" t="s">
        <v>13</v>
      </c>
      <c r="E4592" s="5">
        <v>163.9477</v>
      </c>
      <c r="F4592" s="5">
        <v>163.23419999999999</v>
      </c>
      <c r="G4592" s="5">
        <v>162.77010000000001</v>
      </c>
      <c r="H4592" s="4">
        <v>2</v>
      </c>
      <c r="I4592" s="6">
        <v>3072705</v>
      </c>
      <c r="J4592" s="7">
        <v>487.65</v>
      </c>
      <c r="K4592" s="9">
        <f>(PricingDataTable[[#This Row],[Current Price ($)]]-PricingDataTable[[#This Row],[Prior Price ($)]])/PricingDataTable[[#This Row],[Prior Price ($)]]</f>
        <v>-4.3519976187528734E-3</v>
      </c>
      <c r="L4592" s="9">
        <f>(PricingDataTable[[#This Row],[Vendor Price ($)]]-PricingDataTable[[#This Row],[Current Price ($)]])/PricingDataTable[[#This Row],[Current Price ($)]]</f>
        <v>-2.8431541919522597E-3</v>
      </c>
      <c r="M4592" t="str">
        <f t="shared" si="142"/>
        <v>PASS</v>
      </c>
      <c r="N4592" s="10" t="str">
        <f t="shared" si="143"/>
        <v>NONE</v>
      </c>
    </row>
    <row r="4593" spans="1:14">
      <c r="A4593" s="4" t="s">
        <v>9202</v>
      </c>
      <c r="B4593" s="4" t="s">
        <v>9203</v>
      </c>
      <c r="C4593" s="4" t="s">
        <v>19</v>
      </c>
      <c r="D4593" s="4" t="s">
        <v>13</v>
      </c>
      <c r="E4593" s="5">
        <v>328.16890000000001</v>
      </c>
      <c r="F4593" s="5">
        <v>329.38830000000002</v>
      </c>
      <c r="G4593" s="5">
        <v>329.56639999999999</v>
      </c>
      <c r="H4593" s="4">
        <v>3</v>
      </c>
      <c r="I4593" s="6">
        <v>3482357</v>
      </c>
      <c r="J4593" s="7">
        <v>446.25</v>
      </c>
      <c r="K4593" s="9">
        <f>(PricingDataTable[[#This Row],[Current Price ($)]]-PricingDataTable[[#This Row],[Prior Price ($)]])/PricingDataTable[[#This Row],[Prior Price ($)]]</f>
        <v>3.7157695320915764E-3</v>
      </c>
      <c r="L4593" s="9">
        <f>(PricingDataTable[[#This Row],[Vendor Price ($)]]-PricingDataTable[[#This Row],[Current Price ($)]])/PricingDataTable[[#This Row],[Current Price ($)]]</f>
        <v>5.4069922945038475E-4</v>
      </c>
      <c r="M4593" t="str">
        <f t="shared" si="142"/>
        <v>STALE</v>
      </c>
      <c r="N4593" s="10" t="str">
        <f t="shared" si="143"/>
        <v>LOW</v>
      </c>
    </row>
    <row r="4594" spans="1:14">
      <c r="A4594" s="4" t="s">
        <v>9204</v>
      </c>
      <c r="B4594" s="4" t="s">
        <v>9205</v>
      </c>
      <c r="C4594" s="4" t="s">
        <v>39</v>
      </c>
      <c r="D4594" s="4" t="s">
        <v>13</v>
      </c>
      <c r="E4594" s="5">
        <v>110.3938</v>
      </c>
      <c r="F4594" s="5">
        <v>107.9491</v>
      </c>
      <c r="G4594" s="5">
        <v>107.7454</v>
      </c>
      <c r="H4594" s="4">
        <v>0</v>
      </c>
      <c r="I4594" s="6">
        <v>1143331</v>
      </c>
      <c r="J4594" s="7">
        <v>109.26</v>
      </c>
      <c r="K4594" s="9">
        <f>(PricingDataTable[[#This Row],[Current Price ($)]]-PricingDataTable[[#This Row],[Prior Price ($)]])/PricingDataTable[[#This Row],[Prior Price ($)]]</f>
        <v>-2.2145265404397686E-2</v>
      </c>
      <c r="L4594" s="9">
        <f>(PricingDataTable[[#This Row],[Vendor Price ($)]]-PricingDataTable[[#This Row],[Current Price ($)]])/PricingDataTable[[#This Row],[Current Price ($)]]</f>
        <v>-1.8870004474330752E-3</v>
      </c>
      <c r="M4594" t="str">
        <f t="shared" si="142"/>
        <v>PASS</v>
      </c>
      <c r="N4594" s="10" t="str">
        <f t="shared" si="143"/>
        <v>NONE</v>
      </c>
    </row>
    <row r="4595" spans="1:14">
      <c r="A4595" s="4" t="s">
        <v>9206</v>
      </c>
      <c r="B4595" s="4" t="s">
        <v>9207</v>
      </c>
      <c r="C4595" s="4" t="s">
        <v>12</v>
      </c>
      <c r="D4595" s="4" t="s">
        <v>13</v>
      </c>
      <c r="E4595" s="5">
        <v>87.377700000000004</v>
      </c>
      <c r="F4595" s="5">
        <v>88.649900000000002</v>
      </c>
      <c r="G4595" s="5">
        <v>88.613500000000002</v>
      </c>
      <c r="H4595" s="4">
        <v>1</v>
      </c>
      <c r="I4595" s="6">
        <v>4209545</v>
      </c>
      <c r="J4595" s="7">
        <v>144.01</v>
      </c>
      <c r="K4595" s="9">
        <f>(PricingDataTable[[#This Row],[Current Price ($)]]-PricingDataTable[[#This Row],[Prior Price ($)]])/PricingDataTable[[#This Row],[Prior Price ($)]]</f>
        <v>1.4559778982509243E-2</v>
      </c>
      <c r="L4595" s="9">
        <f>(PricingDataTable[[#This Row],[Vendor Price ($)]]-PricingDataTable[[#This Row],[Current Price ($)]])/PricingDataTable[[#This Row],[Current Price ($)]]</f>
        <v>-4.1060396007215383E-4</v>
      </c>
      <c r="M4595" t="str">
        <f t="shared" si="142"/>
        <v>PASS</v>
      </c>
      <c r="N4595" s="10" t="str">
        <f t="shared" si="143"/>
        <v>NONE</v>
      </c>
    </row>
    <row r="4596" spans="1:14">
      <c r="A4596" s="4" t="s">
        <v>9208</v>
      </c>
      <c r="B4596" s="4" t="s">
        <v>9209</v>
      </c>
      <c r="C4596" s="4" t="s">
        <v>16</v>
      </c>
      <c r="D4596" s="4" t="s">
        <v>13</v>
      </c>
      <c r="E4596" s="5">
        <v>113.71469999999999</v>
      </c>
      <c r="F4596" s="5">
        <v>110.3389</v>
      </c>
      <c r="G4596" s="5">
        <v>110.363</v>
      </c>
      <c r="H4596" s="4">
        <v>0</v>
      </c>
      <c r="I4596" s="6">
        <v>1909485</v>
      </c>
      <c r="J4596" s="7">
        <v>170.18</v>
      </c>
      <c r="K4596" s="9">
        <f>(PricingDataTable[[#This Row],[Current Price ($)]]-PricingDataTable[[#This Row],[Prior Price ($)]])/PricingDataTable[[#This Row],[Prior Price ($)]]</f>
        <v>-2.9686575262477043E-2</v>
      </c>
      <c r="L4596" s="9">
        <f>(PricingDataTable[[#This Row],[Vendor Price ($)]]-PricingDataTable[[#This Row],[Current Price ($)]])/PricingDataTable[[#This Row],[Current Price ($)]]</f>
        <v>2.184179831410702E-4</v>
      </c>
      <c r="M4596" t="str">
        <f t="shared" si="142"/>
        <v>PASS</v>
      </c>
      <c r="N4596" s="10" t="str">
        <f t="shared" si="143"/>
        <v>NONE</v>
      </c>
    </row>
    <row r="4597" spans="1:14">
      <c r="A4597" s="4" t="s">
        <v>9210</v>
      </c>
      <c r="B4597" s="4" t="s">
        <v>9211</v>
      </c>
      <c r="C4597" s="4" t="s">
        <v>39</v>
      </c>
      <c r="D4597" s="4" t="s">
        <v>13</v>
      </c>
      <c r="E4597" s="5">
        <v>288.14879999999999</v>
      </c>
      <c r="F4597" s="5">
        <v>287.69810000000001</v>
      </c>
      <c r="G4597" s="5">
        <v>288.16000000000003</v>
      </c>
      <c r="H4597" s="4">
        <v>0</v>
      </c>
      <c r="I4597" s="6">
        <v>2432710</v>
      </c>
      <c r="J4597" s="7">
        <v>298.70999999999998</v>
      </c>
      <c r="K4597" s="9">
        <f>(PricingDataTable[[#This Row],[Current Price ($)]]-PricingDataTable[[#This Row],[Prior Price ($)]])/PricingDataTable[[#This Row],[Prior Price ($)]]</f>
        <v>-1.5641224256355865E-3</v>
      </c>
      <c r="L4597" s="9">
        <f>(PricingDataTable[[#This Row],[Vendor Price ($)]]-PricingDataTable[[#This Row],[Current Price ($)]])/PricingDataTable[[#This Row],[Current Price ($)]]</f>
        <v>1.6055024346702817E-3</v>
      </c>
      <c r="M4597" t="str">
        <f t="shared" si="142"/>
        <v>PASS</v>
      </c>
      <c r="N4597" s="10" t="str">
        <f t="shared" si="143"/>
        <v>NONE</v>
      </c>
    </row>
    <row r="4598" spans="1:14">
      <c r="A4598" s="4" t="s">
        <v>9212</v>
      </c>
      <c r="B4598" s="4" t="s">
        <v>9213</v>
      </c>
      <c r="C4598" s="4" t="s">
        <v>35</v>
      </c>
      <c r="D4598" s="4" t="s">
        <v>237</v>
      </c>
      <c r="E4598" s="5">
        <v>67.075500000000005</v>
      </c>
      <c r="F4598" s="5">
        <v>65.331999999999994</v>
      </c>
      <c r="G4598" s="5">
        <v>65.146299999999997</v>
      </c>
      <c r="H4598" s="4">
        <v>5</v>
      </c>
      <c r="I4598" s="6">
        <v>580091</v>
      </c>
      <c r="J4598" s="7">
        <v>827.8</v>
      </c>
      <c r="K4598" s="9">
        <f>(PricingDataTable[[#This Row],[Current Price ($)]]-PricingDataTable[[#This Row],[Prior Price ($)]])/PricingDataTable[[#This Row],[Prior Price ($)]]</f>
        <v>-2.5993097330620146E-2</v>
      </c>
      <c r="L4598" s="9">
        <f>(PricingDataTable[[#This Row],[Vendor Price ($)]]-PricingDataTable[[#This Row],[Current Price ($)]])/PricingDataTable[[#This Row],[Current Price ($)]]</f>
        <v>-2.8424049470396912E-3</v>
      </c>
      <c r="M4598" t="str">
        <f t="shared" si="142"/>
        <v>STALE</v>
      </c>
      <c r="N4598" s="10" t="str">
        <f t="shared" si="143"/>
        <v>MEDIUM</v>
      </c>
    </row>
    <row r="4599" spans="1:14">
      <c r="A4599" s="4" t="s">
        <v>9214</v>
      </c>
      <c r="B4599" s="4" t="s">
        <v>9215</v>
      </c>
      <c r="C4599" s="4" t="s">
        <v>19</v>
      </c>
      <c r="D4599" s="4" t="s">
        <v>13</v>
      </c>
      <c r="E4599" s="5">
        <v>174.22669999999999</v>
      </c>
      <c r="F4599" s="5">
        <v>172.14160000000001</v>
      </c>
      <c r="G4599" s="5">
        <v>172.59450000000001</v>
      </c>
      <c r="H4599" s="4">
        <v>0</v>
      </c>
      <c r="I4599" s="6">
        <v>1579383</v>
      </c>
      <c r="J4599" s="7">
        <v>524.39</v>
      </c>
      <c r="K4599" s="9">
        <f>(PricingDataTable[[#This Row],[Current Price ($)]]-PricingDataTable[[#This Row],[Prior Price ($)]])/PricingDataTable[[#This Row],[Prior Price ($)]]</f>
        <v>-1.1967740880129068E-2</v>
      </c>
      <c r="L4599" s="9">
        <f>(PricingDataTable[[#This Row],[Vendor Price ($)]]-PricingDataTable[[#This Row],[Current Price ($)]])/PricingDataTable[[#This Row],[Current Price ($)]]</f>
        <v>2.6309735705953683E-3</v>
      </c>
      <c r="M4599" t="str">
        <f t="shared" si="142"/>
        <v>PASS</v>
      </c>
      <c r="N4599" s="10" t="str">
        <f t="shared" si="143"/>
        <v>NONE</v>
      </c>
    </row>
    <row r="4600" spans="1:14">
      <c r="A4600" s="4" t="s">
        <v>9216</v>
      </c>
      <c r="B4600" s="4" t="s">
        <v>9217</v>
      </c>
      <c r="C4600" s="4" t="s">
        <v>19</v>
      </c>
      <c r="D4600" s="4" t="s">
        <v>13</v>
      </c>
      <c r="E4600" s="5">
        <v>11.797499999999999</v>
      </c>
      <c r="F4600" s="5">
        <v>11.903499999999999</v>
      </c>
      <c r="G4600" s="5">
        <v>11.9505</v>
      </c>
      <c r="H4600" s="4">
        <v>3</v>
      </c>
      <c r="I4600" s="6">
        <v>3938677</v>
      </c>
      <c r="J4600" s="7">
        <v>854.97</v>
      </c>
      <c r="K4600" s="9">
        <f>(PricingDataTable[[#This Row],[Current Price ($)]]-PricingDataTable[[#This Row],[Prior Price ($)]])/PricingDataTable[[#This Row],[Prior Price ($)]]</f>
        <v>8.9849544394998843E-3</v>
      </c>
      <c r="L4600" s="9">
        <f>(PricingDataTable[[#This Row],[Vendor Price ($)]]-PricingDataTable[[#This Row],[Current Price ($)]])/PricingDataTable[[#This Row],[Current Price ($)]]</f>
        <v>3.948418532364481E-3</v>
      </c>
      <c r="M4600" t="str">
        <f t="shared" si="142"/>
        <v>STALE</v>
      </c>
      <c r="N4600" s="10" t="str">
        <f t="shared" si="143"/>
        <v>LOW</v>
      </c>
    </row>
    <row r="4601" spans="1:14">
      <c r="A4601" s="4" t="s">
        <v>9218</v>
      </c>
      <c r="B4601" s="4" t="s">
        <v>9219</v>
      </c>
      <c r="C4601" s="4" t="s">
        <v>19</v>
      </c>
      <c r="D4601" s="4" t="s">
        <v>13</v>
      </c>
      <c r="E4601" s="5">
        <v>337.01560000000001</v>
      </c>
      <c r="F4601" s="5">
        <v>336.13099999999997</v>
      </c>
      <c r="G4601" s="5">
        <v>336.33080000000001</v>
      </c>
      <c r="H4601" s="4">
        <v>0</v>
      </c>
      <c r="I4601" s="6">
        <v>3977110</v>
      </c>
      <c r="J4601" s="7">
        <v>574.78</v>
      </c>
      <c r="K4601" s="9">
        <f>(PricingDataTable[[#This Row],[Current Price ($)]]-PricingDataTable[[#This Row],[Prior Price ($)]])/PricingDataTable[[#This Row],[Prior Price ($)]]</f>
        <v>-2.6248043117292922E-3</v>
      </c>
      <c r="L4601" s="9">
        <f>(PricingDataTable[[#This Row],[Vendor Price ($)]]-PricingDataTable[[#This Row],[Current Price ($)]])/PricingDataTable[[#This Row],[Current Price ($)]]</f>
        <v>5.9441110757424594E-4</v>
      </c>
      <c r="M4601" t="str">
        <f t="shared" si="142"/>
        <v>PASS</v>
      </c>
      <c r="N4601" s="10" t="str">
        <f t="shared" si="143"/>
        <v>NONE</v>
      </c>
    </row>
    <row r="4602" spans="1:14">
      <c r="A4602" s="4" t="s">
        <v>9220</v>
      </c>
      <c r="B4602" s="4" t="s">
        <v>9221</v>
      </c>
      <c r="C4602" s="4" t="s">
        <v>35</v>
      </c>
      <c r="D4602" s="4" t="s">
        <v>13</v>
      </c>
      <c r="E4602" s="5">
        <v>169.36269999999999</v>
      </c>
      <c r="F4602" s="5">
        <v>167.0684</v>
      </c>
      <c r="G4602" s="5">
        <v>166.81129999999999</v>
      </c>
      <c r="H4602" s="4">
        <v>1</v>
      </c>
      <c r="I4602" s="6">
        <v>3042311</v>
      </c>
      <c r="J4602" s="7">
        <v>451.99</v>
      </c>
      <c r="K4602" s="9">
        <f>(PricingDataTable[[#This Row],[Current Price ($)]]-PricingDataTable[[#This Row],[Prior Price ($)]])/PricingDataTable[[#This Row],[Prior Price ($)]]</f>
        <v>-1.3546666414741811E-2</v>
      </c>
      <c r="L4602" s="9">
        <f>(PricingDataTable[[#This Row],[Vendor Price ($)]]-PricingDataTable[[#This Row],[Current Price ($)]])/PricingDataTable[[#This Row],[Current Price ($)]]</f>
        <v>-1.5388906579581077E-3</v>
      </c>
      <c r="M4602" t="str">
        <f t="shared" si="142"/>
        <v>PASS</v>
      </c>
      <c r="N4602" s="10" t="str">
        <f t="shared" si="143"/>
        <v>NONE</v>
      </c>
    </row>
    <row r="4603" spans="1:14">
      <c r="A4603" s="4" t="s">
        <v>9222</v>
      </c>
      <c r="B4603" s="4" t="s">
        <v>9223</v>
      </c>
      <c r="C4603" s="4" t="s">
        <v>12</v>
      </c>
      <c r="D4603" s="4" t="s">
        <v>13</v>
      </c>
      <c r="E4603" s="5">
        <v>110.7655</v>
      </c>
      <c r="F4603" s="5">
        <v>109.70140000000001</v>
      </c>
      <c r="G4603" s="5">
        <v>109.6803</v>
      </c>
      <c r="H4603" s="4">
        <v>2</v>
      </c>
      <c r="I4603" s="6">
        <v>4378986</v>
      </c>
      <c r="J4603" s="7">
        <v>3.81</v>
      </c>
      <c r="K4603" s="9">
        <f>(PricingDataTable[[#This Row],[Current Price ($)]]-PricingDataTable[[#This Row],[Prior Price ($)]])/PricingDataTable[[#This Row],[Prior Price ($)]]</f>
        <v>-9.6067818950846262E-3</v>
      </c>
      <c r="L4603" s="9">
        <f>(PricingDataTable[[#This Row],[Vendor Price ($)]]-PricingDataTable[[#This Row],[Current Price ($)]])/PricingDataTable[[#This Row],[Current Price ($)]]</f>
        <v>-1.9234029830069729E-4</v>
      </c>
      <c r="M4603" t="str">
        <f t="shared" si="142"/>
        <v>PASS</v>
      </c>
      <c r="N4603" s="10" t="str">
        <f t="shared" si="143"/>
        <v>NONE</v>
      </c>
    </row>
    <row r="4604" spans="1:14">
      <c r="A4604" s="4" t="s">
        <v>9224</v>
      </c>
      <c r="B4604" s="4" t="s">
        <v>9225</v>
      </c>
      <c r="C4604" s="4" t="s">
        <v>16</v>
      </c>
      <c r="D4604" s="4" t="s">
        <v>13</v>
      </c>
      <c r="E4604" s="5">
        <v>75.8994</v>
      </c>
      <c r="F4604" s="5">
        <v>76.645899999999997</v>
      </c>
      <c r="G4604" s="5">
        <v>76.796000000000006</v>
      </c>
      <c r="H4604" s="4">
        <v>0</v>
      </c>
      <c r="I4604" s="6">
        <v>3325568</v>
      </c>
      <c r="J4604" s="7">
        <v>220.97</v>
      </c>
      <c r="K4604" s="9">
        <f>(PricingDataTable[[#This Row],[Current Price ($)]]-PricingDataTable[[#This Row],[Prior Price ($)]])/PricingDataTable[[#This Row],[Prior Price ($)]]</f>
        <v>9.8353873680160509E-3</v>
      </c>
      <c r="L4604" s="9">
        <f>(PricingDataTable[[#This Row],[Vendor Price ($)]]-PricingDataTable[[#This Row],[Current Price ($)]])/PricingDataTable[[#This Row],[Current Price ($)]]</f>
        <v>1.9583565461428337E-3</v>
      </c>
      <c r="M4604" t="str">
        <f t="shared" si="142"/>
        <v>PASS</v>
      </c>
      <c r="N4604" s="10" t="str">
        <f t="shared" si="143"/>
        <v>NONE</v>
      </c>
    </row>
    <row r="4605" spans="1:14">
      <c r="A4605" s="4" t="s">
        <v>9226</v>
      </c>
      <c r="B4605" s="4" t="s">
        <v>9227</v>
      </c>
      <c r="C4605" s="4" t="s">
        <v>19</v>
      </c>
      <c r="D4605" s="4" t="s">
        <v>13</v>
      </c>
      <c r="E4605" s="5">
        <v>20.523700000000002</v>
      </c>
      <c r="F4605" s="5">
        <v>20.694800000000001</v>
      </c>
      <c r="G4605" s="5">
        <v>20.7394</v>
      </c>
      <c r="H4605" s="4">
        <v>0</v>
      </c>
      <c r="I4605" s="6">
        <v>2741841</v>
      </c>
      <c r="J4605" s="7">
        <v>891.16</v>
      </c>
      <c r="K4605" s="9">
        <f>(PricingDataTable[[#This Row],[Current Price ($)]]-PricingDataTable[[#This Row],[Prior Price ($)]])/PricingDataTable[[#This Row],[Prior Price ($)]]</f>
        <v>8.3367034209230854E-3</v>
      </c>
      <c r="L4605" s="9">
        <f>(PricingDataTable[[#This Row],[Vendor Price ($)]]-PricingDataTable[[#This Row],[Current Price ($)]])/PricingDataTable[[#This Row],[Current Price ($)]]</f>
        <v>2.155130757484928E-3</v>
      </c>
      <c r="M4605" t="str">
        <f t="shared" si="142"/>
        <v>PASS</v>
      </c>
      <c r="N4605" s="10" t="str">
        <f t="shared" si="143"/>
        <v>NONE</v>
      </c>
    </row>
    <row r="4606" spans="1:14">
      <c r="A4606" s="4" t="s">
        <v>9228</v>
      </c>
      <c r="B4606" s="4" t="s">
        <v>9229</v>
      </c>
      <c r="C4606" s="4" t="s">
        <v>39</v>
      </c>
      <c r="D4606" s="4" t="s">
        <v>13</v>
      </c>
      <c r="E4606" s="5">
        <v>341.19170000000003</v>
      </c>
      <c r="F4606" s="5">
        <v>341.8159</v>
      </c>
      <c r="G4606" s="5">
        <v>341.48660000000001</v>
      </c>
      <c r="H4606" s="4">
        <v>0</v>
      </c>
      <c r="I4606" s="6">
        <v>1998760</v>
      </c>
      <c r="J4606" s="7">
        <v>293.14</v>
      </c>
      <c r="K4606" s="9">
        <f>(PricingDataTable[[#This Row],[Current Price ($)]]-PricingDataTable[[#This Row],[Prior Price ($)]])/PricingDataTable[[#This Row],[Prior Price ($)]]</f>
        <v>1.8294700603794683E-3</v>
      </c>
      <c r="L4606" s="9">
        <f>(PricingDataTable[[#This Row],[Vendor Price ($)]]-PricingDataTable[[#This Row],[Current Price ($)]])/PricingDataTable[[#This Row],[Current Price ($)]]</f>
        <v>-9.6338409067568025E-4</v>
      </c>
      <c r="M4606" t="str">
        <f t="shared" si="142"/>
        <v>PASS</v>
      </c>
      <c r="N4606" s="10" t="str">
        <f t="shared" si="143"/>
        <v>NONE</v>
      </c>
    </row>
    <row r="4607" spans="1:14">
      <c r="A4607" s="4" t="s">
        <v>9230</v>
      </c>
      <c r="B4607" s="4" t="s">
        <v>9231</v>
      </c>
      <c r="C4607" s="4" t="s">
        <v>19</v>
      </c>
      <c r="D4607" s="4" t="s">
        <v>13</v>
      </c>
      <c r="E4607" s="5">
        <v>169.35429999999999</v>
      </c>
      <c r="F4607" s="5">
        <v>168.5513</v>
      </c>
      <c r="G4607" s="5">
        <v>168.56950000000001</v>
      </c>
      <c r="H4607" s="4">
        <v>0</v>
      </c>
      <c r="I4607" s="6">
        <v>1134800</v>
      </c>
      <c r="J4607" s="7">
        <v>595.76</v>
      </c>
      <c r="K4607" s="9">
        <f>(PricingDataTable[[#This Row],[Current Price ($)]]-PricingDataTable[[#This Row],[Prior Price ($)]])/PricingDataTable[[#This Row],[Prior Price ($)]]</f>
        <v>-4.7415388921332215E-3</v>
      </c>
      <c r="L4607" s="9">
        <f>(PricingDataTable[[#This Row],[Vendor Price ($)]]-PricingDataTable[[#This Row],[Current Price ($)]])/PricingDataTable[[#This Row],[Current Price ($)]]</f>
        <v>1.0797899511903688E-4</v>
      </c>
      <c r="M4607" t="str">
        <f t="shared" si="142"/>
        <v>PASS</v>
      </c>
      <c r="N4607" s="10" t="str">
        <f t="shared" si="143"/>
        <v>NONE</v>
      </c>
    </row>
    <row r="4608" spans="1:14">
      <c r="A4608" s="4" t="s">
        <v>9232</v>
      </c>
      <c r="B4608" s="4" t="s">
        <v>9233</v>
      </c>
      <c r="C4608" s="4" t="s">
        <v>19</v>
      </c>
      <c r="D4608" s="4" t="s">
        <v>13</v>
      </c>
      <c r="E4608" s="5">
        <v>60.697800000000001</v>
      </c>
      <c r="F4608" s="5">
        <v>60.760599999999997</v>
      </c>
      <c r="G4608" s="5">
        <v>61.032400000000003</v>
      </c>
      <c r="H4608" s="4">
        <v>0</v>
      </c>
      <c r="I4608" s="6">
        <v>380834</v>
      </c>
      <c r="J4608" s="7">
        <v>50.01</v>
      </c>
      <c r="K4608" s="9">
        <f>(PricingDataTable[[#This Row],[Current Price ($)]]-PricingDataTable[[#This Row],[Prior Price ($)]])/PricingDataTable[[#This Row],[Prior Price ($)]]</f>
        <v>1.0346338747037906E-3</v>
      </c>
      <c r="L4608" s="9">
        <f>(PricingDataTable[[#This Row],[Vendor Price ($)]]-PricingDataTable[[#This Row],[Current Price ($)]])/PricingDataTable[[#This Row],[Current Price ($)]]</f>
        <v>4.4732935487800654E-3</v>
      </c>
      <c r="M4608" t="str">
        <f t="shared" si="142"/>
        <v>PASS</v>
      </c>
      <c r="N4608" s="10" t="str">
        <f t="shared" si="143"/>
        <v>NONE</v>
      </c>
    </row>
    <row r="4609" spans="1:14">
      <c r="A4609" s="4" t="s">
        <v>9234</v>
      </c>
      <c r="B4609" s="4" t="s">
        <v>9235</v>
      </c>
      <c r="C4609" s="4" t="s">
        <v>19</v>
      </c>
      <c r="D4609" s="4" t="s">
        <v>13</v>
      </c>
      <c r="E4609" s="5">
        <v>64.270099999999999</v>
      </c>
      <c r="F4609" s="5">
        <v>65.158500000000004</v>
      </c>
      <c r="G4609" s="5">
        <v>64.999300000000005</v>
      </c>
      <c r="H4609" s="4">
        <v>0</v>
      </c>
      <c r="I4609" s="6">
        <v>1787377</v>
      </c>
      <c r="J4609" s="7">
        <v>287.64999999999998</v>
      </c>
      <c r="K4609" s="9">
        <f>(PricingDataTable[[#This Row],[Current Price ($)]]-PricingDataTable[[#This Row],[Prior Price ($)]])/PricingDataTable[[#This Row],[Prior Price ($)]]</f>
        <v>1.3822912987532372E-2</v>
      </c>
      <c r="L4609" s="9">
        <f>(PricingDataTable[[#This Row],[Vendor Price ($)]]-PricingDataTable[[#This Row],[Current Price ($)]])/PricingDataTable[[#This Row],[Current Price ($)]]</f>
        <v>-2.4432729421333893E-3</v>
      </c>
      <c r="M4609" t="str">
        <f t="shared" si="142"/>
        <v>PASS</v>
      </c>
      <c r="N4609" s="10" t="str">
        <f t="shared" si="143"/>
        <v>NONE</v>
      </c>
    </row>
    <row r="4610" spans="1:14">
      <c r="A4610" s="4" t="s">
        <v>9236</v>
      </c>
      <c r="B4610" s="4" t="s">
        <v>9237</v>
      </c>
      <c r="C4610" s="4" t="s">
        <v>12</v>
      </c>
      <c r="D4610" s="4" t="s">
        <v>13</v>
      </c>
      <c r="E4610" s="5">
        <v>82.275999999999996</v>
      </c>
      <c r="F4610" s="5">
        <v>82.530900000000003</v>
      </c>
      <c r="G4610" s="5">
        <v>82.392700000000005</v>
      </c>
      <c r="H4610" s="4">
        <v>0</v>
      </c>
      <c r="I4610" s="6">
        <v>2076615</v>
      </c>
      <c r="J4610" s="7">
        <v>577.58000000000004</v>
      </c>
      <c r="K4610" s="9">
        <f>(PricingDataTable[[#This Row],[Current Price ($)]]-PricingDataTable[[#This Row],[Prior Price ($)]])/PricingDataTable[[#This Row],[Prior Price ($)]]</f>
        <v>3.0981088045117212E-3</v>
      </c>
      <c r="L4610" s="9">
        <f>(PricingDataTable[[#This Row],[Vendor Price ($)]]-PricingDataTable[[#This Row],[Current Price ($)]])/PricingDataTable[[#This Row],[Current Price ($)]]</f>
        <v>-1.6745243296752811E-3</v>
      </c>
      <c r="M4610" t="str">
        <f t="shared" ref="M4610:M4673" si="144">IF(OR(F4610="",F4610=0),"MISSING",IF(H4610&gt;=3,"STALE",IF(ABS(K4610)&gt;=5%,"LARGE MOVE",IF(ABS(L4610)&gt;=2%,"VENDOR DIFFERENCE","PASS"))))</f>
        <v>PASS</v>
      </c>
      <c r="N4610" s="10" t="str">
        <f t="shared" ref="N4610:N4673" si="145">IF(M4610="PASS","NONE",IF(M4610="MISSING","HIGH",IF(OR(ABS(K4610)&gt;=10%,ABS(L4610)&gt;=5%),"HIGH",IF(OR(ABS(K4610)&gt;=7%,ABS(L4610)&gt;=3%,H4610&gt;=5),"MEDIUM","LOW"))))</f>
        <v>NONE</v>
      </c>
    </row>
    <row r="4611" spans="1:14">
      <c r="A4611" s="4" t="s">
        <v>9238</v>
      </c>
      <c r="B4611" s="4" t="s">
        <v>9239</v>
      </c>
      <c r="C4611" s="4" t="s">
        <v>39</v>
      </c>
      <c r="D4611" s="4" t="s">
        <v>13</v>
      </c>
      <c r="E4611" s="5">
        <v>137.54</v>
      </c>
      <c r="F4611" s="5">
        <v>138.08529999999999</v>
      </c>
      <c r="G4611" s="5">
        <v>137.15459999999999</v>
      </c>
      <c r="H4611" s="4">
        <v>0</v>
      </c>
      <c r="I4611" s="6">
        <v>4186081</v>
      </c>
      <c r="J4611" s="7">
        <v>585.46</v>
      </c>
      <c r="K4611" s="9">
        <f>(PricingDataTable[[#This Row],[Current Price ($)]]-PricingDataTable[[#This Row],[Prior Price ($)]])/PricingDataTable[[#This Row],[Prior Price ($)]]</f>
        <v>3.964664824778228E-3</v>
      </c>
      <c r="L4611" s="9">
        <f>(PricingDataTable[[#This Row],[Vendor Price ($)]]-PricingDataTable[[#This Row],[Current Price ($)]])/PricingDataTable[[#This Row],[Current Price ($)]]</f>
        <v>-6.7400367743706367E-3</v>
      </c>
      <c r="M4611" t="str">
        <f t="shared" si="144"/>
        <v>PASS</v>
      </c>
      <c r="N4611" s="10" t="str">
        <f t="shared" si="145"/>
        <v>NONE</v>
      </c>
    </row>
    <row r="4612" spans="1:14">
      <c r="A4612" s="4" t="s">
        <v>9240</v>
      </c>
      <c r="B4612" s="4" t="s">
        <v>9241</v>
      </c>
      <c r="C4612" s="4" t="s">
        <v>19</v>
      </c>
      <c r="D4612" s="4" t="s">
        <v>13</v>
      </c>
      <c r="E4612" s="5">
        <v>237.63939999999999</v>
      </c>
      <c r="F4612" s="5">
        <v>199.0675</v>
      </c>
      <c r="G4612" s="5">
        <v>199.35429999999999</v>
      </c>
      <c r="H4612" s="4">
        <v>0</v>
      </c>
      <c r="I4612" s="6">
        <v>1203565</v>
      </c>
      <c r="J4612" s="7">
        <v>260.22000000000003</v>
      </c>
      <c r="K4612" s="9">
        <f>(PricingDataTable[[#This Row],[Current Price ($)]]-PricingDataTable[[#This Row],[Prior Price ($)]])/PricingDataTable[[#This Row],[Prior Price ($)]]</f>
        <v>-0.16231273096969612</v>
      </c>
      <c r="L4612" s="9">
        <f>(PricingDataTable[[#This Row],[Vendor Price ($)]]-PricingDataTable[[#This Row],[Current Price ($)]])/PricingDataTable[[#This Row],[Current Price ($)]]</f>
        <v>1.4407173446192849E-3</v>
      </c>
      <c r="M4612" t="str">
        <f t="shared" si="144"/>
        <v>LARGE MOVE</v>
      </c>
      <c r="N4612" s="10" t="str">
        <f t="shared" si="145"/>
        <v>HIGH</v>
      </c>
    </row>
    <row r="4613" spans="1:14">
      <c r="A4613" s="4" t="s">
        <v>9242</v>
      </c>
      <c r="B4613" s="4" t="s">
        <v>9243</v>
      </c>
      <c r="C4613" s="4" t="s">
        <v>19</v>
      </c>
      <c r="D4613" s="4" t="s">
        <v>32</v>
      </c>
      <c r="E4613" s="5">
        <v>66.332099999999997</v>
      </c>
      <c r="F4613" s="5">
        <v>65.805400000000006</v>
      </c>
      <c r="G4613" s="5">
        <v>65.859700000000004</v>
      </c>
      <c r="H4613" s="4">
        <v>0</v>
      </c>
      <c r="I4613" s="6">
        <v>1250514</v>
      </c>
      <c r="J4613" s="7">
        <v>28.23</v>
      </c>
      <c r="K4613" s="9">
        <f>(PricingDataTable[[#This Row],[Current Price ($)]]-PricingDataTable[[#This Row],[Prior Price ($)]])/PricingDataTable[[#This Row],[Prior Price ($)]]</f>
        <v>-7.9403486396479404E-3</v>
      </c>
      <c r="L4613" s="9">
        <f>(PricingDataTable[[#This Row],[Vendor Price ($)]]-PricingDataTable[[#This Row],[Current Price ($)]])/PricingDataTable[[#This Row],[Current Price ($)]]</f>
        <v>8.2516024520780645E-4</v>
      </c>
      <c r="M4613" t="str">
        <f t="shared" si="144"/>
        <v>PASS</v>
      </c>
      <c r="N4613" s="10" t="str">
        <f t="shared" si="145"/>
        <v>NONE</v>
      </c>
    </row>
    <row r="4614" spans="1:14">
      <c r="A4614" s="4" t="s">
        <v>9244</v>
      </c>
      <c r="B4614" s="4" t="s">
        <v>9245</v>
      </c>
      <c r="C4614" s="4" t="s">
        <v>12</v>
      </c>
      <c r="D4614" s="4" t="s">
        <v>32</v>
      </c>
      <c r="E4614" s="5">
        <v>105.8909</v>
      </c>
      <c r="F4614" s="5">
        <v>106.1782</v>
      </c>
      <c r="G4614" s="5">
        <v>106.1948</v>
      </c>
      <c r="H4614" s="4">
        <v>0</v>
      </c>
      <c r="I4614" s="6">
        <v>697143</v>
      </c>
      <c r="J4614" s="7">
        <v>248.18</v>
      </c>
      <c r="K4614" s="9">
        <f>(PricingDataTable[[#This Row],[Current Price ($)]]-PricingDataTable[[#This Row],[Prior Price ($)]])/PricingDataTable[[#This Row],[Prior Price ($)]]</f>
        <v>2.7131698757872666E-3</v>
      </c>
      <c r="L4614" s="9">
        <f>(PricingDataTable[[#This Row],[Vendor Price ($)]]-PricingDataTable[[#This Row],[Current Price ($)]])/PricingDataTable[[#This Row],[Current Price ($)]]</f>
        <v>1.5634094380952813E-4</v>
      </c>
      <c r="M4614" t="str">
        <f t="shared" si="144"/>
        <v>PASS</v>
      </c>
      <c r="N4614" s="10" t="str">
        <f t="shared" si="145"/>
        <v>NONE</v>
      </c>
    </row>
    <row r="4615" spans="1:14">
      <c r="A4615" s="4" t="s">
        <v>9246</v>
      </c>
      <c r="B4615" s="4" t="s">
        <v>9247</v>
      </c>
      <c r="C4615" s="4" t="s">
        <v>19</v>
      </c>
      <c r="D4615" s="4" t="s">
        <v>32</v>
      </c>
      <c r="E4615" s="5">
        <v>114.59480000000001</v>
      </c>
      <c r="F4615" s="5">
        <v>114.4229</v>
      </c>
      <c r="G4615" s="5">
        <v>114.7131</v>
      </c>
      <c r="H4615" s="4">
        <v>0</v>
      </c>
      <c r="I4615" s="6">
        <v>3594352</v>
      </c>
      <c r="J4615" s="7">
        <v>506.03</v>
      </c>
      <c r="K4615" s="9">
        <f>(PricingDataTable[[#This Row],[Current Price ($)]]-PricingDataTable[[#This Row],[Prior Price ($)]])/PricingDataTable[[#This Row],[Prior Price ($)]]</f>
        <v>-1.5000680659158E-3</v>
      </c>
      <c r="L4615" s="9">
        <f>(PricingDataTable[[#This Row],[Vendor Price ($)]]-PricingDataTable[[#This Row],[Current Price ($)]])/PricingDataTable[[#This Row],[Current Price ($)]]</f>
        <v>2.5362056022002473E-3</v>
      </c>
      <c r="M4615" t="str">
        <f t="shared" si="144"/>
        <v>PASS</v>
      </c>
      <c r="N4615" s="10" t="str">
        <f t="shared" si="145"/>
        <v>NONE</v>
      </c>
    </row>
    <row r="4616" spans="1:14">
      <c r="A4616" s="4" t="s">
        <v>9248</v>
      </c>
      <c r="B4616" s="4" t="s">
        <v>9249</v>
      </c>
      <c r="C4616" s="4" t="s">
        <v>19</v>
      </c>
      <c r="D4616" s="4" t="s">
        <v>32</v>
      </c>
      <c r="E4616" s="5">
        <v>190.28200000000001</v>
      </c>
      <c r="F4616" s="5">
        <v>191.2801</v>
      </c>
      <c r="G4616" s="5">
        <v>192.10120000000001</v>
      </c>
      <c r="H4616" s="4">
        <v>0</v>
      </c>
      <c r="I4616" s="6">
        <v>4133086</v>
      </c>
      <c r="J4616" s="7">
        <v>487.33</v>
      </c>
      <c r="K4616" s="9">
        <f>(PricingDataTable[[#This Row],[Current Price ($)]]-PricingDataTable[[#This Row],[Prior Price ($)]])/PricingDataTable[[#This Row],[Prior Price ($)]]</f>
        <v>5.2453726574242113E-3</v>
      </c>
      <c r="L4616" s="9">
        <f>(PricingDataTable[[#This Row],[Vendor Price ($)]]-PricingDataTable[[#This Row],[Current Price ($)]])/PricingDataTable[[#This Row],[Current Price ($)]]</f>
        <v>4.2926577307310131E-3</v>
      </c>
      <c r="M4616" t="str">
        <f t="shared" si="144"/>
        <v>PASS</v>
      </c>
      <c r="N4616" s="10" t="str">
        <f t="shared" si="145"/>
        <v>NONE</v>
      </c>
    </row>
    <row r="4617" spans="1:14">
      <c r="A4617" s="4" t="s">
        <v>9250</v>
      </c>
      <c r="B4617" s="4" t="s">
        <v>9251</v>
      </c>
      <c r="C4617" s="4" t="s">
        <v>35</v>
      </c>
      <c r="D4617" s="4" t="s">
        <v>13</v>
      </c>
      <c r="E4617" s="5">
        <v>162.4023</v>
      </c>
      <c r="F4617" s="5">
        <v>165.7354</v>
      </c>
      <c r="G4617" s="5">
        <v>166.41329999999999</v>
      </c>
      <c r="H4617" s="4">
        <v>0</v>
      </c>
      <c r="I4617" s="6">
        <v>3198983</v>
      </c>
      <c r="J4617" s="7">
        <v>625.28</v>
      </c>
      <c r="K4617" s="9">
        <f>(PricingDataTable[[#This Row],[Current Price ($)]]-PricingDataTable[[#This Row],[Prior Price ($)]])/PricingDataTable[[#This Row],[Prior Price ($)]]</f>
        <v>2.0523724109818654E-2</v>
      </c>
      <c r="L4617" s="9">
        <f>(PricingDataTable[[#This Row],[Vendor Price ($)]]-PricingDataTable[[#This Row],[Current Price ($)]])/PricingDataTable[[#This Row],[Current Price ($)]]</f>
        <v>4.0902547072019253E-3</v>
      </c>
      <c r="M4617" t="str">
        <f t="shared" si="144"/>
        <v>PASS</v>
      </c>
      <c r="N4617" s="10" t="str">
        <f t="shared" si="145"/>
        <v>NONE</v>
      </c>
    </row>
    <row r="4618" spans="1:14">
      <c r="A4618" s="4" t="s">
        <v>9252</v>
      </c>
      <c r="B4618" s="4" t="s">
        <v>9253</v>
      </c>
      <c r="C4618" s="4" t="s">
        <v>16</v>
      </c>
      <c r="D4618" s="4" t="s">
        <v>13</v>
      </c>
      <c r="E4618" s="5">
        <v>97.159700000000001</v>
      </c>
      <c r="F4618" s="5">
        <v>96.821399999999997</v>
      </c>
      <c r="G4618" s="5">
        <v>96.930999999999997</v>
      </c>
      <c r="H4618" s="4">
        <v>0</v>
      </c>
      <c r="I4618" s="6">
        <v>1930325</v>
      </c>
      <c r="J4618" s="7">
        <v>710.38</v>
      </c>
      <c r="K4618" s="9">
        <f>(PricingDataTable[[#This Row],[Current Price ($)]]-PricingDataTable[[#This Row],[Prior Price ($)]])/PricingDataTable[[#This Row],[Prior Price ($)]]</f>
        <v>-3.4818963006267396E-3</v>
      </c>
      <c r="L4618" s="9">
        <f>(PricingDataTable[[#This Row],[Vendor Price ($)]]-PricingDataTable[[#This Row],[Current Price ($)]])/PricingDataTable[[#This Row],[Current Price ($)]]</f>
        <v>1.1319811529269393E-3</v>
      </c>
      <c r="M4618" t="str">
        <f t="shared" si="144"/>
        <v>PASS</v>
      </c>
      <c r="N4618" s="10" t="str">
        <f t="shared" si="145"/>
        <v>NONE</v>
      </c>
    </row>
    <row r="4619" spans="1:14">
      <c r="A4619" s="4" t="s">
        <v>9254</v>
      </c>
      <c r="B4619" s="4" t="s">
        <v>9255</v>
      </c>
      <c r="C4619" s="4" t="s">
        <v>16</v>
      </c>
      <c r="D4619" s="4" t="s">
        <v>13</v>
      </c>
      <c r="E4619" s="5">
        <v>106.6148</v>
      </c>
      <c r="F4619" s="5">
        <v>106.9516</v>
      </c>
      <c r="G4619" s="5">
        <v>106.6734</v>
      </c>
      <c r="H4619" s="4">
        <v>0</v>
      </c>
      <c r="I4619" s="6">
        <v>2037508</v>
      </c>
      <c r="J4619" s="7">
        <v>655.89</v>
      </c>
      <c r="K4619" s="9">
        <f>(PricingDataTable[[#This Row],[Current Price ($)]]-PricingDataTable[[#This Row],[Prior Price ($)]])/PricingDataTable[[#This Row],[Prior Price ($)]]</f>
        <v>3.1590360812944981E-3</v>
      </c>
      <c r="L4619" s="9">
        <f>(PricingDataTable[[#This Row],[Vendor Price ($)]]-PricingDataTable[[#This Row],[Current Price ($)]])/PricingDataTable[[#This Row],[Current Price ($)]]</f>
        <v>-2.6011766069885651E-3</v>
      </c>
      <c r="M4619" t="str">
        <f t="shared" si="144"/>
        <v>PASS</v>
      </c>
      <c r="N4619" s="10" t="str">
        <f t="shared" si="145"/>
        <v>NONE</v>
      </c>
    </row>
    <row r="4620" spans="1:14">
      <c r="A4620" s="4" t="s">
        <v>9256</v>
      </c>
      <c r="B4620" s="4" t="s">
        <v>9257</v>
      </c>
      <c r="C4620" s="4" t="s">
        <v>35</v>
      </c>
      <c r="D4620" s="4" t="s">
        <v>13</v>
      </c>
      <c r="E4620" s="5">
        <v>148.2774</v>
      </c>
      <c r="F4620" s="5">
        <v>150.95050000000001</v>
      </c>
      <c r="G4620" s="5">
        <v>151.7611</v>
      </c>
      <c r="H4620" s="4">
        <v>0</v>
      </c>
      <c r="I4620" s="6">
        <v>4531423</v>
      </c>
      <c r="J4620" s="7">
        <v>898.55</v>
      </c>
      <c r="K4620" s="9">
        <f>(PricingDataTable[[#This Row],[Current Price ($)]]-PricingDataTable[[#This Row],[Prior Price ($)]])/PricingDataTable[[#This Row],[Prior Price ($)]]</f>
        <v>1.8027696735982725E-2</v>
      </c>
      <c r="L4620" s="9">
        <f>(PricingDataTable[[#This Row],[Vendor Price ($)]]-PricingDataTable[[#This Row],[Current Price ($)]])/PricingDataTable[[#This Row],[Current Price ($)]]</f>
        <v>5.369972275679734E-3</v>
      </c>
      <c r="M4620" t="str">
        <f t="shared" si="144"/>
        <v>PASS</v>
      </c>
      <c r="N4620" s="10" t="str">
        <f t="shared" si="145"/>
        <v>NONE</v>
      </c>
    </row>
    <row r="4621" spans="1:14">
      <c r="A4621" s="4" t="s">
        <v>9258</v>
      </c>
      <c r="B4621" s="4" t="s">
        <v>9259</v>
      </c>
      <c r="C4621" s="4" t="s">
        <v>39</v>
      </c>
      <c r="D4621" s="4" t="s">
        <v>13</v>
      </c>
      <c r="E4621" s="5">
        <v>281.35509999999999</v>
      </c>
      <c r="F4621" s="5">
        <v>276.73930000000001</v>
      </c>
      <c r="G4621" s="5">
        <v>276.45589999999999</v>
      </c>
      <c r="H4621" s="4">
        <v>1</v>
      </c>
      <c r="I4621" s="6">
        <v>4032674</v>
      </c>
      <c r="J4621" s="7">
        <v>15.04</v>
      </c>
      <c r="K4621" s="9">
        <f>(PricingDataTable[[#This Row],[Current Price ($)]]-PricingDataTable[[#This Row],[Prior Price ($)]])/PricingDataTable[[#This Row],[Prior Price ($)]]</f>
        <v>-1.6405602741873096E-2</v>
      </c>
      <c r="L4621" s="9">
        <f>(PricingDataTable[[#This Row],[Vendor Price ($)]]-PricingDataTable[[#This Row],[Current Price ($)]])/PricingDataTable[[#This Row],[Current Price ($)]]</f>
        <v>-1.0240685005708575E-3</v>
      </c>
      <c r="M4621" t="str">
        <f t="shared" si="144"/>
        <v>PASS</v>
      </c>
      <c r="N4621" s="10" t="str">
        <f t="shared" si="145"/>
        <v>NONE</v>
      </c>
    </row>
    <row r="4622" spans="1:14">
      <c r="A4622" s="4" t="s">
        <v>9260</v>
      </c>
      <c r="B4622" s="4" t="s">
        <v>9261</v>
      </c>
      <c r="C4622" s="4" t="s">
        <v>39</v>
      </c>
      <c r="D4622" s="4" t="s">
        <v>13</v>
      </c>
      <c r="E4622" s="5">
        <v>192.64</v>
      </c>
      <c r="F4622" s="5">
        <v>194.32990000000001</v>
      </c>
      <c r="G4622" s="5">
        <v>193.08260000000001</v>
      </c>
      <c r="H4622" s="4">
        <v>0</v>
      </c>
      <c r="I4622" s="6">
        <v>828235</v>
      </c>
      <c r="J4622" s="7">
        <v>518.64</v>
      </c>
      <c r="K4622" s="9">
        <f>(PricingDataTable[[#This Row],[Current Price ($)]]-PricingDataTable[[#This Row],[Prior Price ($)]])/PricingDataTable[[#This Row],[Prior Price ($)]]</f>
        <v>8.7723214285715476E-3</v>
      </c>
      <c r="L4622" s="9">
        <f>(PricingDataTable[[#This Row],[Vendor Price ($)]]-PricingDataTable[[#This Row],[Current Price ($)]])/PricingDataTable[[#This Row],[Current Price ($)]]</f>
        <v>-6.4184667413506391E-3</v>
      </c>
      <c r="M4622" t="str">
        <f t="shared" si="144"/>
        <v>PASS</v>
      </c>
      <c r="N4622" s="10" t="str">
        <f t="shared" si="145"/>
        <v>NONE</v>
      </c>
    </row>
    <row r="4623" spans="1:14">
      <c r="A4623" s="4" t="s">
        <v>9262</v>
      </c>
      <c r="B4623" s="4" t="s">
        <v>9263</v>
      </c>
      <c r="C4623" s="4" t="s">
        <v>39</v>
      </c>
      <c r="D4623" s="4" t="s">
        <v>13</v>
      </c>
      <c r="E4623" s="5">
        <v>336.8553</v>
      </c>
      <c r="F4623" s="5">
        <v>337.51499999999999</v>
      </c>
      <c r="G4623" s="5">
        <v>337.61470000000003</v>
      </c>
      <c r="H4623" s="4">
        <v>0</v>
      </c>
      <c r="I4623" s="6">
        <v>2683941</v>
      </c>
      <c r="J4623" s="7">
        <v>13</v>
      </c>
      <c r="K4623" s="9">
        <f>(PricingDataTable[[#This Row],[Current Price ($)]]-PricingDataTable[[#This Row],[Prior Price ($)]])/PricingDataTable[[#This Row],[Prior Price ($)]]</f>
        <v>1.9584076604998841E-3</v>
      </c>
      <c r="L4623" s="9">
        <f>(PricingDataTable[[#This Row],[Vendor Price ($)]]-PricingDataTable[[#This Row],[Current Price ($)]])/PricingDataTable[[#This Row],[Current Price ($)]]</f>
        <v>2.9539427877291739E-4</v>
      </c>
      <c r="M4623" t="str">
        <f t="shared" si="144"/>
        <v>PASS</v>
      </c>
      <c r="N4623" s="10" t="str">
        <f t="shared" si="145"/>
        <v>NONE</v>
      </c>
    </row>
    <row r="4624" spans="1:14">
      <c r="A4624" s="4" t="s">
        <v>9264</v>
      </c>
      <c r="B4624" s="4" t="s">
        <v>9265</v>
      </c>
      <c r="C4624" s="4" t="s">
        <v>19</v>
      </c>
      <c r="D4624" s="4" t="s">
        <v>13</v>
      </c>
      <c r="E4624" s="5">
        <v>73.112099999999998</v>
      </c>
      <c r="F4624" s="5">
        <v>72.469099999999997</v>
      </c>
      <c r="G4624" s="5">
        <v>72.323800000000006</v>
      </c>
      <c r="H4624" s="4">
        <v>0</v>
      </c>
      <c r="I4624" s="6">
        <v>463897</v>
      </c>
      <c r="J4624" s="7">
        <v>627.19000000000005</v>
      </c>
      <c r="K4624" s="9">
        <f>(PricingDataTable[[#This Row],[Current Price ($)]]-PricingDataTable[[#This Row],[Prior Price ($)]])/PricingDataTable[[#This Row],[Prior Price ($)]]</f>
        <v>-8.7947138708914224E-3</v>
      </c>
      <c r="L4624" s="9">
        <f>(PricingDataTable[[#This Row],[Vendor Price ($)]]-PricingDataTable[[#This Row],[Current Price ($)]])/PricingDataTable[[#This Row],[Current Price ($)]]</f>
        <v>-2.0049924726537488E-3</v>
      </c>
      <c r="M4624" t="str">
        <f t="shared" si="144"/>
        <v>PASS</v>
      </c>
      <c r="N4624" s="10" t="str">
        <f t="shared" si="145"/>
        <v>NONE</v>
      </c>
    </row>
    <row r="4625" spans="1:14">
      <c r="A4625" s="4" t="s">
        <v>9266</v>
      </c>
      <c r="B4625" s="4" t="s">
        <v>9267</v>
      </c>
      <c r="C4625" s="4" t="s">
        <v>12</v>
      </c>
      <c r="D4625" s="4" t="s">
        <v>32</v>
      </c>
      <c r="E4625" s="5">
        <v>117.37560000000001</v>
      </c>
      <c r="F4625" s="5">
        <v>118.649</v>
      </c>
      <c r="G4625" s="5">
        <v>118.1193</v>
      </c>
      <c r="H4625" s="4">
        <v>1</v>
      </c>
      <c r="I4625" s="6">
        <v>594751</v>
      </c>
      <c r="J4625" s="7">
        <v>743.05</v>
      </c>
      <c r="K4625" s="9">
        <f>(PricingDataTable[[#This Row],[Current Price ($)]]-PricingDataTable[[#This Row],[Prior Price ($)]])/PricingDataTable[[#This Row],[Prior Price ($)]]</f>
        <v>1.0848932827606378E-2</v>
      </c>
      <c r="L4625" s="9">
        <f>(PricingDataTable[[#This Row],[Vendor Price ($)]]-PricingDataTable[[#This Row],[Current Price ($)]])/PricingDataTable[[#This Row],[Current Price ($)]]</f>
        <v>-4.4644286930358061E-3</v>
      </c>
      <c r="M4625" t="str">
        <f t="shared" si="144"/>
        <v>PASS</v>
      </c>
      <c r="N4625" s="10" t="str">
        <f t="shared" si="145"/>
        <v>NONE</v>
      </c>
    </row>
    <row r="4626" spans="1:14">
      <c r="A4626" s="4" t="s">
        <v>9268</v>
      </c>
      <c r="B4626" s="4" t="s">
        <v>9269</v>
      </c>
      <c r="C4626" s="4" t="s">
        <v>16</v>
      </c>
      <c r="D4626" s="4" t="s">
        <v>13</v>
      </c>
      <c r="E4626" s="5">
        <v>109.1297</v>
      </c>
      <c r="F4626" s="5">
        <v>109.52330000000001</v>
      </c>
      <c r="G4626" s="5">
        <v>109.60590000000001</v>
      </c>
      <c r="H4626" s="4">
        <v>0</v>
      </c>
      <c r="I4626" s="6">
        <v>2115902</v>
      </c>
      <c r="J4626" s="7">
        <v>831.95</v>
      </c>
      <c r="K4626" s="9">
        <f>(PricingDataTable[[#This Row],[Current Price ($)]]-PricingDataTable[[#This Row],[Prior Price ($)]])/PricingDataTable[[#This Row],[Prior Price ($)]]</f>
        <v>3.6067175113649757E-3</v>
      </c>
      <c r="L4626" s="9">
        <f>(PricingDataTable[[#This Row],[Vendor Price ($)]]-PricingDataTable[[#This Row],[Current Price ($)]])/PricingDataTable[[#This Row],[Current Price ($)]]</f>
        <v>7.5417742160799881E-4</v>
      </c>
      <c r="M4626" t="str">
        <f t="shared" si="144"/>
        <v>PASS</v>
      </c>
      <c r="N4626" s="10" t="str">
        <f t="shared" si="145"/>
        <v>NONE</v>
      </c>
    </row>
    <row r="4627" spans="1:14">
      <c r="A4627" s="4" t="s">
        <v>9270</v>
      </c>
      <c r="B4627" s="4" t="s">
        <v>9271</v>
      </c>
      <c r="C4627" s="4" t="s">
        <v>39</v>
      </c>
      <c r="D4627" s="4" t="s">
        <v>13</v>
      </c>
      <c r="E4627" s="5">
        <v>150.0506</v>
      </c>
      <c r="F4627" s="5">
        <v>147.07839999999999</v>
      </c>
      <c r="G4627" s="5">
        <v>147.80799999999999</v>
      </c>
      <c r="H4627" s="4">
        <v>0</v>
      </c>
      <c r="I4627" s="6">
        <v>2365008</v>
      </c>
      <c r="J4627" s="7">
        <v>409.9</v>
      </c>
      <c r="K4627" s="9">
        <f>(PricingDataTable[[#This Row],[Current Price ($)]]-PricingDataTable[[#This Row],[Prior Price ($)]])/PricingDataTable[[#This Row],[Prior Price ($)]]</f>
        <v>-1.9807984773136628E-2</v>
      </c>
      <c r="L4627" s="9">
        <f>(PricingDataTable[[#This Row],[Vendor Price ($)]]-PricingDataTable[[#This Row],[Current Price ($)]])/PricingDataTable[[#This Row],[Current Price ($)]]</f>
        <v>4.9606196423132489E-3</v>
      </c>
      <c r="M4627" t="str">
        <f t="shared" si="144"/>
        <v>PASS</v>
      </c>
      <c r="N4627" s="10" t="str">
        <f t="shared" si="145"/>
        <v>NONE</v>
      </c>
    </row>
    <row r="4628" spans="1:14">
      <c r="A4628" s="4" t="s">
        <v>9272</v>
      </c>
      <c r="B4628" s="4" t="s">
        <v>9273</v>
      </c>
      <c r="C4628" s="4" t="s">
        <v>19</v>
      </c>
      <c r="D4628" s="4" t="s">
        <v>13</v>
      </c>
      <c r="E4628" s="5">
        <v>12.384600000000001</v>
      </c>
      <c r="F4628" s="5">
        <v>12.132899999999999</v>
      </c>
      <c r="G4628" s="5">
        <v>12.1219</v>
      </c>
      <c r="H4628" s="4">
        <v>0</v>
      </c>
      <c r="I4628" s="6">
        <v>2244034</v>
      </c>
      <c r="J4628" s="7">
        <v>557.74</v>
      </c>
      <c r="K4628" s="9">
        <f>(PricingDataTable[[#This Row],[Current Price ($)]]-PricingDataTable[[#This Row],[Prior Price ($)]])/PricingDataTable[[#This Row],[Prior Price ($)]]</f>
        <v>-2.0323627731214683E-2</v>
      </c>
      <c r="L4628" s="9">
        <f>(PricingDataTable[[#This Row],[Vendor Price ($)]]-PricingDataTable[[#This Row],[Current Price ($)]])/PricingDataTable[[#This Row],[Current Price ($)]]</f>
        <v>-9.0662578608570357E-4</v>
      </c>
      <c r="M4628" t="str">
        <f t="shared" si="144"/>
        <v>PASS</v>
      </c>
      <c r="N4628" s="10" t="str">
        <f t="shared" si="145"/>
        <v>NONE</v>
      </c>
    </row>
    <row r="4629" spans="1:14">
      <c r="A4629" s="4" t="s">
        <v>9274</v>
      </c>
      <c r="B4629" s="4" t="s">
        <v>9275</v>
      </c>
      <c r="C4629" s="4" t="s">
        <v>35</v>
      </c>
      <c r="D4629" s="4" t="s">
        <v>64</v>
      </c>
      <c r="E4629" s="5">
        <v>174.11840000000001</v>
      </c>
      <c r="F4629" s="5">
        <v>174.70490000000001</v>
      </c>
      <c r="G4629" s="5">
        <v>175.32060000000001</v>
      </c>
      <c r="H4629" s="4">
        <v>0</v>
      </c>
      <c r="I4629" s="6">
        <v>2610102</v>
      </c>
      <c r="J4629" s="7">
        <v>786.07</v>
      </c>
      <c r="K4629" s="9">
        <f>(PricingDataTable[[#This Row],[Current Price ($)]]-PricingDataTable[[#This Row],[Prior Price ($)]])/PricingDataTable[[#This Row],[Prior Price ($)]]</f>
        <v>3.3683975961185083E-3</v>
      </c>
      <c r="L4629" s="9">
        <f>(PricingDataTable[[#This Row],[Vendor Price ($)]]-PricingDataTable[[#This Row],[Current Price ($)]])/PricingDataTable[[#This Row],[Current Price ($)]]</f>
        <v>3.5242285705781801E-3</v>
      </c>
      <c r="M4629" t="str">
        <f t="shared" si="144"/>
        <v>PASS</v>
      </c>
      <c r="N4629" s="10" t="str">
        <f t="shared" si="145"/>
        <v>NONE</v>
      </c>
    </row>
    <row r="4630" spans="1:14">
      <c r="A4630" s="4" t="s">
        <v>9276</v>
      </c>
      <c r="B4630" s="4" t="s">
        <v>9277</v>
      </c>
      <c r="C4630" s="4" t="s">
        <v>19</v>
      </c>
      <c r="D4630" s="4" t="s">
        <v>64</v>
      </c>
      <c r="E4630" s="5">
        <v>287.93020000000001</v>
      </c>
      <c r="F4630" s="5">
        <v>288.19799999999998</v>
      </c>
      <c r="G4630" s="5">
        <v>289.09930000000003</v>
      </c>
      <c r="H4630" s="4">
        <v>0</v>
      </c>
      <c r="I4630" s="6">
        <v>1244869</v>
      </c>
      <c r="J4630" s="7">
        <v>671.54</v>
      </c>
      <c r="K4630" s="9">
        <f>(PricingDataTable[[#This Row],[Current Price ($)]]-PricingDataTable[[#This Row],[Prior Price ($)]])/PricingDataTable[[#This Row],[Prior Price ($)]]</f>
        <v>9.3008652791532669E-4</v>
      </c>
      <c r="L4630" s="9">
        <f>(PricingDataTable[[#This Row],[Vendor Price ($)]]-PricingDataTable[[#This Row],[Current Price ($)]])/PricingDataTable[[#This Row],[Current Price ($)]]</f>
        <v>3.1273638262585058E-3</v>
      </c>
      <c r="M4630" t="str">
        <f t="shared" si="144"/>
        <v>PASS</v>
      </c>
      <c r="N4630" s="10" t="str">
        <f t="shared" si="145"/>
        <v>NONE</v>
      </c>
    </row>
    <row r="4631" spans="1:14">
      <c r="A4631" s="4" t="s">
        <v>9278</v>
      </c>
      <c r="B4631" s="4" t="s">
        <v>9279</v>
      </c>
      <c r="C4631" s="4" t="s">
        <v>12</v>
      </c>
      <c r="D4631" s="4" t="s">
        <v>13</v>
      </c>
      <c r="E4631" s="5">
        <v>101.5819</v>
      </c>
      <c r="F4631" s="5">
        <v>103.7251</v>
      </c>
      <c r="G4631" s="5">
        <v>103.9766</v>
      </c>
      <c r="H4631" s="4">
        <v>0</v>
      </c>
      <c r="I4631" s="6">
        <v>3482076</v>
      </c>
      <c r="J4631" s="7">
        <v>875.34</v>
      </c>
      <c r="K4631" s="9">
        <f>(PricingDataTable[[#This Row],[Current Price ($)]]-PricingDataTable[[#This Row],[Prior Price ($)]])/PricingDataTable[[#This Row],[Prior Price ($)]]</f>
        <v>2.1098246833343274E-2</v>
      </c>
      <c r="L4631" s="9">
        <f>(PricingDataTable[[#This Row],[Vendor Price ($)]]-PricingDataTable[[#This Row],[Current Price ($)]])/PricingDataTable[[#This Row],[Current Price ($)]]</f>
        <v>2.4246783083362385E-3</v>
      </c>
      <c r="M4631" t="str">
        <f t="shared" si="144"/>
        <v>PASS</v>
      </c>
      <c r="N4631" s="10" t="str">
        <f t="shared" si="145"/>
        <v>NONE</v>
      </c>
    </row>
    <row r="4632" spans="1:14">
      <c r="A4632" s="4" t="s">
        <v>9280</v>
      </c>
      <c r="B4632" s="4" t="s">
        <v>9281</v>
      </c>
      <c r="C4632" s="4" t="s">
        <v>16</v>
      </c>
      <c r="D4632" s="4" t="s">
        <v>13</v>
      </c>
      <c r="E4632" s="5">
        <v>103.16849999999999</v>
      </c>
      <c r="F4632" s="5">
        <v>102.7188</v>
      </c>
      <c r="G4632" s="5">
        <v>102.49460000000001</v>
      </c>
      <c r="H4632" s="4">
        <v>0</v>
      </c>
      <c r="I4632" s="6">
        <v>3841863</v>
      </c>
      <c r="J4632" s="7">
        <v>750.16</v>
      </c>
      <c r="K4632" s="9">
        <f>(PricingDataTable[[#This Row],[Current Price ($)]]-PricingDataTable[[#This Row],[Prior Price ($)]])/PricingDataTable[[#This Row],[Prior Price ($)]]</f>
        <v>-4.3588886142571902E-3</v>
      </c>
      <c r="L4632" s="9">
        <f>(PricingDataTable[[#This Row],[Vendor Price ($)]]-PricingDataTable[[#This Row],[Current Price ($)]])/PricingDataTable[[#This Row],[Current Price ($)]]</f>
        <v>-2.1826578970937762E-3</v>
      </c>
      <c r="M4632" t="str">
        <f t="shared" si="144"/>
        <v>PASS</v>
      </c>
      <c r="N4632" s="10" t="str">
        <f t="shared" si="145"/>
        <v>NONE</v>
      </c>
    </row>
    <row r="4633" spans="1:14">
      <c r="A4633" s="4" t="s">
        <v>9282</v>
      </c>
      <c r="B4633" s="4" t="s">
        <v>9283</v>
      </c>
      <c r="C4633" s="4" t="s">
        <v>12</v>
      </c>
      <c r="D4633" s="4" t="s">
        <v>13</v>
      </c>
      <c r="E4633" s="5">
        <v>123.58540000000001</v>
      </c>
      <c r="F4633" s="5">
        <v>127.0947</v>
      </c>
      <c r="G4633" s="5">
        <v>127.39060000000001</v>
      </c>
      <c r="H4633" s="4">
        <v>1</v>
      </c>
      <c r="I4633" s="6">
        <v>2336835</v>
      </c>
      <c r="J4633" s="7">
        <v>125.82</v>
      </c>
      <c r="K4633" s="9">
        <f>(PricingDataTable[[#This Row],[Current Price ($)]]-PricingDataTable[[#This Row],[Prior Price ($)]])/PricingDataTable[[#This Row],[Prior Price ($)]]</f>
        <v>2.8395749012423765E-2</v>
      </c>
      <c r="L4633" s="9">
        <f>(PricingDataTable[[#This Row],[Vendor Price ($)]]-PricingDataTable[[#This Row],[Current Price ($)]])/PricingDataTable[[#This Row],[Current Price ($)]]</f>
        <v>2.3281852036316475E-3</v>
      </c>
      <c r="M4633" t="str">
        <f t="shared" si="144"/>
        <v>PASS</v>
      </c>
      <c r="N4633" s="10" t="str">
        <f t="shared" si="145"/>
        <v>NONE</v>
      </c>
    </row>
    <row r="4634" spans="1:14">
      <c r="A4634" s="4" t="s">
        <v>9284</v>
      </c>
      <c r="B4634" s="4" t="s">
        <v>9285</v>
      </c>
      <c r="C4634" s="4" t="s">
        <v>19</v>
      </c>
      <c r="D4634" s="4" t="s">
        <v>32</v>
      </c>
      <c r="E4634" s="5">
        <v>64.2363</v>
      </c>
      <c r="F4634" s="5">
        <v>65.654300000000006</v>
      </c>
      <c r="G4634" s="5">
        <v>65.851900000000001</v>
      </c>
      <c r="H4634" s="4">
        <v>0</v>
      </c>
      <c r="I4634" s="6">
        <v>3172056</v>
      </c>
      <c r="J4634" s="7">
        <v>730.11</v>
      </c>
      <c r="K4634" s="9">
        <f>(PricingDataTable[[#This Row],[Current Price ($)]]-PricingDataTable[[#This Row],[Prior Price ($)]])/PricingDataTable[[#This Row],[Prior Price ($)]]</f>
        <v>2.2074745899125673E-2</v>
      </c>
      <c r="L4634" s="9">
        <f>(PricingDataTable[[#This Row],[Vendor Price ($)]]-PricingDataTable[[#This Row],[Current Price ($)]])/PricingDataTable[[#This Row],[Current Price ($)]]</f>
        <v>3.0097038579345787E-3</v>
      </c>
      <c r="M4634" t="str">
        <f t="shared" si="144"/>
        <v>PASS</v>
      </c>
      <c r="N4634" s="10" t="str">
        <f t="shared" si="145"/>
        <v>NONE</v>
      </c>
    </row>
    <row r="4635" spans="1:14">
      <c r="A4635" s="4" t="s">
        <v>9286</v>
      </c>
      <c r="B4635" s="4" t="s">
        <v>9287</v>
      </c>
      <c r="C4635" s="4" t="s">
        <v>39</v>
      </c>
      <c r="D4635" s="4" t="s">
        <v>237</v>
      </c>
      <c r="E4635" s="5">
        <v>164.75280000000001</v>
      </c>
      <c r="F4635" s="5">
        <v>165.30109999999999</v>
      </c>
      <c r="G4635" s="5">
        <v>165.27070000000001</v>
      </c>
      <c r="H4635" s="4">
        <v>1</v>
      </c>
      <c r="I4635" s="6">
        <v>698687</v>
      </c>
      <c r="J4635" s="7">
        <v>446.11</v>
      </c>
      <c r="K4635" s="9">
        <f>(PricingDataTable[[#This Row],[Current Price ($)]]-PricingDataTable[[#This Row],[Prior Price ($)]])/PricingDataTable[[#This Row],[Prior Price ($)]]</f>
        <v>3.3280162765062767E-3</v>
      </c>
      <c r="L4635" s="9">
        <f>(PricingDataTable[[#This Row],[Vendor Price ($)]]-PricingDataTable[[#This Row],[Current Price ($)]])/PricingDataTable[[#This Row],[Current Price ($)]]</f>
        <v>-1.8390682215657365E-4</v>
      </c>
      <c r="M4635" t="str">
        <f t="shared" si="144"/>
        <v>PASS</v>
      </c>
      <c r="N4635" s="10" t="str">
        <f t="shared" si="145"/>
        <v>NONE</v>
      </c>
    </row>
    <row r="4636" spans="1:14">
      <c r="A4636" s="4" t="s">
        <v>9288</v>
      </c>
      <c r="B4636" s="4" t="s">
        <v>9289</v>
      </c>
      <c r="C4636" s="4" t="s">
        <v>39</v>
      </c>
      <c r="D4636" s="4" t="s">
        <v>64</v>
      </c>
      <c r="E4636" s="5">
        <v>81.235799999999998</v>
      </c>
      <c r="F4636" s="5">
        <v>79.732699999999994</v>
      </c>
      <c r="G4636" s="5">
        <v>79.950299999999999</v>
      </c>
      <c r="H4636" s="4">
        <v>1</v>
      </c>
      <c r="I4636" s="6">
        <v>3217782</v>
      </c>
      <c r="J4636" s="7">
        <v>201.3</v>
      </c>
      <c r="K4636" s="9">
        <f>(PricingDataTable[[#This Row],[Current Price ($)]]-PricingDataTable[[#This Row],[Prior Price ($)]])/PricingDataTable[[#This Row],[Prior Price ($)]]</f>
        <v>-1.8502926049845062E-2</v>
      </c>
      <c r="L4636" s="9">
        <f>(PricingDataTable[[#This Row],[Vendor Price ($)]]-PricingDataTable[[#This Row],[Current Price ($)]])/PricingDataTable[[#This Row],[Current Price ($)]]</f>
        <v>2.729118667748671E-3</v>
      </c>
      <c r="M4636" t="str">
        <f t="shared" si="144"/>
        <v>PASS</v>
      </c>
      <c r="N4636" s="10" t="str">
        <f t="shared" si="145"/>
        <v>NONE</v>
      </c>
    </row>
    <row r="4637" spans="1:14">
      <c r="A4637" s="4" t="s">
        <v>9290</v>
      </c>
      <c r="B4637" s="4" t="s">
        <v>9291</v>
      </c>
      <c r="C4637" s="4" t="s">
        <v>19</v>
      </c>
      <c r="D4637" s="4" t="s">
        <v>13</v>
      </c>
      <c r="E4637" s="5">
        <v>295.52800000000002</v>
      </c>
      <c r="F4637" s="5">
        <v>293.29989999999998</v>
      </c>
      <c r="G4637" s="5">
        <v>292.45729999999998</v>
      </c>
      <c r="H4637" s="4">
        <v>0</v>
      </c>
      <c r="I4637" s="6">
        <v>274897</v>
      </c>
      <c r="J4637" s="7">
        <v>92.21</v>
      </c>
      <c r="K4637" s="9">
        <f>(PricingDataTable[[#This Row],[Current Price ($)]]-PricingDataTable[[#This Row],[Prior Price ($)]])/PricingDataTable[[#This Row],[Prior Price ($)]]</f>
        <v>-7.5393871308303793E-3</v>
      </c>
      <c r="L4637" s="9">
        <f>(PricingDataTable[[#This Row],[Vendor Price ($)]]-PricingDataTable[[#This Row],[Current Price ($)]])/PricingDataTable[[#This Row],[Current Price ($)]]</f>
        <v>-2.8728274370363048E-3</v>
      </c>
      <c r="M4637" t="str">
        <f t="shared" si="144"/>
        <v>PASS</v>
      </c>
      <c r="N4637" s="10" t="str">
        <f t="shared" si="145"/>
        <v>NONE</v>
      </c>
    </row>
    <row r="4638" spans="1:14">
      <c r="A4638" s="4" t="s">
        <v>9292</v>
      </c>
      <c r="B4638" s="4" t="s">
        <v>9293</v>
      </c>
      <c r="C4638" s="4" t="s">
        <v>12</v>
      </c>
      <c r="D4638" s="4" t="s">
        <v>13</v>
      </c>
      <c r="E4638" s="5">
        <v>75.295100000000005</v>
      </c>
      <c r="F4638" s="5">
        <v>73.767499999999998</v>
      </c>
      <c r="G4638" s="5">
        <v>73.594399999999993</v>
      </c>
      <c r="H4638" s="4">
        <v>5</v>
      </c>
      <c r="I4638" s="6">
        <v>2825639</v>
      </c>
      <c r="J4638" s="7">
        <v>476.89</v>
      </c>
      <c r="K4638" s="9">
        <f>(PricingDataTable[[#This Row],[Current Price ($)]]-PricingDataTable[[#This Row],[Prior Price ($)]])/PricingDataTable[[#This Row],[Prior Price ($)]]</f>
        <v>-2.0288172802745551E-2</v>
      </c>
      <c r="L4638" s="9">
        <f>(PricingDataTable[[#This Row],[Vendor Price ($)]]-PricingDataTable[[#This Row],[Current Price ($)]])/PricingDataTable[[#This Row],[Current Price ($)]]</f>
        <v>-2.3465618327855103E-3</v>
      </c>
      <c r="M4638" t="str">
        <f t="shared" si="144"/>
        <v>STALE</v>
      </c>
      <c r="N4638" s="10" t="str">
        <f t="shared" si="145"/>
        <v>MEDIUM</v>
      </c>
    </row>
    <row r="4639" spans="1:14">
      <c r="A4639" s="4" t="s">
        <v>9294</v>
      </c>
      <c r="B4639" s="4" t="s">
        <v>9295</v>
      </c>
      <c r="C4639" s="4" t="s">
        <v>19</v>
      </c>
      <c r="D4639" s="4" t="s">
        <v>64</v>
      </c>
      <c r="E4639" s="5">
        <v>232.54740000000001</v>
      </c>
      <c r="F4639" s="5">
        <v>232.87119999999999</v>
      </c>
      <c r="G4639" s="5">
        <v>233.44579999999999</v>
      </c>
      <c r="H4639" s="4">
        <v>0</v>
      </c>
      <c r="I4639" s="6">
        <v>2305172</v>
      </c>
      <c r="J4639" s="7">
        <v>857.74</v>
      </c>
      <c r="K4639" s="9">
        <f>(PricingDataTable[[#This Row],[Current Price ($)]]-PricingDataTable[[#This Row],[Prior Price ($)]])/PricingDataTable[[#This Row],[Prior Price ($)]]</f>
        <v>1.3924043012305328E-3</v>
      </c>
      <c r="L4639" s="9">
        <f>(PricingDataTable[[#This Row],[Vendor Price ($)]]-PricingDataTable[[#This Row],[Current Price ($)]])/PricingDataTable[[#This Row],[Current Price ($)]]</f>
        <v>2.4674584061919369E-3</v>
      </c>
      <c r="M4639" t="str">
        <f t="shared" si="144"/>
        <v>PASS</v>
      </c>
      <c r="N4639" s="10" t="str">
        <f t="shared" si="145"/>
        <v>NONE</v>
      </c>
    </row>
    <row r="4640" spans="1:14">
      <c r="A4640" s="4" t="s">
        <v>9296</v>
      </c>
      <c r="B4640" s="4" t="s">
        <v>9297</v>
      </c>
      <c r="C4640" s="4" t="s">
        <v>35</v>
      </c>
      <c r="D4640" s="4" t="s">
        <v>13</v>
      </c>
      <c r="E4640" s="5">
        <v>148.3997</v>
      </c>
      <c r="F4640" s="5">
        <v>149.03460000000001</v>
      </c>
      <c r="G4640" s="5">
        <v>153.5573</v>
      </c>
      <c r="H4640" s="4">
        <v>0</v>
      </c>
      <c r="I4640" s="6">
        <v>2165957</v>
      </c>
      <c r="J4640" s="7">
        <v>214.44</v>
      </c>
      <c r="K4640" s="9">
        <f>(PricingDataTable[[#This Row],[Current Price ($)]]-PricingDataTable[[#This Row],[Prior Price ($)]])/PricingDataTable[[#This Row],[Prior Price ($)]]</f>
        <v>4.278310535668307E-3</v>
      </c>
      <c r="L4640" s="9">
        <f>(PricingDataTable[[#This Row],[Vendor Price ($)]]-PricingDataTable[[#This Row],[Current Price ($)]])/PricingDataTable[[#This Row],[Current Price ($)]]</f>
        <v>3.0346644336281547E-2</v>
      </c>
      <c r="M4640" t="str">
        <f t="shared" si="144"/>
        <v>VENDOR DIFFERENCE</v>
      </c>
      <c r="N4640" s="10" t="str">
        <f t="shared" si="145"/>
        <v>MEDIUM</v>
      </c>
    </row>
    <row r="4641" spans="1:14">
      <c r="A4641" s="4" t="s">
        <v>9298</v>
      </c>
      <c r="B4641" s="4" t="s">
        <v>9299</v>
      </c>
      <c r="C4641" s="4" t="s">
        <v>19</v>
      </c>
      <c r="D4641" s="4" t="s">
        <v>13</v>
      </c>
      <c r="E4641" s="5">
        <v>348.25619999999998</v>
      </c>
      <c r="F4641" s="5">
        <v>343.38189999999997</v>
      </c>
      <c r="G4641" s="5">
        <v>343.10109999999997</v>
      </c>
      <c r="H4641" s="4">
        <v>4</v>
      </c>
      <c r="I4641" s="6">
        <v>3652305</v>
      </c>
      <c r="J4641" s="7">
        <v>544.29</v>
      </c>
      <c r="K4641" s="9">
        <f>(PricingDataTable[[#This Row],[Current Price ($)]]-PricingDataTable[[#This Row],[Prior Price ($)]])/PricingDataTable[[#This Row],[Prior Price ($)]]</f>
        <v>-1.3996305019120997E-2</v>
      </c>
      <c r="L4641" s="9">
        <f>(PricingDataTable[[#This Row],[Vendor Price ($)]]-PricingDataTable[[#This Row],[Current Price ($)]])/PricingDataTable[[#This Row],[Current Price ($)]]</f>
        <v>-8.1774840199789014E-4</v>
      </c>
      <c r="M4641" t="str">
        <f t="shared" si="144"/>
        <v>STALE</v>
      </c>
      <c r="N4641" s="10" t="str">
        <f t="shared" si="145"/>
        <v>LOW</v>
      </c>
    </row>
    <row r="4642" spans="1:14">
      <c r="A4642" s="4" t="s">
        <v>9300</v>
      </c>
      <c r="B4642" s="4" t="s">
        <v>9301</v>
      </c>
      <c r="C4642" s="4" t="s">
        <v>16</v>
      </c>
      <c r="D4642" s="4" t="s">
        <v>13</v>
      </c>
      <c r="E4642" s="5">
        <v>113.2818</v>
      </c>
      <c r="F4642" s="5">
        <v>114.7872</v>
      </c>
      <c r="G4642" s="5">
        <v>115.3121</v>
      </c>
      <c r="H4642" s="4">
        <v>0</v>
      </c>
      <c r="I4642" s="6">
        <v>862777</v>
      </c>
      <c r="J4642" s="7">
        <v>400.98</v>
      </c>
      <c r="K4642" s="9">
        <f>(PricingDataTable[[#This Row],[Current Price ($)]]-PricingDataTable[[#This Row],[Prior Price ($)]])/PricingDataTable[[#This Row],[Prior Price ($)]]</f>
        <v>1.3288983755554682E-2</v>
      </c>
      <c r="L4642" s="9">
        <f>(PricingDataTable[[#This Row],[Vendor Price ($)]]-PricingDataTable[[#This Row],[Current Price ($)]])/PricingDataTable[[#This Row],[Current Price ($)]]</f>
        <v>4.5728095118619701E-3</v>
      </c>
      <c r="M4642" t="str">
        <f t="shared" si="144"/>
        <v>PASS</v>
      </c>
      <c r="N4642" s="10" t="str">
        <f t="shared" si="145"/>
        <v>NONE</v>
      </c>
    </row>
    <row r="4643" spans="1:14">
      <c r="A4643" s="4" t="s">
        <v>9302</v>
      </c>
      <c r="B4643" s="4" t="s">
        <v>9303</v>
      </c>
      <c r="C4643" s="4" t="s">
        <v>19</v>
      </c>
      <c r="D4643" s="4" t="s">
        <v>13</v>
      </c>
      <c r="E4643" s="5">
        <v>335.19709999999998</v>
      </c>
      <c r="F4643" s="5">
        <v>336.34690000000001</v>
      </c>
      <c r="G4643" s="5">
        <v>335.41090000000003</v>
      </c>
      <c r="H4643" s="4">
        <v>1</v>
      </c>
      <c r="I4643" s="6">
        <v>2535288</v>
      </c>
      <c r="J4643" s="7">
        <v>706.37</v>
      </c>
      <c r="K4643" s="9">
        <f>(PricingDataTable[[#This Row],[Current Price ($)]]-PricingDataTable[[#This Row],[Prior Price ($)]])/PricingDataTable[[#This Row],[Prior Price ($)]]</f>
        <v>3.4302206075172712E-3</v>
      </c>
      <c r="L4643" s="9">
        <f>(PricingDataTable[[#This Row],[Vendor Price ($)]]-PricingDataTable[[#This Row],[Current Price ($)]])/PricingDataTable[[#This Row],[Current Price ($)]]</f>
        <v>-2.7828411678537208E-3</v>
      </c>
      <c r="M4643" t="str">
        <f t="shared" si="144"/>
        <v>PASS</v>
      </c>
      <c r="N4643" s="10" t="str">
        <f t="shared" si="145"/>
        <v>NONE</v>
      </c>
    </row>
    <row r="4644" spans="1:14">
      <c r="A4644" s="4" t="s">
        <v>9304</v>
      </c>
      <c r="B4644" s="4" t="s">
        <v>9305</v>
      </c>
      <c r="C4644" s="4" t="s">
        <v>35</v>
      </c>
      <c r="D4644" s="4" t="s">
        <v>13</v>
      </c>
      <c r="E4644" s="5">
        <v>122.6022</v>
      </c>
      <c r="F4644" s="5">
        <v>122.331</v>
      </c>
      <c r="G4644" s="5">
        <v>122.25060000000001</v>
      </c>
      <c r="H4644" s="4">
        <v>2</v>
      </c>
      <c r="I4644" s="6">
        <v>2331024</v>
      </c>
      <c r="J4644" s="7">
        <v>894.08</v>
      </c>
      <c r="K4644" s="9">
        <f>(PricingDataTable[[#This Row],[Current Price ($)]]-PricingDataTable[[#This Row],[Prior Price ($)]])/PricingDataTable[[#This Row],[Prior Price ($)]]</f>
        <v>-2.2120320842529189E-3</v>
      </c>
      <c r="L4644" s="9">
        <f>(PricingDataTable[[#This Row],[Vendor Price ($)]]-PricingDataTable[[#This Row],[Current Price ($)]])/PricingDataTable[[#This Row],[Current Price ($)]]</f>
        <v>-6.5723324423079478E-4</v>
      </c>
      <c r="M4644" t="str">
        <f t="shared" si="144"/>
        <v>PASS</v>
      </c>
      <c r="N4644" s="10" t="str">
        <f t="shared" si="145"/>
        <v>NONE</v>
      </c>
    </row>
    <row r="4645" spans="1:14">
      <c r="A4645" s="4" t="s">
        <v>9306</v>
      </c>
      <c r="B4645" s="4" t="s">
        <v>9307</v>
      </c>
      <c r="C4645" s="4" t="s">
        <v>19</v>
      </c>
      <c r="D4645" s="4" t="s">
        <v>13</v>
      </c>
      <c r="E4645" s="5">
        <v>115.1935</v>
      </c>
      <c r="F4645" s="5">
        <v>114.3566</v>
      </c>
      <c r="G4645" s="5">
        <v>114.554</v>
      </c>
      <c r="H4645" s="4">
        <v>5</v>
      </c>
      <c r="I4645" s="6">
        <v>4114479</v>
      </c>
      <c r="J4645" s="7">
        <v>596.69000000000005</v>
      </c>
      <c r="K4645" s="9">
        <f>(PricingDataTable[[#This Row],[Current Price ($)]]-PricingDataTable[[#This Row],[Prior Price ($)]])/PricingDataTable[[#This Row],[Prior Price ($)]]</f>
        <v>-7.2651668713946535E-3</v>
      </c>
      <c r="L4645" s="9">
        <f>(PricingDataTable[[#This Row],[Vendor Price ($)]]-PricingDataTable[[#This Row],[Current Price ($)]])/PricingDataTable[[#This Row],[Current Price ($)]]</f>
        <v>1.7261793372660764E-3</v>
      </c>
      <c r="M4645" t="str">
        <f t="shared" si="144"/>
        <v>STALE</v>
      </c>
      <c r="N4645" s="10" t="str">
        <f t="shared" si="145"/>
        <v>MEDIUM</v>
      </c>
    </row>
    <row r="4646" spans="1:14">
      <c r="A4646" s="4" t="s">
        <v>9308</v>
      </c>
      <c r="B4646" s="4" t="s">
        <v>9309</v>
      </c>
      <c r="C4646" s="4" t="s">
        <v>16</v>
      </c>
      <c r="D4646" s="4" t="s">
        <v>36</v>
      </c>
      <c r="E4646" s="5">
        <v>82.961600000000004</v>
      </c>
      <c r="F4646" s="5">
        <v>82.770300000000006</v>
      </c>
      <c r="G4646" s="5">
        <v>82.401600000000002</v>
      </c>
      <c r="H4646" s="4">
        <v>1</v>
      </c>
      <c r="I4646" s="6">
        <v>2414705</v>
      </c>
      <c r="J4646" s="7">
        <v>377.7</v>
      </c>
      <c r="K4646" s="9">
        <f>(PricingDataTable[[#This Row],[Current Price ($)]]-PricingDataTable[[#This Row],[Prior Price ($)]])/PricingDataTable[[#This Row],[Prior Price ($)]]</f>
        <v>-2.3058860967001388E-3</v>
      </c>
      <c r="L4646" s="9">
        <f>(PricingDataTable[[#This Row],[Vendor Price ($)]]-PricingDataTable[[#This Row],[Current Price ($)]])/PricingDataTable[[#This Row],[Current Price ($)]]</f>
        <v>-4.4544963592013558E-3</v>
      </c>
      <c r="M4646" t="str">
        <f t="shared" si="144"/>
        <v>PASS</v>
      </c>
      <c r="N4646" s="10" t="str">
        <f t="shared" si="145"/>
        <v>NONE</v>
      </c>
    </row>
    <row r="4647" spans="1:14">
      <c r="A4647" s="4" t="s">
        <v>9310</v>
      </c>
      <c r="B4647" s="4" t="s">
        <v>9311</v>
      </c>
      <c r="C4647" s="4" t="s">
        <v>35</v>
      </c>
      <c r="D4647" s="4" t="s">
        <v>13</v>
      </c>
      <c r="E4647" s="5">
        <v>13.837300000000001</v>
      </c>
      <c r="F4647" s="5">
        <v>13.7781</v>
      </c>
      <c r="G4647" s="5">
        <v>13.7788</v>
      </c>
      <c r="H4647" s="4">
        <v>0</v>
      </c>
      <c r="I4647" s="6">
        <v>4802101</v>
      </c>
      <c r="J4647" s="7">
        <v>495.65</v>
      </c>
      <c r="K4647" s="9">
        <f>(PricingDataTable[[#This Row],[Current Price ($)]]-PricingDataTable[[#This Row],[Prior Price ($)]])/PricingDataTable[[#This Row],[Prior Price ($)]]</f>
        <v>-4.2782912851496019E-3</v>
      </c>
      <c r="L4647" s="9">
        <f>(PricingDataTable[[#This Row],[Vendor Price ($)]]-PricingDataTable[[#This Row],[Current Price ($)]])/PricingDataTable[[#This Row],[Current Price ($)]]</f>
        <v>5.080526342530138E-5</v>
      </c>
      <c r="M4647" t="str">
        <f t="shared" si="144"/>
        <v>PASS</v>
      </c>
      <c r="N4647" s="10" t="str">
        <f t="shared" si="145"/>
        <v>NONE</v>
      </c>
    </row>
    <row r="4648" spans="1:14">
      <c r="A4648" s="4" t="s">
        <v>9312</v>
      </c>
      <c r="B4648" s="4" t="s">
        <v>9313</v>
      </c>
      <c r="C4648" s="4" t="s">
        <v>19</v>
      </c>
      <c r="D4648" s="4" t="s">
        <v>32</v>
      </c>
      <c r="E4648" s="5">
        <v>73.771600000000007</v>
      </c>
      <c r="F4648" s="5">
        <v>73.703000000000003</v>
      </c>
      <c r="G4648" s="5">
        <v>73.849999999999994</v>
      </c>
      <c r="H4648" s="4">
        <v>0</v>
      </c>
      <c r="I4648" s="6">
        <v>773315</v>
      </c>
      <c r="J4648" s="7">
        <v>117.33</v>
      </c>
      <c r="K4648" s="9">
        <f>(PricingDataTable[[#This Row],[Current Price ($)]]-PricingDataTable[[#This Row],[Prior Price ($)]])/PricingDataTable[[#This Row],[Prior Price ($)]]</f>
        <v>-9.2989714198964829E-4</v>
      </c>
      <c r="L4648" s="9">
        <f>(PricingDataTable[[#This Row],[Vendor Price ($)]]-PricingDataTable[[#This Row],[Current Price ($)]])/PricingDataTable[[#This Row],[Current Price ($)]]</f>
        <v>1.9944914046916861E-3</v>
      </c>
      <c r="M4648" t="str">
        <f t="shared" si="144"/>
        <v>PASS</v>
      </c>
      <c r="N4648" s="10" t="str">
        <f t="shared" si="145"/>
        <v>NONE</v>
      </c>
    </row>
    <row r="4649" spans="1:14">
      <c r="A4649" s="4" t="s">
        <v>9314</v>
      </c>
      <c r="B4649" s="4" t="s">
        <v>9315</v>
      </c>
      <c r="C4649" s="4" t="s">
        <v>35</v>
      </c>
      <c r="D4649" s="4" t="s">
        <v>13</v>
      </c>
      <c r="E4649" s="5">
        <v>91.465999999999994</v>
      </c>
      <c r="F4649" s="5">
        <v>90.685299999999998</v>
      </c>
      <c r="G4649" s="5">
        <v>91.1845</v>
      </c>
      <c r="H4649" s="4">
        <v>0</v>
      </c>
      <c r="I4649" s="6">
        <v>4073930</v>
      </c>
      <c r="J4649" s="7">
        <v>110.64</v>
      </c>
      <c r="K4649" s="9">
        <f>(PricingDataTable[[#This Row],[Current Price ($)]]-PricingDataTable[[#This Row],[Prior Price ($)]])/PricingDataTable[[#This Row],[Prior Price ($)]]</f>
        <v>-8.5354120656855655E-3</v>
      </c>
      <c r="L4649" s="9">
        <f>(PricingDataTable[[#This Row],[Vendor Price ($)]]-PricingDataTable[[#This Row],[Current Price ($)]])/PricingDataTable[[#This Row],[Current Price ($)]]</f>
        <v>5.5047510456490952E-3</v>
      </c>
      <c r="M4649" t="str">
        <f t="shared" si="144"/>
        <v>PASS</v>
      </c>
      <c r="N4649" s="10" t="str">
        <f t="shared" si="145"/>
        <v>NONE</v>
      </c>
    </row>
    <row r="4650" spans="1:14">
      <c r="A4650" s="4" t="s">
        <v>9316</v>
      </c>
      <c r="B4650" s="4" t="s">
        <v>9317</v>
      </c>
      <c r="C4650" s="4" t="s">
        <v>16</v>
      </c>
      <c r="D4650" s="4" t="s">
        <v>13</v>
      </c>
      <c r="E4650" s="5">
        <v>101.7247</v>
      </c>
      <c r="F4650" s="5">
        <v>101.2851</v>
      </c>
      <c r="G4650" s="5">
        <v>101.776</v>
      </c>
      <c r="H4650" s="4">
        <v>2</v>
      </c>
      <c r="I4650" s="6">
        <v>3632592</v>
      </c>
      <c r="J4650" s="7">
        <v>126.34</v>
      </c>
      <c r="K4650" s="9">
        <f>(PricingDataTable[[#This Row],[Current Price ($)]]-PricingDataTable[[#This Row],[Prior Price ($)]])/PricingDataTable[[#This Row],[Prior Price ($)]]</f>
        <v>-4.3214676474838329E-3</v>
      </c>
      <c r="L4650" s="9">
        <f>(PricingDataTable[[#This Row],[Vendor Price ($)]]-PricingDataTable[[#This Row],[Current Price ($)]])/PricingDataTable[[#This Row],[Current Price ($)]]</f>
        <v>4.8467148672410483E-3</v>
      </c>
      <c r="M4650" t="str">
        <f t="shared" si="144"/>
        <v>PASS</v>
      </c>
      <c r="N4650" s="10" t="str">
        <f t="shared" si="145"/>
        <v>NONE</v>
      </c>
    </row>
    <row r="4651" spans="1:14">
      <c r="A4651" s="4" t="s">
        <v>9318</v>
      </c>
      <c r="B4651" s="4" t="s">
        <v>9319</v>
      </c>
      <c r="C4651" s="4" t="s">
        <v>12</v>
      </c>
      <c r="D4651" s="4" t="s">
        <v>237</v>
      </c>
      <c r="E4651" s="5">
        <v>110.6396</v>
      </c>
      <c r="F4651" s="5">
        <v>110.0496</v>
      </c>
      <c r="G4651" s="5">
        <v>110.34869999999999</v>
      </c>
      <c r="H4651" s="4">
        <v>0</v>
      </c>
      <c r="I4651" s="6">
        <v>1652984</v>
      </c>
      <c r="J4651" s="7">
        <v>434.33</v>
      </c>
      <c r="K4651" s="9">
        <f>(PricingDataTable[[#This Row],[Current Price ($)]]-PricingDataTable[[#This Row],[Prior Price ($)]])/PricingDataTable[[#This Row],[Prior Price ($)]]</f>
        <v>-5.332629546744596E-3</v>
      </c>
      <c r="L4651" s="9">
        <f>(PricingDataTable[[#This Row],[Vendor Price ($)]]-PricingDataTable[[#This Row],[Current Price ($)]])/PricingDataTable[[#This Row],[Current Price ($)]]</f>
        <v>2.7178653988746502E-3</v>
      </c>
      <c r="M4651" t="str">
        <f t="shared" si="144"/>
        <v>PASS</v>
      </c>
      <c r="N4651" s="10" t="str">
        <f t="shared" si="145"/>
        <v>NONE</v>
      </c>
    </row>
    <row r="4652" spans="1:14">
      <c r="A4652" s="4" t="s">
        <v>9320</v>
      </c>
      <c r="B4652" s="4" t="s">
        <v>9321</v>
      </c>
      <c r="C4652" s="4" t="s">
        <v>39</v>
      </c>
      <c r="D4652" s="4" t="s">
        <v>13</v>
      </c>
      <c r="E4652" s="5">
        <v>111.75</v>
      </c>
      <c r="F4652" s="5">
        <v>111.10769999999999</v>
      </c>
      <c r="G4652" s="5">
        <v>111.2927</v>
      </c>
      <c r="H4652" s="4">
        <v>1</v>
      </c>
      <c r="I4652" s="6">
        <v>226411</v>
      </c>
      <c r="J4652" s="7">
        <v>5.81</v>
      </c>
      <c r="K4652" s="9">
        <f>(PricingDataTable[[#This Row],[Current Price ($)]]-PricingDataTable[[#This Row],[Prior Price ($)]])/PricingDataTable[[#This Row],[Prior Price ($)]]</f>
        <v>-5.7476510067114616E-3</v>
      </c>
      <c r="L4652" s="9">
        <f>(PricingDataTable[[#This Row],[Vendor Price ($)]]-PricingDataTable[[#This Row],[Current Price ($)]])/PricingDataTable[[#This Row],[Current Price ($)]]</f>
        <v>1.6650511170693146E-3</v>
      </c>
      <c r="M4652" t="str">
        <f t="shared" si="144"/>
        <v>PASS</v>
      </c>
      <c r="N4652" s="10" t="str">
        <f t="shared" si="145"/>
        <v>NONE</v>
      </c>
    </row>
    <row r="4653" spans="1:14">
      <c r="A4653" s="4" t="s">
        <v>9322</v>
      </c>
      <c r="B4653" s="4" t="s">
        <v>9323</v>
      </c>
      <c r="C4653" s="4" t="s">
        <v>19</v>
      </c>
      <c r="D4653" s="4" t="s">
        <v>13</v>
      </c>
      <c r="E4653" s="5">
        <v>147.14019999999999</v>
      </c>
      <c r="F4653" s="5">
        <v>144.52269999999999</v>
      </c>
      <c r="G4653" s="5">
        <v>144.07239999999999</v>
      </c>
      <c r="H4653" s="4">
        <v>0</v>
      </c>
      <c r="I4653" s="6">
        <v>1562859</v>
      </c>
      <c r="J4653" s="7">
        <v>174.9</v>
      </c>
      <c r="K4653" s="9">
        <f>(PricingDataTable[[#This Row],[Current Price ($)]]-PricingDataTable[[#This Row],[Prior Price ($)]])/PricingDataTable[[#This Row],[Prior Price ($)]]</f>
        <v>-1.7789156192529351E-2</v>
      </c>
      <c r="L4653" s="9">
        <f>(PricingDataTable[[#This Row],[Vendor Price ($)]]-PricingDataTable[[#This Row],[Current Price ($)]])/PricingDataTable[[#This Row],[Current Price ($)]]</f>
        <v>-3.1157735082447159E-3</v>
      </c>
      <c r="M4653" t="str">
        <f t="shared" si="144"/>
        <v>PASS</v>
      </c>
      <c r="N4653" s="10" t="str">
        <f t="shared" si="145"/>
        <v>NONE</v>
      </c>
    </row>
    <row r="4654" spans="1:14">
      <c r="A4654" s="4" t="s">
        <v>9324</v>
      </c>
      <c r="B4654" s="4" t="s">
        <v>9325</v>
      </c>
      <c r="C4654" s="4" t="s">
        <v>35</v>
      </c>
      <c r="D4654" s="4" t="s">
        <v>36</v>
      </c>
      <c r="E4654" s="5">
        <v>174.57599999999999</v>
      </c>
      <c r="F4654" s="5">
        <v>173.30090000000001</v>
      </c>
      <c r="G4654" s="5">
        <v>172.8493</v>
      </c>
      <c r="H4654" s="4">
        <v>0</v>
      </c>
      <c r="I4654" s="6">
        <v>328308</v>
      </c>
      <c r="J4654" s="7">
        <v>567.04</v>
      </c>
      <c r="K4654" s="9">
        <f>(PricingDataTable[[#This Row],[Current Price ($)]]-PricingDataTable[[#This Row],[Prior Price ($)]])/PricingDataTable[[#This Row],[Prior Price ($)]]</f>
        <v>-7.3039822197780947E-3</v>
      </c>
      <c r="L4654" s="9">
        <f>(PricingDataTable[[#This Row],[Vendor Price ($)]]-PricingDataTable[[#This Row],[Current Price ($)]])/PricingDataTable[[#This Row],[Current Price ($)]]</f>
        <v>-2.6058722141663044E-3</v>
      </c>
      <c r="M4654" t="str">
        <f t="shared" si="144"/>
        <v>PASS</v>
      </c>
      <c r="N4654" s="10" t="str">
        <f t="shared" si="145"/>
        <v>NONE</v>
      </c>
    </row>
    <row r="4655" spans="1:14">
      <c r="A4655" s="4" t="s">
        <v>9326</v>
      </c>
      <c r="B4655" s="4" t="s">
        <v>9327</v>
      </c>
      <c r="C4655" s="4" t="s">
        <v>19</v>
      </c>
      <c r="D4655" s="4" t="s">
        <v>13</v>
      </c>
      <c r="E4655" s="5">
        <v>143.2971</v>
      </c>
      <c r="F4655" s="5">
        <v>143.5361</v>
      </c>
      <c r="G4655" s="5">
        <v>143.42269999999999</v>
      </c>
      <c r="H4655" s="4">
        <v>0</v>
      </c>
      <c r="I4655" s="6">
        <v>119377</v>
      </c>
      <c r="J4655" s="7">
        <v>241.85</v>
      </c>
      <c r="K4655" s="9">
        <f>(PricingDataTable[[#This Row],[Current Price ($)]]-PricingDataTable[[#This Row],[Prior Price ($)]])/PricingDataTable[[#This Row],[Prior Price ($)]]</f>
        <v>1.6678634808380932E-3</v>
      </c>
      <c r="L4655" s="9">
        <f>(PricingDataTable[[#This Row],[Vendor Price ($)]]-PricingDataTable[[#This Row],[Current Price ($)]])/PricingDataTable[[#This Row],[Current Price ($)]]</f>
        <v>-7.9004515240425801E-4</v>
      </c>
      <c r="M4655" t="str">
        <f t="shared" si="144"/>
        <v>PASS</v>
      </c>
      <c r="N4655" s="10" t="str">
        <f t="shared" si="145"/>
        <v>NONE</v>
      </c>
    </row>
    <row r="4656" spans="1:14">
      <c r="A4656" s="4" t="s">
        <v>9328</v>
      </c>
      <c r="B4656" s="4" t="s">
        <v>9329</v>
      </c>
      <c r="C4656" s="4" t="s">
        <v>19</v>
      </c>
      <c r="D4656" s="4" t="s">
        <v>13</v>
      </c>
      <c r="E4656" s="5">
        <v>210.3715</v>
      </c>
      <c r="F4656" s="5">
        <v>210.45</v>
      </c>
      <c r="G4656" s="5">
        <v>210.68029999999999</v>
      </c>
      <c r="H4656" s="4">
        <v>0</v>
      </c>
      <c r="I4656" s="6">
        <v>567402</v>
      </c>
      <c r="J4656" s="7">
        <v>587.77</v>
      </c>
      <c r="K4656" s="9">
        <f>(PricingDataTable[[#This Row],[Current Price ($)]]-PricingDataTable[[#This Row],[Prior Price ($)]])/PricingDataTable[[#This Row],[Prior Price ($)]]</f>
        <v>3.7314940474347113E-4</v>
      </c>
      <c r="L4656" s="9">
        <f>(PricingDataTable[[#This Row],[Vendor Price ($)]]-PricingDataTable[[#This Row],[Current Price ($)]])/PricingDataTable[[#This Row],[Current Price ($)]]</f>
        <v>1.0943216916132086E-3</v>
      </c>
      <c r="M4656" t="str">
        <f t="shared" si="144"/>
        <v>PASS</v>
      </c>
      <c r="N4656" s="10" t="str">
        <f t="shared" si="145"/>
        <v>NONE</v>
      </c>
    </row>
    <row r="4657" spans="1:14">
      <c r="A4657" s="4" t="s">
        <v>9330</v>
      </c>
      <c r="B4657" s="4" t="s">
        <v>9331</v>
      </c>
      <c r="C4657" s="4" t="s">
        <v>16</v>
      </c>
      <c r="D4657" s="4" t="s">
        <v>13</v>
      </c>
      <c r="E4657" s="5">
        <v>114.5168</v>
      </c>
      <c r="F4657" s="5">
        <v>112.544</v>
      </c>
      <c r="G4657" s="5">
        <v>112.7406</v>
      </c>
      <c r="H4657" s="4">
        <v>0</v>
      </c>
      <c r="I4657" s="6">
        <v>2795677</v>
      </c>
      <c r="J4657" s="7">
        <v>401.03</v>
      </c>
      <c r="K4657" s="9">
        <f>(PricingDataTable[[#This Row],[Current Price ($)]]-PricingDataTable[[#This Row],[Prior Price ($)]])/PricingDataTable[[#This Row],[Prior Price ($)]]</f>
        <v>-1.7227166668995347E-2</v>
      </c>
      <c r="L4657" s="9">
        <f>(PricingDataTable[[#This Row],[Vendor Price ($)]]-PricingDataTable[[#This Row],[Current Price ($)]])/PricingDataTable[[#This Row],[Current Price ($)]]</f>
        <v>1.7468723343759211E-3</v>
      </c>
      <c r="M4657" t="str">
        <f t="shared" si="144"/>
        <v>PASS</v>
      </c>
      <c r="N4657" s="10" t="str">
        <f t="shared" si="145"/>
        <v>NONE</v>
      </c>
    </row>
    <row r="4658" spans="1:14">
      <c r="A4658" s="4" t="s">
        <v>9332</v>
      </c>
      <c r="B4658" s="4" t="s">
        <v>9333</v>
      </c>
      <c r="C4658" s="4" t="s">
        <v>12</v>
      </c>
      <c r="D4658" s="4" t="s">
        <v>13</v>
      </c>
      <c r="E4658" s="5">
        <v>92.240099999999998</v>
      </c>
      <c r="F4658" s="5">
        <v>90.801100000000005</v>
      </c>
      <c r="G4658" s="5">
        <v>90.408100000000005</v>
      </c>
      <c r="H4658" s="4">
        <v>0</v>
      </c>
      <c r="I4658" s="6">
        <v>1955036</v>
      </c>
      <c r="J4658" s="7">
        <v>239.23</v>
      </c>
      <c r="K4658" s="9">
        <f>(PricingDataTable[[#This Row],[Current Price ($)]]-PricingDataTable[[#This Row],[Prior Price ($)]])/PricingDataTable[[#This Row],[Prior Price ($)]]</f>
        <v>-1.560059019883969E-2</v>
      </c>
      <c r="L4658" s="9">
        <f>(PricingDataTable[[#This Row],[Vendor Price ($)]]-PricingDataTable[[#This Row],[Current Price ($)]])/PricingDataTable[[#This Row],[Current Price ($)]]</f>
        <v>-4.3281413991680794E-3</v>
      </c>
      <c r="M4658" t="str">
        <f t="shared" si="144"/>
        <v>PASS</v>
      </c>
      <c r="N4658" s="10" t="str">
        <f t="shared" si="145"/>
        <v>NONE</v>
      </c>
    </row>
    <row r="4659" spans="1:14">
      <c r="A4659" s="4" t="s">
        <v>9334</v>
      </c>
      <c r="B4659" s="4" t="s">
        <v>9335</v>
      </c>
      <c r="C4659" s="4" t="s">
        <v>12</v>
      </c>
      <c r="D4659" s="4" t="s">
        <v>13</v>
      </c>
      <c r="E4659" s="5">
        <v>123.81399999999999</v>
      </c>
      <c r="F4659" s="5">
        <v>125.4392</v>
      </c>
      <c r="G4659" s="5">
        <v>125.1807</v>
      </c>
      <c r="H4659" s="4">
        <v>2</v>
      </c>
      <c r="I4659" s="6">
        <v>2709346</v>
      </c>
      <c r="J4659" s="7">
        <v>714.49</v>
      </c>
      <c r="K4659" s="9">
        <f>(PricingDataTable[[#This Row],[Current Price ($)]]-PricingDataTable[[#This Row],[Prior Price ($)]])/PricingDataTable[[#This Row],[Prior Price ($)]]</f>
        <v>1.3126140824139489E-2</v>
      </c>
      <c r="L4659" s="9">
        <f>(PricingDataTable[[#This Row],[Vendor Price ($)]]-PricingDataTable[[#This Row],[Current Price ($)]])/PricingDataTable[[#This Row],[Current Price ($)]]</f>
        <v>-2.0607593160670503E-3</v>
      </c>
      <c r="M4659" t="str">
        <f t="shared" si="144"/>
        <v>PASS</v>
      </c>
      <c r="N4659" s="10" t="str">
        <f t="shared" si="145"/>
        <v>NONE</v>
      </c>
    </row>
    <row r="4660" spans="1:14">
      <c r="A4660" s="4" t="s">
        <v>9336</v>
      </c>
      <c r="B4660" s="4" t="s">
        <v>9337</v>
      </c>
      <c r="C4660" s="4" t="s">
        <v>19</v>
      </c>
      <c r="D4660" s="4" t="s">
        <v>13</v>
      </c>
      <c r="E4660" s="5">
        <v>72.591300000000004</v>
      </c>
      <c r="F4660" s="5">
        <v>72.540999999999997</v>
      </c>
      <c r="G4660" s="5">
        <v>72.326300000000003</v>
      </c>
      <c r="H4660" s="4">
        <v>1</v>
      </c>
      <c r="I4660" s="6">
        <v>2294232</v>
      </c>
      <c r="J4660" s="7">
        <v>374.35</v>
      </c>
      <c r="K4660" s="9">
        <f>(PricingDataTable[[#This Row],[Current Price ($)]]-PricingDataTable[[#This Row],[Prior Price ($)]])/PricingDataTable[[#This Row],[Prior Price ($)]]</f>
        <v>-6.9292050149270107E-4</v>
      </c>
      <c r="L4660" s="9">
        <f>(PricingDataTable[[#This Row],[Vendor Price ($)]]-PricingDataTable[[#This Row],[Current Price ($)]])/PricingDataTable[[#This Row],[Current Price ($)]]</f>
        <v>-2.9597055458291648E-3</v>
      </c>
      <c r="M4660" t="str">
        <f t="shared" si="144"/>
        <v>PASS</v>
      </c>
      <c r="N4660" s="10" t="str">
        <f t="shared" si="145"/>
        <v>NONE</v>
      </c>
    </row>
    <row r="4661" spans="1:14">
      <c r="A4661" s="4" t="s">
        <v>9338</v>
      </c>
      <c r="B4661" s="4" t="s">
        <v>9339</v>
      </c>
      <c r="C4661" s="4" t="s">
        <v>39</v>
      </c>
      <c r="D4661" s="4" t="s">
        <v>13</v>
      </c>
      <c r="E4661" s="5">
        <v>148.2568</v>
      </c>
      <c r="F4661" s="5">
        <v>151.94139999999999</v>
      </c>
      <c r="G4661" s="5">
        <v>152.75700000000001</v>
      </c>
      <c r="H4661" s="4">
        <v>0</v>
      </c>
      <c r="I4661" s="6">
        <v>4083903</v>
      </c>
      <c r="J4661" s="7">
        <v>621.98</v>
      </c>
      <c r="K4661" s="9">
        <f>(PricingDataTable[[#This Row],[Current Price ($)]]-PricingDataTable[[#This Row],[Prior Price ($)]])/PricingDataTable[[#This Row],[Prior Price ($)]]</f>
        <v>2.4852822939655982E-2</v>
      </c>
      <c r="L4661" s="9">
        <f>(PricingDataTable[[#This Row],[Vendor Price ($)]]-PricingDataTable[[#This Row],[Current Price ($)]])/PricingDataTable[[#This Row],[Current Price ($)]]</f>
        <v>5.3678589245591901E-3</v>
      </c>
      <c r="M4661" t="str">
        <f t="shared" si="144"/>
        <v>PASS</v>
      </c>
      <c r="N4661" s="10" t="str">
        <f t="shared" si="145"/>
        <v>NONE</v>
      </c>
    </row>
    <row r="4662" spans="1:14">
      <c r="A4662" s="4" t="s">
        <v>9340</v>
      </c>
      <c r="B4662" s="4" t="s">
        <v>9341</v>
      </c>
      <c r="C4662" s="4" t="s">
        <v>12</v>
      </c>
      <c r="D4662" s="4" t="s">
        <v>13</v>
      </c>
      <c r="E4662" s="5">
        <v>109.7105</v>
      </c>
      <c r="F4662" s="5">
        <v>108.1604</v>
      </c>
      <c r="G4662" s="5">
        <v>107.8421</v>
      </c>
      <c r="H4662" s="4">
        <v>5</v>
      </c>
      <c r="I4662" s="6">
        <v>2886608</v>
      </c>
      <c r="J4662" s="7">
        <v>395.8</v>
      </c>
      <c r="K4662" s="9">
        <f>(PricingDataTable[[#This Row],[Current Price ($)]]-PricingDataTable[[#This Row],[Prior Price ($)]])/PricingDataTable[[#This Row],[Prior Price ($)]]</f>
        <v>-1.4129003149197209E-2</v>
      </c>
      <c r="L4662" s="9">
        <f>(PricingDataTable[[#This Row],[Vendor Price ($)]]-PricingDataTable[[#This Row],[Current Price ($)]])/PricingDataTable[[#This Row],[Current Price ($)]]</f>
        <v>-2.9428515427087328E-3</v>
      </c>
      <c r="M4662" t="str">
        <f t="shared" si="144"/>
        <v>STALE</v>
      </c>
      <c r="N4662" s="10" t="str">
        <f t="shared" si="145"/>
        <v>MEDIUM</v>
      </c>
    </row>
    <row r="4663" spans="1:14">
      <c r="A4663" s="4" t="s">
        <v>9342</v>
      </c>
      <c r="B4663" s="4" t="s">
        <v>9343</v>
      </c>
      <c r="C4663" s="4" t="s">
        <v>19</v>
      </c>
      <c r="D4663" s="4" t="s">
        <v>13</v>
      </c>
      <c r="E4663" s="5">
        <v>189.59479999999999</v>
      </c>
      <c r="F4663" s="5">
        <v>190.24529999999999</v>
      </c>
      <c r="G4663" s="5">
        <v>190.5239</v>
      </c>
      <c r="H4663" s="4">
        <v>1</v>
      </c>
      <c r="I4663" s="6">
        <v>3438156</v>
      </c>
      <c r="J4663" s="7">
        <v>439.48</v>
      </c>
      <c r="K4663" s="9">
        <f>(PricingDataTable[[#This Row],[Current Price ($)]]-PricingDataTable[[#This Row],[Prior Price ($)]])/PricingDataTable[[#This Row],[Prior Price ($)]]</f>
        <v>3.4310012721867579E-3</v>
      </c>
      <c r="L4663" s="9">
        <f>(PricingDataTable[[#This Row],[Vendor Price ($)]]-PricingDataTable[[#This Row],[Current Price ($)]])/PricingDataTable[[#This Row],[Current Price ($)]]</f>
        <v>1.4644251395435869E-3</v>
      </c>
      <c r="M4663" t="str">
        <f t="shared" si="144"/>
        <v>PASS</v>
      </c>
      <c r="N4663" s="10" t="str">
        <f t="shared" si="145"/>
        <v>NONE</v>
      </c>
    </row>
    <row r="4664" spans="1:14">
      <c r="A4664" s="4" t="s">
        <v>9344</v>
      </c>
      <c r="B4664" s="4" t="s">
        <v>9345</v>
      </c>
      <c r="C4664" s="4" t="s">
        <v>39</v>
      </c>
      <c r="D4664" s="4" t="s">
        <v>13</v>
      </c>
      <c r="E4664" s="5">
        <v>275.58350000000002</v>
      </c>
      <c r="F4664" s="5">
        <v>234.89269999999999</v>
      </c>
      <c r="G4664" s="5">
        <v>235.0136</v>
      </c>
      <c r="H4664" s="4">
        <v>0</v>
      </c>
      <c r="I4664" s="6">
        <v>3536198</v>
      </c>
      <c r="J4664" s="7">
        <v>273.23</v>
      </c>
      <c r="K4664" s="9">
        <f>(PricingDataTable[[#This Row],[Current Price ($)]]-PricingDataTable[[#This Row],[Prior Price ($)]])/PricingDataTable[[#This Row],[Prior Price ($)]]</f>
        <v>-0.14765325209963595</v>
      </c>
      <c r="L4664" s="9">
        <f>(PricingDataTable[[#This Row],[Vendor Price ($)]]-PricingDataTable[[#This Row],[Current Price ($)]])/PricingDataTable[[#This Row],[Current Price ($)]]</f>
        <v>5.1470309634997599E-4</v>
      </c>
      <c r="M4664" t="str">
        <f t="shared" si="144"/>
        <v>LARGE MOVE</v>
      </c>
      <c r="N4664" s="10" t="str">
        <f t="shared" si="145"/>
        <v>HIGH</v>
      </c>
    </row>
    <row r="4665" spans="1:14">
      <c r="A4665" s="4" t="s">
        <v>9346</v>
      </c>
      <c r="B4665" s="4" t="s">
        <v>9347</v>
      </c>
      <c r="C4665" s="4" t="s">
        <v>19</v>
      </c>
      <c r="D4665" s="4" t="s">
        <v>13</v>
      </c>
      <c r="E4665" s="5">
        <v>198.4177</v>
      </c>
      <c r="F4665" s="5">
        <v>197.90430000000001</v>
      </c>
      <c r="G4665" s="5">
        <v>197.69460000000001</v>
      </c>
      <c r="H4665" s="4">
        <v>0</v>
      </c>
      <c r="I4665" s="6">
        <v>4883322</v>
      </c>
      <c r="J4665" s="7">
        <v>312.27</v>
      </c>
      <c r="K4665" s="9">
        <f>(PricingDataTable[[#This Row],[Current Price ($)]]-PricingDataTable[[#This Row],[Prior Price ($)]])/PricingDataTable[[#This Row],[Prior Price ($)]]</f>
        <v>-2.587470775036653E-3</v>
      </c>
      <c r="L4665" s="9">
        <f>(PricingDataTable[[#This Row],[Vendor Price ($)]]-PricingDataTable[[#This Row],[Current Price ($)]])/PricingDataTable[[#This Row],[Current Price ($)]]</f>
        <v>-1.0596030505653389E-3</v>
      </c>
      <c r="M4665" t="str">
        <f t="shared" si="144"/>
        <v>PASS</v>
      </c>
      <c r="N4665" s="10" t="str">
        <f t="shared" si="145"/>
        <v>NONE</v>
      </c>
    </row>
    <row r="4666" spans="1:14">
      <c r="A4666" s="4" t="s">
        <v>9348</v>
      </c>
      <c r="B4666" s="4" t="s">
        <v>9349</v>
      </c>
      <c r="C4666" s="4" t="s">
        <v>19</v>
      </c>
      <c r="D4666" s="4" t="s">
        <v>32</v>
      </c>
      <c r="E4666" s="5">
        <v>303.70519999999999</v>
      </c>
      <c r="F4666" s="5">
        <v>298.56869999999998</v>
      </c>
      <c r="G4666" s="5">
        <v>298.55360000000002</v>
      </c>
      <c r="H4666" s="4">
        <v>1</v>
      </c>
      <c r="I4666" s="6">
        <v>1277282</v>
      </c>
      <c r="J4666" s="7">
        <v>731.75</v>
      </c>
      <c r="K4666" s="9">
        <f>(PricingDataTable[[#This Row],[Current Price ($)]]-PricingDataTable[[#This Row],[Prior Price ($)]])/PricingDataTable[[#This Row],[Prior Price ($)]]</f>
        <v>-1.6912782527266614E-2</v>
      </c>
      <c r="L4666" s="9">
        <f>(PricingDataTable[[#This Row],[Vendor Price ($)]]-PricingDataTable[[#This Row],[Current Price ($)]])/PricingDataTable[[#This Row],[Current Price ($)]]</f>
        <v>-5.0574624868451572E-5</v>
      </c>
      <c r="M4666" t="str">
        <f t="shared" si="144"/>
        <v>PASS</v>
      </c>
      <c r="N4666" s="10" t="str">
        <f t="shared" si="145"/>
        <v>NONE</v>
      </c>
    </row>
    <row r="4667" spans="1:14">
      <c r="A4667" s="4" t="s">
        <v>9350</v>
      </c>
      <c r="B4667" s="4" t="s">
        <v>9351</v>
      </c>
      <c r="C4667" s="4" t="s">
        <v>16</v>
      </c>
      <c r="D4667" s="4" t="s">
        <v>13</v>
      </c>
      <c r="E4667" s="5">
        <v>99.334100000000007</v>
      </c>
      <c r="F4667" s="5">
        <v>98.995599999999996</v>
      </c>
      <c r="G4667" s="5">
        <v>99.121700000000004</v>
      </c>
      <c r="H4667" s="4">
        <v>0</v>
      </c>
      <c r="I4667" s="6">
        <v>2307644</v>
      </c>
      <c r="J4667" s="7">
        <v>240.07</v>
      </c>
      <c r="K4667" s="9">
        <f>(PricingDataTable[[#This Row],[Current Price ($)]]-PricingDataTable[[#This Row],[Prior Price ($)]])/PricingDataTable[[#This Row],[Prior Price ($)]]</f>
        <v>-3.4076918198283411E-3</v>
      </c>
      <c r="L4667" s="9">
        <f>(PricingDataTable[[#This Row],[Vendor Price ($)]]-PricingDataTable[[#This Row],[Current Price ($)]])/PricingDataTable[[#This Row],[Current Price ($)]]</f>
        <v>1.2737939868035356E-3</v>
      </c>
      <c r="M4667" t="str">
        <f t="shared" si="144"/>
        <v>PASS</v>
      </c>
      <c r="N4667" s="10" t="str">
        <f t="shared" si="145"/>
        <v>NONE</v>
      </c>
    </row>
    <row r="4668" spans="1:14">
      <c r="A4668" s="4" t="s">
        <v>9352</v>
      </c>
      <c r="B4668" s="4" t="s">
        <v>9353</v>
      </c>
      <c r="C4668" s="4" t="s">
        <v>35</v>
      </c>
      <c r="D4668" s="4" t="s">
        <v>13</v>
      </c>
      <c r="E4668" s="5">
        <v>173.08750000000001</v>
      </c>
      <c r="F4668" s="5">
        <v>174.52369999999999</v>
      </c>
      <c r="G4668" s="5">
        <v>173.7372</v>
      </c>
      <c r="H4668" s="4">
        <v>0</v>
      </c>
      <c r="I4668" s="6">
        <v>3747384</v>
      </c>
      <c r="J4668" s="7">
        <v>91.8</v>
      </c>
      <c r="K4668" s="9">
        <f>(PricingDataTable[[#This Row],[Current Price ($)]]-PricingDataTable[[#This Row],[Prior Price ($)]])/PricingDataTable[[#This Row],[Prior Price ($)]]</f>
        <v>8.2975373727160271E-3</v>
      </c>
      <c r="L4668" s="9">
        <f>(PricingDataTable[[#This Row],[Vendor Price ($)]]-PricingDataTable[[#This Row],[Current Price ($)]])/PricingDataTable[[#This Row],[Current Price ($)]]</f>
        <v>-4.5065512592271971E-3</v>
      </c>
      <c r="M4668" t="str">
        <f t="shared" si="144"/>
        <v>PASS</v>
      </c>
      <c r="N4668" s="10" t="str">
        <f t="shared" si="145"/>
        <v>NONE</v>
      </c>
    </row>
    <row r="4669" spans="1:14">
      <c r="A4669" s="4" t="s">
        <v>9354</v>
      </c>
      <c r="B4669" s="4" t="s">
        <v>9355</v>
      </c>
      <c r="C4669" s="4" t="s">
        <v>19</v>
      </c>
      <c r="D4669" s="4" t="s">
        <v>237</v>
      </c>
      <c r="E4669" s="5">
        <v>216.64680000000001</v>
      </c>
      <c r="F4669" s="5">
        <v>219.02260000000001</v>
      </c>
      <c r="G4669" s="5">
        <v>218.9391</v>
      </c>
      <c r="H4669" s="4">
        <v>0</v>
      </c>
      <c r="I4669" s="6">
        <v>3279331</v>
      </c>
      <c r="J4669" s="7">
        <v>569.98</v>
      </c>
      <c r="K4669" s="9">
        <f>(PricingDataTable[[#This Row],[Current Price ($)]]-PricingDataTable[[#This Row],[Prior Price ($)]])/PricingDataTable[[#This Row],[Prior Price ($)]]</f>
        <v>1.0966236288742773E-2</v>
      </c>
      <c r="L4669" s="9">
        <f>(PricingDataTable[[#This Row],[Vendor Price ($)]]-PricingDataTable[[#This Row],[Current Price ($)]])/PricingDataTable[[#This Row],[Current Price ($)]]</f>
        <v>-3.8123919632044825E-4</v>
      </c>
      <c r="M4669" t="str">
        <f t="shared" si="144"/>
        <v>PASS</v>
      </c>
      <c r="N4669" s="10" t="str">
        <f t="shared" si="145"/>
        <v>NONE</v>
      </c>
    </row>
    <row r="4670" spans="1:14">
      <c r="A4670" s="4" t="s">
        <v>9356</v>
      </c>
      <c r="B4670" s="4" t="s">
        <v>9357</v>
      </c>
      <c r="C4670" s="4" t="s">
        <v>16</v>
      </c>
      <c r="D4670" s="4" t="s">
        <v>64</v>
      </c>
      <c r="E4670" s="5">
        <v>109.8156</v>
      </c>
      <c r="F4670" s="5">
        <v>110.6006</v>
      </c>
      <c r="G4670" s="5">
        <v>110.72750000000001</v>
      </c>
      <c r="H4670" s="4">
        <v>0</v>
      </c>
      <c r="I4670" s="6">
        <v>4286254</v>
      </c>
      <c r="J4670" s="7">
        <v>144.26</v>
      </c>
      <c r="K4670" s="9">
        <f>(PricingDataTable[[#This Row],[Current Price ($)]]-PricingDataTable[[#This Row],[Prior Price ($)]])/PricingDataTable[[#This Row],[Prior Price ($)]]</f>
        <v>7.1483468651083867E-3</v>
      </c>
      <c r="L4670" s="9">
        <f>(PricingDataTable[[#This Row],[Vendor Price ($)]]-PricingDataTable[[#This Row],[Current Price ($)]])/PricingDataTable[[#This Row],[Current Price ($)]]</f>
        <v>1.1473717140775567E-3</v>
      </c>
      <c r="M4670" t="str">
        <f t="shared" si="144"/>
        <v>PASS</v>
      </c>
      <c r="N4670" s="10" t="str">
        <f t="shared" si="145"/>
        <v>NONE</v>
      </c>
    </row>
    <row r="4671" spans="1:14">
      <c r="A4671" s="4" t="s">
        <v>9358</v>
      </c>
      <c r="B4671" s="4" t="s">
        <v>9359</v>
      </c>
      <c r="C4671" s="4" t="s">
        <v>19</v>
      </c>
      <c r="D4671" s="4" t="s">
        <v>13</v>
      </c>
      <c r="E4671" s="5">
        <v>88.763000000000005</v>
      </c>
      <c r="F4671" s="5">
        <v>89.374700000000004</v>
      </c>
      <c r="G4671" s="5">
        <v>89.33</v>
      </c>
      <c r="H4671" s="4">
        <v>0</v>
      </c>
      <c r="I4671" s="6">
        <v>1886572</v>
      </c>
      <c r="J4671" s="7">
        <v>71.569999999999993</v>
      </c>
      <c r="K4671" s="9">
        <f>(PricingDataTable[[#This Row],[Current Price ($)]]-PricingDataTable[[#This Row],[Prior Price ($)]])/PricingDataTable[[#This Row],[Prior Price ($)]]</f>
        <v>6.8913849238984599E-3</v>
      </c>
      <c r="L4671" s="9">
        <f>(PricingDataTable[[#This Row],[Vendor Price ($)]]-PricingDataTable[[#This Row],[Current Price ($)]])/PricingDataTable[[#This Row],[Current Price ($)]]</f>
        <v>-5.0014153893670078E-4</v>
      </c>
      <c r="M4671" t="str">
        <f t="shared" si="144"/>
        <v>PASS</v>
      </c>
      <c r="N4671" s="10" t="str">
        <f t="shared" si="145"/>
        <v>NONE</v>
      </c>
    </row>
    <row r="4672" spans="1:14">
      <c r="A4672" s="4" t="s">
        <v>9360</v>
      </c>
      <c r="B4672" s="4" t="s">
        <v>9361</v>
      </c>
      <c r="C4672" s="4" t="s">
        <v>16</v>
      </c>
      <c r="D4672" s="4" t="s">
        <v>36</v>
      </c>
      <c r="E4672" s="5">
        <v>109.5776</v>
      </c>
      <c r="F4672" s="5">
        <v>100.8194</v>
      </c>
      <c r="G4672" s="5">
        <v>100.3733</v>
      </c>
      <c r="H4672" s="4">
        <v>3</v>
      </c>
      <c r="I4672" s="6">
        <v>2636211</v>
      </c>
      <c r="J4672" s="7">
        <v>743.14</v>
      </c>
      <c r="K4672" s="9">
        <f>(PricingDataTable[[#This Row],[Current Price ($)]]-PricingDataTable[[#This Row],[Prior Price ($)]])/PricingDataTable[[#This Row],[Prior Price ($)]]</f>
        <v>-7.9926919370382279E-2</v>
      </c>
      <c r="L4672" s="9">
        <f>(PricingDataTable[[#This Row],[Vendor Price ($)]]-PricingDataTable[[#This Row],[Current Price ($)]])/PricingDataTable[[#This Row],[Current Price ($)]]</f>
        <v>-4.4247436505275893E-3</v>
      </c>
      <c r="M4672" t="str">
        <f t="shared" si="144"/>
        <v>STALE</v>
      </c>
      <c r="N4672" s="10" t="str">
        <f t="shared" si="145"/>
        <v>MEDIUM</v>
      </c>
    </row>
    <row r="4673" spans="1:14">
      <c r="A4673" s="4" t="s">
        <v>9362</v>
      </c>
      <c r="B4673" s="4" t="s">
        <v>9363</v>
      </c>
      <c r="C4673" s="4" t="s">
        <v>39</v>
      </c>
      <c r="D4673" s="4" t="s">
        <v>13</v>
      </c>
      <c r="E4673" s="5">
        <v>267.03789999999998</v>
      </c>
      <c r="F4673" s="5">
        <v>268.95819999999998</v>
      </c>
      <c r="G4673" s="5">
        <v>269.7989</v>
      </c>
      <c r="H4673" s="4">
        <v>3</v>
      </c>
      <c r="I4673" s="6">
        <v>4729587</v>
      </c>
      <c r="J4673" s="7">
        <v>188.29</v>
      </c>
      <c r="K4673" s="9">
        <f>(PricingDataTable[[#This Row],[Current Price ($)]]-PricingDataTable[[#This Row],[Prior Price ($)]])/PricingDataTable[[#This Row],[Prior Price ($)]]</f>
        <v>7.1911140703248399E-3</v>
      </c>
      <c r="L4673" s="9">
        <f>(PricingDataTable[[#This Row],[Vendor Price ($)]]-PricingDataTable[[#This Row],[Current Price ($)]])/PricingDataTable[[#This Row],[Current Price ($)]]</f>
        <v>3.1257645240042012E-3</v>
      </c>
      <c r="M4673" t="str">
        <f t="shared" si="144"/>
        <v>STALE</v>
      </c>
      <c r="N4673" s="10" t="str">
        <f t="shared" si="145"/>
        <v>LOW</v>
      </c>
    </row>
    <row r="4674" spans="1:14">
      <c r="A4674" s="4" t="s">
        <v>9364</v>
      </c>
      <c r="B4674" s="4" t="s">
        <v>9365</v>
      </c>
      <c r="C4674" s="4" t="s">
        <v>35</v>
      </c>
      <c r="D4674" s="4" t="s">
        <v>13</v>
      </c>
      <c r="E4674" s="5">
        <v>15.6517</v>
      </c>
      <c r="F4674" s="5">
        <v>15.4253</v>
      </c>
      <c r="G4674" s="5">
        <v>15.4481</v>
      </c>
      <c r="H4674" s="4">
        <v>0</v>
      </c>
      <c r="I4674" s="6">
        <v>3707442</v>
      </c>
      <c r="J4674" s="7">
        <v>195.37</v>
      </c>
      <c r="K4674" s="9">
        <f>(PricingDataTable[[#This Row],[Current Price ($)]]-PricingDataTable[[#This Row],[Prior Price ($)]])/PricingDataTable[[#This Row],[Prior Price ($)]]</f>
        <v>-1.4464882408939599E-2</v>
      </c>
      <c r="L4674" s="9">
        <f>(PricingDataTable[[#This Row],[Vendor Price ($)]]-PricingDataTable[[#This Row],[Current Price ($)]])/PricingDataTable[[#This Row],[Current Price ($)]]</f>
        <v>1.4780911878537308E-3</v>
      </c>
      <c r="M4674" t="str">
        <f t="shared" ref="M4674:M4737" si="146">IF(OR(F4674="",F4674=0),"MISSING",IF(H4674&gt;=3,"STALE",IF(ABS(K4674)&gt;=5%,"LARGE MOVE",IF(ABS(L4674)&gt;=2%,"VENDOR DIFFERENCE","PASS"))))</f>
        <v>PASS</v>
      </c>
      <c r="N4674" s="10" t="str">
        <f t="shared" ref="N4674:N4737" si="147">IF(M4674="PASS","NONE",IF(M4674="MISSING","HIGH",IF(OR(ABS(K4674)&gt;=10%,ABS(L4674)&gt;=5%),"HIGH",IF(OR(ABS(K4674)&gt;=7%,ABS(L4674)&gt;=3%,H4674&gt;=5),"MEDIUM","LOW"))))</f>
        <v>NONE</v>
      </c>
    </row>
    <row r="4675" spans="1:14">
      <c r="A4675" s="4" t="s">
        <v>9366</v>
      </c>
      <c r="B4675" s="4" t="s">
        <v>9367</v>
      </c>
      <c r="C4675" s="4" t="s">
        <v>19</v>
      </c>
      <c r="D4675" s="4" t="s">
        <v>64</v>
      </c>
      <c r="E4675" s="5">
        <v>42.668799999999997</v>
      </c>
      <c r="F4675" s="5">
        <v>42.121499999999997</v>
      </c>
      <c r="G4675" s="5">
        <v>42.066600000000001</v>
      </c>
      <c r="H4675" s="4">
        <v>1</v>
      </c>
      <c r="I4675" s="6">
        <v>1240596</v>
      </c>
      <c r="J4675" s="7">
        <v>675.72</v>
      </c>
      <c r="K4675" s="9">
        <f>(PricingDataTable[[#This Row],[Current Price ($)]]-PricingDataTable[[#This Row],[Prior Price ($)]])/PricingDataTable[[#This Row],[Prior Price ($)]]</f>
        <v>-1.2826702414879255E-2</v>
      </c>
      <c r="L4675" s="9">
        <f>(PricingDataTable[[#This Row],[Vendor Price ($)]]-PricingDataTable[[#This Row],[Current Price ($)]])/PricingDataTable[[#This Row],[Current Price ($)]]</f>
        <v>-1.3033723870231686E-3</v>
      </c>
      <c r="M4675" t="str">
        <f t="shared" si="146"/>
        <v>PASS</v>
      </c>
      <c r="N4675" s="10" t="str">
        <f t="shared" si="147"/>
        <v>NONE</v>
      </c>
    </row>
    <row r="4676" spans="1:14">
      <c r="A4676" s="4" t="s">
        <v>9368</v>
      </c>
      <c r="B4676" s="4" t="s">
        <v>9369</v>
      </c>
      <c r="C4676" s="4" t="s">
        <v>19</v>
      </c>
      <c r="D4676" s="4" t="s">
        <v>13</v>
      </c>
      <c r="E4676" s="5">
        <v>67.100899999999996</v>
      </c>
      <c r="F4676" s="5">
        <v>66.937799999999996</v>
      </c>
      <c r="G4676" s="5">
        <v>66.935299999999998</v>
      </c>
      <c r="H4676" s="4">
        <v>0</v>
      </c>
      <c r="I4676" s="6">
        <v>1441965</v>
      </c>
      <c r="J4676" s="7">
        <v>823.99</v>
      </c>
      <c r="K4676" s="9">
        <f>(PricingDataTable[[#This Row],[Current Price ($)]]-PricingDataTable[[#This Row],[Prior Price ($)]])/PricingDataTable[[#This Row],[Prior Price ($)]]</f>
        <v>-2.4306678449916475E-3</v>
      </c>
      <c r="L4676" s="9">
        <f>(PricingDataTable[[#This Row],[Vendor Price ($)]]-PricingDataTable[[#This Row],[Current Price ($)]])/PricingDataTable[[#This Row],[Current Price ($)]]</f>
        <v>-3.7348105255890188E-5</v>
      </c>
      <c r="M4676" t="str">
        <f t="shared" si="146"/>
        <v>PASS</v>
      </c>
      <c r="N4676" s="10" t="str">
        <f t="shared" si="147"/>
        <v>NONE</v>
      </c>
    </row>
    <row r="4677" spans="1:14">
      <c r="A4677" s="4" t="s">
        <v>9370</v>
      </c>
      <c r="B4677" s="4" t="s">
        <v>9371</v>
      </c>
      <c r="C4677" s="4" t="s">
        <v>16</v>
      </c>
      <c r="D4677" s="4" t="s">
        <v>13</v>
      </c>
      <c r="E4677" s="5">
        <v>107.2829</v>
      </c>
      <c r="F4677" s="5">
        <v>107.0248</v>
      </c>
      <c r="G4677" s="5">
        <v>106.6772</v>
      </c>
      <c r="H4677" s="4">
        <v>1</v>
      </c>
      <c r="I4677" s="6">
        <v>3517534</v>
      </c>
      <c r="J4677" s="7">
        <v>815.91</v>
      </c>
      <c r="K4677" s="9">
        <f>(PricingDataTable[[#This Row],[Current Price ($)]]-PricingDataTable[[#This Row],[Prior Price ($)]])/PricingDataTable[[#This Row],[Prior Price ($)]]</f>
        <v>-2.4057888069766841E-3</v>
      </c>
      <c r="L4677" s="9">
        <f>(PricingDataTable[[#This Row],[Vendor Price ($)]]-PricingDataTable[[#This Row],[Current Price ($)]])/PricingDataTable[[#This Row],[Current Price ($)]]</f>
        <v>-3.2478453592064637E-3</v>
      </c>
      <c r="M4677" t="str">
        <f t="shared" si="146"/>
        <v>PASS</v>
      </c>
      <c r="N4677" s="10" t="str">
        <f t="shared" si="147"/>
        <v>NONE</v>
      </c>
    </row>
    <row r="4678" spans="1:14">
      <c r="A4678" s="4" t="s">
        <v>9372</v>
      </c>
      <c r="B4678" s="4" t="s">
        <v>9373</v>
      </c>
      <c r="C4678" s="4" t="s">
        <v>12</v>
      </c>
      <c r="D4678" s="4" t="s">
        <v>13</v>
      </c>
      <c r="E4678" s="5">
        <v>119.2015</v>
      </c>
      <c r="F4678" s="5">
        <v>119.6083</v>
      </c>
      <c r="G4678" s="5">
        <v>120.57940000000001</v>
      </c>
      <c r="H4678" s="4">
        <v>0</v>
      </c>
      <c r="I4678" s="6">
        <v>3457476</v>
      </c>
      <c r="J4678" s="7">
        <v>61.99</v>
      </c>
      <c r="K4678" s="9">
        <f>(PricingDataTable[[#This Row],[Current Price ($)]]-PricingDataTable[[#This Row],[Prior Price ($)]])/PricingDataTable[[#This Row],[Prior Price ($)]]</f>
        <v>3.4127087326921561E-3</v>
      </c>
      <c r="L4678" s="9">
        <f>(PricingDataTable[[#This Row],[Vendor Price ($)]]-PricingDataTable[[#This Row],[Current Price ($)]])/PricingDataTable[[#This Row],[Current Price ($)]]</f>
        <v>8.1190017749604923E-3</v>
      </c>
      <c r="M4678" t="str">
        <f t="shared" si="146"/>
        <v>PASS</v>
      </c>
      <c r="N4678" s="10" t="str">
        <f t="shared" si="147"/>
        <v>NONE</v>
      </c>
    </row>
    <row r="4679" spans="1:14">
      <c r="A4679" s="4" t="s">
        <v>9374</v>
      </c>
      <c r="B4679" s="4" t="s">
        <v>9375</v>
      </c>
      <c r="C4679" s="4" t="s">
        <v>16</v>
      </c>
      <c r="D4679" s="4" t="s">
        <v>13</v>
      </c>
      <c r="E4679" s="5">
        <v>105.5339</v>
      </c>
      <c r="F4679" s="5">
        <v>104.4953</v>
      </c>
      <c r="G4679" s="5">
        <v>104.38160000000001</v>
      </c>
      <c r="H4679" s="4">
        <v>1</v>
      </c>
      <c r="I4679" s="6">
        <v>618131</v>
      </c>
      <c r="J4679" s="7">
        <v>485.98</v>
      </c>
      <c r="K4679" s="9">
        <f>(PricingDataTable[[#This Row],[Current Price ($)]]-PricingDataTable[[#This Row],[Prior Price ($)]])/PricingDataTable[[#This Row],[Prior Price ($)]]</f>
        <v>-9.8413874593851116E-3</v>
      </c>
      <c r="L4679" s="9">
        <f>(PricingDataTable[[#This Row],[Vendor Price ($)]]-PricingDataTable[[#This Row],[Current Price ($)]])/PricingDataTable[[#This Row],[Current Price ($)]]</f>
        <v>-1.0880872154058064E-3</v>
      </c>
      <c r="M4679" t="str">
        <f t="shared" si="146"/>
        <v>PASS</v>
      </c>
      <c r="N4679" s="10" t="str">
        <f t="shared" si="147"/>
        <v>NONE</v>
      </c>
    </row>
    <row r="4680" spans="1:14">
      <c r="A4680" s="4" t="s">
        <v>9376</v>
      </c>
      <c r="B4680" s="4" t="s">
        <v>9377</v>
      </c>
      <c r="C4680" s="4" t="s">
        <v>19</v>
      </c>
      <c r="D4680" s="4" t="s">
        <v>13</v>
      </c>
      <c r="E4680" s="5">
        <v>252.36779999999999</v>
      </c>
      <c r="F4680" s="5">
        <v>255.2355</v>
      </c>
      <c r="G4680" s="5">
        <v>256.59809999999999</v>
      </c>
      <c r="H4680" s="4">
        <v>0</v>
      </c>
      <c r="I4680" s="6">
        <v>2476155</v>
      </c>
      <c r="J4680" s="7">
        <v>608.5</v>
      </c>
      <c r="K4680" s="9">
        <f>(PricingDataTable[[#This Row],[Current Price ($)]]-PricingDataTable[[#This Row],[Prior Price ($)]])/PricingDataTable[[#This Row],[Prior Price ($)]]</f>
        <v>1.1363177077265854E-2</v>
      </c>
      <c r="L4680" s="9">
        <f>(PricingDataTable[[#This Row],[Vendor Price ($)]]-PricingDataTable[[#This Row],[Current Price ($)]])/PricingDataTable[[#This Row],[Current Price ($)]]</f>
        <v>5.3385990585164923E-3</v>
      </c>
      <c r="M4680" t="str">
        <f t="shared" si="146"/>
        <v>PASS</v>
      </c>
      <c r="N4680" s="10" t="str">
        <f t="shared" si="147"/>
        <v>NONE</v>
      </c>
    </row>
    <row r="4681" spans="1:14">
      <c r="A4681" s="4" t="s">
        <v>9378</v>
      </c>
      <c r="B4681" s="4" t="s">
        <v>9379</v>
      </c>
      <c r="C4681" s="4" t="s">
        <v>19</v>
      </c>
      <c r="D4681" s="4" t="s">
        <v>36</v>
      </c>
      <c r="E4681" s="5">
        <v>99.152900000000002</v>
      </c>
      <c r="F4681" s="5">
        <v>99.593900000000005</v>
      </c>
      <c r="G4681" s="5">
        <v>99.232100000000003</v>
      </c>
      <c r="H4681" s="4">
        <v>0</v>
      </c>
      <c r="I4681" s="6">
        <v>4493002</v>
      </c>
      <c r="J4681" s="7">
        <v>335.06</v>
      </c>
      <c r="K4681" s="9">
        <f>(PricingDataTable[[#This Row],[Current Price ($)]]-PricingDataTable[[#This Row],[Prior Price ($)]])/PricingDataTable[[#This Row],[Prior Price ($)]]</f>
        <v>4.4476762656463151E-3</v>
      </c>
      <c r="L4681" s="9">
        <f>(PricingDataTable[[#This Row],[Vendor Price ($)]]-PricingDataTable[[#This Row],[Current Price ($)]])/PricingDataTable[[#This Row],[Current Price ($)]]</f>
        <v>-3.6327526083425022E-3</v>
      </c>
      <c r="M4681" t="str">
        <f t="shared" si="146"/>
        <v>PASS</v>
      </c>
      <c r="N4681" s="10" t="str">
        <f t="shared" si="147"/>
        <v>NONE</v>
      </c>
    </row>
    <row r="4682" spans="1:14">
      <c r="A4682" s="4" t="s">
        <v>9380</v>
      </c>
      <c r="B4682" s="4" t="s">
        <v>9381</v>
      </c>
      <c r="C4682" s="4" t="s">
        <v>19</v>
      </c>
      <c r="D4682" s="4" t="s">
        <v>13</v>
      </c>
      <c r="E4682" s="5">
        <v>204.1481</v>
      </c>
      <c r="F4682" s="5">
        <v>208.535</v>
      </c>
      <c r="G4682" s="5">
        <v>208.97749999999999</v>
      </c>
      <c r="H4682" s="4">
        <v>3</v>
      </c>
      <c r="I4682" s="6">
        <v>3971714</v>
      </c>
      <c r="J4682" s="7">
        <v>802.18</v>
      </c>
      <c r="K4682" s="9">
        <f>(PricingDataTable[[#This Row],[Current Price ($)]]-PricingDataTable[[#This Row],[Prior Price ($)]])/PricingDataTable[[#This Row],[Prior Price ($)]]</f>
        <v>2.1488811309044745E-2</v>
      </c>
      <c r="L4682" s="9">
        <f>(PricingDataTable[[#This Row],[Vendor Price ($)]]-PricingDataTable[[#This Row],[Current Price ($)]])/PricingDataTable[[#This Row],[Current Price ($)]]</f>
        <v>2.1219459563142661E-3</v>
      </c>
      <c r="M4682" t="str">
        <f t="shared" si="146"/>
        <v>STALE</v>
      </c>
      <c r="N4682" s="10" t="str">
        <f t="shared" si="147"/>
        <v>LOW</v>
      </c>
    </row>
    <row r="4683" spans="1:14">
      <c r="A4683" s="4" t="s">
        <v>9382</v>
      </c>
      <c r="B4683" s="4" t="s">
        <v>9383</v>
      </c>
      <c r="C4683" s="4" t="s">
        <v>35</v>
      </c>
      <c r="D4683" s="4" t="s">
        <v>13</v>
      </c>
      <c r="E4683" s="5">
        <v>31.3932</v>
      </c>
      <c r="F4683" s="5">
        <v>31.6784</v>
      </c>
      <c r="G4683" s="5">
        <v>31.6983</v>
      </c>
      <c r="H4683" s="4">
        <v>1</v>
      </c>
      <c r="I4683" s="6">
        <v>4166080</v>
      </c>
      <c r="J4683" s="7">
        <v>879.08</v>
      </c>
      <c r="K4683" s="9">
        <f>(PricingDataTable[[#This Row],[Current Price ($)]]-PricingDataTable[[#This Row],[Prior Price ($)]])/PricingDataTable[[#This Row],[Prior Price ($)]]</f>
        <v>9.0847699501802829E-3</v>
      </c>
      <c r="L4683" s="9">
        <f>(PricingDataTable[[#This Row],[Vendor Price ($)]]-PricingDataTable[[#This Row],[Current Price ($)]])/PricingDataTable[[#This Row],[Current Price ($)]]</f>
        <v>6.2818829233799074E-4</v>
      </c>
      <c r="M4683" t="str">
        <f t="shared" si="146"/>
        <v>PASS</v>
      </c>
      <c r="N4683" s="10" t="str">
        <f t="shared" si="147"/>
        <v>NONE</v>
      </c>
    </row>
    <row r="4684" spans="1:14">
      <c r="A4684" s="4" t="s">
        <v>9384</v>
      </c>
      <c r="B4684" s="4" t="s">
        <v>9385</v>
      </c>
      <c r="C4684" s="4" t="s">
        <v>12</v>
      </c>
      <c r="D4684" s="4" t="s">
        <v>13</v>
      </c>
      <c r="E4684" s="5">
        <v>99.252600000000001</v>
      </c>
      <c r="F4684" s="5">
        <v>98.363299999999995</v>
      </c>
      <c r="G4684" s="5">
        <v>98.689499999999995</v>
      </c>
      <c r="H4684" s="4">
        <v>0</v>
      </c>
      <c r="I4684" s="6">
        <v>1313333</v>
      </c>
      <c r="J4684" s="7">
        <v>694.68</v>
      </c>
      <c r="K4684" s="9">
        <f>(PricingDataTable[[#This Row],[Current Price ($)]]-PricingDataTable[[#This Row],[Prior Price ($)]])/PricingDataTable[[#This Row],[Prior Price ($)]]</f>
        <v>-8.9599667918019849E-3</v>
      </c>
      <c r="L4684" s="9">
        <f>(PricingDataTable[[#This Row],[Vendor Price ($)]]-PricingDataTable[[#This Row],[Current Price ($)]])/PricingDataTable[[#This Row],[Current Price ($)]]</f>
        <v>3.3162775140728306E-3</v>
      </c>
      <c r="M4684" t="str">
        <f t="shared" si="146"/>
        <v>PASS</v>
      </c>
      <c r="N4684" s="10" t="str">
        <f t="shared" si="147"/>
        <v>NONE</v>
      </c>
    </row>
    <row r="4685" spans="1:14">
      <c r="A4685" s="4" t="s">
        <v>9386</v>
      </c>
      <c r="B4685" s="4" t="s">
        <v>9387</v>
      </c>
      <c r="C4685" s="4" t="s">
        <v>19</v>
      </c>
      <c r="D4685" s="4" t="s">
        <v>36</v>
      </c>
      <c r="E4685" s="5">
        <v>18.374199999999998</v>
      </c>
      <c r="F4685" s="5">
        <v>18.129799999999999</v>
      </c>
      <c r="G4685" s="5">
        <v>18.0868</v>
      </c>
      <c r="H4685" s="4">
        <v>0</v>
      </c>
      <c r="I4685" s="6">
        <v>4386419</v>
      </c>
      <c r="J4685" s="7">
        <v>834.03</v>
      </c>
      <c r="K4685" s="9">
        <f>(PricingDataTable[[#This Row],[Current Price ($)]]-PricingDataTable[[#This Row],[Prior Price ($)]])/PricingDataTable[[#This Row],[Prior Price ($)]]</f>
        <v>-1.3301259374557742E-2</v>
      </c>
      <c r="L4685" s="9">
        <f>(PricingDataTable[[#This Row],[Vendor Price ($)]]-PricingDataTable[[#This Row],[Current Price ($)]])/PricingDataTable[[#This Row],[Current Price ($)]]</f>
        <v>-2.3717856788270839E-3</v>
      </c>
      <c r="M4685" t="str">
        <f t="shared" si="146"/>
        <v>PASS</v>
      </c>
      <c r="N4685" s="10" t="str">
        <f t="shared" si="147"/>
        <v>NONE</v>
      </c>
    </row>
    <row r="4686" spans="1:14">
      <c r="A4686" s="4" t="s">
        <v>9388</v>
      </c>
      <c r="B4686" s="4" t="s">
        <v>9389</v>
      </c>
      <c r="C4686" s="4" t="s">
        <v>19</v>
      </c>
      <c r="D4686" s="4" t="s">
        <v>13</v>
      </c>
      <c r="E4686" s="5">
        <v>8.0343</v>
      </c>
      <c r="F4686" s="5">
        <v>9.7774000000000001</v>
      </c>
      <c r="G4686" s="5">
        <v>9.7342999999999993</v>
      </c>
      <c r="H4686" s="4">
        <v>2</v>
      </c>
      <c r="I4686" s="6">
        <v>2129697</v>
      </c>
      <c r="J4686" s="7">
        <v>646.21</v>
      </c>
      <c r="K4686" s="9">
        <f>(PricingDataTable[[#This Row],[Current Price ($)]]-PricingDataTable[[#This Row],[Prior Price ($)]])/PricingDataTable[[#This Row],[Prior Price ($)]]</f>
        <v>0.21695729559513588</v>
      </c>
      <c r="L4686" s="9">
        <f>(PricingDataTable[[#This Row],[Vendor Price ($)]]-PricingDataTable[[#This Row],[Current Price ($)]])/PricingDataTable[[#This Row],[Current Price ($)]]</f>
        <v>-4.4081248593696486E-3</v>
      </c>
      <c r="M4686" t="str">
        <f t="shared" si="146"/>
        <v>LARGE MOVE</v>
      </c>
      <c r="N4686" s="10" t="str">
        <f t="shared" si="147"/>
        <v>HIGH</v>
      </c>
    </row>
    <row r="4687" spans="1:14">
      <c r="A4687" s="4" t="s">
        <v>9390</v>
      </c>
      <c r="B4687" s="4" t="s">
        <v>9391</v>
      </c>
      <c r="C4687" s="4" t="s">
        <v>19</v>
      </c>
      <c r="D4687" s="4" t="s">
        <v>13</v>
      </c>
      <c r="E4687" s="5">
        <v>131.11279999999999</v>
      </c>
      <c r="F4687" s="5">
        <v>132.4151</v>
      </c>
      <c r="G4687" s="5">
        <v>132.21250000000001</v>
      </c>
      <c r="H4687" s="4">
        <v>0</v>
      </c>
      <c r="I4687" s="6">
        <v>4588216</v>
      </c>
      <c r="J4687" s="7">
        <v>835.64</v>
      </c>
      <c r="K4687" s="9">
        <f>(PricingDataTable[[#This Row],[Current Price ($)]]-PricingDataTable[[#This Row],[Prior Price ($)]])/PricingDataTable[[#This Row],[Prior Price ($)]]</f>
        <v>9.9326686639290944E-3</v>
      </c>
      <c r="L4687" s="9">
        <f>(PricingDataTable[[#This Row],[Vendor Price ($)]]-PricingDataTable[[#This Row],[Current Price ($)]])/PricingDataTable[[#This Row],[Current Price ($)]]</f>
        <v>-1.5300369821869989E-3</v>
      </c>
      <c r="M4687" t="str">
        <f t="shared" si="146"/>
        <v>PASS</v>
      </c>
      <c r="N4687" s="10" t="str">
        <f t="shared" si="147"/>
        <v>NONE</v>
      </c>
    </row>
    <row r="4688" spans="1:14">
      <c r="A4688" s="4" t="s">
        <v>9392</v>
      </c>
      <c r="B4688" s="4" t="s">
        <v>9393</v>
      </c>
      <c r="C4688" s="4" t="s">
        <v>16</v>
      </c>
      <c r="D4688" s="4" t="s">
        <v>64</v>
      </c>
      <c r="E4688" s="5">
        <v>119.57850000000001</v>
      </c>
      <c r="F4688" s="5">
        <v>119.5016</v>
      </c>
      <c r="G4688" s="5">
        <v>119.3917</v>
      </c>
      <c r="H4688" s="4">
        <v>0</v>
      </c>
      <c r="I4688" s="6">
        <v>2887215</v>
      </c>
      <c r="J4688" s="7">
        <v>430.67</v>
      </c>
      <c r="K4688" s="9">
        <f>(PricingDataTable[[#This Row],[Current Price ($)]]-PricingDataTable[[#This Row],[Prior Price ($)]])/PricingDataTable[[#This Row],[Prior Price ($)]]</f>
        <v>-6.430921946671774E-4</v>
      </c>
      <c r="L4688" s="9">
        <f>(PricingDataTable[[#This Row],[Vendor Price ($)]]-PricingDataTable[[#This Row],[Current Price ($)]])/PricingDataTable[[#This Row],[Current Price ($)]]</f>
        <v>-9.1965295862144207E-4</v>
      </c>
      <c r="M4688" t="str">
        <f t="shared" si="146"/>
        <v>PASS</v>
      </c>
      <c r="N4688" s="10" t="str">
        <f t="shared" si="147"/>
        <v>NONE</v>
      </c>
    </row>
    <row r="4689" spans="1:14">
      <c r="A4689" s="4" t="s">
        <v>9394</v>
      </c>
      <c r="B4689" s="4" t="s">
        <v>9395</v>
      </c>
      <c r="C4689" s="4" t="s">
        <v>19</v>
      </c>
      <c r="D4689" s="4" t="s">
        <v>13</v>
      </c>
      <c r="E4689" s="5">
        <v>192.03229999999999</v>
      </c>
      <c r="F4689" s="5">
        <v>192.3904</v>
      </c>
      <c r="G4689" s="5">
        <v>192.3766</v>
      </c>
      <c r="H4689" s="4">
        <v>2</v>
      </c>
      <c r="I4689" s="6">
        <v>3581027</v>
      </c>
      <c r="J4689" s="7">
        <v>473.88</v>
      </c>
      <c r="K4689" s="9">
        <f>(PricingDataTable[[#This Row],[Current Price ($)]]-PricingDataTable[[#This Row],[Prior Price ($)]])/PricingDataTable[[#This Row],[Prior Price ($)]]</f>
        <v>1.864790454522533E-3</v>
      </c>
      <c r="L4689" s="9">
        <f>(PricingDataTable[[#This Row],[Vendor Price ($)]]-PricingDataTable[[#This Row],[Current Price ($)]])/PricingDataTable[[#This Row],[Current Price ($)]]</f>
        <v>-7.1729150726872881E-5</v>
      </c>
      <c r="M4689" t="str">
        <f t="shared" si="146"/>
        <v>PASS</v>
      </c>
      <c r="N4689" s="10" t="str">
        <f t="shared" si="147"/>
        <v>NONE</v>
      </c>
    </row>
    <row r="4690" spans="1:14">
      <c r="A4690" s="4" t="s">
        <v>9396</v>
      </c>
      <c r="B4690" s="4" t="s">
        <v>9397</v>
      </c>
      <c r="C4690" s="4" t="s">
        <v>19</v>
      </c>
      <c r="D4690" s="4" t="s">
        <v>64</v>
      </c>
      <c r="E4690" s="5">
        <v>111.5765</v>
      </c>
      <c r="F4690" s="5">
        <v>111.3694</v>
      </c>
      <c r="G4690" s="5">
        <v>111.9442</v>
      </c>
      <c r="H4690" s="4">
        <v>0</v>
      </c>
      <c r="I4690" s="6">
        <v>369387</v>
      </c>
      <c r="J4690" s="7">
        <v>840.3</v>
      </c>
      <c r="K4690" s="9">
        <f>(PricingDataTable[[#This Row],[Current Price ($)]]-PricingDataTable[[#This Row],[Prior Price ($)]])/PricingDataTable[[#This Row],[Prior Price ($)]]</f>
        <v>-1.8561256178496095E-3</v>
      </c>
      <c r="L4690" s="9">
        <f>(PricingDataTable[[#This Row],[Vendor Price ($)]]-PricingDataTable[[#This Row],[Current Price ($)]])/PricingDataTable[[#This Row],[Current Price ($)]]</f>
        <v>5.1612022692049718E-3</v>
      </c>
      <c r="M4690" t="str">
        <f t="shared" si="146"/>
        <v>PASS</v>
      </c>
      <c r="N4690" s="10" t="str">
        <f t="shared" si="147"/>
        <v>NONE</v>
      </c>
    </row>
    <row r="4691" spans="1:14">
      <c r="A4691" s="4" t="s">
        <v>9398</v>
      </c>
      <c r="B4691" s="4" t="s">
        <v>9399</v>
      </c>
      <c r="C4691" s="4" t="s">
        <v>35</v>
      </c>
      <c r="D4691" s="4" t="s">
        <v>13</v>
      </c>
      <c r="E4691" s="5">
        <v>80.932100000000005</v>
      </c>
      <c r="F4691" s="5">
        <v>81.289199999999994</v>
      </c>
      <c r="G4691" s="5">
        <v>81.162899999999993</v>
      </c>
      <c r="H4691" s="4">
        <v>0</v>
      </c>
      <c r="I4691" s="6">
        <v>3129163</v>
      </c>
      <c r="J4691" s="7">
        <v>314.86</v>
      </c>
      <c r="K4691" s="9">
        <f>(PricingDataTable[[#This Row],[Current Price ($)]]-PricingDataTable[[#This Row],[Prior Price ($)]])/PricingDataTable[[#This Row],[Prior Price ($)]]</f>
        <v>4.4123407152413989E-3</v>
      </c>
      <c r="L4691" s="9">
        <f>(PricingDataTable[[#This Row],[Vendor Price ($)]]-PricingDataTable[[#This Row],[Current Price ($)]])/PricingDataTable[[#This Row],[Current Price ($)]]</f>
        <v>-1.5537119322124038E-3</v>
      </c>
      <c r="M4691" t="str">
        <f t="shared" si="146"/>
        <v>PASS</v>
      </c>
      <c r="N4691" s="10" t="str">
        <f t="shared" si="147"/>
        <v>NONE</v>
      </c>
    </row>
    <row r="4692" spans="1:14">
      <c r="A4692" s="4" t="s">
        <v>9400</v>
      </c>
      <c r="B4692" s="4" t="s">
        <v>9401</v>
      </c>
      <c r="C4692" s="4" t="s">
        <v>12</v>
      </c>
      <c r="D4692" s="4" t="s">
        <v>13</v>
      </c>
      <c r="E4692" s="5">
        <v>114.09059999999999</v>
      </c>
      <c r="F4692" s="5">
        <v>114.8387</v>
      </c>
      <c r="G4692" s="5">
        <v>114.43429999999999</v>
      </c>
      <c r="H4692" s="4">
        <v>0</v>
      </c>
      <c r="I4692" s="6">
        <v>4625779</v>
      </c>
      <c r="J4692" s="7">
        <v>582.04</v>
      </c>
      <c r="K4692" s="9">
        <f>(PricingDataTable[[#This Row],[Current Price ($)]]-PricingDataTable[[#This Row],[Prior Price ($)]])/PricingDataTable[[#This Row],[Prior Price ($)]]</f>
        <v>6.5570695570012607E-3</v>
      </c>
      <c r="L4692" s="9">
        <f>(PricingDataTable[[#This Row],[Vendor Price ($)]]-PricingDataTable[[#This Row],[Current Price ($)]])/PricingDataTable[[#This Row],[Current Price ($)]]</f>
        <v>-3.521460970909716E-3</v>
      </c>
      <c r="M4692" t="str">
        <f t="shared" si="146"/>
        <v>PASS</v>
      </c>
      <c r="N4692" s="10" t="str">
        <f t="shared" si="147"/>
        <v>NONE</v>
      </c>
    </row>
    <row r="4693" spans="1:14">
      <c r="A4693" s="4" t="s">
        <v>9402</v>
      </c>
      <c r="B4693" s="4" t="s">
        <v>9403</v>
      </c>
      <c r="C4693" s="4" t="s">
        <v>39</v>
      </c>
      <c r="D4693" s="4" t="s">
        <v>13</v>
      </c>
      <c r="E4693" s="5">
        <v>205.55350000000001</v>
      </c>
      <c r="F4693" s="5">
        <v>207.65039999999999</v>
      </c>
      <c r="G4693" s="5">
        <v>208.63900000000001</v>
      </c>
      <c r="H4693" s="4">
        <v>1</v>
      </c>
      <c r="I4693" s="6">
        <v>1250864</v>
      </c>
      <c r="J4693" s="7">
        <v>247.09</v>
      </c>
      <c r="K4693" s="9">
        <f>(PricingDataTable[[#This Row],[Current Price ($)]]-PricingDataTable[[#This Row],[Prior Price ($)]])/PricingDataTable[[#This Row],[Prior Price ($)]]</f>
        <v>1.0201237147506497E-2</v>
      </c>
      <c r="L4693" s="9">
        <f>(PricingDataTable[[#This Row],[Vendor Price ($)]]-PricingDataTable[[#This Row],[Current Price ($)]])/PricingDataTable[[#This Row],[Current Price ($)]]</f>
        <v>4.7608865670377689E-3</v>
      </c>
      <c r="M4693" t="str">
        <f t="shared" si="146"/>
        <v>PASS</v>
      </c>
      <c r="N4693" s="10" t="str">
        <f t="shared" si="147"/>
        <v>NONE</v>
      </c>
    </row>
    <row r="4694" spans="1:14">
      <c r="A4694" s="4" t="s">
        <v>9404</v>
      </c>
      <c r="B4694" s="4" t="s">
        <v>9405</v>
      </c>
      <c r="C4694" s="4" t="s">
        <v>19</v>
      </c>
      <c r="D4694" s="4" t="s">
        <v>13</v>
      </c>
      <c r="E4694" s="5">
        <v>207.64060000000001</v>
      </c>
      <c r="F4694" s="5">
        <v>208.5463</v>
      </c>
      <c r="G4694" s="5">
        <v>208.45910000000001</v>
      </c>
      <c r="H4694" s="4">
        <v>0</v>
      </c>
      <c r="I4694" s="6">
        <v>2626303</v>
      </c>
      <c r="J4694" s="7">
        <v>884.54</v>
      </c>
      <c r="K4694" s="9">
        <f>(PricingDataTable[[#This Row],[Current Price ($)]]-PricingDataTable[[#This Row],[Prior Price ($)]])/PricingDataTable[[#This Row],[Prior Price ($)]]</f>
        <v>4.3618637202936031E-3</v>
      </c>
      <c r="L4694" s="9">
        <f>(PricingDataTable[[#This Row],[Vendor Price ($)]]-PricingDataTable[[#This Row],[Current Price ($)]])/PricingDataTable[[#This Row],[Current Price ($)]]</f>
        <v>-4.1813256816350001E-4</v>
      </c>
      <c r="M4694" t="str">
        <f t="shared" si="146"/>
        <v>PASS</v>
      </c>
      <c r="N4694" s="10" t="str">
        <f t="shared" si="147"/>
        <v>NONE</v>
      </c>
    </row>
    <row r="4695" spans="1:14">
      <c r="A4695" s="4" t="s">
        <v>9406</v>
      </c>
      <c r="B4695" s="4" t="s">
        <v>9407</v>
      </c>
      <c r="C4695" s="4" t="s">
        <v>19</v>
      </c>
      <c r="D4695" s="4" t="s">
        <v>64</v>
      </c>
      <c r="E4695" s="5">
        <v>92.420299999999997</v>
      </c>
      <c r="F4695" s="5">
        <v>92.134500000000003</v>
      </c>
      <c r="G4695" s="5">
        <v>92.361099999999993</v>
      </c>
      <c r="H4695" s="4">
        <v>0</v>
      </c>
      <c r="I4695" s="6">
        <v>1020652</v>
      </c>
      <c r="J4695" s="7">
        <v>397.77</v>
      </c>
      <c r="K4695" s="9">
        <f>(PricingDataTable[[#This Row],[Current Price ($)]]-PricingDataTable[[#This Row],[Prior Price ($)]])/PricingDataTable[[#This Row],[Prior Price ($)]]</f>
        <v>-3.0923942034379323E-3</v>
      </c>
      <c r="L4695" s="9">
        <f>(PricingDataTable[[#This Row],[Vendor Price ($)]]-PricingDataTable[[#This Row],[Current Price ($)]])/PricingDataTable[[#This Row],[Current Price ($)]]</f>
        <v>2.4594478724038289E-3</v>
      </c>
      <c r="M4695" t="str">
        <f t="shared" si="146"/>
        <v>PASS</v>
      </c>
      <c r="N4695" s="10" t="str">
        <f t="shared" si="147"/>
        <v>NONE</v>
      </c>
    </row>
    <row r="4696" spans="1:14">
      <c r="A4696" s="4" t="s">
        <v>9408</v>
      </c>
      <c r="B4696" s="4" t="s">
        <v>9409</v>
      </c>
      <c r="C4696" s="4" t="s">
        <v>12</v>
      </c>
      <c r="D4696" s="4" t="s">
        <v>36</v>
      </c>
      <c r="E4696" s="5">
        <v>103.36490000000001</v>
      </c>
      <c r="F4696" s="5"/>
      <c r="G4696" s="5">
        <v>104.01990000000001</v>
      </c>
      <c r="H4696" s="4">
        <v>0</v>
      </c>
      <c r="I4696" s="6">
        <v>3787967</v>
      </c>
      <c r="J4696" s="7">
        <v>27.96</v>
      </c>
      <c r="K4696" s="9">
        <f>(PricingDataTable[[#This Row],[Current Price ($)]]-PricingDataTable[[#This Row],[Prior Price ($)]])/PricingDataTable[[#This Row],[Prior Price ($)]]</f>
        <v>-1</v>
      </c>
      <c r="L4696" s="9" t="e">
        <f>(PricingDataTable[[#This Row],[Vendor Price ($)]]-PricingDataTable[[#This Row],[Current Price ($)]])/PricingDataTable[[#This Row],[Current Price ($)]]</f>
        <v>#DIV/0!</v>
      </c>
      <c r="M4696" t="str">
        <f t="shared" si="146"/>
        <v>MISSING</v>
      </c>
      <c r="N4696" s="10" t="str">
        <f t="shared" si="147"/>
        <v>HIGH</v>
      </c>
    </row>
    <row r="4697" spans="1:14">
      <c r="A4697" s="4" t="s">
        <v>9410</v>
      </c>
      <c r="B4697" s="4" t="s">
        <v>9411</v>
      </c>
      <c r="C4697" s="4" t="s">
        <v>12</v>
      </c>
      <c r="D4697" s="4" t="s">
        <v>13</v>
      </c>
      <c r="E4697" s="5">
        <v>95.703999999999994</v>
      </c>
      <c r="F4697" s="5">
        <v>96.235600000000005</v>
      </c>
      <c r="G4697" s="5">
        <v>96.079899999999995</v>
      </c>
      <c r="H4697" s="4">
        <v>0</v>
      </c>
      <c r="I4697" s="6">
        <v>3961233</v>
      </c>
      <c r="J4697" s="7">
        <v>245.8</v>
      </c>
      <c r="K4697" s="9">
        <f>(PricingDataTable[[#This Row],[Current Price ($)]]-PricingDataTable[[#This Row],[Prior Price ($)]])/PricingDataTable[[#This Row],[Prior Price ($)]]</f>
        <v>5.5546267658615278E-3</v>
      </c>
      <c r="L4697" s="9">
        <f>(PricingDataTable[[#This Row],[Vendor Price ($)]]-PricingDataTable[[#This Row],[Current Price ($)]])/PricingDataTable[[#This Row],[Current Price ($)]]</f>
        <v>-1.6179043929690276E-3</v>
      </c>
      <c r="M4697" t="str">
        <f t="shared" si="146"/>
        <v>PASS</v>
      </c>
      <c r="N4697" s="10" t="str">
        <f t="shared" si="147"/>
        <v>NONE</v>
      </c>
    </row>
    <row r="4698" spans="1:14">
      <c r="A4698" s="4" t="s">
        <v>9412</v>
      </c>
      <c r="B4698" s="4" t="s">
        <v>9413</v>
      </c>
      <c r="C4698" s="4" t="s">
        <v>12</v>
      </c>
      <c r="D4698" s="4" t="s">
        <v>36</v>
      </c>
      <c r="E4698" s="5">
        <v>109.74509999999999</v>
      </c>
      <c r="F4698" s="5">
        <v>109.10420000000001</v>
      </c>
      <c r="G4698" s="5">
        <v>109.14319999999999</v>
      </c>
      <c r="H4698" s="4">
        <v>2</v>
      </c>
      <c r="I4698" s="6">
        <v>1144489</v>
      </c>
      <c r="J4698" s="7">
        <v>435.49</v>
      </c>
      <c r="K4698" s="9">
        <f>(PricingDataTable[[#This Row],[Current Price ($)]]-PricingDataTable[[#This Row],[Prior Price ($)]])/PricingDataTable[[#This Row],[Prior Price ($)]]</f>
        <v>-5.8398962687171256E-3</v>
      </c>
      <c r="L4698" s="9">
        <f>(PricingDataTable[[#This Row],[Vendor Price ($)]]-PricingDataTable[[#This Row],[Current Price ($)]])/PricingDataTable[[#This Row],[Current Price ($)]]</f>
        <v>3.5745644988907177E-4</v>
      </c>
      <c r="M4698" t="str">
        <f t="shared" si="146"/>
        <v>PASS</v>
      </c>
      <c r="N4698" s="10" t="str">
        <f t="shared" si="147"/>
        <v>NONE</v>
      </c>
    </row>
    <row r="4699" spans="1:14">
      <c r="A4699" s="4" t="s">
        <v>9414</v>
      </c>
      <c r="B4699" s="4" t="s">
        <v>9415</v>
      </c>
      <c r="C4699" s="4" t="s">
        <v>16</v>
      </c>
      <c r="D4699" s="4" t="s">
        <v>13</v>
      </c>
      <c r="E4699" s="5">
        <v>87.646900000000002</v>
      </c>
      <c r="F4699" s="5">
        <v>88.150999999999996</v>
      </c>
      <c r="G4699" s="5">
        <v>87.972200000000001</v>
      </c>
      <c r="H4699" s="4">
        <v>0</v>
      </c>
      <c r="I4699" s="6">
        <v>1601320</v>
      </c>
      <c r="J4699" s="7">
        <v>608.39</v>
      </c>
      <c r="K4699" s="9">
        <f>(PricingDataTable[[#This Row],[Current Price ($)]]-PricingDataTable[[#This Row],[Prior Price ($)]])/PricingDataTable[[#This Row],[Prior Price ($)]]</f>
        <v>5.7514869322245737E-3</v>
      </c>
      <c r="L4699" s="9">
        <f>(PricingDataTable[[#This Row],[Vendor Price ($)]]-PricingDataTable[[#This Row],[Current Price ($)]])/PricingDataTable[[#This Row],[Current Price ($)]]</f>
        <v>-2.0283377386529412E-3</v>
      </c>
      <c r="M4699" t="str">
        <f t="shared" si="146"/>
        <v>PASS</v>
      </c>
      <c r="N4699" s="10" t="str">
        <f t="shared" si="147"/>
        <v>NONE</v>
      </c>
    </row>
    <row r="4700" spans="1:14">
      <c r="A4700" s="4" t="s">
        <v>9416</v>
      </c>
      <c r="B4700" s="4" t="s">
        <v>9417</v>
      </c>
      <c r="C4700" s="4" t="s">
        <v>39</v>
      </c>
      <c r="D4700" s="4" t="s">
        <v>13</v>
      </c>
      <c r="E4700" s="5">
        <v>41.22</v>
      </c>
      <c r="F4700" s="5">
        <v>41.515900000000002</v>
      </c>
      <c r="G4700" s="5">
        <v>41.560200000000002</v>
      </c>
      <c r="H4700" s="4">
        <v>0</v>
      </c>
      <c r="I4700" s="6">
        <v>3421603</v>
      </c>
      <c r="J4700" s="7">
        <v>714.05</v>
      </c>
      <c r="K4700" s="9">
        <f>(PricingDataTable[[#This Row],[Current Price ($)]]-PricingDataTable[[#This Row],[Prior Price ($)]])/PricingDataTable[[#This Row],[Prior Price ($)]]</f>
        <v>7.1785540999515568E-3</v>
      </c>
      <c r="L4700" s="9">
        <f>(PricingDataTable[[#This Row],[Vendor Price ($)]]-PricingDataTable[[#This Row],[Current Price ($)]])/PricingDataTable[[#This Row],[Current Price ($)]]</f>
        <v>1.0670610537167635E-3</v>
      </c>
      <c r="M4700" t="str">
        <f t="shared" si="146"/>
        <v>PASS</v>
      </c>
      <c r="N4700" s="10" t="str">
        <f t="shared" si="147"/>
        <v>NONE</v>
      </c>
    </row>
    <row r="4701" spans="1:14">
      <c r="A4701" s="4" t="s">
        <v>9418</v>
      </c>
      <c r="B4701" s="4" t="s">
        <v>9419</v>
      </c>
      <c r="C4701" s="4" t="s">
        <v>35</v>
      </c>
      <c r="D4701" s="4" t="s">
        <v>13</v>
      </c>
      <c r="E4701" s="5">
        <v>31.189699999999998</v>
      </c>
      <c r="F4701" s="5">
        <v>30.448699999999999</v>
      </c>
      <c r="G4701" s="5">
        <v>30.406600000000001</v>
      </c>
      <c r="H4701" s="4">
        <v>0</v>
      </c>
      <c r="I4701" s="6">
        <v>1977094</v>
      </c>
      <c r="J4701" s="7">
        <v>880.24</v>
      </c>
      <c r="K4701" s="9">
        <f>(PricingDataTable[[#This Row],[Current Price ($)]]-PricingDataTable[[#This Row],[Prior Price ($)]])/PricingDataTable[[#This Row],[Prior Price ($)]]</f>
        <v>-2.3757843134111573E-2</v>
      </c>
      <c r="L4701" s="9">
        <f>(PricingDataTable[[#This Row],[Vendor Price ($)]]-PricingDataTable[[#This Row],[Current Price ($)]])/PricingDataTable[[#This Row],[Current Price ($)]]</f>
        <v>-1.3826534466166965E-3</v>
      </c>
      <c r="M4701" t="str">
        <f t="shared" si="146"/>
        <v>PASS</v>
      </c>
      <c r="N4701" s="10" t="str">
        <f t="shared" si="147"/>
        <v>NONE</v>
      </c>
    </row>
    <row r="4702" spans="1:14">
      <c r="A4702" s="4" t="s">
        <v>9420</v>
      </c>
      <c r="B4702" s="4" t="s">
        <v>9421</v>
      </c>
      <c r="C4702" s="4" t="s">
        <v>12</v>
      </c>
      <c r="D4702" s="4" t="s">
        <v>13</v>
      </c>
      <c r="E4702" s="5">
        <v>89.590800000000002</v>
      </c>
      <c r="F4702" s="5">
        <v>87.676299999999998</v>
      </c>
      <c r="G4702" s="5">
        <v>87.894599999999997</v>
      </c>
      <c r="H4702" s="4">
        <v>3</v>
      </c>
      <c r="I4702" s="6">
        <v>3945234</v>
      </c>
      <c r="J4702" s="7">
        <v>120.14</v>
      </c>
      <c r="K4702" s="9">
        <f>(PricingDataTable[[#This Row],[Current Price ($)]]-PricingDataTable[[#This Row],[Prior Price ($)]])/PricingDataTable[[#This Row],[Prior Price ($)]]</f>
        <v>-2.136938167758301E-2</v>
      </c>
      <c r="L4702" s="9">
        <f>(PricingDataTable[[#This Row],[Vendor Price ($)]]-PricingDataTable[[#This Row],[Current Price ($)]])/PricingDataTable[[#This Row],[Current Price ($)]]</f>
        <v>2.4898404700015773E-3</v>
      </c>
      <c r="M4702" t="str">
        <f t="shared" si="146"/>
        <v>STALE</v>
      </c>
      <c r="N4702" s="10" t="str">
        <f t="shared" si="147"/>
        <v>LOW</v>
      </c>
    </row>
    <row r="4703" spans="1:14">
      <c r="A4703" s="4" t="s">
        <v>9422</v>
      </c>
      <c r="B4703" s="4" t="s">
        <v>9423</v>
      </c>
      <c r="C4703" s="4" t="s">
        <v>39</v>
      </c>
      <c r="D4703" s="4" t="s">
        <v>13</v>
      </c>
      <c r="E4703" s="5">
        <v>171.37880000000001</v>
      </c>
      <c r="F4703" s="5">
        <v>169.6703</v>
      </c>
      <c r="G4703" s="5">
        <v>169.2662</v>
      </c>
      <c r="H4703" s="4">
        <v>0</v>
      </c>
      <c r="I4703" s="6">
        <v>4673035</v>
      </c>
      <c r="J4703" s="7">
        <v>73.36</v>
      </c>
      <c r="K4703" s="9">
        <f>(PricingDataTable[[#This Row],[Current Price ($)]]-PricingDataTable[[#This Row],[Prior Price ($)]])/PricingDataTable[[#This Row],[Prior Price ($)]]</f>
        <v>-9.969144374916937E-3</v>
      </c>
      <c r="L4703" s="9">
        <f>(PricingDataTable[[#This Row],[Vendor Price ($)]]-PricingDataTable[[#This Row],[Current Price ($)]])/PricingDataTable[[#This Row],[Current Price ($)]]</f>
        <v>-2.3816778776250156E-3</v>
      </c>
      <c r="M4703" t="str">
        <f t="shared" si="146"/>
        <v>PASS</v>
      </c>
      <c r="N4703" s="10" t="str">
        <f t="shared" si="147"/>
        <v>NONE</v>
      </c>
    </row>
    <row r="4704" spans="1:14">
      <c r="A4704" s="4" t="s">
        <v>9424</v>
      </c>
      <c r="B4704" s="4" t="s">
        <v>9425</v>
      </c>
      <c r="C4704" s="4" t="s">
        <v>16</v>
      </c>
      <c r="D4704" s="4" t="s">
        <v>13</v>
      </c>
      <c r="E4704" s="5">
        <v>78.616600000000005</v>
      </c>
      <c r="F4704" s="5">
        <v>78.563299999999998</v>
      </c>
      <c r="G4704" s="5">
        <v>69.230099999999993</v>
      </c>
      <c r="H4704" s="4">
        <v>0</v>
      </c>
      <c r="I4704" s="6">
        <v>1572540</v>
      </c>
      <c r="J4704" s="7">
        <v>32.15</v>
      </c>
      <c r="K4704" s="9">
        <f>(PricingDataTable[[#This Row],[Current Price ($)]]-PricingDataTable[[#This Row],[Prior Price ($)]])/PricingDataTable[[#This Row],[Prior Price ($)]]</f>
        <v>-6.779738630264757E-4</v>
      </c>
      <c r="L4704" s="9">
        <f>(PricingDataTable[[#This Row],[Vendor Price ($)]]-PricingDataTable[[#This Row],[Current Price ($)]])/PricingDataTable[[#This Row],[Current Price ($)]]</f>
        <v>-0.11879847206010956</v>
      </c>
      <c r="M4704" t="str">
        <f t="shared" si="146"/>
        <v>VENDOR DIFFERENCE</v>
      </c>
      <c r="N4704" s="10" t="str">
        <f t="shared" si="147"/>
        <v>HIGH</v>
      </c>
    </row>
    <row r="4705" spans="1:14">
      <c r="A4705" s="4" t="s">
        <v>9426</v>
      </c>
      <c r="B4705" s="4" t="s">
        <v>9427</v>
      </c>
      <c r="C4705" s="4" t="s">
        <v>39</v>
      </c>
      <c r="D4705" s="4" t="s">
        <v>32</v>
      </c>
      <c r="E4705" s="5">
        <v>295.1515</v>
      </c>
      <c r="F4705" s="5">
        <v>295.90170000000001</v>
      </c>
      <c r="G4705" s="5">
        <v>296.4135</v>
      </c>
      <c r="H4705" s="4">
        <v>2</v>
      </c>
      <c r="I4705" s="6">
        <v>3829651</v>
      </c>
      <c r="J4705" s="7">
        <v>506.78</v>
      </c>
      <c r="K4705" s="9">
        <f>(PricingDataTable[[#This Row],[Current Price ($)]]-PricingDataTable[[#This Row],[Prior Price ($)]])/PricingDataTable[[#This Row],[Prior Price ($)]]</f>
        <v>2.5417455103565684E-3</v>
      </c>
      <c r="L4705" s="9">
        <f>(PricingDataTable[[#This Row],[Vendor Price ($)]]-PricingDataTable[[#This Row],[Current Price ($)]])/PricingDataTable[[#This Row],[Current Price ($)]]</f>
        <v>1.729628454314368E-3</v>
      </c>
      <c r="M4705" t="str">
        <f t="shared" si="146"/>
        <v>PASS</v>
      </c>
      <c r="N4705" s="10" t="str">
        <f t="shared" si="147"/>
        <v>NONE</v>
      </c>
    </row>
    <row r="4706" spans="1:14">
      <c r="A4706" s="4" t="s">
        <v>9428</v>
      </c>
      <c r="B4706" s="4" t="s">
        <v>9429</v>
      </c>
      <c r="C4706" s="4" t="s">
        <v>39</v>
      </c>
      <c r="D4706" s="4" t="s">
        <v>13</v>
      </c>
      <c r="E4706" s="5">
        <v>170.39949999999999</v>
      </c>
      <c r="F4706" s="5">
        <v>172.42080000000001</v>
      </c>
      <c r="G4706" s="5">
        <v>172.39099999999999</v>
      </c>
      <c r="H4706" s="4">
        <v>1</v>
      </c>
      <c r="I4706" s="6">
        <v>3688895</v>
      </c>
      <c r="J4706" s="7">
        <v>530.94000000000005</v>
      </c>
      <c r="K4706" s="9">
        <f>(PricingDataTable[[#This Row],[Current Price ($)]]-PricingDataTable[[#This Row],[Prior Price ($)]])/PricingDataTable[[#This Row],[Prior Price ($)]]</f>
        <v>1.1862124008579984E-2</v>
      </c>
      <c r="L4706" s="9">
        <f>(PricingDataTable[[#This Row],[Vendor Price ($)]]-PricingDataTable[[#This Row],[Current Price ($)]])/PricingDataTable[[#This Row],[Current Price ($)]]</f>
        <v>-1.7283297606798551E-4</v>
      </c>
      <c r="M4706" t="str">
        <f t="shared" si="146"/>
        <v>PASS</v>
      </c>
      <c r="N4706" s="10" t="str">
        <f t="shared" si="147"/>
        <v>NONE</v>
      </c>
    </row>
    <row r="4707" spans="1:14">
      <c r="A4707" s="4" t="s">
        <v>9430</v>
      </c>
      <c r="B4707" s="4" t="s">
        <v>9431</v>
      </c>
      <c r="C4707" s="4" t="s">
        <v>16</v>
      </c>
      <c r="D4707" s="4" t="s">
        <v>13</v>
      </c>
      <c r="E4707" s="5">
        <v>83.6584</v>
      </c>
      <c r="F4707" s="5">
        <v>83.332899999999995</v>
      </c>
      <c r="G4707" s="5">
        <v>83.409300000000002</v>
      </c>
      <c r="H4707" s="4">
        <v>0</v>
      </c>
      <c r="I4707" s="6">
        <v>4871260</v>
      </c>
      <c r="J4707" s="7">
        <v>443.79</v>
      </c>
      <c r="K4707" s="9">
        <f>(PricingDataTable[[#This Row],[Current Price ($)]]-PricingDataTable[[#This Row],[Prior Price ($)]])/PricingDataTable[[#This Row],[Prior Price ($)]]</f>
        <v>-3.890822678894232E-3</v>
      </c>
      <c r="L4707" s="9">
        <f>(PricingDataTable[[#This Row],[Vendor Price ($)]]-PricingDataTable[[#This Row],[Current Price ($)]])/PricingDataTable[[#This Row],[Current Price ($)]]</f>
        <v>9.1680476738487072E-4</v>
      </c>
      <c r="M4707" t="str">
        <f t="shared" si="146"/>
        <v>PASS</v>
      </c>
      <c r="N4707" s="10" t="str">
        <f t="shared" si="147"/>
        <v>NONE</v>
      </c>
    </row>
    <row r="4708" spans="1:14">
      <c r="A4708" s="4" t="s">
        <v>9432</v>
      </c>
      <c r="B4708" s="4" t="s">
        <v>9433</v>
      </c>
      <c r="C4708" s="4" t="s">
        <v>19</v>
      </c>
      <c r="D4708" s="4" t="s">
        <v>13</v>
      </c>
      <c r="E4708" s="5">
        <v>345.40269999999998</v>
      </c>
      <c r="F4708" s="5">
        <v>351.18950000000001</v>
      </c>
      <c r="G4708" s="5">
        <v>352.42189999999999</v>
      </c>
      <c r="H4708" s="4">
        <v>3</v>
      </c>
      <c r="I4708" s="6">
        <v>3726869</v>
      </c>
      <c r="J4708" s="7">
        <v>800.67</v>
      </c>
      <c r="K4708" s="9">
        <f>(PricingDataTable[[#This Row],[Current Price ($)]]-PricingDataTable[[#This Row],[Prior Price ($)]])/PricingDataTable[[#This Row],[Prior Price ($)]]</f>
        <v>1.6753777547193545E-2</v>
      </c>
      <c r="L4708" s="9">
        <f>(PricingDataTable[[#This Row],[Vendor Price ($)]]-PricingDataTable[[#This Row],[Current Price ($)]])/PricingDataTable[[#This Row],[Current Price ($)]]</f>
        <v>3.5092165340933719E-3</v>
      </c>
      <c r="M4708" t="str">
        <f t="shared" si="146"/>
        <v>STALE</v>
      </c>
      <c r="N4708" s="10" t="str">
        <f t="shared" si="147"/>
        <v>LOW</v>
      </c>
    </row>
    <row r="4709" spans="1:14">
      <c r="A4709" s="4" t="s">
        <v>9434</v>
      </c>
      <c r="B4709" s="4" t="s">
        <v>9435</v>
      </c>
      <c r="C4709" s="4" t="s">
        <v>39</v>
      </c>
      <c r="D4709" s="4" t="s">
        <v>32</v>
      </c>
      <c r="E4709" s="5">
        <v>164.8749</v>
      </c>
      <c r="F4709" s="5">
        <v>166.49449999999999</v>
      </c>
      <c r="G4709" s="5">
        <v>166.8296</v>
      </c>
      <c r="H4709" s="4">
        <v>0</v>
      </c>
      <c r="I4709" s="6">
        <v>1213370</v>
      </c>
      <c r="J4709" s="7">
        <v>388.31</v>
      </c>
      <c r="K4709" s="9">
        <f>(PricingDataTable[[#This Row],[Current Price ($)]]-PricingDataTable[[#This Row],[Prior Price ($)]])/PricingDataTable[[#This Row],[Prior Price ($)]]</f>
        <v>9.8232053514512602E-3</v>
      </c>
      <c r="L4709" s="9">
        <f>(PricingDataTable[[#This Row],[Vendor Price ($)]]-PricingDataTable[[#This Row],[Current Price ($)]])/PricingDataTable[[#This Row],[Current Price ($)]]</f>
        <v>2.0126790975077934E-3</v>
      </c>
      <c r="M4709" t="str">
        <f t="shared" si="146"/>
        <v>PASS</v>
      </c>
      <c r="N4709" s="10" t="str">
        <f t="shared" si="147"/>
        <v>NONE</v>
      </c>
    </row>
    <row r="4710" spans="1:14">
      <c r="A4710" s="4" t="s">
        <v>9436</v>
      </c>
      <c r="B4710" s="4" t="s">
        <v>9437</v>
      </c>
      <c r="C4710" s="4" t="s">
        <v>39</v>
      </c>
      <c r="D4710" s="4" t="s">
        <v>64</v>
      </c>
      <c r="E4710" s="5">
        <v>179.0744</v>
      </c>
      <c r="F4710" s="5">
        <v>178.721</v>
      </c>
      <c r="G4710" s="5">
        <v>179.18719999999999</v>
      </c>
      <c r="H4710" s="4">
        <v>0</v>
      </c>
      <c r="I4710" s="6">
        <v>1063433</v>
      </c>
      <c r="J4710" s="7">
        <v>662.79</v>
      </c>
      <c r="K4710" s="9">
        <f>(PricingDataTable[[#This Row],[Current Price ($)]]-PricingDataTable[[#This Row],[Prior Price ($)]])/PricingDataTable[[#This Row],[Prior Price ($)]]</f>
        <v>-1.9734814133119728E-3</v>
      </c>
      <c r="L4710" s="9">
        <f>(PricingDataTable[[#This Row],[Vendor Price ($)]]-PricingDataTable[[#This Row],[Current Price ($)]])/PricingDataTable[[#This Row],[Current Price ($)]]</f>
        <v>2.6085350910076957E-3</v>
      </c>
      <c r="M4710" t="str">
        <f t="shared" si="146"/>
        <v>PASS</v>
      </c>
      <c r="N4710" s="10" t="str">
        <f t="shared" si="147"/>
        <v>NONE</v>
      </c>
    </row>
    <row r="4711" spans="1:14">
      <c r="A4711" s="4" t="s">
        <v>9438</v>
      </c>
      <c r="B4711" s="4" t="s">
        <v>9439</v>
      </c>
      <c r="C4711" s="4" t="s">
        <v>39</v>
      </c>
      <c r="D4711" s="4" t="s">
        <v>13</v>
      </c>
      <c r="E4711" s="5">
        <v>44.385100000000001</v>
      </c>
      <c r="F4711" s="5">
        <v>44.303699999999999</v>
      </c>
      <c r="G4711" s="5">
        <v>44.502499999999998</v>
      </c>
      <c r="H4711" s="4">
        <v>0</v>
      </c>
      <c r="I4711" s="6">
        <v>4416446</v>
      </c>
      <c r="J4711" s="7">
        <v>583.36</v>
      </c>
      <c r="K4711" s="9">
        <f>(PricingDataTable[[#This Row],[Current Price ($)]]-PricingDataTable[[#This Row],[Prior Price ($)]])/PricingDataTable[[#This Row],[Prior Price ($)]]</f>
        <v>-1.8339487801086881E-3</v>
      </c>
      <c r="L4711" s="9">
        <f>(PricingDataTable[[#This Row],[Vendor Price ($)]]-PricingDataTable[[#This Row],[Current Price ($)]])/PricingDataTable[[#This Row],[Current Price ($)]]</f>
        <v>4.4872098718616851E-3</v>
      </c>
      <c r="M4711" t="str">
        <f t="shared" si="146"/>
        <v>PASS</v>
      </c>
      <c r="N4711" s="10" t="str">
        <f t="shared" si="147"/>
        <v>NONE</v>
      </c>
    </row>
    <row r="4712" spans="1:14">
      <c r="A4712" s="4" t="s">
        <v>9440</v>
      </c>
      <c r="B4712" s="4" t="s">
        <v>9441</v>
      </c>
      <c r="C4712" s="4" t="s">
        <v>39</v>
      </c>
      <c r="D4712" s="4" t="s">
        <v>36</v>
      </c>
      <c r="E4712" s="5">
        <v>334.83030000000002</v>
      </c>
      <c r="F4712" s="5">
        <v>333.11149999999998</v>
      </c>
      <c r="G4712" s="5">
        <v>332.95830000000001</v>
      </c>
      <c r="H4712" s="4">
        <v>0</v>
      </c>
      <c r="I4712" s="6">
        <v>4726971</v>
      </c>
      <c r="J4712" s="7">
        <v>616.41</v>
      </c>
      <c r="K4712" s="9">
        <f>(PricingDataTable[[#This Row],[Current Price ($)]]-PricingDataTable[[#This Row],[Prior Price ($)]])/PricingDataTable[[#This Row],[Prior Price ($)]]</f>
        <v>-5.1333466535138667E-3</v>
      </c>
      <c r="L4712" s="9">
        <f>(PricingDataTable[[#This Row],[Vendor Price ($)]]-PricingDataTable[[#This Row],[Current Price ($)]])/PricingDataTable[[#This Row],[Current Price ($)]]</f>
        <v>-4.5990606748782257E-4</v>
      </c>
      <c r="M4712" t="str">
        <f t="shared" si="146"/>
        <v>PASS</v>
      </c>
      <c r="N4712" s="10" t="str">
        <f t="shared" si="147"/>
        <v>NONE</v>
      </c>
    </row>
    <row r="4713" spans="1:14">
      <c r="A4713" s="4" t="s">
        <v>9442</v>
      </c>
      <c r="B4713" s="4" t="s">
        <v>9443</v>
      </c>
      <c r="C4713" s="4" t="s">
        <v>16</v>
      </c>
      <c r="D4713" s="4" t="s">
        <v>32</v>
      </c>
      <c r="E4713" s="5">
        <v>103.9075</v>
      </c>
      <c r="F4713" s="5">
        <v>102.76690000000001</v>
      </c>
      <c r="G4713" s="5">
        <v>102.9225</v>
      </c>
      <c r="H4713" s="4">
        <v>0</v>
      </c>
      <c r="I4713" s="6">
        <v>3279575</v>
      </c>
      <c r="J4713" s="7">
        <v>60.08</v>
      </c>
      <c r="K4713" s="9">
        <f>(PricingDataTable[[#This Row],[Current Price ($)]]-PricingDataTable[[#This Row],[Prior Price ($)]])/PricingDataTable[[#This Row],[Prior Price ($)]]</f>
        <v>-1.0977070952529817E-2</v>
      </c>
      <c r="L4713" s="9">
        <f>(PricingDataTable[[#This Row],[Vendor Price ($)]]-PricingDataTable[[#This Row],[Current Price ($)]])/PricingDataTable[[#This Row],[Current Price ($)]]</f>
        <v>1.5141061956718809E-3</v>
      </c>
      <c r="M4713" t="str">
        <f t="shared" si="146"/>
        <v>PASS</v>
      </c>
      <c r="N4713" s="10" t="str">
        <f t="shared" si="147"/>
        <v>NONE</v>
      </c>
    </row>
    <row r="4714" spans="1:14">
      <c r="A4714" s="4" t="s">
        <v>9444</v>
      </c>
      <c r="B4714" s="4" t="s">
        <v>9445</v>
      </c>
      <c r="C4714" s="4" t="s">
        <v>39</v>
      </c>
      <c r="D4714" s="4" t="s">
        <v>32</v>
      </c>
      <c r="E4714" s="5">
        <v>188.39070000000001</v>
      </c>
      <c r="F4714" s="5">
        <v>189.91460000000001</v>
      </c>
      <c r="G4714" s="5">
        <v>190.4495</v>
      </c>
      <c r="H4714" s="4">
        <v>0</v>
      </c>
      <c r="I4714" s="6">
        <v>1786411</v>
      </c>
      <c r="J4714" s="7">
        <v>878.89</v>
      </c>
      <c r="K4714" s="9">
        <f>(PricingDataTable[[#This Row],[Current Price ($)]]-PricingDataTable[[#This Row],[Prior Price ($)]])/PricingDataTable[[#This Row],[Prior Price ($)]]</f>
        <v>8.0890404887289952E-3</v>
      </c>
      <c r="L4714" s="9">
        <f>(PricingDataTable[[#This Row],[Vendor Price ($)]]-PricingDataTable[[#This Row],[Current Price ($)]])/PricingDataTable[[#This Row],[Current Price ($)]]</f>
        <v>2.8165291136120828E-3</v>
      </c>
      <c r="M4714" t="str">
        <f t="shared" si="146"/>
        <v>PASS</v>
      </c>
      <c r="N4714" s="10" t="str">
        <f t="shared" si="147"/>
        <v>NONE</v>
      </c>
    </row>
    <row r="4715" spans="1:14">
      <c r="A4715" s="4" t="s">
        <v>9446</v>
      </c>
      <c r="B4715" s="4" t="s">
        <v>9447</v>
      </c>
      <c r="C4715" s="4" t="s">
        <v>19</v>
      </c>
      <c r="D4715" s="4" t="s">
        <v>32</v>
      </c>
      <c r="E4715" s="5">
        <v>152.17189999999999</v>
      </c>
      <c r="F4715" s="5">
        <v>153.05860000000001</v>
      </c>
      <c r="G4715" s="5">
        <v>152.7346</v>
      </c>
      <c r="H4715" s="4">
        <v>0</v>
      </c>
      <c r="I4715" s="6">
        <v>730619</v>
      </c>
      <c r="J4715" s="7">
        <v>236.05</v>
      </c>
      <c r="K4715" s="9">
        <f>(PricingDataTable[[#This Row],[Current Price ($)]]-PricingDataTable[[#This Row],[Prior Price ($)]])/PricingDataTable[[#This Row],[Prior Price ($)]]</f>
        <v>5.8269627966794062E-3</v>
      </c>
      <c r="L4715" s="9">
        <f>(PricingDataTable[[#This Row],[Vendor Price ($)]]-PricingDataTable[[#This Row],[Current Price ($)]])/PricingDataTable[[#This Row],[Current Price ($)]]</f>
        <v>-2.1168362966864471E-3</v>
      </c>
      <c r="M4715" t="str">
        <f t="shared" si="146"/>
        <v>PASS</v>
      </c>
      <c r="N4715" s="10" t="str">
        <f t="shared" si="147"/>
        <v>NONE</v>
      </c>
    </row>
    <row r="4716" spans="1:14">
      <c r="A4716" s="4" t="s">
        <v>9448</v>
      </c>
      <c r="B4716" s="4" t="s">
        <v>9449</v>
      </c>
      <c r="C4716" s="4" t="s">
        <v>19</v>
      </c>
      <c r="D4716" s="4" t="s">
        <v>13</v>
      </c>
      <c r="E4716" s="5">
        <v>238.8869</v>
      </c>
      <c r="F4716" s="5">
        <v>237.91139999999999</v>
      </c>
      <c r="G4716" s="5">
        <v>237.4427</v>
      </c>
      <c r="H4716" s="4">
        <v>0</v>
      </c>
      <c r="I4716" s="6">
        <v>1190476</v>
      </c>
      <c r="J4716" s="7">
        <v>690.69</v>
      </c>
      <c r="K4716" s="9">
        <f>(PricingDataTable[[#This Row],[Current Price ($)]]-PricingDataTable[[#This Row],[Prior Price ($)]])/PricingDataTable[[#This Row],[Prior Price ($)]]</f>
        <v>-4.0835223697909383E-3</v>
      </c>
      <c r="L4716" s="9">
        <f>(PricingDataTable[[#This Row],[Vendor Price ($)]]-PricingDataTable[[#This Row],[Current Price ($)]])/PricingDataTable[[#This Row],[Current Price ($)]]</f>
        <v>-1.9700611235946835E-3</v>
      </c>
      <c r="M4716" t="str">
        <f t="shared" si="146"/>
        <v>PASS</v>
      </c>
      <c r="N4716" s="10" t="str">
        <f t="shared" si="147"/>
        <v>NONE</v>
      </c>
    </row>
    <row r="4717" spans="1:14">
      <c r="A4717" s="4" t="s">
        <v>9450</v>
      </c>
      <c r="B4717" s="4" t="s">
        <v>9451</v>
      </c>
      <c r="C4717" s="4" t="s">
        <v>16</v>
      </c>
      <c r="D4717" s="4" t="s">
        <v>13</v>
      </c>
      <c r="E4717" s="5">
        <v>110.6861</v>
      </c>
      <c r="F4717" s="5">
        <v>122.9181</v>
      </c>
      <c r="G4717" s="5">
        <v>122.49469999999999</v>
      </c>
      <c r="H4717" s="4">
        <v>0</v>
      </c>
      <c r="I4717" s="6">
        <v>3371792</v>
      </c>
      <c r="J4717" s="7">
        <v>354.14</v>
      </c>
      <c r="K4717" s="9">
        <f>(PricingDataTable[[#This Row],[Current Price ($)]]-PricingDataTable[[#This Row],[Prior Price ($)]])/PricingDataTable[[#This Row],[Prior Price ($)]]</f>
        <v>0.11051071453416463</v>
      </c>
      <c r="L4717" s="9">
        <f>(PricingDataTable[[#This Row],[Vendor Price ($)]]-PricingDataTable[[#This Row],[Current Price ($)]])/PricingDataTable[[#This Row],[Current Price ($)]]</f>
        <v>-3.4445700023023533E-3</v>
      </c>
      <c r="M4717" t="str">
        <f t="shared" si="146"/>
        <v>LARGE MOVE</v>
      </c>
      <c r="N4717" s="10" t="str">
        <f t="shared" si="147"/>
        <v>HIGH</v>
      </c>
    </row>
    <row r="4718" spans="1:14">
      <c r="A4718" s="4" t="s">
        <v>9452</v>
      </c>
      <c r="B4718" s="4" t="s">
        <v>9453</v>
      </c>
      <c r="C4718" s="4" t="s">
        <v>12</v>
      </c>
      <c r="D4718" s="4" t="s">
        <v>64</v>
      </c>
      <c r="E4718" s="5">
        <v>82.176699999999997</v>
      </c>
      <c r="F4718" s="5">
        <v>82.013400000000004</v>
      </c>
      <c r="G4718" s="5">
        <v>82.129599999999996</v>
      </c>
      <c r="H4718" s="4">
        <v>0</v>
      </c>
      <c r="I4718" s="6">
        <v>2186175</v>
      </c>
      <c r="J4718" s="7">
        <v>716.25</v>
      </c>
      <c r="K4718" s="9">
        <f>(PricingDataTable[[#This Row],[Current Price ($)]]-PricingDataTable[[#This Row],[Prior Price ($)]])/PricingDataTable[[#This Row],[Prior Price ($)]]</f>
        <v>-1.9871812813120077E-3</v>
      </c>
      <c r="L4718" s="9">
        <f>(PricingDataTable[[#This Row],[Vendor Price ($)]]-PricingDataTable[[#This Row],[Current Price ($)]])/PricingDataTable[[#This Row],[Current Price ($)]]</f>
        <v>1.4168416380736816E-3</v>
      </c>
      <c r="M4718" t="str">
        <f t="shared" si="146"/>
        <v>PASS</v>
      </c>
      <c r="N4718" s="10" t="str">
        <f t="shared" si="147"/>
        <v>NONE</v>
      </c>
    </row>
    <row r="4719" spans="1:14">
      <c r="A4719" s="4" t="s">
        <v>9454</v>
      </c>
      <c r="B4719" s="4" t="s">
        <v>9455</v>
      </c>
      <c r="C4719" s="4" t="s">
        <v>16</v>
      </c>
      <c r="D4719" s="4" t="s">
        <v>13</v>
      </c>
      <c r="E4719" s="5">
        <v>96.455500000000001</v>
      </c>
      <c r="F4719" s="5">
        <v>95.633700000000005</v>
      </c>
      <c r="G4719" s="5">
        <v>95.960499999999996</v>
      </c>
      <c r="H4719" s="4">
        <v>4</v>
      </c>
      <c r="I4719" s="6">
        <v>1235378</v>
      </c>
      <c r="J4719" s="7">
        <v>387.08</v>
      </c>
      <c r="K4719" s="9">
        <f>(PricingDataTable[[#This Row],[Current Price ($)]]-PricingDataTable[[#This Row],[Prior Price ($)]])/PricingDataTable[[#This Row],[Prior Price ($)]]</f>
        <v>-8.519991083971324E-3</v>
      </c>
      <c r="L4719" s="9">
        <f>(PricingDataTable[[#This Row],[Vendor Price ($)]]-PricingDataTable[[#This Row],[Current Price ($)]])/PricingDataTable[[#This Row],[Current Price ($)]]</f>
        <v>3.4172054411780737E-3</v>
      </c>
      <c r="M4719" t="str">
        <f t="shared" si="146"/>
        <v>STALE</v>
      </c>
      <c r="N4719" s="10" t="str">
        <f t="shared" si="147"/>
        <v>LOW</v>
      </c>
    </row>
    <row r="4720" spans="1:14">
      <c r="A4720" s="4" t="s">
        <v>9456</v>
      </c>
      <c r="B4720" s="4" t="s">
        <v>9457</v>
      </c>
      <c r="C4720" s="4" t="s">
        <v>19</v>
      </c>
      <c r="D4720" s="4" t="s">
        <v>13</v>
      </c>
      <c r="E4720" s="5">
        <v>260.46499999999997</v>
      </c>
      <c r="F4720" s="5">
        <v>259.01389999999998</v>
      </c>
      <c r="G4720" s="5">
        <v>258.62169999999998</v>
      </c>
      <c r="H4720" s="4">
        <v>0</v>
      </c>
      <c r="I4720" s="6">
        <v>3264813</v>
      </c>
      <c r="J4720" s="7">
        <v>849.74</v>
      </c>
      <c r="K4720" s="9">
        <f>(PricingDataTable[[#This Row],[Current Price ($)]]-PricingDataTable[[#This Row],[Prior Price ($)]])/PricingDataTable[[#This Row],[Prior Price ($)]]</f>
        <v>-5.5711899871383752E-3</v>
      </c>
      <c r="L4720" s="9">
        <f>(PricingDataTable[[#This Row],[Vendor Price ($)]]-PricingDataTable[[#This Row],[Current Price ($)]])/PricingDataTable[[#This Row],[Current Price ($)]]</f>
        <v>-1.5142044500314562E-3</v>
      </c>
      <c r="M4720" t="str">
        <f t="shared" si="146"/>
        <v>PASS</v>
      </c>
      <c r="N4720" s="10" t="str">
        <f t="shared" si="147"/>
        <v>NONE</v>
      </c>
    </row>
    <row r="4721" spans="1:14">
      <c r="A4721" s="4" t="s">
        <v>9458</v>
      </c>
      <c r="B4721" s="4" t="s">
        <v>9459</v>
      </c>
      <c r="C4721" s="4" t="s">
        <v>39</v>
      </c>
      <c r="D4721" s="4" t="s">
        <v>13</v>
      </c>
      <c r="E4721" s="5">
        <v>243.3843</v>
      </c>
      <c r="F4721" s="5">
        <v>244.28469999999999</v>
      </c>
      <c r="G4721" s="5">
        <v>245.05600000000001</v>
      </c>
      <c r="H4721" s="4">
        <v>0</v>
      </c>
      <c r="I4721" s="6">
        <v>457286</v>
      </c>
      <c r="J4721" s="7">
        <v>717.66</v>
      </c>
      <c r="K4721" s="9">
        <f>(PricingDataTable[[#This Row],[Current Price ($)]]-PricingDataTable[[#This Row],[Prior Price ($)]])/PricingDataTable[[#This Row],[Prior Price ($)]]</f>
        <v>3.6994991049134661E-3</v>
      </c>
      <c r="L4721" s="9">
        <f>(PricingDataTable[[#This Row],[Vendor Price ($)]]-PricingDataTable[[#This Row],[Current Price ($)]])/PricingDataTable[[#This Row],[Current Price ($)]]</f>
        <v>3.1573815306485628E-3</v>
      </c>
      <c r="M4721" t="str">
        <f t="shared" si="146"/>
        <v>PASS</v>
      </c>
      <c r="N4721" s="10" t="str">
        <f t="shared" si="147"/>
        <v>NONE</v>
      </c>
    </row>
    <row r="4722" spans="1:14">
      <c r="A4722" s="4" t="s">
        <v>9460</v>
      </c>
      <c r="B4722" s="4" t="s">
        <v>9461</v>
      </c>
      <c r="C4722" s="4" t="s">
        <v>16</v>
      </c>
      <c r="D4722" s="4" t="s">
        <v>32</v>
      </c>
      <c r="E4722" s="5">
        <v>77.153800000000004</v>
      </c>
      <c r="F4722" s="5">
        <v>76.780199999999994</v>
      </c>
      <c r="G4722" s="5">
        <v>76.953699999999998</v>
      </c>
      <c r="H4722" s="4">
        <v>3</v>
      </c>
      <c r="I4722" s="6">
        <v>4154800</v>
      </c>
      <c r="J4722" s="7">
        <v>549.48</v>
      </c>
      <c r="K4722" s="9">
        <f>(PricingDataTable[[#This Row],[Current Price ($)]]-PricingDataTable[[#This Row],[Prior Price ($)]])/PricingDataTable[[#This Row],[Prior Price ($)]]</f>
        <v>-4.8422760771343774E-3</v>
      </c>
      <c r="L4722" s="9">
        <f>(PricingDataTable[[#This Row],[Vendor Price ($)]]-PricingDataTable[[#This Row],[Current Price ($)]])/PricingDataTable[[#This Row],[Current Price ($)]]</f>
        <v>2.2596971615078394E-3</v>
      </c>
      <c r="M4722" t="str">
        <f t="shared" si="146"/>
        <v>STALE</v>
      </c>
      <c r="N4722" s="10" t="str">
        <f t="shared" si="147"/>
        <v>LOW</v>
      </c>
    </row>
    <row r="4723" spans="1:14">
      <c r="A4723" s="4" t="s">
        <v>9462</v>
      </c>
      <c r="B4723" s="4" t="s">
        <v>9463</v>
      </c>
      <c r="C4723" s="4" t="s">
        <v>19</v>
      </c>
      <c r="D4723" s="4" t="s">
        <v>13</v>
      </c>
      <c r="E4723" s="5">
        <v>191.60380000000001</v>
      </c>
      <c r="F4723" s="5">
        <v>190.30009999999999</v>
      </c>
      <c r="G4723" s="5">
        <v>189.26320000000001</v>
      </c>
      <c r="H4723" s="4">
        <v>4</v>
      </c>
      <c r="I4723" s="6">
        <v>143271</v>
      </c>
      <c r="J4723" s="7">
        <v>408.56</v>
      </c>
      <c r="K4723" s="9">
        <f>(PricingDataTable[[#This Row],[Current Price ($)]]-PricingDataTable[[#This Row],[Prior Price ($)]])/PricingDataTable[[#This Row],[Prior Price ($)]]</f>
        <v>-6.8041448029737429E-3</v>
      </c>
      <c r="L4723" s="9">
        <f>(PricingDataTable[[#This Row],[Vendor Price ($)]]-PricingDataTable[[#This Row],[Current Price ($)]])/PricingDataTable[[#This Row],[Current Price ($)]]</f>
        <v>-5.4487622444758278E-3</v>
      </c>
      <c r="M4723" t="str">
        <f t="shared" si="146"/>
        <v>STALE</v>
      </c>
      <c r="N4723" s="10" t="str">
        <f t="shared" si="147"/>
        <v>LOW</v>
      </c>
    </row>
    <row r="4724" spans="1:14">
      <c r="A4724" s="4" t="s">
        <v>9464</v>
      </c>
      <c r="B4724" s="4" t="s">
        <v>9465</v>
      </c>
      <c r="C4724" s="4" t="s">
        <v>19</v>
      </c>
      <c r="D4724" s="4" t="s">
        <v>13</v>
      </c>
      <c r="E4724" s="5">
        <v>222.12110000000001</v>
      </c>
      <c r="F4724" s="5">
        <v>224.42670000000001</v>
      </c>
      <c r="G4724" s="5">
        <v>223.77029999999999</v>
      </c>
      <c r="H4724" s="4">
        <v>0</v>
      </c>
      <c r="I4724" s="6">
        <v>2311821</v>
      </c>
      <c r="J4724" s="7">
        <v>644.33000000000004</v>
      </c>
      <c r="K4724" s="9">
        <f>(PricingDataTable[[#This Row],[Current Price ($)]]-PricingDataTable[[#This Row],[Prior Price ($)]])/PricingDataTable[[#This Row],[Prior Price ($)]]</f>
        <v>1.0379923384135943E-2</v>
      </c>
      <c r="L4724" s="9">
        <f>(PricingDataTable[[#This Row],[Vendor Price ($)]]-PricingDataTable[[#This Row],[Current Price ($)]])/PricingDataTable[[#This Row],[Current Price ($)]]</f>
        <v>-2.9247856872645687E-3</v>
      </c>
      <c r="M4724" t="str">
        <f t="shared" si="146"/>
        <v>PASS</v>
      </c>
      <c r="N4724" s="10" t="str">
        <f t="shared" si="147"/>
        <v>NONE</v>
      </c>
    </row>
    <row r="4725" spans="1:14">
      <c r="A4725" s="4" t="s">
        <v>9466</v>
      </c>
      <c r="B4725" s="4" t="s">
        <v>9467</v>
      </c>
      <c r="C4725" s="4" t="s">
        <v>39</v>
      </c>
      <c r="D4725" s="4" t="s">
        <v>13</v>
      </c>
      <c r="E4725" s="5">
        <v>107.4684</v>
      </c>
      <c r="F4725" s="5">
        <v>106.702</v>
      </c>
      <c r="G4725" s="5">
        <v>107.0853</v>
      </c>
      <c r="H4725" s="4">
        <v>0</v>
      </c>
      <c r="I4725" s="6">
        <v>1158592</v>
      </c>
      <c r="J4725" s="7">
        <v>136.78</v>
      </c>
      <c r="K4725" s="9">
        <f>(PricingDataTable[[#This Row],[Current Price ($)]]-PricingDataTable[[#This Row],[Prior Price ($)]])/PricingDataTable[[#This Row],[Prior Price ($)]]</f>
        <v>-7.1313986250842515E-3</v>
      </c>
      <c r="L4725" s="9">
        <f>(PricingDataTable[[#This Row],[Vendor Price ($)]]-PricingDataTable[[#This Row],[Current Price ($)]])/PricingDataTable[[#This Row],[Current Price ($)]]</f>
        <v>3.592247567993154E-3</v>
      </c>
      <c r="M4725" t="str">
        <f t="shared" si="146"/>
        <v>PASS</v>
      </c>
      <c r="N4725" s="10" t="str">
        <f t="shared" si="147"/>
        <v>NONE</v>
      </c>
    </row>
    <row r="4726" spans="1:14">
      <c r="A4726" s="4" t="s">
        <v>9468</v>
      </c>
      <c r="B4726" s="4" t="s">
        <v>9469</v>
      </c>
      <c r="C4726" s="4" t="s">
        <v>35</v>
      </c>
      <c r="D4726" s="4" t="s">
        <v>13</v>
      </c>
      <c r="E4726" s="5">
        <v>158.00909999999999</v>
      </c>
      <c r="F4726" s="5">
        <v>156.55520000000001</v>
      </c>
      <c r="G4726" s="5">
        <v>156.2227</v>
      </c>
      <c r="H4726" s="4">
        <v>0</v>
      </c>
      <c r="I4726" s="6">
        <v>3889647</v>
      </c>
      <c r="J4726" s="7">
        <v>708.98</v>
      </c>
      <c r="K4726" s="9">
        <f>(PricingDataTable[[#This Row],[Current Price ($)]]-PricingDataTable[[#This Row],[Prior Price ($)]])/PricingDataTable[[#This Row],[Prior Price ($)]]</f>
        <v>-9.2013687819244346E-3</v>
      </c>
      <c r="L4726" s="9">
        <f>(PricingDataTable[[#This Row],[Vendor Price ($)]]-PricingDataTable[[#This Row],[Current Price ($)]])/PricingDataTable[[#This Row],[Current Price ($)]]</f>
        <v>-2.1238515232966403E-3</v>
      </c>
      <c r="M4726" t="str">
        <f t="shared" si="146"/>
        <v>PASS</v>
      </c>
      <c r="N4726" s="10" t="str">
        <f t="shared" si="147"/>
        <v>NONE</v>
      </c>
    </row>
    <row r="4727" spans="1:14">
      <c r="A4727" s="4" t="s">
        <v>9470</v>
      </c>
      <c r="B4727" s="4" t="s">
        <v>9471</v>
      </c>
      <c r="C4727" s="4" t="s">
        <v>39</v>
      </c>
      <c r="D4727" s="4" t="s">
        <v>13</v>
      </c>
      <c r="E4727" s="5">
        <v>259.93529999999998</v>
      </c>
      <c r="F4727" s="5">
        <v>255.19479999999999</v>
      </c>
      <c r="G4727" s="5">
        <v>254.9178</v>
      </c>
      <c r="H4727" s="4">
        <v>0</v>
      </c>
      <c r="I4727" s="6">
        <v>3418254</v>
      </c>
      <c r="J4727" s="7">
        <v>551.73</v>
      </c>
      <c r="K4727" s="9">
        <f>(PricingDataTable[[#This Row],[Current Price ($)]]-PricingDataTable[[#This Row],[Prior Price ($)]])/PricingDataTable[[#This Row],[Prior Price ($)]]</f>
        <v>-1.8237230572377038E-2</v>
      </c>
      <c r="L4727" s="9">
        <f>(PricingDataTable[[#This Row],[Vendor Price ($)]]-PricingDataTable[[#This Row],[Current Price ($)]])/PricingDataTable[[#This Row],[Current Price ($)]]</f>
        <v>-1.0854453147163925E-3</v>
      </c>
      <c r="M4727" t="str">
        <f t="shared" si="146"/>
        <v>PASS</v>
      </c>
      <c r="N4727" s="10" t="str">
        <f t="shared" si="147"/>
        <v>NONE</v>
      </c>
    </row>
    <row r="4728" spans="1:14">
      <c r="A4728" s="4" t="s">
        <v>9472</v>
      </c>
      <c r="B4728" s="4" t="s">
        <v>9473</v>
      </c>
      <c r="C4728" s="4" t="s">
        <v>12</v>
      </c>
      <c r="D4728" s="4" t="s">
        <v>64</v>
      </c>
      <c r="E4728" s="5">
        <v>86.116299999999995</v>
      </c>
      <c r="F4728" s="5">
        <v>85.569199999999995</v>
      </c>
      <c r="G4728" s="5">
        <v>85.2804</v>
      </c>
      <c r="H4728" s="4">
        <v>5</v>
      </c>
      <c r="I4728" s="6">
        <v>4264906</v>
      </c>
      <c r="J4728" s="7">
        <v>426.18</v>
      </c>
      <c r="K4728" s="9">
        <f>(PricingDataTable[[#This Row],[Current Price ($)]]-PricingDataTable[[#This Row],[Prior Price ($)]])/PricingDataTable[[#This Row],[Prior Price ($)]]</f>
        <v>-6.3530365331534262E-3</v>
      </c>
      <c r="L4728" s="9">
        <f>(PricingDataTable[[#This Row],[Vendor Price ($)]]-PricingDataTable[[#This Row],[Current Price ($)]])/PricingDataTable[[#This Row],[Current Price ($)]]</f>
        <v>-3.3750461614692538E-3</v>
      </c>
      <c r="M4728" t="str">
        <f t="shared" si="146"/>
        <v>STALE</v>
      </c>
      <c r="N4728" s="10" t="str">
        <f t="shared" si="147"/>
        <v>MEDIUM</v>
      </c>
    </row>
    <row r="4729" spans="1:14">
      <c r="A4729" s="4" t="s">
        <v>9474</v>
      </c>
      <c r="B4729" s="4" t="s">
        <v>9475</v>
      </c>
      <c r="C4729" s="4" t="s">
        <v>12</v>
      </c>
      <c r="D4729" s="4" t="s">
        <v>13</v>
      </c>
      <c r="E4729" s="5">
        <v>121.34439999999999</v>
      </c>
      <c r="F4729" s="5">
        <v>121.9366</v>
      </c>
      <c r="G4729" s="5">
        <v>121.5065</v>
      </c>
      <c r="H4729" s="4">
        <v>0</v>
      </c>
      <c r="I4729" s="6">
        <v>4529543</v>
      </c>
      <c r="J4729" s="7">
        <v>47.24</v>
      </c>
      <c r="K4729" s="9">
        <f>(PricingDataTable[[#This Row],[Current Price ($)]]-PricingDataTable[[#This Row],[Prior Price ($)]])/PricingDataTable[[#This Row],[Prior Price ($)]]</f>
        <v>4.8803241023071967E-3</v>
      </c>
      <c r="L4729" s="9">
        <f>(PricingDataTable[[#This Row],[Vendor Price ($)]]-PricingDataTable[[#This Row],[Current Price ($)]])/PricingDataTable[[#This Row],[Current Price ($)]]</f>
        <v>-3.52724284587233E-3</v>
      </c>
      <c r="M4729" t="str">
        <f t="shared" si="146"/>
        <v>PASS</v>
      </c>
      <c r="N4729" s="10" t="str">
        <f t="shared" si="147"/>
        <v>NONE</v>
      </c>
    </row>
    <row r="4730" spans="1:14">
      <c r="A4730" s="4" t="s">
        <v>9476</v>
      </c>
      <c r="B4730" s="4" t="s">
        <v>9477</v>
      </c>
      <c r="C4730" s="4" t="s">
        <v>12</v>
      </c>
      <c r="D4730" s="4" t="s">
        <v>13</v>
      </c>
      <c r="E4730" s="5">
        <v>115.1407</v>
      </c>
      <c r="F4730" s="5">
        <v>115.3993</v>
      </c>
      <c r="G4730" s="5">
        <v>115.9542</v>
      </c>
      <c r="H4730" s="4">
        <v>0</v>
      </c>
      <c r="I4730" s="6">
        <v>704402</v>
      </c>
      <c r="J4730" s="7">
        <v>536.11</v>
      </c>
      <c r="K4730" s="9">
        <f>(PricingDataTable[[#This Row],[Current Price ($)]]-PricingDataTable[[#This Row],[Prior Price ($)]])/PricingDataTable[[#This Row],[Prior Price ($)]]</f>
        <v>2.2459477838852925E-3</v>
      </c>
      <c r="L4730" s="9">
        <f>(PricingDataTable[[#This Row],[Vendor Price ($)]]-PricingDataTable[[#This Row],[Current Price ($)]])/PricingDataTable[[#This Row],[Current Price ($)]]</f>
        <v>4.8085213688471556E-3</v>
      </c>
      <c r="M4730" t="str">
        <f t="shared" si="146"/>
        <v>PASS</v>
      </c>
      <c r="N4730" s="10" t="str">
        <f t="shared" si="147"/>
        <v>NONE</v>
      </c>
    </row>
    <row r="4731" spans="1:14">
      <c r="A4731" s="4" t="s">
        <v>9478</v>
      </c>
      <c r="B4731" s="4" t="s">
        <v>9479</v>
      </c>
      <c r="C4731" s="4" t="s">
        <v>35</v>
      </c>
      <c r="D4731" s="4" t="s">
        <v>13</v>
      </c>
      <c r="E4731" s="5">
        <v>61.712600000000002</v>
      </c>
      <c r="F4731" s="5">
        <v>60.953400000000002</v>
      </c>
      <c r="G4731" s="5">
        <v>60.674199999999999</v>
      </c>
      <c r="H4731" s="4">
        <v>0</v>
      </c>
      <c r="I4731" s="6">
        <v>1381408</v>
      </c>
      <c r="J4731" s="7">
        <v>776.89</v>
      </c>
      <c r="K4731" s="9">
        <f>(PricingDataTable[[#This Row],[Current Price ($)]]-PricingDataTable[[#This Row],[Prior Price ($)]])/PricingDataTable[[#This Row],[Prior Price ($)]]</f>
        <v>-1.2302187883835714E-2</v>
      </c>
      <c r="L4731" s="9">
        <f>(PricingDataTable[[#This Row],[Vendor Price ($)]]-PricingDataTable[[#This Row],[Current Price ($)]])/PricingDataTable[[#This Row],[Current Price ($)]]</f>
        <v>-4.5805484189561695E-3</v>
      </c>
      <c r="M4731" t="str">
        <f t="shared" si="146"/>
        <v>PASS</v>
      </c>
      <c r="N4731" s="10" t="str">
        <f t="shared" si="147"/>
        <v>NONE</v>
      </c>
    </row>
    <row r="4732" spans="1:14">
      <c r="A4732" s="4" t="s">
        <v>9480</v>
      </c>
      <c r="B4732" s="4" t="s">
        <v>9481</v>
      </c>
      <c r="C4732" s="4" t="s">
        <v>12</v>
      </c>
      <c r="D4732" s="4" t="s">
        <v>237</v>
      </c>
      <c r="E4732" s="5">
        <v>77.264899999999997</v>
      </c>
      <c r="F4732" s="5">
        <v>76.501599999999996</v>
      </c>
      <c r="G4732" s="5">
        <v>76.424499999999995</v>
      </c>
      <c r="H4732" s="4">
        <v>1</v>
      </c>
      <c r="I4732" s="6">
        <v>30611</v>
      </c>
      <c r="J4732" s="7">
        <v>637.29</v>
      </c>
      <c r="K4732" s="9">
        <f>(PricingDataTable[[#This Row],[Current Price ($)]]-PricingDataTable[[#This Row],[Prior Price ($)]])/PricingDataTable[[#This Row],[Prior Price ($)]]</f>
        <v>-9.8790006846576003E-3</v>
      </c>
      <c r="L4732" s="9">
        <f>(PricingDataTable[[#This Row],[Vendor Price ($)]]-PricingDataTable[[#This Row],[Current Price ($)]])/PricingDataTable[[#This Row],[Current Price ($)]]</f>
        <v>-1.0078220586236301E-3</v>
      </c>
      <c r="M4732" t="str">
        <f t="shared" si="146"/>
        <v>PASS</v>
      </c>
      <c r="N4732" s="10" t="str">
        <f t="shared" si="147"/>
        <v>NONE</v>
      </c>
    </row>
    <row r="4733" spans="1:14">
      <c r="A4733" s="4" t="s">
        <v>9482</v>
      </c>
      <c r="B4733" s="4" t="s">
        <v>9483</v>
      </c>
      <c r="C4733" s="4" t="s">
        <v>19</v>
      </c>
      <c r="D4733" s="4" t="s">
        <v>13</v>
      </c>
      <c r="E4733" s="5">
        <v>31.894300000000001</v>
      </c>
      <c r="F4733" s="5">
        <v>32.064799999999998</v>
      </c>
      <c r="G4733" s="5">
        <v>32.087400000000002</v>
      </c>
      <c r="H4733" s="4">
        <v>0</v>
      </c>
      <c r="I4733" s="6">
        <v>2813539</v>
      </c>
      <c r="J4733" s="7">
        <v>332.64</v>
      </c>
      <c r="K4733" s="9">
        <f>(PricingDataTable[[#This Row],[Current Price ($)]]-PricingDataTable[[#This Row],[Prior Price ($)]])/PricingDataTable[[#This Row],[Prior Price ($)]]</f>
        <v>5.345782788774075E-3</v>
      </c>
      <c r="L4733" s="9">
        <f>(PricingDataTable[[#This Row],[Vendor Price ($)]]-PricingDataTable[[#This Row],[Current Price ($)]])/PricingDataTable[[#This Row],[Current Price ($)]]</f>
        <v>7.0482273396385358E-4</v>
      </c>
      <c r="M4733" t="str">
        <f t="shared" si="146"/>
        <v>PASS</v>
      </c>
      <c r="N4733" s="10" t="str">
        <f t="shared" si="147"/>
        <v>NONE</v>
      </c>
    </row>
    <row r="4734" spans="1:14">
      <c r="A4734" s="4" t="s">
        <v>9484</v>
      </c>
      <c r="B4734" s="4" t="s">
        <v>9485</v>
      </c>
      <c r="C4734" s="4" t="s">
        <v>16</v>
      </c>
      <c r="D4734" s="4" t="s">
        <v>36</v>
      </c>
      <c r="E4734" s="5">
        <v>97.301599999999993</v>
      </c>
      <c r="F4734" s="5">
        <v>98.582400000000007</v>
      </c>
      <c r="G4734" s="5">
        <v>98.306299999999993</v>
      </c>
      <c r="H4734" s="4">
        <v>3</v>
      </c>
      <c r="I4734" s="6">
        <v>3958065</v>
      </c>
      <c r="J4734" s="7">
        <v>365.77</v>
      </c>
      <c r="K4734" s="9">
        <f>(PricingDataTable[[#This Row],[Current Price ($)]]-PricingDataTable[[#This Row],[Prior Price ($)]])/PricingDataTable[[#This Row],[Prior Price ($)]]</f>
        <v>1.3163195672013754E-2</v>
      </c>
      <c r="L4734" s="9">
        <f>(PricingDataTable[[#This Row],[Vendor Price ($)]]-PricingDataTable[[#This Row],[Current Price ($)]])/PricingDataTable[[#This Row],[Current Price ($)]]</f>
        <v>-2.8007027623593436E-3</v>
      </c>
      <c r="M4734" t="str">
        <f t="shared" si="146"/>
        <v>STALE</v>
      </c>
      <c r="N4734" s="10" t="str">
        <f t="shared" si="147"/>
        <v>LOW</v>
      </c>
    </row>
    <row r="4735" spans="1:14">
      <c r="A4735" s="4" t="s">
        <v>9486</v>
      </c>
      <c r="B4735" s="4" t="s">
        <v>9487</v>
      </c>
      <c r="C4735" s="4" t="s">
        <v>16</v>
      </c>
      <c r="D4735" s="4" t="s">
        <v>13</v>
      </c>
      <c r="E4735" s="5">
        <v>115.31010000000001</v>
      </c>
      <c r="F4735" s="5">
        <v>115.5129</v>
      </c>
      <c r="G4735" s="5">
        <v>115.45310000000001</v>
      </c>
      <c r="H4735" s="4">
        <v>1</v>
      </c>
      <c r="I4735" s="6">
        <v>917699</v>
      </c>
      <c r="J4735" s="7">
        <v>872.64</v>
      </c>
      <c r="K4735" s="9">
        <f>(PricingDataTable[[#This Row],[Current Price ($)]]-PricingDataTable[[#This Row],[Prior Price ($)]])/PricingDataTable[[#This Row],[Prior Price ($)]]</f>
        <v>1.7587357915741667E-3</v>
      </c>
      <c r="L4735" s="9">
        <f>(PricingDataTable[[#This Row],[Vendor Price ($)]]-PricingDataTable[[#This Row],[Current Price ($)]])/PricingDataTable[[#This Row],[Current Price ($)]]</f>
        <v>-5.1769109770420131E-4</v>
      </c>
      <c r="M4735" t="str">
        <f t="shared" si="146"/>
        <v>PASS</v>
      </c>
      <c r="N4735" s="10" t="str">
        <f t="shared" si="147"/>
        <v>NONE</v>
      </c>
    </row>
    <row r="4736" spans="1:14">
      <c r="A4736" s="4" t="s">
        <v>9488</v>
      </c>
      <c r="B4736" s="4" t="s">
        <v>9489</v>
      </c>
      <c r="C4736" s="4" t="s">
        <v>35</v>
      </c>
      <c r="D4736" s="4" t="s">
        <v>64</v>
      </c>
      <c r="E4736" s="5">
        <v>132.6</v>
      </c>
      <c r="F4736" s="5">
        <v>128.84710000000001</v>
      </c>
      <c r="G4736" s="5">
        <v>129.65610000000001</v>
      </c>
      <c r="H4736" s="4">
        <v>1</v>
      </c>
      <c r="I4736" s="6">
        <v>1405897</v>
      </c>
      <c r="J4736" s="7">
        <v>188.16</v>
      </c>
      <c r="K4736" s="9">
        <f>(PricingDataTable[[#This Row],[Current Price ($)]]-PricingDataTable[[#This Row],[Prior Price ($)]])/PricingDataTable[[#This Row],[Prior Price ($)]]</f>
        <v>-2.8302413273001377E-2</v>
      </c>
      <c r="L4736" s="9">
        <f>(PricingDataTable[[#This Row],[Vendor Price ($)]]-PricingDataTable[[#This Row],[Current Price ($)]])/PricingDataTable[[#This Row],[Current Price ($)]]</f>
        <v>6.2787598634350128E-3</v>
      </c>
      <c r="M4736" t="str">
        <f t="shared" si="146"/>
        <v>PASS</v>
      </c>
      <c r="N4736" s="10" t="str">
        <f t="shared" si="147"/>
        <v>NONE</v>
      </c>
    </row>
    <row r="4737" spans="1:14">
      <c r="A4737" s="4" t="s">
        <v>9490</v>
      </c>
      <c r="B4737" s="4" t="s">
        <v>9491</v>
      </c>
      <c r="C4737" s="4" t="s">
        <v>16</v>
      </c>
      <c r="D4737" s="4" t="s">
        <v>13</v>
      </c>
      <c r="E4737" s="5">
        <v>86.448700000000002</v>
      </c>
      <c r="F4737" s="5">
        <v>86.21</v>
      </c>
      <c r="G4737" s="5">
        <v>86.241100000000003</v>
      </c>
      <c r="H4737" s="4">
        <v>3</v>
      </c>
      <c r="I4737" s="6">
        <v>4728963</v>
      </c>
      <c r="J4737" s="7">
        <v>633.53</v>
      </c>
      <c r="K4737" s="9">
        <f>(PricingDataTable[[#This Row],[Current Price ($)]]-PricingDataTable[[#This Row],[Prior Price ($)]])/PricingDataTable[[#This Row],[Prior Price ($)]]</f>
        <v>-2.7611751246694118E-3</v>
      </c>
      <c r="L4737" s="9">
        <f>(PricingDataTable[[#This Row],[Vendor Price ($)]]-PricingDataTable[[#This Row],[Current Price ($)]])/PricingDataTable[[#This Row],[Current Price ($)]]</f>
        <v>3.6074701310763522E-4</v>
      </c>
      <c r="M4737" t="str">
        <f t="shared" si="146"/>
        <v>STALE</v>
      </c>
      <c r="N4737" s="10" t="str">
        <f t="shared" si="147"/>
        <v>LOW</v>
      </c>
    </row>
    <row r="4738" spans="1:14">
      <c r="A4738" s="4" t="s">
        <v>9492</v>
      </c>
      <c r="B4738" s="4" t="s">
        <v>9493</v>
      </c>
      <c r="C4738" s="4" t="s">
        <v>16</v>
      </c>
      <c r="D4738" s="4" t="s">
        <v>64</v>
      </c>
      <c r="E4738" s="5">
        <v>121.7308</v>
      </c>
      <c r="F4738" s="5">
        <v>122.5675</v>
      </c>
      <c r="G4738" s="5">
        <v>122.3015</v>
      </c>
      <c r="H4738" s="4">
        <v>1</v>
      </c>
      <c r="I4738" s="6">
        <v>2431062</v>
      </c>
      <c r="J4738" s="7">
        <v>255.52</v>
      </c>
      <c r="K4738" s="9">
        <f>(PricingDataTable[[#This Row],[Current Price ($)]]-PricingDataTable[[#This Row],[Prior Price ($)]])/PricingDataTable[[#This Row],[Prior Price ($)]]</f>
        <v>6.8733631915669112E-3</v>
      </c>
      <c r="L4738" s="9">
        <f>(PricingDataTable[[#This Row],[Vendor Price ($)]]-PricingDataTable[[#This Row],[Current Price ($)]])/PricingDataTable[[#This Row],[Current Price ($)]]</f>
        <v>-2.1702327289044089E-3</v>
      </c>
      <c r="M4738" t="str">
        <f t="shared" ref="M4738:M4801" si="148">IF(OR(F4738="",F4738=0),"MISSING",IF(H4738&gt;=3,"STALE",IF(ABS(K4738)&gt;=5%,"LARGE MOVE",IF(ABS(L4738)&gt;=2%,"VENDOR DIFFERENCE","PASS"))))</f>
        <v>PASS</v>
      </c>
      <c r="N4738" s="10" t="str">
        <f t="shared" ref="N4738:N4801" si="149">IF(M4738="PASS","NONE",IF(M4738="MISSING","HIGH",IF(OR(ABS(K4738)&gt;=10%,ABS(L4738)&gt;=5%),"HIGH",IF(OR(ABS(K4738)&gt;=7%,ABS(L4738)&gt;=3%,H4738&gt;=5),"MEDIUM","LOW"))))</f>
        <v>NONE</v>
      </c>
    </row>
    <row r="4739" spans="1:14">
      <c r="A4739" s="4" t="s">
        <v>9494</v>
      </c>
      <c r="B4739" s="4" t="s">
        <v>9495</v>
      </c>
      <c r="C4739" s="4" t="s">
        <v>12</v>
      </c>
      <c r="D4739" s="4" t="s">
        <v>13</v>
      </c>
      <c r="E4739" s="5">
        <v>121.5812</v>
      </c>
      <c r="F4739" s="5">
        <v>119.3738</v>
      </c>
      <c r="G4739" s="5">
        <v>119.2303</v>
      </c>
      <c r="H4739" s="4">
        <v>0</v>
      </c>
      <c r="I4739" s="6">
        <v>2065898</v>
      </c>
      <c r="J4739" s="7">
        <v>508.94</v>
      </c>
      <c r="K4739" s="9">
        <f>(PricingDataTable[[#This Row],[Current Price ($)]]-PricingDataTable[[#This Row],[Prior Price ($)]])/PricingDataTable[[#This Row],[Prior Price ($)]]</f>
        <v>-1.8155767503528448E-2</v>
      </c>
      <c r="L4739" s="9">
        <f>(PricingDataTable[[#This Row],[Vendor Price ($)]]-PricingDataTable[[#This Row],[Current Price ($)]])/PricingDataTable[[#This Row],[Current Price ($)]]</f>
        <v>-1.2021063248384744E-3</v>
      </c>
      <c r="M4739" t="str">
        <f t="shared" si="148"/>
        <v>PASS</v>
      </c>
      <c r="N4739" s="10" t="str">
        <f t="shared" si="149"/>
        <v>NONE</v>
      </c>
    </row>
    <row r="4740" spans="1:14">
      <c r="A4740" s="4" t="s">
        <v>9496</v>
      </c>
      <c r="B4740" s="4" t="s">
        <v>9497</v>
      </c>
      <c r="C4740" s="4" t="s">
        <v>19</v>
      </c>
      <c r="D4740" s="4" t="s">
        <v>13</v>
      </c>
      <c r="E4740" s="5">
        <v>118.89530000000001</v>
      </c>
      <c r="F4740" s="5">
        <v>132.51840000000001</v>
      </c>
      <c r="G4740" s="5">
        <v>133.03270000000001</v>
      </c>
      <c r="H4740" s="4">
        <v>0</v>
      </c>
      <c r="I4740" s="6">
        <v>76388</v>
      </c>
      <c r="J4740" s="7">
        <v>557.66999999999996</v>
      </c>
      <c r="K4740" s="9">
        <f>(PricingDataTable[[#This Row],[Current Price ($)]]-PricingDataTable[[#This Row],[Prior Price ($)]])/PricingDataTable[[#This Row],[Prior Price ($)]]</f>
        <v>0.11458064364192704</v>
      </c>
      <c r="L4740" s="9">
        <f>(PricingDataTable[[#This Row],[Vendor Price ($)]]-PricingDataTable[[#This Row],[Current Price ($)]])/PricingDataTable[[#This Row],[Current Price ($)]]</f>
        <v>3.8809704916448694E-3</v>
      </c>
      <c r="M4740" t="str">
        <f t="shared" si="148"/>
        <v>LARGE MOVE</v>
      </c>
      <c r="N4740" s="10" t="str">
        <f t="shared" si="149"/>
        <v>HIGH</v>
      </c>
    </row>
    <row r="4741" spans="1:14">
      <c r="A4741" s="4" t="s">
        <v>9498</v>
      </c>
      <c r="B4741" s="4" t="s">
        <v>9499</v>
      </c>
      <c r="C4741" s="4" t="s">
        <v>39</v>
      </c>
      <c r="D4741" s="4" t="s">
        <v>13</v>
      </c>
      <c r="E4741" s="5">
        <v>245.21289999999999</v>
      </c>
      <c r="F4741" s="5">
        <v>239.542</v>
      </c>
      <c r="G4741" s="5">
        <v>239.57570000000001</v>
      </c>
      <c r="H4741" s="4">
        <v>0</v>
      </c>
      <c r="I4741" s="6">
        <v>1160744</v>
      </c>
      <c r="J4741" s="7">
        <v>895.2</v>
      </c>
      <c r="K4741" s="9">
        <f>(PricingDataTable[[#This Row],[Current Price ($)]]-PricingDataTable[[#This Row],[Prior Price ($)]])/PricingDataTable[[#This Row],[Prior Price ($)]]</f>
        <v>-2.3126434212881904E-2</v>
      </c>
      <c r="L4741" s="9">
        <f>(PricingDataTable[[#This Row],[Vendor Price ($)]]-PricingDataTable[[#This Row],[Current Price ($)]])/PricingDataTable[[#This Row],[Current Price ($)]]</f>
        <v>1.4068514081042271E-4</v>
      </c>
      <c r="M4741" t="str">
        <f t="shared" si="148"/>
        <v>PASS</v>
      </c>
      <c r="N4741" s="10" t="str">
        <f t="shared" si="149"/>
        <v>NONE</v>
      </c>
    </row>
    <row r="4742" spans="1:14">
      <c r="A4742" s="4" t="s">
        <v>9500</v>
      </c>
      <c r="B4742" s="4" t="s">
        <v>9501</v>
      </c>
      <c r="C4742" s="4" t="s">
        <v>12</v>
      </c>
      <c r="D4742" s="4" t="s">
        <v>13</v>
      </c>
      <c r="E4742" s="5">
        <v>90.434100000000001</v>
      </c>
      <c r="F4742" s="5">
        <v>86.987700000000004</v>
      </c>
      <c r="G4742" s="5">
        <v>87.5244</v>
      </c>
      <c r="H4742" s="4">
        <v>1</v>
      </c>
      <c r="I4742" s="6">
        <v>58666</v>
      </c>
      <c r="J4742" s="7">
        <v>521.67999999999995</v>
      </c>
      <c r="K4742" s="9">
        <f>(PricingDataTable[[#This Row],[Current Price ($)]]-PricingDataTable[[#This Row],[Prior Price ($)]])/PricingDataTable[[#This Row],[Prior Price ($)]]</f>
        <v>-3.8109518422807291E-2</v>
      </c>
      <c r="L4742" s="9">
        <f>(PricingDataTable[[#This Row],[Vendor Price ($)]]-PricingDataTable[[#This Row],[Current Price ($)]])/PricingDataTable[[#This Row],[Current Price ($)]]</f>
        <v>6.169837804655097E-3</v>
      </c>
      <c r="M4742" t="str">
        <f t="shared" si="148"/>
        <v>PASS</v>
      </c>
      <c r="N4742" s="10" t="str">
        <f t="shared" si="149"/>
        <v>NONE</v>
      </c>
    </row>
    <row r="4743" spans="1:14">
      <c r="A4743" s="4" t="s">
        <v>9502</v>
      </c>
      <c r="B4743" s="4" t="s">
        <v>9503</v>
      </c>
      <c r="C4743" s="4" t="s">
        <v>12</v>
      </c>
      <c r="D4743" s="4" t="s">
        <v>36</v>
      </c>
      <c r="E4743" s="5">
        <v>76.447199999999995</v>
      </c>
      <c r="F4743" s="5">
        <v>75.956800000000001</v>
      </c>
      <c r="G4743" s="5">
        <v>76.248999999999995</v>
      </c>
      <c r="H4743" s="4">
        <v>0</v>
      </c>
      <c r="I4743" s="6">
        <v>3405187</v>
      </c>
      <c r="J4743" s="7">
        <v>687.83</v>
      </c>
      <c r="K4743" s="9">
        <f>(PricingDataTable[[#This Row],[Current Price ($)]]-PricingDataTable[[#This Row],[Prior Price ($)]])/PricingDataTable[[#This Row],[Prior Price ($)]]</f>
        <v>-6.4148850448413281E-3</v>
      </c>
      <c r="L4743" s="9">
        <f>(PricingDataTable[[#This Row],[Vendor Price ($)]]-PricingDataTable[[#This Row],[Current Price ($)]])/PricingDataTable[[#This Row],[Current Price ($)]]</f>
        <v>3.8469235144186435E-3</v>
      </c>
      <c r="M4743" t="str">
        <f t="shared" si="148"/>
        <v>PASS</v>
      </c>
      <c r="N4743" s="10" t="str">
        <f t="shared" si="149"/>
        <v>NONE</v>
      </c>
    </row>
    <row r="4744" spans="1:14">
      <c r="A4744" s="4" t="s">
        <v>9504</v>
      </c>
      <c r="B4744" s="4" t="s">
        <v>9505</v>
      </c>
      <c r="C4744" s="4" t="s">
        <v>39</v>
      </c>
      <c r="D4744" s="4" t="s">
        <v>13</v>
      </c>
      <c r="E4744" s="5">
        <v>41.174100000000003</v>
      </c>
      <c r="F4744" s="5">
        <v>41.241199999999999</v>
      </c>
      <c r="G4744" s="5">
        <v>41.218899999999998</v>
      </c>
      <c r="H4744" s="4">
        <v>0</v>
      </c>
      <c r="I4744" s="6">
        <v>3442730</v>
      </c>
      <c r="J4744" s="7">
        <v>435.75</v>
      </c>
      <c r="K4744" s="9">
        <f>(PricingDataTable[[#This Row],[Current Price ($)]]-PricingDataTable[[#This Row],[Prior Price ($)]])/PricingDataTable[[#This Row],[Prior Price ($)]]</f>
        <v>1.6296652507279182E-3</v>
      </c>
      <c r="L4744" s="9">
        <f>(PricingDataTable[[#This Row],[Vendor Price ($)]]-PricingDataTable[[#This Row],[Current Price ($)]])/PricingDataTable[[#This Row],[Current Price ($)]]</f>
        <v>-5.4072141450785423E-4</v>
      </c>
      <c r="M4744" t="str">
        <f t="shared" si="148"/>
        <v>PASS</v>
      </c>
      <c r="N4744" s="10" t="str">
        <f t="shared" si="149"/>
        <v>NONE</v>
      </c>
    </row>
    <row r="4745" spans="1:14">
      <c r="A4745" s="4" t="s">
        <v>9506</v>
      </c>
      <c r="B4745" s="4" t="s">
        <v>9507</v>
      </c>
      <c r="C4745" s="4" t="s">
        <v>12</v>
      </c>
      <c r="D4745" s="4" t="s">
        <v>32</v>
      </c>
      <c r="E4745" s="5">
        <v>102.68429999999999</v>
      </c>
      <c r="F4745" s="5">
        <v>100.39790000000001</v>
      </c>
      <c r="G4745" s="5">
        <v>100.1969</v>
      </c>
      <c r="H4745" s="4">
        <v>0</v>
      </c>
      <c r="I4745" s="6">
        <v>557918</v>
      </c>
      <c r="J4745" s="7">
        <v>7.11</v>
      </c>
      <c r="K4745" s="9">
        <f>(PricingDataTable[[#This Row],[Current Price ($)]]-PricingDataTable[[#This Row],[Prior Price ($)]])/PricingDataTable[[#This Row],[Prior Price ($)]]</f>
        <v>-2.2266305559856633E-2</v>
      </c>
      <c r="L4745" s="9">
        <f>(PricingDataTable[[#This Row],[Vendor Price ($)]]-PricingDataTable[[#This Row],[Current Price ($)]])/PricingDataTable[[#This Row],[Current Price ($)]]</f>
        <v>-2.0020339070837894E-3</v>
      </c>
      <c r="M4745" t="str">
        <f t="shared" si="148"/>
        <v>PASS</v>
      </c>
      <c r="N4745" s="10" t="str">
        <f t="shared" si="149"/>
        <v>NONE</v>
      </c>
    </row>
    <row r="4746" spans="1:14">
      <c r="A4746" s="4" t="s">
        <v>9508</v>
      </c>
      <c r="B4746" s="4" t="s">
        <v>9509</v>
      </c>
      <c r="C4746" s="4" t="s">
        <v>35</v>
      </c>
      <c r="D4746" s="4" t="s">
        <v>13</v>
      </c>
      <c r="E4746" s="5">
        <v>79.231899999999996</v>
      </c>
      <c r="F4746" s="5">
        <v>79.601399999999998</v>
      </c>
      <c r="G4746" s="5">
        <v>79.772999999999996</v>
      </c>
      <c r="H4746" s="4">
        <v>0</v>
      </c>
      <c r="I4746" s="6">
        <v>1700949</v>
      </c>
      <c r="J4746" s="7">
        <v>232.55</v>
      </c>
      <c r="K4746" s="9">
        <f>(PricingDataTable[[#This Row],[Current Price ($)]]-PricingDataTable[[#This Row],[Prior Price ($)]])/PricingDataTable[[#This Row],[Prior Price ($)]]</f>
        <v>4.6635256758957213E-3</v>
      </c>
      <c r="L4746" s="9">
        <f>(PricingDataTable[[#This Row],[Vendor Price ($)]]-PricingDataTable[[#This Row],[Current Price ($)]])/PricingDataTable[[#This Row],[Current Price ($)]]</f>
        <v>2.1557409794299848E-3</v>
      </c>
      <c r="M4746" t="str">
        <f t="shared" si="148"/>
        <v>PASS</v>
      </c>
      <c r="N4746" s="10" t="str">
        <f t="shared" si="149"/>
        <v>NONE</v>
      </c>
    </row>
    <row r="4747" spans="1:14">
      <c r="A4747" s="4" t="s">
        <v>9510</v>
      </c>
      <c r="B4747" s="4" t="s">
        <v>9511</v>
      </c>
      <c r="C4747" s="4" t="s">
        <v>19</v>
      </c>
      <c r="D4747" s="4" t="s">
        <v>32</v>
      </c>
      <c r="E4747" s="5">
        <v>34.233600000000003</v>
      </c>
      <c r="F4747" s="5">
        <v>34.518300000000004</v>
      </c>
      <c r="G4747" s="5">
        <v>34.541699999999999</v>
      </c>
      <c r="H4747" s="4">
        <v>0</v>
      </c>
      <c r="I4747" s="6">
        <v>4479986</v>
      </c>
      <c r="J4747" s="7">
        <v>204.41</v>
      </c>
      <c r="K4747" s="9">
        <f>(PricingDataTable[[#This Row],[Current Price ($)]]-PricingDataTable[[#This Row],[Prior Price ($)]])/PricingDataTable[[#This Row],[Prior Price ($)]]</f>
        <v>8.316390914189592E-3</v>
      </c>
      <c r="L4747" s="9">
        <f>(PricingDataTable[[#This Row],[Vendor Price ($)]]-PricingDataTable[[#This Row],[Current Price ($)]])/PricingDataTable[[#This Row],[Current Price ($)]]</f>
        <v>6.779012871432023E-4</v>
      </c>
      <c r="M4747" t="str">
        <f t="shared" si="148"/>
        <v>PASS</v>
      </c>
      <c r="N4747" s="10" t="str">
        <f t="shared" si="149"/>
        <v>NONE</v>
      </c>
    </row>
    <row r="4748" spans="1:14">
      <c r="A4748" s="4" t="s">
        <v>9512</v>
      </c>
      <c r="B4748" s="4" t="s">
        <v>9513</v>
      </c>
      <c r="C4748" s="4" t="s">
        <v>39</v>
      </c>
      <c r="D4748" s="4" t="s">
        <v>237</v>
      </c>
      <c r="E4748" s="5">
        <v>91.558199999999999</v>
      </c>
      <c r="F4748" s="5">
        <v>90.285700000000006</v>
      </c>
      <c r="G4748" s="5">
        <v>90.309799999999996</v>
      </c>
      <c r="H4748" s="4">
        <v>2</v>
      </c>
      <c r="I4748" s="6">
        <v>1545134</v>
      </c>
      <c r="J4748" s="7">
        <v>456.66</v>
      </c>
      <c r="K4748" s="9">
        <f>(PricingDataTable[[#This Row],[Current Price ($)]]-PricingDataTable[[#This Row],[Prior Price ($)]])/PricingDataTable[[#This Row],[Prior Price ($)]]</f>
        <v>-1.3898263618113875E-2</v>
      </c>
      <c r="L4748" s="9">
        <f>(PricingDataTable[[#This Row],[Vendor Price ($)]]-PricingDataTable[[#This Row],[Current Price ($)]])/PricingDataTable[[#This Row],[Current Price ($)]]</f>
        <v>2.6693042198255114E-4</v>
      </c>
      <c r="M4748" t="str">
        <f t="shared" si="148"/>
        <v>PASS</v>
      </c>
      <c r="N4748" s="10" t="str">
        <f t="shared" si="149"/>
        <v>NONE</v>
      </c>
    </row>
    <row r="4749" spans="1:14">
      <c r="A4749" s="4" t="s">
        <v>9514</v>
      </c>
      <c r="B4749" s="4" t="s">
        <v>9515</v>
      </c>
      <c r="C4749" s="4" t="s">
        <v>16</v>
      </c>
      <c r="D4749" s="4" t="s">
        <v>13</v>
      </c>
      <c r="E4749" s="5">
        <v>109.2419</v>
      </c>
      <c r="F4749" s="5">
        <v>110.133</v>
      </c>
      <c r="G4749" s="5">
        <v>110.01949999999999</v>
      </c>
      <c r="H4749" s="4">
        <v>1</v>
      </c>
      <c r="I4749" s="6">
        <v>851247</v>
      </c>
      <c r="J4749" s="7">
        <v>584.94000000000005</v>
      </c>
      <c r="K4749" s="9">
        <f>(PricingDataTable[[#This Row],[Current Price ($)]]-PricingDataTable[[#This Row],[Prior Price ($)]])/PricingDataTable[[#This Row],[Prior Price ($)]]</f>
        <v>8.1571265237971365E-3</v>
      </c>
      <c r="L4749" s="9">
        <f>(PricingDataTable[[#This Row],[Vendor Price ($)]]-PricingDataTable[[#This Row],[Current Price ($)]])/PricingDataTable[[#This Row],[Current Price ($)]]</f>
        <v>-1.0305721264289717E-3</v>
      </c>
      <c r="M4749" t="str">
        <f t="shared" si="148"/>
        <v>PASS</v>
      </c>
      <c r="N4749" s="10" t="str">
        <f t="shared" si="149"/>
        <v>NONE</v>
      </c>
    </row>
    <row r="4750" spans="1:14">
      <c r="A4750" s="4" t="s">
        <v>9516</v>
      </c>
      <c r="B4750" s="4" t="s">
        <v>9517</v>
      </c>
      <c r="C4750" s="4" t="s">
        <v>16</v>
      </c>
      <c r="D4750" s="4" t="s">
        <v>64</v>
      </c>
      <c r="E4750" s="5">
        <v>85.574399999999997</v>
      </c>
      <c r="F4750" s="5">
        <v>85.942999999999998</v>
      </c>
      <c r="G4750" s="5">
        <v>86.591399999999993</v>
      </c>
      <c r="H4750" s="4">
        <v>1</v>
      </c>
      <c r="I4750" s="6">
        <v>2315745</v>
      </c>
      <c r="J4750" s="7">
        <v>460.24</v>
      </c>
      <c r="K4750" s="9">
        <f>(PricingDataTable[[#This Row],[Current Price ($)]]-PricingDataTable[[#This Row],[Prior Price ($)]])/PricingDataTable[[#This Row],[Prior Price ($)]]</f>
        <v>4.3073629496671985E-3</v>
      </c>
      <c r="L4750" s="9">
        <f>(PricingDataTable[[#This Row],[Vendor Price ($)]]-PricingDataTable[[#This Row],[Current Price ($)]])/PricingDataTable[[#This Row],[Current Price ($)]]</f>
        <v>7.5445353315569067E-3</v>
      </c>
      <c r="M4750" t="str">
        <f t="shared" si="148"/>
        <v>PASS</v>
      </c>
      <c r="N4750" s="10" t="str">
        <f t="shared" si="149"/>
        <v>NONE</v>
      </c>
    </row>
    <row r="4751" spans="1:14">
      <c r="A4751" s="4" t="s">
        <v>9518</v>
      </c>
      <c r="B4751" s="4" t="s">
        <v>9519</v>
      </c>
      <c r="C4751" s="4" t="s">
        <v>19</v>
      </c>
      <c r="D4751" s="4" t="s">
        <v>13</v>
      </c>
      <c r="E4751" s="5">
        <v>146.9846</v>
      </c>
      <c r="F4751" s="5">
        <v>150.3561</v>
      </c>
      <c r="G4751" s="5">
        <v>150.25649999999999</v>
      </c>
      <c r="H4751" s="4">
        <v>0</v>
      </c>
      <c r="I4751" s="6">
        <v>1302301</v>
      </c>
      <c r="J4751" s="7">
        <v>250.79</v>
      </c>
      <c r="K4751" s="9">
        <f>(PricingDataTable[[#This Row],[Current Price ($)]]-PricingDataTable[[#This Row],[Prior Price ($)]])/PricingDataTable[[#This Row],[Prior Price ($)]]</f>
        <v>2.2937777154885597E-2</v>
      </c>
      <c r="L4751" s="9">
        <f>(PricingDataTable[[#This Row],[Vendor Price ($)]]-PricingDataTable[[#This Row],[Current Price ($)]])/PricingDataTable[[#This Row],[Current Price ($)]]</f>
        <v>-6.6242739735873342E-4</v>
      </c>
      <c r="M4751" t="str">
        <f t="shared" si="148"/>
        <v>PASS</v>
      </c>
      <c r="N4751" s="10" t="str">
        <f t="shared" si="149"/>
        <v>NONE</v>
      </c>
    </row>
    <row r="4752" spans="1:14">
      <c r="A4752" s="4" t="s">
        <v>9520</v>
      </c>
      <c r="B4752" s="4" t="s">
        <v>9521</v>
      </c>
      <c r="C4752" s="4" t="s">
        <v>16</v>
      </c>
      <c r="D4752" s="4" t="s">
        <v>13</v>
      </c>
      <c r="E4752" s="5">
        <v>92.598100000000002</v>
      </c>
      <c r="F4752" s="5">
        <v>93.535600000000002</v>
      </c>
      <c r="G4752" s="5">
        <v>94.156400000000005</v>
      </c>
      <c r="H4752" s="4">
        <v>1</v>
      </c>
      <c r="I4752" s="6">
        <v>875039</v>
      </c>
      <c r="J4752" s="7">
        <v>308.08999999999997</v>
      </c>
      <c r="K4752" s="9">
        <f>(PricingDataTable[[#This Row],[Current Price ($)]]-PricingDataTable[[#This Row],[Prior Price ($)]])/PricingDataTable[[#This Row],[Prior Price ($)]]</f>
        <v>1.0124397800818807E-2</v>
      </c>
      <c r="L4752" s="9">
        <f>(PricingDataTable[[#This Row],[Vendor Price ($)]]-PricingDataTable[[#This Row],[Current Price ($)]])/PricingDataTable[[#This Row],[Current Price ($)]]</f>
        <v>6.6370451464469425E-3</v>
      </c>
      <c r="M4752" t="str">
        <f t="shared" si="148"/>
        <v>PASS</v>
      </c>
      <c r="N4752" s="10" t="str">
        <f t="shared" si="149"/>
        <v>NONE</v>
      </c>
    </row>
    <row r="4753" spans="1:14">
      <c r="A4753" s="4" t="s">
        <v>9522</v>
      </c>
      <c r="B4753" s="4" t="s">
        <v>9523</v>
      </c>
      <c r="C4753" s="4" t="s">
        <v>35</v>
      </c>
      <c r="D4753" s="4" t="s">
        <v>13</v>
      </c>
      <c r="E4753" s="5">
        <v>79.141099999999994</v>
      </c>
      <c r="F4753" s="5">
        <v>83.066999999999993</v>
      </c>
      <c r="G4753" s="5">
        <v>82.957800000000006</v>
      </c>
      <c r="H4753" s="4">
        <v>0</v>
      </c>
      <c r="I4753" s="6">
        <v>787090</v>
      </c>
      <c r="J4753" s="7">
        <v>21.36</v>
      </c>
      <c r="K4753" s="9">
        <f>(PricingDataTable[[#This Row],[Current Price ($)]]-PricingDataTable[[#This Row],[Prior Price ($)]])/PricingDataTable[[#This Row],[Prior Price ($)]]</f>
        <v>4.9606336025150001E-2</v>
      </c>
      <c r="L4753" s="9">
        <f>(PricingDataTable[[#This Row],[Vendor Price ($)]]-PricingDataTable[[#This Row],[Current Price ($)]])/PricingDataTable[[#This Row],[Current Price ($)]]</f>
        <v>-1.3146014662860955E-3</v>
      </c>
      <c r="M4753" t="str">
        <f t="shared" si="148"/>
        <v>PASS</v>
      </c>
      <c r="N4753" s="10" t="str">
        <f t="shared" si="149"/>
        <v>NONE</v>
      </c>
    </row>
    <row r="4754" spans="1:14">
      <c r="A4754" s="4" t="s">
        <v>9524</v>
      </c>
      <c r="B4754" s="4" t="s">
        <v>9525</v>
      </c>
      <c r="C4754" s="4" t="s">
        <v>16</v>
      </c>
      <c r="D4754" s="4" t="s">
        <v>32</v>
      </c>
      <c r="E4754" s="5">
        <v>101.0188</v>
      </c>
      <c r="F4754" s="5">
        <v>101.11709999999999</v>
      </c>
      <c r="G4754" s="5">
        <v>100.9191</v>
      </c>
      <c r="H4754" s="4">
        <v>0</v>
      </c>
      <c r="I4754" s="6">
        <v>2985022</v>
      </c>
      <c r="J4754" s="7">
        <v>341.07</v>
      </c>
      <c r="K4754" s="9">
        <f>(PricingDataTable[[#This Row],[Current Price ($)]]-PricingDataTable[[#This Row],[Prior Price ($)]])/PricingDataTable[[#This Row],[Prior Price ($)]]</f>
        <v>9.7308619781659184E-4</v>
      </c>
      <c r="L4754" s="9">
        <f>(PricingDataTable[[#This Row],[Vendor Price ($)]]-PricingDataTable[[#This Row],[Current Price ($)]])/PricingDataTable[[#This Row],[Current Price ($)]]</f>
        <v>-1.958125776945673E-3</v>
      </c>
      <c r="M4754" t="str">
        <f t="shared" si="148"/>
        <v>PASS</v>
      </c>
      <c r="N4754" s="10" t="str">
        <f t="shared" si="149"/>
        <v>NONE</v>
      </c>
    </row>
    <row r="4755" spans="1:14">
      <c r="A4755" s="4" t="s">
        <v>9526</v>
      </c>
      <c r="B4755" s="4" t="s">
        <v>9527</v>
      </c>
      <c r="C4755" s="4" t="s">
        <v>19</v>
      </c>
      <c r="D4755" s="4" t="s">
        <v>13</v>
      </c>
      <c r="E4755" s="5">
        <v>254.8186</v>
      </c>
      <c r="F4755" s="5">
        <v>257.80770000000001</v>
      </c>
      <c r="G4755" s="5">
        <v>257.98200000000003</v>
      </c>
      <c r="H4755" s="4">
        <v>0</v>
      </c>
      <c r="I4755" s="6">
        <v>3647398</v>
      </c>
      <c r="J4755" s="7">
        <v>25.89</v>
      </c>
      <c r="K4755" s="9">
        <f>(PricingDataTable[[#This Row],[Current Price ($)]]-PricingDataTable[[#This Row],[Prior Price ($)]])/PricingDataTable[[#This Row],[Prior Price ($)]]</f>
        <v>1.1730305401568048E-2</v>
      </c>
      <c r="L4755" s="9">
        <f>(PricingDataTable[[#This Row],[Vendor Price ($)]]-PricingDataTable[[#This Row],[Current Price ($)]])/PricingDataTable[[#This Row],[Current Price ($)]]</f>
        <v>6.760853147521061E-4</v>
      </c>
      <c r="M4755" t="str">
        <f t="shared" si="148"/>
        <v>PASS</v>
      </c>
      <c r="N4755" s="10" t="str">
        <f t="shared" si="149"/>
        <v>NONE</v>
      </c>
    </row>
    <row r="4756" spans="1:14">
      <c r="A4756" s="4" t="s">
        <v>9528</v>
      </c>
      <c r="B4756" s="4" t="s">
        <v>9529</v>
      </c>
      <c r="C4756" s="4" t="s">
        <v>19</v>
      </c>
      <c r="D4756" s="4" t="s">
        <v>32</v>
      </c>
      <c r="E4756" s="5">
        <v>349.54539999999997</v>
      </c>
      <c r="F4756" s="5">
        <v>348.85590000000002</v>
      </c>
      <c r="G4756" s="5">
        <v>349.38639999999998</v>
      </c>
      <c r="H4756" s="4">
        <v>0</v>
      </c>
      <c r="I4756" s="6">
        <v>1158686</v>
      </c>
      <c r="J4756" s="7">
        <v>429.26</v>
      </c>
      <c r="K4756" s="9">
        <f>(PricingDataTable[[#This Row],[Current Price ($)]]-PricingDataTable[[#This Row],[Prior Price ($)]])/PricingDataTable[[#This Row],[Prior Price ($)]]</f>
        <v>-1.9725620763424516E-3</v>
      </c>
      <c r="L4756" s="9">
        <f>(PricingDataTable[[#This Row],[Vendor Price ($)]]-PricingDataTable[[#This Row],[Current Price ($)]])/PricingDataTable[[#This Row],[Current Price ($)]]</f>
        <v>1.5206851883541625E-3</v>
      </c>
      <c r="M4756" t="str">
        <f t="shared" si="148"/>
        <v>PASS</v>
      </c>
      <c r="N4756" s="10" t="str">
        <f t="shared" si="149"/>
        <v>NONE</v>
      </c>
    </row>
    <row r="4757" spans="1:14">
      <c r="A4757" s="4" t="s">
        <v>9530</v>
      </c>
      <c r="B4757" s="4" t="s">
        <v>9531</v>
      </c>
      <c r="C4757" s="4" t="s">
        <v>19</v>
      </c>
      <c r="D4757" s="4" t="s">
        <v>13</v>
      </c>
      <c r="E4757" s="5">
        <v>70.622</v>
      </c>
      <c r="F4757" s="5">
        <v>69.901200000000003</v>
      </c>
      <c r="G4757" s="5">
        <v>70.106200000000001</v>
      </c>
      <c r="H4757" s="4">
        <v>2</v>
      </c>
      <c r="I4757" s="6">
        <v>3946228</v>
      </c>
      <c r="J4757" s="7">
        <v>272.51</v>
      </c>
      <c r="K4757" s="9">
        <f>(PricingDataTable[[#This Row],[Current Price ($)]]-PricingDataTable[[#This Row],[Prior Price ($)]])/PricingDataTable[[#This Row],[Prior Price ($)]]</f>
        <v>-1.0206451247486576E-2</v>
      </c>
      <c r="L4757" s="9">
        <f>(PricingDataTable[[#This Row],[Vendor Price ($)]]-PricingDataTable[[#This Row],[Current Price ($)]])/PricingDataTable[[#This Row],[Current Price ($)]]</f>
        <v>2.9327107403020018E-3</v>
      </c>
      <c r="M4757" t="str">
        <f t="shared" si="148"/>
        <v>PASS</v>
      </c>
      <c r="N4757" s="10" t="str">
        <f t="shared" si="149"/>
        <v>NONE</v>
      </c>
    </row>
    <row r="4758" spans="1:14">
      <c r="A4758" s="4" t="s">
        <v>9532</v>
      </c>
      <c r="B4758" s="4" t="s">
        <v>9533</v>
      </c>
      <c r="C4758" s="4" t="s">
        <v>19</v>
      </c>
      <c r="D4758" s="4" t="s">
        <v>13</v>
      </c>
      <c r="E4758" s="5">
        <v>63.953000000000003</v>
      </c>
      <c r="F4758" s="5">
        <v>64.503799999999998</v>
      </c>
      <c r="G4758" s="5">
        <v>64.23</v>
      </c>
      <c r="H4758" s="4">
        <v>0</v>
      </c>
      <c r="I4758" s="6">
        <v>1615302</v>
      </c>
      <c r="J4758" s="7">
        <v>468.79</v>
      </c>
      <c r="K4758" s="9">
        <f>(PricingDataTable[[#This Row],[Current Price ($)]]-PricingDataTable[[#This Row],[Prior Price ($)]])/PricingDataTable[[#This Row],[Prior Price ($)]]</f>
        <v>8.6125748596624901E-3</v>
      </c>
      <c r="L4758" s="9">
        <f>(PricingDataTable[[#This Row],[Vendor Price ($)]]-PricingDataTable[[#This Row],[Current Price ($)]])/PricingDataTable[[#This Row],[Current Price ($)]]</f>
        <v>-4.2447111643034094E-3</v>
      </c>
      <c r="M4758" t="str">
        <f t="shared" si="148"/>
        <v>PASS</v>
      </c>
      <c r="N4758" s="10" t="str">
        <f t="shared" si="149"/>
        <v>NONE</v>
      </c>
    </row>
    <row r="4759" spans="1:14">
      <c r="A4759" s="4" t="s">
        <v>9534</v>
      </c>
      <c r="B4759" s="4" t="s">
        <v>9535</v>
      </c>
      <c r="C4759" s="4" t="s">
        <v>39</v>
      </c>
      <c r="D4759" s="4" t="s">
        <v>36</v>
      </c>
      <c r="E4759" s="5">
        <v>156.43780000000001</v>
      </c>
      <c r="F4759" s="5">
        <v>157.74619999999999</v>
      </c>
      <c r="G4759" s="5">
        <v>156.87110000000001</v>
      </c>
      <c r="H4759" s="4">
        <v>2</v>
      </c>
      <c r="I4759" s="6">
        <v>4862854</v>
      </c>
      <c r="J4759" s="7">
        <v>501.67</v>
      </c>
      <c r="K4759" s="9">
        <f>(PricingDataTable[[#This Row],[Current Price ($)]]-PricingDataTable[[#This Row],[Prior Price ($)]])/PricingDataTable[[#This Row],[Prior Price ($)]]</f>
        <v>8.3637074926902425E-3</v>
      </c>
      <c r="L4759" s="9">
        <f>(PricingDataTable[[#This Row],[Vendor Price ($)]]-PricingDataTable[[#This Row],[Current Price ($)]])/PricingDataTable[[#This Row],[Current Price ($)]]</f>
        <v>-5.5475187357918922E-3</v>
      </c>
      <c r="M4759" t="str">
        <f t="shared" si="148"/>
        <v>PASS</v>
      </c>
      <c r="N4759" s="10" t="str">
        <f t="shared" si="149"/>
        <v>NONE</v>
      </c>
    </row>
    <row r="4760" spans="1:14">
      <c r="A4760" s="4" t="s">
        <v>9536</v>
      </c>
      <c r="B4760" s="4" t="s">
        <v>9537</v>
      </c>
      <c r="C4760" s="4" t="s">
        <v>16</v>
      </c>
      <c r="D4760" s="4" t="s">
        <v>13</v>
      </c>
      <c r="E4760" s="5">
        <v>78.313299999999998</v>
      </c>
      <c r="F4760" s="5">
        <v>79.728999999999999</v>
      </c>
      <c r="G4760" s="5">
        <v>80.192700000000002</v>
      </c>
      <c r="H4760" s="4">
        <v>0</v>
      </c>
      <c r="I4760" s="6">
        <v>3911114</v>
      </c>
      <c r="J4760" s="7">
        <v>866.54</v>
      </c>
      <c r="K4760" s="9">
        <f>(PricingDataTable[[#This Row],[Current Price ($)]]-PricingDataTable[[#This Row],[Prior Price ($)]])/PricingDataTable[[#This Row],[Prior Price ($)]]</f>
        <v>1.8077389153566523E-2</v>
      </c>
      <c r="L4760" s="9">
        <f>(PricingDataTable[[#This Row],[Vendor Price ($)]]-PricingDataTable[[#This Row],[Current Price ($)]])/PricingDataTable[[#This Row],[Current Price ($)]]</f>
        <v>5.815951535827652E-3</v>
      </c>
      <c r="M4760" t="str">
        <f t="shared" si="148"/>
        <v>PASS</v>
      </c>
      <c r="N4760" s="10" t="str">
        <f t="shared" si="149"/>
        <v>NONE</v>
      </c>
    </row>
    <row r="4761" spans="1:14">
      <c r="A4761" s="4" t="s">
        <v>9538</v>
      </c>
      <c r="B4761" s="4" t="s">
        <v>9539</v>
      </c>
      <c r="C4761" s="4" t="s">
        <v>39</v>
      </c>
      <c r="D4761" s="4" t="s">
        <v>13</v>
      </c>
      <c r="E4761" s="5">
        <v>116.6666</v>
      </c>
      <c r="F4761" s="5">
        <v>116.25830000000001</v>
      </c>
      <c r="G4761" s="5">
        <v>116.0142</v>
      </c>
      <c r="H4761" s="4">
        <v>0</v>
      </c>
      <c r="I4761" s="6">
        <v>2510391</v>
      </c>
      <c r="J4761" s="7">
        <v>524.88</v>
      </c>
      <c r="K4761" s="9">
        <f>(PricingDataTable[[#This Row],[Current Price ($)]]-PricingDataTable[[#This Row],[Prior Price ($)]])/PricingDataTable[[#This Row],[Prior Price ($)]]</f>
        <v>-3.4997162855521374E-3</v>
      </c>
      <c r="L4761" s="9">
        <f>(PricingDataTable[[#This Row],[Vendor Price ($)]]-PricingDataTable[[#This Row],[Current Price ($)]])/PricingDataTable[[#This Row],[Current Price ($)]]</f>
        <v>-2.0996350368103016E-3</v>
      </c>
      <c r="M4761" t="str">
        <f t="shared" si="148"/>
        <v>PASS</v>
      </c>
      <c r="N4761" s="10" t="str">
        <f t="shared" si="149"/>
        <v>NONE</v>
      </c>
    </row>
    <row r="4762" spans="1:14">
      <c r="A4762" s="4" t="s">
        <v>9540</v>
      </c>
      <c r="B4762" s="4" t="s">
        <v>9541</v>
      </c>
      <c r="C4762" s="4" t="s">
        <v>19</v>
      </c>
      <c r="D4762" s="4" t="s">
        <v>13</v>
      </c>
      <c r="E4762" s="5">
        <v>224.92910000000001</v>
      </c>
      <c r="F4762" s="5">
        <v>225.607</v>
      </c>
      <c r="G4762" s="5">
        <v>224.6636</v>
      </c>
      <c r="H4762" s="4">
        <v>4</v>
      </c>
      <c r="I4762" s="6">
        <v>2556338</v>
      </c>
      <c r="J4762" s="7">
        <v>433.3</v>
      </c>
      <c r="K4762" s="9">
        <f>(PricingDataTable[[#This Row],[Current Price ($)]]-PricingDataTable[[#This Row],[Prior Price ($)]])/PricingDataTable[[#This Row],[Prior Price ($)]]</f>
        <v>3.0138385829134333E-3</v>
      </c>
      <c r="L4762" s="9">
        <f>(PricingDataTable[[#This Row],[Vendor Price ($)]]-PricingDataTable[[#This Row],[Current Price ($)]])/PricingDataTable[[#This Row],[Current Price ($)]]</f>
        <v>-4.1816078401822505E-3</v>
      </c>
      <c r="M4762" t="str">
        <f t="shared" si="148"/>
        <v>STALE</v>
      </c>
      <c r="N4762" s="10" t="str">
        <f t="shared" si="149"/>
        <v>LOW</v>
      </c>
    </row>
    <row r="4763" spans="1:14">
      <c r="A4763" s="4" t="s">
        <v>9542</v>
      </c>
      <c r="B4763" s="4" t="s">
        <v>9543</v>
      </c>
      <c r="C4763" s="4" t="s">
        <v>35</v>
      </c>
      <c r="D4763" s="4" t="s">
        <v>13</v>
      </c>
      <c r="E4763" s="5">
        <v>34.627499999999998</v>
      </c>
      <c r="F4763" s="5">
        <v>34.818899999999999</v>
      </c>
      <c r="G4763" s="5">
        <v>34.783299999999997</v>
      </c>
      <c r="H4763" s="4">
        <v>0</v>
      </c>
      <c r="I4763" s="6">
        <v>3450629</v>
      </c>
      <c r="J4763" s="7">
        <v>682.93</v>
      </c>
      <c r="K4763" s="9">
        <f>(PricingDataTable[[#This Row],[Current Price ($)]]-PricingDataTable[[#This Row],[Prior Price ($)]])/PricingDataTable[[#This Row],[Prior Price ($)]]</f>
        <v>5.5273987437730581E-3</v>
      </c>
      <c r="L4763" s="9">
        <f>(PricingDataTable[[#This Row],[Vendor Price ($)]]-PricingDataTable[[#This Row],[Current Price ($)]])/PricingDataTable[[#This Row],[Current Price ($)]]</f>
        <v>-1.0224332187404627E-3</v>
      </c>
      <c r="M4763" t="str">
        <f t="shared" si="148"/>
        <v>PASS</v>
      </c>
      <c r="N4763" s="10" t="str">
        <f t="shared" si="149"/>
        <v>NONE</v>
      </c>
    </row>
    <row r="4764" spans="1:14">
      <c r="A4764" s="4" t="s">
        <v>9544</v>
      </c>
      <c r="B4764" s="4" t="s">
        <v>9545</v>
      </c>
      <c r="C4764" s="4" t="s">
        <v>19</v>
      </c>
      <c r="D4764" s="4" t="s">
        <v>13</v>
      </c>
      <c r="E4764" s="5">
        <v>267.85120000000001</v>
      </c>
      <c r="F4764" s="5">
        <v>270.03840000000002</v>
      </c>
      <c r="G4764" s="5">
        <v>270.56810000000002</v>
      </c>
      <c r="H4764" s="4">
        <v>0</v>
      </c>
      <c r="I4764" s="6">
        <v>4222463</v>
      </c>
      <c r="J4764" s="7">
        <v>855.15</v>
      </c>
      <c r="K4764" s="9">
        <f>(PricingDataTable[[#This Row],[Current Price ($)]]-PricingDataTable[[#This Row],[Prior Price ($)]])/PricingDataTable[[#This Row],[Prior Price ($)]]</f>
        <v>8.1657278369483451E-3</v>
      </c>
      <c r="L4764" s="9">
        <f>(PricingDataTable[[#This Row],[Vendor Price ($)]]-PricingDataTable[[#This Row],[Current Price ($)]])/PricingDataTable[[#This Row],[Current Price ($)]]</f>
        <v>1.9615728725988274E-3</v>
      </c>
      <c r="M4764" t="str">
        <f t="shared" si="148"/>
        <v>PASS</v>
      </c>
      <c r="N4764" s="10" t="str">
        <f t="shared" si="149"/>
        <v>NONE</v>
      </c>
    </row>
    <row r="4765" spans="1:14">
      <c r="A4765" s="4" t="s">
        <v>9546</v>
      </c>
      <c r="B4765" s="4" t="s">
        <v>9547</v>
      </c>
      <c r="C4765" s="4" t="s">
        <v>16</v>
      </c>
      <c r="D4765" s="4" t="s">
        <v>13</v>
      </c>
      <c r="E4765" s="5">
        <v>103.5771</v>
      </c>
      <c r="F4765" s="5">
        <v>105.7611</v>
      </c>
      <c r="G4765" s="5">
        <v>106.15649999999999</v>
      </c>
      <c r="H4765" s="4">
        <v>3</v>
      </c>
      <c r="I4765" s="6">
        <v>3853231</v>
      </c>
      <c r="J4765" s="7">
        <v>615.71</v>
      </c>
      <c r="K4765" s="9">
        <f>(PricingDataTable[[#This Row],[Current Price ($)]]-PricingDataTable[[#This Row],[Prior Price ($)]])/PricingDataTable[[#This Row],[Prior Price ($)]]</f>
        <v>2.1085741925580052E-2</v>
      </c>
      <c r="L4765" s="9">
        <f>(PricingDataTable[[#This Row],[Vendor Price ($)]]-PricingDataTable[[#This Row],[Current Price ($)]])/PricingDataTable[[#This Row],[Current Price ($)]]</f>
        <v>3.7386146702331488E-3</v>
      </c>
      <c r="M4765" t="str">
        <f t="shared" si="148"/>
        <v>STALE</v>
      </c>
      <c r="N4765" s="10" t="str">
        <f t="shared" si="149"/>
        <v>LOW</v>
      </c>
    </row>
    <row r="4766" spans="1:14">
      <c r="A4766" s="4" t="s">
        <v>9548</v>
      </c>
      <c r="B4766" s="4" t="s">
        <v>9549</v>
      </c>
      <c r="C4766" s="4" t="s">
        <v>39</v>
      </c>
      <c r="D4766" s="4" t="s">
        <v>13</v>
      </c>
      <c r="E4766" s="5">
        <v>276.6789</v>
      </c>
      <c r="F4766" s="5">
        <v>279.61799999999999</v>
      </c>
      <c r="G4766" s="5">
        <v>279.47179999999997</v>
      </c>
      <c r="H4766" s="4">
        <v>1</v>
      </c>
      <c r="I4766" s="6">
        <v>590504</v>
      </c>
      <c r="J4766" s="7">
        <v>200.95</v>
      </c>
      <c r="K4766" s="9">
        <f>(PricingDataTable[[#This Row],[Current Price ($)]]-PricingDataTable[[#This Row],[Prior Price ($)]])/PricingDataTable[[#This Row],[Prior Price ($)]]</f>
        <v>1.0622783305846583E-2</v>
      </c>
      <c r="L4766" s="9">
        <f>(PricingDataTable[[#This Row],[Vendor Price ($)]]-PricingDataTable[[#This Row],[Current Price ($)]])/PricingDataTable[[#This Row],[Current Price ($)]]</f>
        <v>-5.2285618236315847E-4</v>
      </c>
      <c r="M4766" t="str">
        <f t="shared" si="148"/>
        <v>PASS</v>
      </c>
      <c r="N4766" s="10" t="str">
        <f t="shared" si="149"/>
        <v>NONE</v>
      </c>
    </row>
    <row r="4767" spans="1:14">
      <c r="A4767" s="4" t="s">
        <v>9550</v>
      </c>
      <c r="B4767" s="4" t="s">
        <v>9551</v>
      </c>
      <c r="C4767" s="4" t="s">
        <v>39</v>
      </c>
      <c r="D4767" s="4" t="s">
        <v>13</v>
      </c>
      <c r="E4767" s="5">
        <v>293.93979999999999</v>
      </c>
      <c r="F4767" s="5">
        <v>295.91109999999998</v>
      </c>
      <c r="G4767" s="5">
        <v>296.19200000000001</v>
      </c>
      <c r="H4767" s="4">
        <v>0</v>
      </c>
      <c r="I4767" s="6">
        <v>3796337</v>
      </c>
      <c r="J4767" s="7">
        <v>377.74</v>
      </c>
      <c r="K4767" s="9">
        <f>(PricingDataTable[[#This Row],[Current Price ($)]]-PricingDataTable[[#This Row],[Prior Price ($)]])/PricingDataTable[[#This Row],[Prior Price ($)]]</f>
        <v>6.7064752714671005E-3</v>
      </c>
      <c r="L4767" s="9">
        <f>(PricingDataTable[[#This Row],[Vendor Price ($)]]-PricingDataTable[[#This Row],[Current Price ($)]])/PricingDataTable[[#This Row],[Current Price ($)]]</f>
        <v>9.4927158866305126E-4</v>
      </c>
      <c r="M4767" t="str">
        <f t="shared" si="148"/>
        <v>PASS</v>
      </c>
      <c r="N4767" s="10" t="str">
        <f t="shared" si="149"/>
        <v>NONE</v>
      </c>
    </row>
    <row r="4768" spans="1:14">
      <c r="A4768" s="4" t="s">
        <v>9552</v>
      </c>
      <c r="B4768" s="4" t="s">
        <v>9553</v>
      </c>
      <c r="C4768" s="4" t="s">
        <v>39</v>
      </c>
      <c r="D4768" s="4" t="s">
        <v>13</v>
      </c>
      <c r="E4768" s="5">
        <v>78.765100000000004</v>
      </c>
      <c r="F4768" s="5">
        <v>78.181700000000006</v>
      </c>
      <c r="G4768" s="5">
        <v>77.879599999999996</v>
      </c>
      <c r="H4768" s="4">
        <v>0</v>
      </c>
      <c r="I4768" s="6">
        <v>791377</v>
      </c>
      <c r="J4768" s="7">
        <v>129.30000000000001</v>
      </c>
      <c r="K4768" s="9">
        <f>(PricingDataTable[[#This Row],[Current Price ($)]]-PricingDataTable[[#This Row],[Prior Price ($)]])/PricingDataTable[[#This Row],[Prior Price ($)]]</f>
        <v>-7.4068337372770101E-3</v>
      </c>
      <c r="L4768" s="9">
        <f>(PricingDataTable[[#This Row],[Vendor Price ($)]]-PricingDataTable[[#This Row],[Current Price ($)]])/PricingDataTable[[#This Row],[Current Price ($)]]</f>
        <v>-3.8640756084865127E-3</v>
      </c>
      <c r="M4768" t="str">
        <f t="shared" si="148"/>
        <v>PASS</v>
      </c>
      <c r="N4768" s="10" t="str">
        <f t="shared" si="149"/>
        <v>NONE</v>
      </c>
    </row>
    <row r="4769" spans="1:14">
      <c r="A4769" s="4" t="s">
        <v>9554</v>
      </c>
      <c r="B4769" s="4" t="s">
        <v>9555</v>
      </c>
      <c r="C4769" s="4" t="s">
        <v>12</v>
      </c>
      <c r="D4769" s="4" t="s">
        <v>13</v>
      </c>
      <c r="E4769" s="5">
        <v>124.62609999999999</v>
      </c>
      <c r="F4769" s="5">
        <v>125.6267</v>
      </c>
      <c r="G4769" s="5">
        <v>125.4504</v>
      </c>
      <c r="H4769" s="4">
        <v>0</v>
      </c>
      <c r="I4769" s="6">
        <v>634551</v>
      </c>
      <c r="J4769" s="7">
        <v>809.76</v>
      </c>
      <c r="K4769" s="9">
        <f>(PricingDataTable[[#This Row],[Current Price ($)]]-PricingDataTable[[#This Row],[Prior Price ($)]])/PricingDataTable[[#This Row],[Prior Price ($)]]</f>
        <v>8.0288157938024681E-3</v>
      </c>
      <c r="L4769" s="9">
        <f>(PricingDataTable[[#This Row],[Vendor Price ($)]]-PricingDataTable[[#This Row],[Current Price ($)]])/PricingDataTable[[#This Row],[Current Price ($)]]</f>
        <v>-1.403364093779409E-3</v>
      </c>
      <c r="M4769" t="str">
        <f t="shared" si="148"/>
        <v>PASS</v>
      </c>
      <c r="N4769" s="10" t="str">
        <f t="shared" si="149"/>
        <v>NONE</v>
      </c>
    </row>
    <row r="4770" spans="1:14">
      <c r="A4770" s="4" t="s">
        <v>9556</v>
      </c>
      <c r="B4770" s="4" t="s">
        <v>9557</v>
      </c>
      <c r="C4770" s="4" t="s">
        <v>16</v>
      </c>
      <c r="D4770" s="4" t="s">
        <v>13</v>
      </c>
      <c r="E4770" s="5">
        <v>114.16459999999999</v>
      </c>
      <c r="F4770" s="5">
        <v>115.89830000000001</v>
      </c>
      <c r="G4770" s="5">
        <v>115.44410000000001</v>
      </c>
      <c r="H4770" s="4">
        <v>3</v>
      </c>
      <c r="I4770" s="6">
        <v>649172</v>
      </c>
      <c r="J4770" s="7">
        <v>283.24</v>
      </c>
      <c r="K4770" s="9">
        <f>(PricingDataTable[[#This Row],[Current Price ($)]]-PricingDataTable[[#This Row],[Prior Price ($)]])/PricingDataTable[[#This Row],[Prior Price ($)]]</f>
        <v>1.5185968329937767E-2</v>
      </c>
      <c r="L4770" s="9">
        <f>(PricingDataTable[[#This Row],[Vendor Price ($)]]-PricingDataTable[[#This Row],[Current Price ($)]])/PricingDataTable[[#This Row],[Current Price ($)]]</f>
        <v>-3.9189530821418447E-3</v>
      </c>
      <c r="M4770" t="str">
        <f t="shared" si="148"/>
        <v>STALE</v>
      </c>
      <c r="N4770" s="10" t="str">
        <f t="shared" si="149"/>
        <v>LOW</v>
      </c>
    </row>
    <row r="4771" spans="1:14">
      <c r="A4771" s="4" t="s">
        <v>9558</v>
      </c>
      <c r="B4771" s="4" t="s">
        <v>9559</v>
      </c>
      <c r="C4771" s="4" t="s">
        <v>19</v>
      </c>
      <c r="D4771" s="4" t="s">
        <v>237</v>
      </c>
      <c r="E4771" s="5">
        <v>61.234400000000001</v>
      </c>
      <c r="F4771" s="5">
        <v>61.623399999999997</v>
      </c>
      <c r="G4771" s="5">
        <v>61.526800000000001</v>
      </c>
      <c r="H4771" s="4">
        <v>0</v>
      </c>
      <c r="I4771" s="6">
        <v>2932786</v>
      </c>
      <c r="J4771" s="7">
        <v>240.9</v>
      </c>
      <c r="K4771" s="9">
        <f>(PricingDataTable[[#This Row],[Current Price ($)]]-PricingDataTable[[#This Row],[Prior Price ($)]])/PricingDataTable[[#This Row],[Prior Price ($)]]</f>
        <v>6.3526383862664744E-3</v>
      </c>
      <c r="L4771" s="9">
        <f>(PricingDataTable[[#This Row],[Vendor Price ($)]]-PricingDataTable[[#This Row],[Current Price ($)]])/PricingDataTable[[#This Row],[Current Price ($)]]</f>
        <v>-1.5675863389555775E-3</v>
      </c>
      <c r="M4771" t="str">
        <f t="shared" si="148"/>
        <v>PASS</v>
      </c>
      <c r="N4771" s="10" t="str">
        <f t="shared" si="149"/>
        <v>NONE</v>
      </c>
    </row>
    <row r="4772" spans="1:14">
      <c r="A4772" s="4" t="s">
        <v>9560</v>
      </c>
      <c r="B4772" s="4" t="s">
        <v>9561</v>
      </c>
      <c r="C4772" s="4" t="s">
        <v>16</v>
      </c>
      <c r="D4772" s="4" t="s">
        <v>13</v>
      </c>
      <c r="E4772" s="5">
        <v>121.5955</v>
      </c>
      <c r="F4772" s="5">
        <v>135.82849999999999</v>
      </c>
      <c r="G4772" s="5">
        <v>135.5179</v>
      </c>
      <c r="H4772" s="4">
        <v>0</v>
      </c>
      <c r="I4772" s="6">
        <v>3887214</v>
      </c>
      <c r="J4772" s="7">
        <v>541.15</v>
      </c>
      <c r="K4772" s="9">
        <f>(PricingDataTable[[#This Row],[Current Price ($)]]-PricingDataTable[[#This Row],[Prior Price ($)]])/PricingDataTable[[#This Row],[Prior Price ($)]]</f>
        <v>0.11705202906357545</v>
      </c>
      <c r="L4772" s="9">
        <f>(PricingDataTable[[#This Row],[Vendor Price ($)]]-PricingDataTable[[#This Row],[Current Price ($)]])/PricingDataTable[[#This Row],[Current Price ($)]]</f>
        <v>-2.2867071343642444E-3</v>
      </c>
      <c r="M4772" t="str">
        <f t="shared" si="148"/>
        <v>LARGE MOVE</v>
      </c>
      <c r="N4772" s="10" t="str">
        <f t="shared" si="149"/>
        <v>HIGH</v>
      </c>
    </row>
    <row r="4773" spans="1:14">
      <c r="A4773" s="4" t="s">
        <v>9562</v>
      </c>
      <c r="B4773" s="4" t="s">
        <v>9563</v>
      </c>
      <c r="C4773" s="4" t="s">
        <v>12</v>
      </c>
      <c r="D4773" s="4" t="s">
        <v>13</v>
      </c>
      <c r="E4773" s="5">
        <v>77.847200000000001</v>
      </c>
      <c r="F4773" s="5">
        <v>76.791799999999995</v>
      </c>
      <c r="G4773" s="5">
        <v>76.8232</v>
      </c>
      <c r="H4773" s="4">
        <v>0</v>
      </c>
      <c r="I4773" s="6">
        <v>3396661</v>
      </c>
      <c r="J4773" s="7">
        <v>376.22</v>
      </c>
      <c r="K4773" s="9">
        <f>(PricingDataTable[[#This Row],[Current Price ($)]]-PricingDataTable[[#This Row],[Prior Price ($)]])/PricingDataTable[[#This Row],[Prior Price ($)]]</f>
        <v>-1.3557327688086481E-2</v>
      </c>
      <c r="L4773" s="9">
        <f>(PricingDataTable[[#This Row],[Vendor Price ($)]]-PricingDataTable[[#This Row],[Current Price ($)]])/PricingDataTable[[#This Row],[Current Price ($)]]</f>
        <v>4.0889782502825798E-4</v>
      </c>
      <c r="M4773" t="str">
        <f t="shared" si="148"/>
        <v>PASS</v>
      </c>
      <c r="N4773" s="10" t="str">
        <f t="shared" si="149"/>
        <v>NONE</v>
      </c>
    </row>
    <row r="4774" spans="1:14">
      <c r="A4774" s="4" t="s">
        <v>9564</v>
      </c>
      <c r="B4774" s="4" t="s">
        <v>9565</v>
      </c>
      <c r="C4774" s="4" t="s">
        <v>19</v>
      </c>
      <c r="D4774" s="4" t="s">
        <v>13</v>
      </c>
      <c r="E4774" s="5">
        <v>11.8561</v>
      </c>
      <c r="F4774" s="5">
        <v>11.882</v>
      </c>
      <c r="G4774" s="5">
        <v>11.8894</v>
      </c>
      <c r="H4774" s="4">
        <v>0</v>
      </c>
      <c r="I4774" s="6">
        <v>1350401</v>
      </c>
      <c r="J4774" s="7">
        <v>117.47</v>
      </c>
      <c r="K4774" s="9">
        <f>(PricingDataTable[[#This Row],[Current Price ($)]]-PricingDataTable[[#This Row],[Prior Price ($)]])/PricingDataTable[[#This Row],[Prior Price ($)]]</f>
        <v>2.1845294827135429E-3</v>
      </c>
      <c r="L4774" s="9">
        <f>(PricingDataTable[[#This Row],[Vendor Price ($)]]-PricingDataTable[[#This Row],[Current Price ($)]])/PricingDataTable[[#This Row],[Current Price ($)]]</f>
        <v>6.2279077596368601E-4</v>
      </c>
      <c r="M4774" t="str">
        <f t="shared" si="148"/>
        <v>PASS</v>
      </c>
      <c r="N4774" s="10" t="str">
        <f t="shared" si="149"/>
        <v>NONE</v>
      </c>
    </row>
    <row r="4775" spans="1:14">
      <c r="A4775" s="4" t="s">
        <v>9566</v>
      </c>
      <c r="B4775" s="4" t="s">
        <v>9567</v>
      </c>
      <c r="C4775" s="4" t="s">
        <v>12</v>
      </c>
      <c r="D4775" s="4" t="s">
        <v>13</v>
      </c>
      <c r="E4775" s="5">
        <v>104.6361</v>
      </c>
      <c r="F4775" s="5">
        <v>104.71040000000001</v>
      </c>
      <c r="G4775" s="5">
        <v>104.82250000000001</v>
      </c>
      <c r="H4775" s="4">
        <v>0</v>
      </c>
      <c r="I4775" s="6">
        <v>1722740</v>
      </c>
      <c r="J4775" s="7">
        <v>245.95</v>
      </c>
      <c r="K4775" s="9">
        <f>(PricingDataTable[[#This Row],[Current Price ($)]]-PricingDataTable[[#This Row],[Prior Price ($)]])/PricingDataTable[[#This Row],[Prior Price ($)]]</f>
        <v>7.1007998195659076E-4</v>
      </c>
      <c r="L4775" s="9">
        <f>(PricingDataTable[[#This Row],[Vendor Price ($)]]-PricingDataTable[[#This Row],[Current Price ($)]])/PricingDataTable[[#This Row],[Current Price ($)]]</f>
        <v>1.070571786565595E-3</v>
      </c>
      <c r="M4775" t="str">
        <f t="shared" si="148"/>
        <v>PASS</v>
      </c>
      <c r="N4775" s="10" t="str">
        <f t="shared" si="149"/>
        <v>NONE</v>
      </c>
    </row>
    <row r="4776" spans="1:14">
      <c r="A4776" s="4" t="s">
        <v>9568</v>
      </c>
      <c r="B4776" s="4" t="s">
        <v>9569</v>
      </c>
      <c r="C4776" s="4" t="s">
        <v>16</v>
      </c>
      <c r="D4776" s="4" t="s">
        <v>36</v>
      </c>
      <c r="E4776" s="5">
        <v>124.5057</v>
      </c>
      <c r="F4776" s="5">
        <v>98.401899999999998</v>
      </c>
      <c r="G4776" s="5">
        <v>98.586200000000005</v>
      </c>
      <c r="H4776" s="4">
        <v>1</v>
      </c>
      <c r="I4776" s="6">
        <v>3990092</v>
      </c>
      <c r="J4776" s="7">
        <v>740.11</v>
      </c>
      <c r="K4776" s="9">
        <f>(PricingDataTable[[#This Row],[Current Price ($)]]-PricingDataTable[[#This Row],[Prior Price ($)]])/PricingDataTable[[#This Row],[Prior Price ($)]]</f>
        <v>-0.20965947743757921</v>
      </c>
      <c r="L4776" s="9">
        <f>(PricingDataTable[[#This Row],[Vendor Price ($)]]-PricingDataTable[[#This Row],[Current Price ($)]])/PricingDataTable[[#This Row],[Current Price ($)]]</f>
        <v>1.8729313153506941E-3</v>
      </c>
      <c r="M4776" t="str">
        <f t="shared" si="148"/>
        <v>LARGE MOVE</v>
      </c>
      <c r="N4776" s="10" t="str">
        <f t="shared" si="149"/>
        <v>HIGH</v>
      </c>
    </row>
    <row r="4777" spans="1:14">
      <c r="A4777" s="4" t="s">
        <v>9570</v>
      </c>
      <c r="B4777" s="4" t="s">
        <v>9571</v>
      </c>
      <c r="C4777" s="4" t="s">
        <v>19</v>
      </c>
      <c r="D4777" s="4" t="s">
        <v>13</v>
      </c>
      <c r="E4777" s="5">
        <v>49.900199999999998</v>
      </c>
      <c r="F4777" s="5">
        <v>51.161099999999998</v>
      </c>
      <c r="G4777" s="5">
        <v>51.028199999999998</v>
      </c>
      <c r="H4777" s="4">
        <v>1</v>
      </c>
      <c r="I4777" s="6">
        <v>1621390</v>
      </c>
      <c r="J4777" s="7">
        <v>892.22</v>
      </c>
      <c r="K4777" s="9">
        <f>(PricingDataTable[[#This Row],[Current Price ($)]]-PricingDataTable[[#This Row],[Prior Price ($)]])/PricingDataTable[[#This Row],[Prior Price ($)]]</f>
        <v>2.5268435797852505E-2</v>
      </c>
      <c r="L4777" s="9">
        <f>(PricingDataTable[[#This Row],[Vendor Price ($)]]-PricingDataTable[[#This Row],[Current Price ($)]])/PricingDataTable[[#This Row],[Current Price ($)]]</f>
        <v>-2.597676750499879E-3</v>
      </c>
      <c r="M4777" t="str">
        <f t="shared" si="148"/>
        <v>PASS</v>
      </c>
      <c r="N4777" s="10" t="str">
        <f t="shared" si="149"/>
        <v>NONE</v>
      </c>
    </row>
    <row r="4778" spans="1:14">
      <c r="A4778" s="4" t="s">
        <v>9572</v>
      </c>
      <c r="B4778" s="4" t="s">
        <v>9573</v>
      </c>
      <c r="C4778" s="4" t="s">
        <v>19</v>
      </c>
      <c r="D4778" s="4" t="s">
        <v>13</v>
      </c>
      <c r="E4778" s="5">
        <v>226.8271</v>
      </c>
      <c r="F4778" s="5">
        <v>226.03559999999999</v>
      </c>
      <c r="G4778" s="5">
        <v>227.46600000000001</v>
      </c>
      <c r="H4778" s="4">
        <v>3</v>
      </c>
      <c r="I4778" s="6">
        <v>1273939</v>
      </c>
      <c r="J4778" s="7">
        <v>338.57</v>
      </c>
      <c r="K4778" s="9">
        <f>(PricingDataTable[[#This Row],[Current Price ($)]]-PricingDataTable[[#This Row],[Prior Price ($)]])/PricingDataTable[[#This Row],[Prior Price ($)]]</f>
        <v>-3.489441958214047E-3</v>
      </c>
      <c r="L4778" s="9">
        <f>(PricingDataTable[[#This Row],[Vendor Price ($)]]-PricingDataTable[[#This Row],[Current Price ($)]])/PricingDataTable[[#This Row],[Current Price ($)]]</f>
        <v>6.3282067072621311E-3</v>
      </c>
      <c r="M4778" t="str">
        <f t="shared" si="148"/>
        <v>STALE</v>
      </c>
      <c r="N4778" s="10" t="str">
        <f t="shared" si="149"/>
        <v>LOW</v>
      </c>
    </row>
    <row r="4779" spans="1:14">
      <c r="A4779" s="4" t="s">
        <v>9574</v>
      </c>
      <c r="B4779" s="4" t="s">
        <v>9575</v>
      </c>
      <c r="C4779" s="4" t="s">
        <v>12</v>
      </c>
      <c r="D4779" s="4" t="s">
        <v>13</v>
      </c>
      <c r="E4779" s="5">
        <v>90.446899999999999</v>
      </c>
      <c r="F4779" s="5">
        <v>90.164400000000001</v>
      </c>
      <c r="G4779" s="5">
        <v>90.690299999999993</v>
      </c>
      <c r="H4779" s="4">
        <v>0</v>
      </c>
      <c r="I4779" s="6">
        <v>2312821</v>
      </c>
      <c r="J4779" s="7">
        <v>109.45</v>
      </c>
      <c r="K4779" s="9">
        <f>(PricingDataTable[[#This Row],[Current Price ($)]]-PricingDataTable[[#This Row],[Prior Price ($)]])/PricingDataTable[[#This Row],[Prior Price ($)]]</f>
        <v>-3.1233795740926319E-3</v>
      </c>
      <c r="L4779" s="9">
        <f>(PricingDataTable[[#This Row],[Vendor Price ($)]]-PricingDataTable[[#This Row],[Current Price ($)]])/PricingDataTable[[#This Row],[Current Price ($)]]</f>
        <v>5.8326789730757693E-3</v>
      </c>
      <c r="M4779" t="str">
        <f t="shared" si="148"/>
        <v>PASS</v>
      </c>
      <c r="N4779" s="10" t="str">
        <f t="shared" si="149"/>
        <v>NONE</v>
      </c>
    </row>
    <row r="4780" spans="1:14">
      <c r="A4780" s="4" t="s">
        <v>9576</v>
      </c>
      <c r="B4780" s="4" t="s">
        <v>9577</v>
      </c>
      <c r="C4780" s="4" t="s">
        <v>16</v>
      </c>
      <c r="D4780" s="4" t="s">
        <v>32</v>
      </c>
      <c r="E4780" s="5">
        <v>75.262699999999995</v>
      </c>
      <c r="F4780" s="5">
        <v>74.296199999999999</v>
      </c>
      <c r="G4780" s="5">
        <v>74.164900000000003</v>
      </c>
      <c r="H4780" s="4">
        <v>1</v>
      </c>
      <c r="I4780" s="6">
        <v>166361</v>
      </c>
      <c r="J4780" s="7">
        <v>395.08</v>
      </c>
      <c r="K4780" s="9">
        <f>(PricingDataTable[[#This Row],[Current Price ($)]]-PricingDataTable[[#This Row],[Prior Price ($)]])/PricingDataTable[[#This Row],[Prior Price ($)]]</f>
        <v>-1.2841686519351504E-2</v>
      </c>
      <c r="L4780" s="9">
        <f>(PricingDataTable[[#This Row],[Vendor Price ($)]]-PricingDataTable[[#This Row],[Current Price ($)]])/PricingDataTable[[#This Row],[Current Price ($)]]</f>
        <v>-1.7672505457882904E-3</v>
      </c>
      <c r="M4780" t="str">
        <f t="shared" si="148"/>
        <v>PASS</v>
      </c>
      <c r="N4780" s="10" t="str">
        <f t="shared" si="149"/>
        <v>NONE</v>
      </c>
    </row>
    <row r="4781" spans="1:14">
      <c r="A4781" s="4" t="s">
        <v>9578</v>
      </c>
      <c r="B4781" s="4" t="s">
        <v>9579</v>
      </c>
      <c r="C4781" s="4" t="s">
        <v>19</v>
      </c>
      <c r="D4781" s="4" t="s">
        <v>13</v>
      </c>
      <c r="E4781" s="5">
        <v>304.74849999999998</v>
      </c>
      <c r="F4781" s="5">
        <v>301.36110000000002</v>
      </c>
      <c r="G4781" s="5">
        <v>301.48939999999999</v>
      </c>
      <c r="H4781" s="4">
        <v>1</v>
      </c>
      <c r="I4781" s="6">
        <v>557346</v>
      </c>
      <c r="J4781" s="7">
        <v>563.85</v>
      </c>
      <c r="K4781" s="9">
        <f>(PricingDataTable[[#This Row],[Current Price ($)]]-PricingDataTable[[#This Row],[Prior Price ($)]])/PricingDataTable[[#This Row],[Prior Price ($)]]</f>
        <v>-1.1115395153708574E-2</v>
      </c>
      <c r="L4781" s="9">
        <f>(PricingDataTable[[#This Row],[Vendor Price ($)]]-PricingDataTable[[#This Row],[Current Price ($)]])/PricingDataTable[[#This Row],[Current Price ($)]]</f>
        <v>4.2573510648842013E-4</v>
      </c>
      <c r="M4781" t="str">
        <f t="shared" si="148"/>
        <v>PASS</v>
      </c>
      <c r="N4781" s="10" t="str">
        <f t="shared" si="149"/>
        <v>NONE</v>
      </c>
    </row>
    <row r="4782" spans="1:14">
      <c r="A4782" s="4" t="s">
        <v>9580</v>
      </c>
      <c r="B4782" s="4" t="s">
        <v>9581</v>
      </c>
      <c r="C4782" s="4" t="s">
        <v>19</v>
      </c>
      <c r="D4782" s="4" t="s">
        <v>13</v>
      </c>
      <c r="E4782" s="5">
        <v>316.16329999999999</v>
      </c>
      <c r="F4782" s="5">
        <v>316.30590000000001</v>
      </c>
      <c r="G4782" s="5">
        <v>315.68639999999999</v>
      </c>
      <c r="H4782" s="4">
        <v>0</v>
      </c>
      <c r="I4782" s="6">
        <v>3437101</v>
      </c>
      <c r="J4782" s="7">
        <v>45.83</v>
      </c>
      <c r="K4782" s="9">
        <f>(PricingDataTable[[#This Row],[Current Price ($)]]-PricingDataTable[[#This Row],[Prior Price ($)]])/PricingDataTable[[#This Row],[Prior Price ($)]]</f>
        <v>4.5103274162439419E-4</v>
      </c>
      <c r="L4782" s="9">
        <f>(PricingDataTable[[#This Row],[Vendor Price ($)]]-PricingDataTable[[#This Row],[Current Price ($)]])/PricingDataTable[[#This Row],[Current Price ($)]]</f>
        <v>-1.9585470900163934E-3</v>
      </c>
      <c r="M4782" t="str">
        <f t="shared" si="148"/>
        <v>PASS</v>
      </c>
      <c r="N4782" s="10" t="str">
        <f t="shared" si="149"/>
        <v>NONE</v>
      </c>
    </row>
    <row r="4783" spans="1:14">
      <c r="A4783" s="4" t="s">
        <v>9582</v>
      </c>
      <c r="B4783" s="4" t="s">
        <v>9583</v>
      </c>
      <c r="C4783" s="4" t="s">
        <v>35</v>
      </c>
      <c r="D4783" s="4" t="s">
        <v>13</v>
      </c>
      <c r="E4783" s="5">
        <v>171.7731</v>
      </c>
      <c r="F4783" s="5">
        <v>173.29040000000001</v>
      </c>
      <c r="G4783" s="5">
        <v>173.19569999999999</v>
      </c>
      <c r="H4783" s="4">
        <v>0</v>
      </c>
      <c r="I4783" s="6">
        <v>1757558</v>
      </c>
      <c r="J4783" s="7">
        <v>566.53</v>
      </c>
      <c r="K4783" s="9">
        <f>(PricingDataTable[[#This Row],[Current Price ($)]]-PricingDataTable[[#This Row],[Prior Price ($)]])/PricingDataTable[[#This Row],[Prior Price ($)]]</f>
        <v>8.8331642148858341E-3</v>
      </c>
      <c r="L4783" s="9">
        <f>(PricingDataTable[[#This Row],[Vendor Price ($)]]-PricingDataTable[[#This Row],[Current Price ($)]])/PricingDataTable[[#This Row],[Current Price ($)]]</f>
        <v>-5.4648151311334806E-4</v>
      </c>
      <c r="M4783" t="str">
        <f t="shared" si="148"/>
        <v>PASS</v>
      </c>
      <c r="N4783" s="10" t="str">
        <f t="shared" si="149"/>
        <v>NONE</v>
      </c>
    </row>
    <row r="4784" spans="1:14">
      <c r="A4784" s="4" t="s">
        <v>9584</v>
      </c>
      <c r="B4784" s="4" t="s">
        <v>9585</v>
      </c>
      <c r="C4784" s="4" t="s">
        <v>19</v>
      </c>
      <c r="D4784" s="4" t="s">
        <v>64</v>
      </c>
      <c r="E4784" s="5">
        <v>50.952800000000003</v>
      </c>
      <c r="F4784" s="5">
        <v>51.288499999999999</v>
      </c>
      <c r="G4784" s="5">
        <v>51.120899999999999</v>
      </c>
      <c r="H4784" s="4">
        <v>0</v>
      </c>
      <c r="I4784" s="6">
        <v>2450355</v>
      </c>
      <c r="J4784" s="7">
        <v>453.57</v>
      </c>
      <c r="K4784" s="9">
        <f>(PricingDataTable[[#This Row],[Current Price ($)]]-PricingDataTable[[#This Row],[Prior Price ($)]])/PricingDataTable[[#This Row],[Prior Price ($)]]</f>
        <v>6.588450487509924E-3</v>
      </c>
      <c r="L4784" s="9">
        <f>(PricingDataTable[[#This Row],[Vendor Price ($)]]-PricingDataTable[[#This Row],[Current Price ($)]])/PricingDataTable[[#This Row],[Current Price ($)]]</f>
        <v>-3.2677890755237566E-3</v>
      </c>
      <c r="M4784" t="str">
        <f t="shared" si="148"/>
        <v>PASS</v>
      </c>
      <c r="N4784" s="10" t="str">
        <f t="shared" si="149"/>
        <v>NONE</v>
      </c>
    </row>
    <row r="4785" spans="1:14">
      <c r="A4785" s="4" t="s">
        <v>9586</v>
      </c>
      <c r="B4785" s="4" t="s">
        <v>9587</v>
      </c>
      <c r="C4785" s="4" t="s">
        <v>16</v>
      </c>
      <c r="D4785" s="4" t="s">
        <v>13</v>
      </c>
      <c r="E4785" s="5">
        <v>81.871799999999993</v>
      </c>
      <c r="F4785" s="5"/>
      <c r="G4785" s="5">
        <v>80.411199999999994</v>
      </c>
      <c r="H4785" s="4">
        <v>3</v>
      </c>
      <c r="I4785" s="6">
        <v>334349</v>
      </c>
      <c r="J4785" s="7">
        <v>618.95000000000005</v>
      </c>
      <c r="K4785" s="9">
        <f>(PricingDataTable[[#This Row],[Current Price ($)]]-PricingDataTable[[#This Row],[Prior Price ($)]])/PricingDataTable[[#This Row],[Prior Price ($)]]</f>
        <v>-1</v>
      </c>
      <c r="L4785" s="9" t="e">
        <f>(PricingDataTable[[#This Row],[Vendor Price ($)]]-PricingDataTable[[#This Row],[Current Price ($)]])/PricingDataTable[[#This Row],[Current Price ($)]]</f>
        <v>#DIV/0!</v>
      </c>
      <c r="M4785" t="str">
        <f t="shared" si="148"/>
        <v>MISSING</v>
      </c>
      <c r="N4785" s="10" t="str">
        <f t="shared" si="149"/>
        <v>HIGH</v>
      </c>
    </row>
    <row r="4786" spans="1:14">
      <c r="A4786" s="4" t="s">
        <v>9588</v>
      </c>
      <c r="B4786" s="4" t="s">
        <v>9589</v>
      </c>
      <c r="C4786" s="4" t="s">
        <v>35</v>
      </c>
      <c r="D4786" s="4" t="s">
        <v>13</v>
      </c>
      <c r="E4786" s="5">
        <v>144.9802</v>
      </c>
      <c r="F4786" s="5">
        <v>142.38849999999999</v>
      </c>
      <c r="G4786" s="5">
        <v>142.31989999999999</v>
      </c>
      <c r="H4786" s="4">
        <v>1</v>
      </c>
      <c r="I4786" s="6">
        <v>707834</v>
      </c>
      <c r="J4786" s="7">
        <v>526.96</v>
      </c>
      <c r="K4786" s="9">
        <f>(PricingDataTable[[#This Row],[Current Price ($)]]-PricingDataTable[[#This Row],[Prior Price ($)]])/PricingDataTable[[#This Row],[Prior Price ($)]]</f>
        <v>-1.7876234134040395E-2</v>
      </c>
      <c r="L4786" s="9">
        <f>(PricingDataTable[[#This Row],[Vendor Price ($)]]-PricingDataTable[[#This Row],[Current Price ($)]])/PricingDataTable[[#This Row],[Current Price ($)]]</f>
        <v>-4.817804808675107E-4</v>
      </c>
      <c r="M4786" t="str">
        <f t="shared" si="148"/>
        <v>PASS</v>
      </c>
      <c r="N4786" s="10" t="str">
        <f t="shared" si="149"/>
        <v>NONE</v>
      </c>
    </row>
    <row r="4787" spans="1:14">
      <c r="A4787" s="4" t="s">
        <v>9590</v>
      </c>
      <c r="B4787" s="4" t="s">
        <v>9591</v>
      </c>
      <c r="C4787" s="4" t="s">
        <v>16</v>
      </c>
      <c r="D4787" s="4" t="s">
        <v>13</v>
      </c>
      <c r="E4787" s="5">
        <v>85.022900000000007</v>
      </c>
      <c r="F4787" s="5">
        <v>85.798199999999994</v>
      </c>
      <c r="G4787" s="5">
        <v>85.817400000000006</v>
      </c>
      <c r="H4787" s="4">
        <v>0</v>
      </c>
      <c r="I4787" s="6">
        <v>2488106</v>
      </c>
      <c r="J4787" s="7">
        <v>350.07</v>
      </c>
      <c r="K4787" s="9">
        <f>(PricingDataTable[[#This Row],[Current Price ($)]]-PricingDataTable[[#This Row],[Prior Price ($)]])/PricingDataTable[[#This Row],[Prior Price ($)]]</f>
        <v>9.118719780200242E-3</v>
      </c>
      <c r="L4787" s="9">
        <f>(PricingDataTable[[#This Row],[Vendor Price ($)]]-PricingDataTable[[#This Row],[Current Price ($)]])/PricingDataTable[[#This Row],[Current Price ($)]]</f>
        <v>2.2378091848094828E-4</v>
      </c>
      <c r="M4787" t="str">
        <f t="shared" si="148"/>
        <v>PASS</v>
      </c>
      <c r="N4787" s="10" t="str">
        <f t="shared" si="149"/>
        <v>NONE</v>
      </c>
    </row>
    <row r="4788" spans="1:14">
      <c r="A4788" s="4" t="s">
        <v>9592</v>
      </c>
      <c r="B4788" s="4" t="s">
        <v>9593</v>
      </c>
      <c r="C4788" s="4" t="s">
        <v>35</v>
      </c>
      <c r="D4788" s="4" t="s">
        <v>32</v>
      </c>
      <c r="E4788" s="5">
        <v>99.633499999999998</v>
      </c>
      <c r="F4788" s="5">
        <v>99.667900000000003</v>
      </c>
      <c r="G4788" s="5">
        <v>99.484499999999997</v>
      </c>
      <c r="H4788" s="4">
        <v>0</v>
      </c>
      <c r="I4788" s="6">
        <v>2684708</v>
      </c>
      <c r="J4788" s="7">
        <v>859.19</v>
      </c>
      <c r="K4788" s="9">
        <f>(PricingDataTable[[#This Row],[Current Price ($)]]-PricingDataTable[[#This Row],[Prior Price ($)]])/PricingDataTable[[#This Row],[Prior Price ($)]]</f>
        <v>3.4526539768255749E-4</v>
      </c>
      <c r="L4788" s="9">
        <f>(PricingDataTable[[#This Row],[Vendor Price ($)]]-PricingDataTable[[#This Row],[Current Price ($)]])/PricingDataTable[[#This Row],[Current Price ($)]]</f>
        <v>-1.8401110086598191E-3</v>
      </c>
      <c r="M4788" t="str">
        <f t="shared" si="148"/>
        <v>PASS</v>
      </c>
      <c r="N4788" s="10" t="str">
        <f t="shared" si="149"/>
        <v>NONE</v>
      </c>
    </row>
    <row r="4789" spans="1:14">
      <c r="A4789" s="4" t="s">
        <v>9594</v>
      </c>
      <c r="B4789" s="4" t="s">
        <v>9595</v>
      </c>
      <c r="C4789" s="4" t="s">
        <v>16</v>
      </c>
      <c r="D4789" s="4" t="s">
        <v>13</v>
      </c>
      <c r="E4789" s="5">
        <v>104.974</v>
      </c>
      <c r="F4789" s="5">
        <v>94.051000000000002</v>
      </c>
      <c r="G4789" s="5">
        <v>94.136200000000002</v>
      </c>
      <c r="H4789" s="4">
        <v>0</v>
      </c>
      <c r="I4789" s="6">
        <v>1073514</v>
      </c>
      <c r="J4789" s="7">
        <v>213.95</v>
      </c>
      <c r="K4789" s="9">
        <f>(PricingDataTable[[#This Row],[Current Price ($)]]-PricingDataTable[[#This Row],[Prior Price ($)]])/PricingDataTable[[#This Row],[Prior Price ($)]]</f>
        <v>-0.1040543372644655</v>
      </c>
      <c r="L4789" s="9">
        <f>(PricingDataTable[[#This Row],[Vendor Price ($)]]-PricingDataTable[[#This Row],[Current Price ($)]])/PricingDataTable[[#This Row],[Current Price ($)]]</f>
        <v>9.0589148440740007E-4</v>
      </c>
      <c r="M4789" t="str">
        <f t="shared" si="148"/>
        <v>LARGE MOVE</v>
      </c>
      <c r="N4789" s="10" t="str">
        <f t="shared" si="149"/>
        <v>HIGH</v>
      </c>
    </row>
    <row r="4790" spans="1:14">
      <c r="A4790" s="4" t="s">
        <v>9596</v>
      </c>
      <c r="B4790" s="4" t="s">
        <v>9597</v>
      </c>
      <c r="C4790" s="4" t="s">
        <v>39</v>
      </c>
      <c r="D4790" s="4" t="s">
        <v>13</v>
      </c>
      <c r="E4790" s="5">
        <v>45.576000000000001</v>
      </c>
      <c r="F4790" s="5">
        <v>48.222299999999997</v>
      </c>
      <c r="G4790" s="5">
        <v>48.223799999999997</v>
      </c>
      <c r="H4790" s="4">
        <v>0</v>
      </c>
      <c r="I4790" s="6">
        <v>4904999</v>
      </c>
      <c r="J4790" s="7">
        <v>596.75</v>
      </c>
      <c r="K4790" s="9">
        <f>(PricingDataTable[[#This Row],[Current Price ($)]]-PricingDataTable[[#This Row],[Prior Price ($)]])/PricingDataTable[[#This Row],[Prior Price ($)]]</f>
        <v>5.8063454449710297E-2</v>
      </c>
      <c r="L4790" s="9">
        <f>(PricingDataTable[[#This Row],[Vendor Price ($)]]-PricingDataTable[[#This Row],[Current Price ($)]])/PricingDataTable[[#This Row],[Current Price ($)]]</f>
        <v>3.1105940612539363E-5</v>
      </c>
      <c r="M4790" t="str">
        <f t="shared" si="148"/>
        <v>LARGE MOVE</v>
      </c>
      <c r="N4790" s="10" t="str">
        <f t="shared" si="149"/>
        <v>LOW</v>
      </c>
    </row>
    <row r="4791" spans="1:14">
      <c r="A4791" s="4" t="s">
        <v>9598</v>
      </c>
      <c r="B4791" s="4" t="s">
        <v>9599</v>
      </c>
      <c r="C4791" s="4" t="s">
        <v>35</v>
      </c>
      <c r="D4791" s="4" t="s">
        <v>237</v>
      </c>
      <c r="E4791" s="5">
        <v>36.817</v>
      </c>
      <c r="F4791" s="5">
        <v>36.424700000000001</v>
      </c>
      <c r="G4791" s="5">
        <v>36.431800000000003</v>
      </c>
      <c r="H4791" s="4">
        <v>0</v>
      </c>
      <c r="I4791" s="6">
        <v>1419046</v>
      </c>
      <c r="J4791" s="7">
        <v>576.16999999999996</v>
      </c>
      <c r="K4791" s="9">
        <f>(PricingDataTable[[#This Row],[Current Price ($)]]-PricingDataTable[[#This Row],[Prior Price ($)]])/PricingDataTable[[#This Row],[Prior Price ($)]]</f>
        <v>-1.0655403753700702E-2</v>
      </c>
      <c r="L4791" s="9">
        <f>(PricingDataTable[[#This Row],[Vendor Price ($)]]-PricingDataTable[[#This Row],[Current Price ($)]])/PricingDataTable[[#This Row],[Current Price ($)]]</f>
        <v>1.949226760961989E-4</v>
      </c>
      <c r="M4791" t="str">
        <f t="shared" si="148"/>
        <v>PASS</v>
      </c>
      <c r="N4791" s="10" t="str">
        <f t="shared" si="149"/>
        <v>NONE</v>
      </c>
    </row>
    <row r="4792" spans="1:14">
      <c r="A4792" s="4" t="s">
        <v>9600</v>
      </c>
      <c r="B4792" s="4" t="s">
        <v>9601</v>
      </c>
      <c r="C4792" s="4" t="s">
        <v>12</v>
      </c>
      <c r="D4792" s="4" t="s">
        <v>64</v>
      </c>
      <c r="E4792" s="5">
        <v>117.675</v>
      </c>
      <c r="F4792" s="5">
        <v>118.38120000000001</v>
      </c>
      <c r="G4792" s="5">
        <v>118.8886</v>
      </c>
      <c r="H4792" s="4">
        <v>0</v>
      </c>
      <c r="I4792" s="6">
        <v>1727197</v>
      </c>
      <c r="J4792" s="7">
        <v>48.81</v>
      </c>
      <c r="K4792" s="9">
        <f>(PricingDataTable[[#This Row],[Current Price ($)]]-PricingDataTable[[#This Row],[Prior Price ($)]])/PricingDataTable[[#This Row],[Prior Price ($)]]</f>
        <v>6.0012746972594837E-3</v>
      </c>
      <c r="L4792" s="9">
        <f>(PricingDataTable[[#This Row],[Vendor Price ($)]]-PricingDataTable[[#This Row],[Current Price ($)]])/PricingDataTable[[#This Row],[Current Price ($)]]</f>
        <v>4.2861535446505851E-3</v>
      </c>
      <c r="M4792" t="str">
        <f t="shared" si="148"/>
        <v>PASS</v>
      </c>
      <c r="N4792" s="10" t="str">
        <f t="shared" si="149"/>
        <v>NONE</v>
      </c>
    </row>
    <row r="4793" spans="1:14">
      <c r="A4793" s="4" t="s">
        <v>9602</v>
      </c>
      <c r="B4793" s="4" t="s">
        <v>9603</v>
      </c>
      <c r="C4793" s="4" t="s">
        <v>12</v>
      </c>
      <c r="D4793" s="4" t="s">
        <v>13</v>
      </c>
      <c r="E4793" s="5">
        <v>107.1014</v>
      </c>
      <c r="F4793" s="5">
        <v>107.2679</v>
      </c>
      <c r="G4793" s="5">
        <v>107.0909</v>
      </c>
      <c r="H4793" s="4">
        <v>0</v>
      </c>
      <c r="I4793" s="6">
        <v>4098524</v>
      </c>
      <c r="J4793" s="7">
        <v>549.07000000000005</v>
      </c>
      <c r="K4793" s="9">
        <f>(PricingDataTable[[#This Row],[Current Price ($)]]-PricingDataTable[[#This Row],[Prior Price ($)]])/PricingDataTable[[#This Row],[Prior Price ($)]]</f>
        <v>1.5546015271508981E-3</v>
      </c>
      <c r="L4793" s="9">
        <f>(PricingDataTable[[#This Row],[Vendor Price ($)]]-PricingDataTable[[#This Row],[Current Price ($)]])/PricingDataTable[[#This Row],[Current Price ($)]]</f>
        <v>-1.6500742533413304E-3</v>
      </c>
      <c r="M4793" t="str">
        <f t="shared" si="148"/>
        <v>PASS</v>
      </c>
      <c r="N4793" s="10" t="str">
        <f t="shared" si="149"/>
        <v>NONE</v>
      </c>
    </row>
    <row r="4794" spans="1:14">
      <c r="A4794" s="4" t="s">
        <v>9604</v>
      </c>
      <c r="B4794" s="4" t="s">
        <v>9605</v>
      </c>
      <c r="C4794" s="4" t="s">
        <v>39</v>
      </c>
      <c r="D4794" s="4" t="s">
        <v>13</v>
      </c>
      <c r="E4794" s="5">
        <v>72.9405</v>
      </c>
      <c r="F4794" s="5">
        <v>73.5535</v>
      </c>
      <c r="G4794" s="5">
        <v>73.255899999999997</v>
      </c>
      <c r="H4794" s="4">
        <v>0</v>
      </c>
      <c r="I4794" s="6">
        <v>3120093</v>
      </c>
      <c r="J4794" s="7">
        <v>362.53</v>
      </c>
      <c r="K4794" s="9">
        <f>(PricingDataTable[[#This Row],[Current Price ($)]]-PricingDataTable[[#This Row],[Prior Price ($)]])/PricingDataTable[[#This Row],[Prior Price ($)]]</f>
        <v>8.4041101994091014E-3</v>
      </c>
      <c r="L4794" s="9">
        <f>(PricingDataTable[[#This Row],[Vendor Price ($)]]-PricingDataTable[[#This Row],[Current Price ($)]])/PricingDataTable[[#This Row],[Current Price ($)]]</f>
        <v>-4.0460345190915827E-3</v>
      </c>
      <c r="M4794" t="str">
        <f t="shared" si="148"/>
        <v>PASS</v>
      </c>
      <c r="N4794" s="10" t="str">
        <f t="shared" si="149"/>
        <v>NONE</v>
      </c>
    </row>
    <row r="4795" spans="1:14">
      <c r="A4795" s="4" t="s">
        <v>9606</v>
      </c>
      <c r="B4795" s="4" t="s">
        <v>9607</v>
      </c>
      <c r="C4795" s="4" t="s">
        <v>35</v>
      </c>
      <c r="D4795" s="4" t="s">
        <v>13</v>
      </c>
      <c r="E4795" s="5">
        <v>5.8295000000000003</v>
      </c>
      <c r="F4795" s="5">
        <v>5.8445</v>
      </c>
      <c r="G4795" s="5">
        <v>5.8513000000000002</v>
      </c>
      <c r="H4795" s="4">
        <v>0</v>
      </c>
      <c r="I4795" s="6">
        <v>1347666</v>
      </c>
      <c r="J4795" s="7">
        <v>413.2</v>
      </c>
      <c r="K4795" s="9">
        <f>(PricingDataTable[[#This Row],[Current Price ($)]]-PricingDataTable[[#This Row],[Prior Price ($)]])/PricingDataTable[[#This Row],[Prior Price ($)]]</f>
        <v>2.5731194785143974E-3</v>
      </c>
      <c r="L4795" s="9">
        <f>(PricingDataTable[[#This Row],[Vendor Price ($)]]-PricingDataTable[[#This Row],[Current Price ($)]])/PricingDataTable[[#This Row],[Current Price ($)]]</f>
        <v>1.1634870390966104E-3</v>
      </c>
      <c r="M4795" t="str">
        <f t="shared" si="148"/>
        <v>PASS</v>
      </c>
      <c r="N4795" s="10" t="str">
        <f t="shared" si="149"/>
        <v>NONE</v>
      </c>
    </row>
    <row r="4796" spans="1:14">
      <c r="A4796" s="4" t="s">
        <v>9608</v>
      </c>
      <c r="B4796" s="4" t="s">
        <v>9609</v>
      </c>
      <c r="C4796" s="4" t="s">
        <v>16</v>
      </c>
      <c r="D4796" s="4" t="s">
        <v>13</v>
      </c>
      <c r="E4796" s="5">
        <v>122.13809999999999</v>
      </c>
      <c r="F4796" s="5">
        <v>123.2359</v>
      </c>
      <c r="G4796" s="5">
        <v>123.73009999999999</v>
      </c>
      <c r="H4796" s="4">
        <v>0</v>
      </c>
      <c r="I4796" s="6">
        <v>1154721</v>
      </c>
      <c r="J4796" s="7">
        <v>595.44000000000005</v>
      </c>
      <c r="K4796" s="9">
        <f>(PricingDataTable[[#This Row],[Current Price ($)]]-PricingDataTable[[#This Row],[Prior Price ($)]])/PricingDataTable[[#This Row],[Prior Price ($)]]</f>
        <v>8.9881863235141742E-3</v>
      </c>
      <c r="L4796" s="9">
        <f>(PricingDataTable[[#This Row],[Vendor Price ($)]]-PricingDataTable[[#This Row],[Current Price ($)]])/PricingDataTable[[#This Row],[Current Price ($)]]</f>
        <v>4.0101950811410655E-3</v>
      </c>
      <c r="M4796" t="str">
        <f t="shared" si="148"/>
        <v>PASS</v>
      </c>
      <c r="N4796" s="10" t="str">
        <f t="shared" si="149"/>
        <v>NONE</v>
      </c>
    </row>
    <row r="4797" spans="1:14">
      <c r="A4797" s="4" t="s">
        <v>9610</v>
      </c>
      <c r="B4797" s="4" t="s">
        <v>9611</v>
      </c>
      <c r="C4797" s="4" t="s">
        <v>12</v>
      </c>
      <c r="D4797" s="4" t="s">
        <v>13</v>
      </c>
      <c r="E4797" s="5">
        <v>98.873099999999994</v>
      </c>
      <c r="F4797" s="5">
        <v>98.300899999999999</v>
      </c>
      <c r="G4797" s="5">
        <v>98.301500000000004</v>
      </c>
      <c r="H4797" s="4">
        <v>1</v>
      </c>
      <c r="I4797" s="6">
        <v>3046740</v>
      </c>
      <c r="J4797" s="7">
        <v>586.37</v>
      </c>
      <c r="K4797" s="9">
        <f>(PricingDataTable[[#This Row],[Current Price ($)]]-PricingDataTable[[#This Row],[Prior Price ($)]])/PricingDataTable[[#This Row],[Prior Price ($)]]</f>
        <v>-5.7872161386665856E-3</v>
      </c>
      <c r="L4797" s="9">
        <f>(PricingDataTable[[#This Row],[Vendor Price ($)]]-PricingDataTable[[#This Row],[Current Price ($)]])/PricingDataTable[[#This Row],[Current Price ($)]]</f>
        <v>6.1037081044599502E-6</v>
      </c>
      <c r="M4797" t="str">
        <f t="shared" si="148"/>
        <v>PASS</v>
      </c>
      <c r="N4797" s="10" t="str">
        <f t="shared" si="149"/>
        <v>NONE</v>
      </c>
    </row>
    <row r="4798" spans="1:14">
      <c r="A4798" s="4" t="s">
        <v>9612</v>
      </c>
      <c r="B4798" s="4" t="s">
        <v>9613</v>
      </c>
      <c r="C4798" s="4" t="s">
        <v>39</v>
      </c>
      <c r="D4798" s="4" t="s">
        <v>13</v>
      </c>
      <c r="E4798" s="5">
        <v>59.597000000000001</v>
      </c>
      <c r="F4798" s="5">
        <v>59.044499999999999</v>
      </c>
      <c r="G4798" s="5">
        <v>58.704700000000003</v>
      </c>
      <c r="H4798" s="4">
        <v>0</v>
      </c>
      <c r="I4798" s="6">
        <v>692383</v>
      </c>
      <c r="J4798" s="7">
        <v>816.21</v>
      </c>
      <c r="K4798" s="9">
        <f>(PricingDataTable[[#This Row],[Current Price ($)]]-PricingDataTable[[#This Row],[Prior Price ($)]])/PricingDataTable[[#This Row],[Prior Price ($)]]</f>
        <v>-9.2706008691712995E-3</v>
      </c>
      <c r="L4798" s="9">
        <f>(PricingDataTable[[#This Row],[Vendor Price ($)]]-PricingDataTable[[#This Row],[Current Price ($)]])/PricingDataTable[[#This Row],[Current Price ($)]]</f>
        <v>-5.7549814123245479E-3</v>
      </c>
      <c r="M4798" t="str">
        <f t="shared" si="148"/>
        <v>PASS</v>
      </c>
      <c r="N4798" s="10" t="str">
        <f t="shared" si="149"/>
        <v>NONE</v>
      </c>
    </row>
    <row r="4799" spans="1:14">
      <c r="A4799" s="4" t="s">
        <v>9614</v>
      </c>
      <c r="B4799" s="4" t="s">
        <v>9615</v>
      </c>
      <c r="C4799" s="4" t="s">
        <v>19</v>
      </c>
      <c r="D4799" s="4" t="s">
        <v>13</v>
      </c>
      <c r="E4799" s="5">
        <v>31.688199999999998</v>
      </c>
      <c r="F4799" s="5">
        <v>32.835799999999999</v>
      </c>
      <c r="G4799" s="5">
        <v>32.9255</v>
      </c>
      <c r="H4799" s="4">
        <v>3</v>
      </c>
      <c r="I4799" s="6">
        <v>4805125</v>
      </c>
      <c r="J4799" s="7">
        <v>229.39</v>
      </c>
      <c r="K4799" s="9">
        <f>(PricingDataTable[[#This Row],[Current Price ($)]]-PricingDataTable[[#This Row],[Prior Price ($)]])/PricingDataTable[[#This Row],[Prior Price ($)]]</f>
        <v>3.6215373545988749E-2</v>
      </c>
      <c r="L4799" s="9">
        <f>(PricingDataTable[[#This Row],[Vendor Price ($)]]-PricingDataTable[[#This Row],[Current Price ($)]])/PricingDataTable[[#This Row],[Current Price ($)]]</f>
        <v>2.731774465674677E-3</v>
      </c>
      <c r="M4799" t="str">
        <f t="shared" si="148"/>
        <v>STALE</v>
      </c>
      <c r="N4799" s="10" t="str">
        <f t="shared" si="149"/>
        <v>LOW</v>
      </c>
    </row>
    <row r="4800" spans="1:14">
      <c r="A4800" s="4" t="s">
        <v>9616</v>
      </c>
      <c r="B4800" s="4" t="s">
        <v>9617</v>
      </c>
      <c r="C4800" s="4" t="s">
        <v>39</v>
      </c>
      <c r="D4800" s="4" t="s">
        <v>13</v>
      </c>
      <c r="E4800" s="5">
        <v>50.555599999999998</v>
      </c>
      <c r="F4800" s="5"/>
      <c r="G4800" s="5">
        <v>51.3446</v>
      </c>
      <c r="H4800" s="4">
        <v>1</v>
      </c>
      <c r="I4800" s="6">
        <v>4292496</v>
      </c>
      <c r="J4800" s="7">
        <v>601.70000000000005</v>
      </c>
      <c r="K4800" s="9">
        <f>(PricingDataTable[[#This Row],[Current Price ($)]]-PricingDataTable[[#This Row],[Prior Price ($)]])/PricingDataTable[[#This Row],[Prior Price ($)]]</f>
        <v>-1</v>
      </c>
      <c r="L4800" s="9" t="e">
        <f>(PricingDataTable[[#This Row],[Vendor Price ($)]]-PricingDataTable[[#This Row],[Current Price ($)]])/PricingDataTable[[#This Row],[Current Price ($)]]</f>
        <v>#DIV/0!</v>
      </c>
      <c r="M4800" t="str">
        <f t="shared" si="148"/>
        <v>MISSING</v>
      </c>
      <c r="N4800" s="10" t="str">
        <f t="shared" si="149"/>
        <v>HIGH</v>
      </c>
    </row>
    <row r="4801" spans="1:14">
      <c r="A4801" s="4" t="s">
        <v>9618</v>
      </c>
      <c r="B4801" s="4" t="s">
        <v>9619</v>
      </c>
      <c r="C4801" s="4" t="s">
        <v>39</v>
      </c>
      <c r="D4801" s="4" t="s">
        <v>32</v>
      </c>
      <c r="E4801" s="5">
        <v>70.600099999999998</v>
      </c>
      <c r="F4801" s="5">
        <v>70.839100000000002</v>
      </c>
      <c r="G4801" s="5">
        <v>71.189300000000003</v>
      </c>
      <c r="H4801" s="4">
        <v>4</v>
      </c>
      <c r="I4801" s="6">
        <v>4625309</v>
      </c>
      <c r="J4801" s="7">
        <v>511.54</v>
      </c>
      <c r="K4801" s="9">
        <f>(PricingDataTable[[#This Row],[Current Price ($)]]-PricingDataTable[[#This Row],[Prior Price ($)]])/PricingDataTable[[#This Row],[Prior Price ($)]]</f>
        <v>3.3852643268211281E-3</v>
      </c>
      <c r="L4801" s="9">
        <f>(PricingDataTable[[#This Row],[Vendor Price ($)]]-PricingDataTable[[#This Row],[Current Price ($)]])/PricingDataTable[[#This Row],[Current Price ($)]]</f>
        <v>4.9435975330008562E-3</v>
      </c>
      <c r="M4801" t="str">
        <f t="shared" si="148"/>
        <v>STALE</v>
      </c>
      <c r="N4801" s="10" t="str">
        <f t="shared" si="149"/>
        <v>LOW</v>
      </c>
    </row>
    <row r="4802" spans="1:14">
      <c r="A4802" s="4" t="s">
        <v>9620</v>
      </c>
      <c r="B4802" s="4" t="s">
        <v>9621</v>
      </c>
      <c r="C4802" s="4" t="s">
        <v>39</v>
      </c>
      <c r="D4802" s="4" t="s">
        <v>237</v>
      </c>
      <c r="E4802" s="5">
        <v>129.09450000000001</v>
      </c>
      <c r="F4802" s="5">
        <v>129.3691</v>
      </c>
      <c r="G4802" s="5">
        <v>128.91980000000001</v>
      </c>
      <c r="H4802" s="4">
        <v>0</v>
      </c>
      <c r="I4802" s="6">
        <v>1318597</v>
      </c>
      <c r="J4802" s="7">
        <v>108.85</v>
      </c>
      <c r="K4802" s="9">
        <f>(PricingDataTable[[#This Row],[Current Price ($)]]-PricingDataTable[[#This Row],[Prior Price ($)]])/PricingDataTable[[#This Row],[Prior Price ($)]]</f>
        <v>2.1271239285948849E-3</v>
      </c>
      <c r="L4802" s="9">
        <f>(PricingDataTable[[#This Row],[Vendor Price ($)]]-PricingDataTable[[#This Row],[Current Price ($)]])/PricingDataTable[[#This Row],[Current Price ($)]]</f>
        <v>-3.4730086241613633E-3</v>
      </c>
      <c r="M4802" t="str">
        <f t="shared" ref="M4802:M4865" si="150">IF(OR(F4802="",F4802=0),"MISSING",IF(H4802&gt;=3,"STALE",IF(ABS(K4802)&gt;=5%,"LARGE MOVE",IF(ABS(L4802)&gt;=2%,"VENDOR DIFFERENCE","PASS"))))</f>
        <v>PASS</v>
      </c>
      <c r="N4802" s="10" t="str">
        <f t="shared" ref="N4802:N4865" si="151">IF(M4802="PASS","NONE",IF(M4802="MISSING","HIGH",IF(OR(ABS(K4802)&gt;=10%,ABS(L4802)&gt;=5%),"HIGH",IF(OR(ABS(K4802)&gt;=7%,ABS(L4802)&gt;=3%,H4802&gt;=5),"MEDIUM","LOW"))))</f>
        <v>NONE</v>
      </c>
    </row>
    <row r="4803" spans="1:14">
      <c r="A4803" s="4" t="s">
        <v>9622</v>
      </c>
      <c r="B4803" s="4" t="s">
        <v>9623</v>
      </c>
      <c r="C4803" s="4" t="s">
        <v>35</v>
      </c>
      <c r="D4803" s="4" t="s">
        <v>13</v>
      </c>
      <c r="E4803" s="5">
        <v>104.568</v>
      </c>
      <c r="F4803" s="5">
        <v>104.5681</v>
      </c>
      <c r="G4803" s="5">
        <v>104.58499999999999</v>
      </c>
      <c r="H4803" s="4">
        <v>0</v>
      </c>
      <c r="I4803" s="6">
        <v>4662981</v>
      </c>
      <c r="J4803" s="7">
        <v>470.6</v>
      </c>
      <c r="K4803" s="9">
        <f>(PricingDataTable[[#This Row],[Current Price ($)]]-PricingDataTable[[#This Row],[Prior Price ($)]])/PricingDataTable[[#This Row],[Prior Price ($)]]</f>
        <v>9.5631550764401787E-7</v>
      </c>
      <c r="L4803" s="9">
        <f>(PricingDataTable[[#This Row],[Vendor Price ($)]]-PricingDataTable[[#This Row],[Current Price ($)]])/PricingDataTable[[#This Row],[Current Price ($)]]</f>
        <v>1.6161716622940063E-4</v>
      </c>
      <c r="M4803" t="str">
        <f t="shared" si="150"/>
        <v>PASS</v>
      </c>
      <c r="N4803" s="10" t="str">
        <f t="shared" si="151"/>
        <v>NONE</v>
      </c>
    </row>
    <row r="4804" spans="1:14">
      <c r="A4804" s="4" t="s">
        <v>9624</v>
      </c>
      <c r="B4804" s="4" t="s">
        <v>9625</v>
      </c>
      <c r="C4804" s="4" t="s">
        <v>39</v>
      </c>
      <c r="D4804" s="4" t="s">
        <v>32</v>
      </c>
      <c r="E4804" s="5">
        <v>31.522200000000002</v>
      </c>
      <c r="F4804" s="5">
        <v>31.452400000000001</v>
      </c>
      <c r="G4804" s="5">
        <v>31.395299999999999</v>
      </c>
      <c r="H4804" s="4">
        <v>0</v>
      </c>
      <c r="I4804" s="6">
        <v>38971</v>
      </c>
      <c r="J4804" s="7">
        <v>382.72</v>
      </c>
      <c r="K4804" s="9">
        <f>(PricingDataTable[[#This Row],[Current Price ($)]]-PricingDataTable[[#This Row],[Prior Price ($)]])/PricingDataTable[[#This Row],[Prior Price ($)]]</f>
        <v>-2.2143124528110586E-3</v>
      </c>
      <c r="L4804" s="9">
        <f>(PricingDataTable[[#This Row],[Vendor Price ($)]]-PricingDataTable[[#This Row],[Current Price ($)]])/PricingDataTable[[#This Row],[Current Price ($)]]</f>
        <v>-1.81544174689378E-3</v>
      </c>
      <c r="M4804" t="str">
        <f t="shared" si="150"/>
        <v>PASS</v>
      </c>
      <c r="N4804" s="10" t="str">
        <f t="shared" si="151"/>
        <v>NONE</v>
      </c>
    </row>
    <row r="4805" spans="1:14">
      <c r="A4805" s="4" t="s">
        <v>9626</v>
      </c>
      <c r="B4805" s="4" t="s">
        <v>9627</v>
      </c>
      <c r="C4805" s="4" t="s">
        <v>12</v>
      </c>
      <c r="D4805" s="4" t="s">
        <v>13</v>
      </c>
      <c r="E4805" s="5">
        <v>103.5761</v>
      </c>
      <c r="F4805" s="5">
        <v>104.7704</v>
      </c>
      <c r="G4805" s="5">
        <v>104.58369999999999</v>
      </c>
      <c r="H4805" s="4">
        <v>0</v>
      </c>
      <c r="I4805" s="6">
        <v>2384878</v>
      </c>
      <c r="J4805" s="7">
        <v>514.33000000000004</v>
      </c>
      <c r="K4805" s="9">
        <f>(PricingDataTable[[#This Row],[Current Price ($)]]-PricingDataTable[[#This Row],[Prior Price ($)]])/PricingDataTable[[#This Row],[Prior Price ($)]]</f>
        <v>1.1530652341611611E-2</v>
      </c>
      <c r="L4805" s="9">
        <f>(PricingDataTable[[#This Row],[Vendor Price ($)]]-PricingDataTable[[#This Row],[Current Price ($)]])/PricingDataTable[[#This Row],[Current Price ($)]]</f>
        <v>-1.7819918602964375E-3</v>
      </c>
      <c r="M4805" t="str">
        <f t="shared" si="150"/>
        <v>PASS</v>
      </c>
      <c r="N4805" s="10" t="str">
        <f t="shared" si="151"/>
        <v>NONE</v>
      </c>
    </row>
    <row r="4806" spans="1:14">
      <c r="A4806" s="4" t="s">
        <v>9628</v>
      </c>
      <c r="B4806" s="4" t="s">
        <v>9629</v>
      </c>
      <c r="C4806" s="4" t="s">
        <v>16</v>
      </c>
      <c r="D4806" s="4" t="s">
        <v>13</v>
      </c>
      <c r="E4806" s="5">
        <v>104.6985</v>
      </c>
      <c r="F4806" s="5">
        <v>105.2204</v>
      </c>
      <c r="G4806" s="5">
        <v>105.8094</v>
      </c>
      <c r="H4806" s="4">
        <v>0</v>
      </c>
      <c r="I4806" s="6">
        <v>3690543</v>
      </c>
      <c r="J4806" s="7">
        <v>269.92</v>
      </c>
      <c r="K4806" s="9">
        <f>(PricingDataTable[[#This Row],[Current Price ($)]]-PricingDataTable[[#This Row],[Prior Price ($)]])/PricingDataTable[[#This Row],[Prior Price ($)]]</f>
        <v>4.9847896579225323E-3</v>
      </c>
      <c r="L4806" s="9">
        <f>(PricingDataTable[[#This Row],[Vendor Price ($)]]-PricingDataTable[[#This Row],[Current Price ($)]])/PricingDataTable[[#This Row],[Current Price ($)]]</f>
        <v>5.597773815723934E-3</v>
      </c>
      <c r="M4806" t="str">
        <f t="shared" si="150"/>
        <v>PASS</v>
      </c>
      <c r="N4806" s="10" t="str">
        <f t="shared" si="151"/>
        <v>NONE</v>
      </c>
    </row>
    <row r="4807" spans="1:14">
      <c r="A4807" s="4" t="s">
        <v>9630</v>
      </c>
      <c r="B4807" s="4" t="s">
        <v>9631</v>
      </c>
      <c r="C4807" s="4" t="s">
        <v>16</v>
      </c>
      <c r="D4807" s="4" t="s">
        <v>13</v>
      </c>
      <c r="E4807" s="5">
        <v>91.7179</v>
      </c>
      <c r="F4807" s="5">
        <v>91.343999999999994</v>
      </c>
      <c r="G4807" s="5">
        <v>91.690299999999993</v>
      </c>
      <c r="H4807" s="4">
        <v>0</v>
      </c>
      <c r="I4807" s="6">
        <v>3242293</v>
      </c>
      <c r="J4807" s="7">
        <v>209.6</v>
      </c>
      <c r="K4807" s="9">
        <f>(PricingDataTable[[#This Row],[Current Price ($)]]-PricingDataTable[[#This Row],[Prior Price ($)]])/PricingDataTable[[#This Row],[Prior Price ($)]]</f>
        <v>-4.0766306249925711E-3</v>
      </c>
      <c r="L4807" s="9">
        <f>(PricingDataTable[[#This Row],[Vendor Price ($)]]-PricingDataTable[[#This Row],[Current Price ($)]])/PricingDataTable[[#This Row],[Current Price ($)]]</f>
        <v>3.7911630758451502E-3</v>
      </c>
      <c r="M4807" t="str">
        <f t="shared" si="150"/>
        <v>PASS</v>
      </c>
      <c r="N4807" s="10" t="str">
        <f t="shared" si="151"/>
        <v>NONE</v>
      </c>
    </row>
    <row r="4808" spans="1:14">
      <c r="A4808" s="4" t="s">
        <v>9632</v>
      </c>
      <c r="B4808" s="4" t="s">
        <v>9633</v>
      </c>
      <c r="C4808" s="4" t="s">
        <v>19</v>
      </c>
      <c r="D4808" s="4" t="s">
        <v>13</v>
      </c>
      <c r="E4808" s="5">
        <v>217.6388</v>
      </c>
      <c r="F4808" s="5">
        <v>221.25450000000001</v>
      </c>
      <c r="G4808" s="5">
        <v>221.26580000000001</v>
      </c>
      <c r="H4808" s="4">
        <v>0</v>
      </c>
      <c r="I4808" s="6">
        <v>1256935</v>
      </c>
      <c r="J4808" s="7">
        <v>387.72</v>
      </c>
      <c r="K4808" s="9">
        <f>(PricingDataTable[[#This Row],[Current Price ($)]]-PricingDataTable[[#This Row],[Prior Price ($)]])/PricingDataTable[[#This Row],[Prior Price ($)]]</f>
        <v>1.6613306083290313E-2</v>
      </c>
      <c r="L4808" s="9">
        <f>(PricingDataTable[[#This Row],[Vendor Price ($)]]-PricingDataTable[[#This Row],[Current Price ($)]])/PricingDataTable[[#This Row],[Current Price ($)]]</f>
        <v>5.1072407566877228E-5</v>
      </c>
      <c r="M4808" t="str">
        <f t="shared" si="150"/>
        <v>PASS</v>
      </c>
      <c r="N4808" s="10" t="str">
        <f t="shared" si="151"/>
        <v>NONE</v>
      </c>
    </row>
    <row r="4809" spans="1:14">
      <c r="A4809" s="4" t="s">
        <v>9634</v>
      </c>
      <c r="B4809" s="4" t="s">
        <v>9635</v>
      </c>
      <c r="C4809" s="4" t="s">
        <v>16</v>
      </c>
      <c r="D4809" s="4" t="s">
        <v>13</v>
      </c>
      <c r="E4809" s="5">
        <v>80.571399999999997</v>
      </c>
      <c r="F4809" s="5">
        <v>81.029899999999998</v>
      </c>
      <c r="G4809" s="5">
        <v>80.957400000000007</v>
      </c>
      <c r="H4809" s="4">
        <v>0</v>
      </c>
      <c r="I4809" s="6">
        <v>3731331</v>
      </c>
      <c r="J4809" s="7">
        <v>214.74</v>
      </c>
      <c r="K4809" s="9">
        <f>(PricingDataTable[[#This Row],[Current Price ($)]]-PricingDataTable[[#This Row],[Prior Price ($)]])/PricingDataTable[[#This Row],[Prior Price ($)]]</f>
        <v>5.6906048548244267E-3</v>
      </c>
      <c r="L4809" s="9">
        <f>(PricingDataTable[[#This Row],[Vendor Price ($)]]-PricingDataTable[[#This Row],[Current Price ($)]])/PricingDataTable[[#This Row],[Current Price ($)]]</f>
        <v>-8.9473145098279653E-4</v>
      </c>
      <c r="M4809" t="str">
        <f t="shared" si="150"/>
        <v>PASS</v>
      </c>
      <c r="N4809" s="10" t="str">
        <f t="shared" si="151"/>
        <v>NONE</v>
      </c>
    </row>
    <row r="4810" spans="1:14">
      <c r="A4810" s="4" t="s">
        <v>9636</v>
      </c>
      <c r="B4810" s="4" t="s">
        <v>9637</v>
      </c>
      <c r="C4810" s="4" t="s">
        <v>19</v>
      </c>
      <c r="D4810" s="4" t="s">
        <v>13</v>
      </c>
      <c r="E4810" s="5">
        <v>125.06</v>
      </c>
      <c r="F4810" s="5">
        <v>126.0616</v>
      </c>
      <c r="G4810" s="5">
        <v>126.473</v>
      </c>
      <c r="H4810" s="4">
        <v>0</v>
      </c>
      <c r="I4810" s="6">
        <v>3344182</v>
      </c>
      <c r="J4810" s="7">
        <v>690.57</v>
      </c>
      <c r="K4810" s="9">
        <f>(PricingDataTable[[#This Row],[Current Price ($)]]-PricingDataTable[[#This Row],[Prior Price ($)]])/PricingDataTable[[#This Row],[Prior Price ($)]]</f>
        <v>8.0089557012633632E-3</v>
      </c>
      <c r="L4810" s="9">
        <f>(PricingDataTable[[#This Row],[Vendor Price ($)]]-PricingDataTable[[#This Row],[Current Price ($)]])/PricingDataTable[[#This Row],[Current Price ($)]]</f>
        <v>3.2634838840693791E-3</v>
      </c>
      <c r="M4810" t="str">
        <f t="shared" si="150"/>
        <v>PASS</v>
      </c>
      <c r="N4810" s="10" t="str">
        <f t="shared" si="151"/>
        <v>NONE</v>
      </c>
    </row>
    <row r="4811" spans="1:14">
      <c r="A4811" s="4" t="s">
        <v>9638</v>
      </c>
      <c r="B4811" s="4" t="s">
        <v>9639</v>
      </c>
      <c r="C4811" s="4" t="s">
        <v>19</v>
      </c>
      <c r="D4811" s="4" t="s">
        <v>13</v>
      </c>
      <c r="E4811" s="5">
        <v>140.5968</v>
      </c>
      <c r="F4811" s="5">
        <v>139.60679999999999</v>
      </c>
      <c r="G4811" s="5">
        <v>139.6943</v>
      </c>
      <c r="H4811" s="4">
        <v>1</v>
      </c>
      <c r="I4811" s="6">
        <v>4481758</v>
      </c>
      <c r="J4811" s="7">
        <v>225.49</v>
      </c>
      <c r="K4811" s="9">
        <f>(PricingDataTable[[#This Row],[Current Price ($)]]-PricingDataTable[[#This Row],[Prior Price ($)]])/PricingDataTable[[#This Row],[Prior Price ($)]]</f>
        <v>-7.041412037827384E-3</v>
      </c>
      <c r="L4811" s="9">
        <f>(PricingDataTable[[#This Row],[Vendor Price ($)]]-PricingDataTable[[#This Row],[Current Price ($)]])/PricingDataTable[[#This Row],[Current Price ($)]]</f>
        <v>6.2676030107420048E-4</v>
      </c>
      <c r="M4811" t="str">
        <f t="shared" si="150"/>
        <v>PASS</v>
      </c>
      <c r="N4811" s="10" t="str">
        <f t="shared" si="151"/>
        <v>NONE</v>
      </c>
    </row>
    <row r="4812" spans="1:14">
      <c r="A4812" s="4" t="s">
        <v>9640</v>
      </c>
      <c r="B4812" s="4" t="s">
        <v>9641</v>
      </c>
      <c r="C4812" s="4" t="s">
        <v>39</v>
      </c>
      <c r="D4812" s="4" t="s">
        <v>13</v>
      </c>
      <c r="E4812" s="5">
        <v>36.361800000000002</v>
      </c>
      <c r="F4812" s="5">
        <v>37.363100000000003</v>
      </c>
      <c r="G4812" s="5">
        <v>37.396299999999997</v>
      </c>
      <c r="H4812" s="4">
        <v>0</v>
      </c>
      <c r="I4812" s="6">
        <v>4326803</v>
      </c>
      <c r="J4812" s="7">
        <v>790.94</v>
      </c>
      <c r="K4812" s="9">
        <f>(PricingDataTable[[#This Row],[Current Price ($)]]-PricingDataTable[[#This Row],[Prior Price ($)]])/PricingDataTable[[#This Row],[Prior Price ($)]]</f>
        <v>2.7537140625601607E-2</v>
      </c>
      <c r="L4812" s="9">
        <f>(PricingDataTable[[#This Row],[Vendor Price ($)]]-PricingDataTable[[#This Row],[Current Price ($)]])/PricingDataTable[[#This Row],[Current Price ($)]]</f>
        <v>8.8857723261703868E-4</v>
      </c>
      <c r="M4812" t="str">
        <f t="shared" si="150"/>
        <v>PASS</v>
      </c>
      <c r="N4812" s="10" t="str">
        <f t="shared" si="151"/>
        <v>NONE</v>
      </c>
    </row>
    <row r="4813" spans="1:14">
      <c r="A4813" s="4" t="s">
        <v>9642</v>
      </c>
      <c r="B4813" s="4" t="s">
        <v>9643</v>
      </c>
      <c r="C4813" s="4" t="s">
        <v>19</v>
      </c>
      <c r="D4813" s="4" t="s">
        <v>13</v>
      </c>
      <c r="E4813" s="5">
        <v>211.376</v>
      </c>
      <c r="F4813" s="5">
        <v>218.1431</v>
      </c>
      <c r="G4813" s="5">
        <v>218.8441</v>
      </c>
      <c r="H4813" s="4">
        <v>3</v>
      </c>
      <c r="I4813" s="6">
        <v>4137513</v>
      </c>
      <c r="J4813" s="7">
        <v>35.799999999999997</v>
      </c>
      <c r="K4813" s="9">
        <f>(PricingDataTable[[#This Row],[Current Price ($)]]-PricingDataTable[[#This Row],[Prior Price ($)]])/PricingDataTable[[#This Row],[Prior Price ($)]]</f>
        <v>3.2014514419801673E-2</v>
      </c>
      <c r="L4813" s="9">
        <f>(PricingDataTable[[#This Row],[Vendor Price ($)]]-PricingDataTable[[#This Row],[Current Price ($)]])/PricingDataTable[[#This Row],[Current Price ($)]]</f>
        <v>3.2134869267008374E-3</v>
      </c>
      <c r="M4813" t="str">
        <f t="shared" si="150"/>
        <v>STALE</v>
      </c>
      <c r="N4813" s="10" t="str">
        <f t="shared" si="151"/>
        <v>LOW</v>
      </c>
    </row>
    <row r="4814" spans="1:14">
      <c r="A4814" s="4" t="s">
        <v>9644</v>
      </c>
      <c r="B4814" s="4" t="s">
        <v>9645</v>
      </c>
      <c r="C4814" s="4" t="s">
        <v>16</v>
      </c>
      <c r="D4814" s="4" t="s">
        <v>13</v>
      </c>
      <c r="E4814" s="5">
        <v>107.57689999999999</v>
      </c>
      <c r="F4814" s="5">
        <v>107.70659999999999</v>
      </c>
      <c r="G4814" s="5">
        <v>107.627</v>
      </c>
      <c r="H4814" s="4">
        <v>0</v>
      </c>
      <c r="I4814" s="6">
        <v>4403186</v>
      </c>
      <c r="J4814" s="7">
        <v>648.54999999999995</v>
      </c>
      <c r="K4814" s="9">
        <f>(PricingDataTable[[#This Row],[Current Price ($)]]-PricingDataTable[[#This Row],[Prior Price ($)]])/PricingDataTable[[#This Row],[Prior Price ($)]]</f>
        <v>1.2056491681764366E-3</v>
      </c>
      <c r="L4814" s="9">
        <f>(PricingDataTable[[#This Row],[Vendor Price ($)]]-PricingDataTable[[#This Row],[Current Price ($)]])/PricingDataTable[[#This Row],[Current Price ($)]]</f>
        <v>-7.3904477534337946E-4</v>
      </c>
      <c r="M4814" t="str">
        <f t="shared" si="150"/>
        <v>PASS</v>
      </c>
      <c r="N4814" s="10" t="str">
        <f t="shared" si="151"/>
        <v>NONE</v>
      </c>
    </row>
    <row r="4815" spans="1:14">
      <c r="A4815" s="4" t="s">
        <v>9646</v>
      </c>
      <c r="B4815" s="4" t="s">
        <v>9647</v>
      </c>
      <c r="C4815" s="4" t="s">
        <v>16</v>
      </c>
      <c r="D4815" s="4" t="s">
        <v>13</v>
      </c>
      <c r="E4815" s="5">
        <v>86.034800000000004</v>
      </c>
      <c r="F4815" s="5">
        <v>87.508600000000001</v>
      </c>
      <c r="G4815" s="5">
        <v>87.281000000000006</v>
      </c>
      <c r="H4815" s="4">
        <v>0</v>
      </c>
      <c r="I4815" s="6">
        <v>3791201</v>
      </c>
      <c r="J4815" s="7">
        <v>626.5</v>
      </c>
      <c r="K4815" s="9">
        <f>(PricingDataTable[[#This Row],[Current Price ($)]]-PricingDataTable[[#This Row],[Prior Price ($)]])/PricingDataTable[[#This Row],[Prior Price ($)]]</f>
        <v>1.7130277515609929E-2</v>
      </c>
      <c r="L4815" s="9">
        <f>(PricingDataTable[[#This Row],[Vendor Price ($)]]-PricingDataTable[[#This Row],[Current Price ($)]])/PricingDataTable[[#This Row],[Current Price ($)]]</f>
        <v>-2.6008872270839134E-3</v>
      </c>
      <c r="M4815" t="str">
        <f t="shared" si="150"/>
        <v>PASS</v>
      </c>
      <c r="N4815" s="10" t="str">
        <f t="shared" si="151"/>
        <v>NONE</v>
      </c>
    </row>
    <row r="4816" spans="1:14">
      <c r="A4816" s="4" t="s">
        <v>9648</v>
      </c>
      <c r="B4816" s="4" t="s">
        <v>9649</v>
      </c>
      <c r="C4816" s="4" t="s">
        <v>19</v>
      </c>
      <c r="D4816" s="4" t="s">
        <v>13</v>
      </c>
      <c r="E4816" s="5">
        <v>94.281199999999998</v>
      </c>
      <c r="F4816" s="5">
        <v>94.660799999999995</v>
      </c>
      <c r="G4816" s="5">
        <v>90.998099999999994</v>
      </c>
      <c r="H4816" s="4">
        <v>0</v>
      </c>
      <c r="I4816" s="6">
        <v>3236554</v>
      </c>
      <c r="J4816" s="7">
        <v>360.23</v>
      </c>
      <c r="K4816" s="9">
        <f>(PricingDataTable[[#This Row],[Current Price ($)]]-PricingDataTable[[#This Row],[Prior Price ($)]])/PricingDataTable[[#This Row],[Prior Price ($)]]</f>
        <v>4.0262533781920086E-3</v>
      </c>
      <c r="L4816" s="9">
        <f>(PricingDataTable[[#This Row],[Vendor Price ($)]]-PricingDataTable[[#This Row],[Current Price ($)]])/PricingDataTable[[#This Row],[Current Price ($)]]</f>
        <v>-3.8692890827037182E-2</v>
      </c>
      <c r="M4816" t="str">
        <f t="shared" si="150"/>
        <v>VENDOR DIFFERENCE</v>
      </c>
      <c r="N4816" s="10" t="str">
        <f t="shared" si="151"/>
        <v>MEDIUM</v>
      </c>
    </row>
    <row r="4817" spans="1:14">
      <c r="A4817" s="4" t="s">
        <v>9650</v>
      </c>
      <c r="B4817" s="4" t="s">
        <v>9651</v>
      </c>
      <c r="C4817" s="4" t="s">
        <v>12</v>
      </c>
      <c r="D4817" s="4" t="s">
        <v>32</v>
      </c>
      <c r="E4817" s="5">
        <v>82.567400000000006</v>
      </c>
      <c r="F4817" s="5">
        <v>84.327500000000001</v>
      </c>
      <c r="G4817" s="5">
        <v>84.777000000000001</v>
      </c>
      <c r="H4817" s="4">
        <v>1</v>
      </c>
      <c r="I4817" s="6">
        <v>3599128</v>
      </c>
      <c r="J4817" s="7">
        <v>423.63</v>
      </c>
      <c r="K4817" s="9">
        <f>(PricingDataTable[[#This Row],[Current Price ($)]]-PricingDataTable[[#This Row],[Prior Price ($)]])/PricingDataTable[[#This Row],[Prior Price ($)]]</f>
        <v>2.1317130005304684E-2</v>
      </c>
      <c r="L4817" s="9">
        <f>(PricingDataTable[[#This Row],[Vendor Price ($)]]-PricingDataTable[[#This Row],[Current Price ($)]])/PricingDataTable[[#This Row],[Current Price ($)]]</f>
        <v>5.3304082298182738E-3</v>
      </c>
      <c r="M4817" t="str">
        <f t="shared" si="150"/>
        <v>PASS</v>
      </c>
      <c r="N4817" s="10" t="str">
        <f t="shared" si="151"/>
        <v>NONE</v>
      </c>
    </row>
    <row r="4818" spans="1:14">
      <c r="A4818" s="4" t="s">
        <v>9652</v>
      </c>
      <c r="B4818" s="4" t="s">
        <v>9653</v>
      </c>
      <c r="C4818" s="4" t="s">
        <v>16</v>
      </c>
      <c r="D4818" s="4" t="s">
        <v>13</v>
      </c>
      <c r="E4818" s="5">
        <v>86.644000000000005</v>
      </c>
      <c r="F4818" s="5">
        <v>87.874200000000002</v>
      </c>
      <c r="G4818" s="5">
        <v>88.334199999999996</v>
      </c>
      <c r="H4818" s="4">
        <v>1</v>
      </c>
      <c r="I4818" s="6">
        <v>3726497</v>
      </c>
      <c r="J4818" s="7">
        <v>851.1</v>
      </c>
      <c r="K4818" s="9">
        <f>(PricingDataTable[[#This Row],[Current Price ($)]]-PricingDataTable[[#This Row],[Prior Price ($)]])/PricingDataTable[[#This Row],[Prior Price ($)]]</f>
        <v>1.419832879368446E-2</v>
      </c>
      <c r="L4818" s="9">
        <f>(PricingDataTable[[#This Row],[Vendor Price ($)]]-PricingDataTable[[#This Row],[Current Price ($)]])/PricingDataTable[[#This Row],[Current Price ($)]]</f>
        <v>5.2347560489881418E-3</v>
      </c>
      <c r="M4818" t="str">
        <f t="shared" si="150"/>
        <v>PASS</v>
      </c>
      <c r="N4818" s="10" t="str">
        <f t="shared" si="151"/>
        <v>NONE</v>
      </c>
    </row>
    <row r="4819" spans="1:14">
      <c r="A4819" s="4" t="s">
        <v>9654</v>
      </c>
      <c r="B4819" s="4" t="s">
        <v>9655</v>
      </c>
      <c r="C4819" s="4" t="s">
        <v>35</v>
      </c>
      <c r="D4819" s="4" t="s">
        <v>13</v>
      </c>
      <c r="E4819" s="5">
        <v>21.7378</v>
      </c>
      <c r="F4819" s="5">
        <v>21.999099999999999</v>
      </c>
      <c r="G4819" s="5">
        <v>21.892199999999999</v>
      </c>
      <c r="H4819" s="4">
        <v>1</v>
      </c>
      <c r="I4819" s="6">
        <v>2046358</v>
      </c>
      <c r="J4819" s="7">
        <v>43.96</v>
      </c>
      <c r="K4819" s="9">
        <f>(PricingDataTable[[#This Row],[Current Price ($)]]-PricingDataTable[[#This Row],[Prior Price ($)]])/PricingDataTable[[#This Row],[Prior Price ($)]]</f>
        <v>1.2020535656782128E-2</v>
      </c>
      <c r="L4819" s="9">
        <f>(PricingDataTable[[#This Row],[Vendor Price ($)]]-PricingDataTable[[#This Row],[Current Price ($)]])/PricingDataTable[[#This Row],[Current Price ($)]]</f>
        <v>-4.859289698214907E-3</v>
      </c>
      <c r="M4819" t="str">
        <f t="shared" si="150"/>
        <v>PASS</v>
      </c>
      <c r="N4819" s="10" t="str">
        <f t="shared" si="151"/>
        <v>NONE</v>
      </c>
    </row>
    <row r="4820" spans="1:14">
      <c r="A4820" s="4" t="s">
        <v>9656</v>
      </c>
      <c r="B4820" s="4" t="s">
        <v>9657</v>
      </c>
      <c r="C4820" s="4" t="s">
        <v>19</v>
      </c>
      <c r="D4820" s="4" t="s">
        <v>32</v>
      </c>
      <c r="E4820" s="5">
        <v>103.1262</v>
      </c>
      <c r="F4820" s="5">
        <v>101.9648</v>
      </c>
      <c r="G4820" s="5">
        <v>101.6699</v>
      </c>
      <c r="H4820" s="4">
        <v>0</v>
      </c>
      <c r="I4820" s="6">
        <v>3033102</v>
      </c>
      <c r="J4820" s="7">
        <v>545.47</v>
      </c>
      <c r="K4820" s="9">
        <f>(PricingDataTable[[#This Row],[Current Price ($)]]-PricingDataTable[[#This Row],[Prior Price ($)]])/PricingDataTable[[#This Row],[Prior Price ($)]]</f>
        <v>-1.1261929558153024E-2</v>
      </c>
      <c r="L4820" s="9">
        <f>(PricingDataTable[[#This Row],[Vendor Price ($)]]-PricingDataTable[[#This Row],[Current Price ($)]])/PricingDataTable[[#This Row],[Current Price ($)]]</f>
        <v>-2.8921745543559973E-3</v>
      </c>
      <c r="M4820" t="str">
        <f t="shared" si="150"/>
        <v>PASS</v>
      </c>
      <c r="N4820" s="10" t="str">
        <f t="shared" si="151"/>
        <v>NONE</v>
      </c>
    </row>
    <row r="4821" spans="1:14">
      <c r="A4821" s="4" t="s">
        <v>9658</v>
      </c>
      <c r="B4821" s="4" t="s">
        <v>9659</v>
      </c>
      <c r="C4821" s="4" t="s">
        <v>16</v>
      </c>
      <c r="D4821" s="4" t="s">
        <v>13</v>
      </c>
      <c r="E4821" s="5">
        <v>83.805400000000006</v>
      </c>
      <c r="F4821" s="5">
        <v>84.444500000000005</v>
      </c>
      <c r="G4821" s="5">
        <v>84.7256</v>
      </c>
      <c r="H4821" s="4">
        <v>0</v>
      </c>
      <c r="I4821" s="6">
        <v>106573</v>
      </c>
      <c r="J4821" s="7">
        <v>87.46</v>
      </c>
      <c r="K4821" s="9">
        <f>(PricingDataTable[[#This Row],[Current Price ($)]]-PricingDataTable[[#This Row],[Prior Price ($)]])/PricingDataTable[[#This Row],[Prior Price ($)]]</f>
        <v>7.6260002338751328E-3</v>
      </c>
      <c r="L4821" s="9">
        <f>(PricingDataTable[[#This Row],[Vendor Price ($)]]-PricingDataTable[[#This Row],[Current Price ($)]])/PricingDataTable[[#This Row],[Current Price ($)]]</f>
        <v>3.3288135994646779E-3</v>
      </c>
      <c r="M4821" t="str">
        <f t="shared" si="150"/>
        <v>PASS</v>
      </c>
      <c r="N4821" s="10" t="str">
        <f t="shared" si="151"/>
        <v>NONE</v>
      </c>
    </row>
    <row r="4822" spans="1:14">
      <c r="A4822" s="4" t="s">
        <v>9660</v>
      </c>
      <c r="B4822" s="4" t="s">
        <v>9661</v>
      </c>
      <c r="C4822" s="4" t="s">
        <v>19</v>
      </c>
      <c r="D4822" s="4" t="s">
        <v>13</v>
      </c>
      <c r="E4822" s="5">
        <v>187.58269999999999</v>
      </c>
      <c r="F4822" s="5">
        <v>191.20169999999999</v>
      </c>
      <c r="G4822" s="5">
        <v>191.6765</v>
      </c>
      <c r="H4822" s="4">
        <v>1</v>
      </c>
      <c r="I4822" s="6">
        <v>4901271</v>
      </c>
      <c r="J4822" s="7">
        <v>616.77</v>
      </c>
      <c r="K4822" s="9">
        <f>(PricingDataTable[[#This Row],[Current Price ($)]]-PricingDataTable[[#This Row],[Prior Price ($)]])/PricingDataTable[[#This Row],[Prior Price ($)]]</f>
        <v>1.9292823911799969E-2</v>
      </c>
      <c r="L4822" s="9">
        <f>(PricingDataTable[[#This Row],[Vendor Price ($)]]-PricingDataTable[[#This Row],[Current Price ($)]])/PricingDataTable[[#This Row],[Current Price ($)]]</f>
        <v>2.4832415192961995E-3</v>
      </c>
      <c r="M4822" t="str">
        <f t="shared" si="150"/>
        <v>PASS</v>
      </c>
      <c r="N4822" s="10" t="str">
        <f t="shared" si="151"/>
        <v>NONE</v>
      </c>
    </row>
    <row r="4823" spans="1:14">
      <c r="A4823" s="4" t="s">
        <v>9662</v>
      </c>
      <c r="B4823" s="4" t="s">
        <v>9663</v>
      </c>
      <c r="C4823" s="4" t="s">
        <v>39</v>
      </c>
      <c r="D4823" s="4" t="s">
        <v>13</v>
      </c>
      <c r="E4823" s="5">
        <v>222.58750000000001</v>
      </c>
      <c r="F4823" s="5">
        <v>225.51730000000001</v>
      </c>
      <c r="G4823" s="5">
        <v>225.2304</v>
      </c>
      <c r="H4823" s="4">
        <v>0</v>
      </c>
      <c r="I4823" s="6">
        <v>4256207</v>
      </c>
      <c r="J4823" s="7">
        <v>236.73</v>
      </c>
      <c r="K4823" s="9">
        <f>(PricingDataTable[[#This Row],[Current Price ($)]]-PricingDataTable[[#This Row],[Prior Price ($)]])/PricingDataTable[[#This Row],[Prior Price ($)]]</f>
        <v>1.3162464199472118E-2</v>
      </c>
      <c r="L4823" s="9">
        <f>(PricingDataTable[[#This Row],[Vendor Price ($)]]-PricingDataTable[[#This Row],[Current Price ($)]])/PricingDataTable[[#This Row],[Current Price ($)]]</f>
        <v>-1.2721862136519141E-3</v>
      </c>
      <c r="M4823" t="str">
        <f t="shared" si="150"/>
        <v>PASS</v>
      </c>
      <c r="N4823" s="10" t="str">
        <f t="shared" si="151"/>
        <v>NONE</v>
      </c>
    </row>
    <row r="4824" spans="1:14">
      <c r="A4824" s="4" t="s">
        <v>9664</v>
      </c>
      <c r="B4824" s="4" t="s">
        <v>9665</v>
      </c>
      <c r="C4824" s="4" t="s">
        <v>16</v>
      </c>
      <c r="D4824" s="4" t="s">
        <v>13</v>
      </c>
      <c r="E4824" s="5">
        <v>114.1536</v>
      </c>
      <c r="F4824" s="5">
        <v>114.1339</v>
      </c>
      <c r="G4824" s="5">
        <v>114.6058</v>
      </c>
      <c r="H4824" s="4">
        <v>0</v>
      </c>
      <c r="I4824" s="6">
        <v>1839502</v>
      </c>
      <c r="J4824" s="7">
        <v>117.02</v>
      </c>
      <c r="K4824" s="9">
        <f>(PricingDataTable[[#This Row],[Current Price ($)]]-PricingDataTable[[#This Row],[Prior Price ($)]])/PricingDataTable[[#This Row],[Prior Price ($)]]</f>
        <v>-1.7257449611751425E-4</v>
      </c>
      <c r="L4824" s="9">
        <f>(PricingDataTable[[#This Row],[Vendor Price ($)]]-PricingDataTable[[#This Row],[Current Price ($)]])/PricingDataTable[[#This Row],[Current Price ($)]]</f>
        <v>4.1346173222855361E-3</v>
      </c>
      <c r="M4824" t="str">
        <f t="shared" si="150"/>
        <v>PASS</v>
      </c>
      <c r="N4824" s="10" t="str">
        <f t="shared" si="151"/>
        <v>NONE</v>
      </c>
    </row>
    <row r="4825" spans="1:14">
      <c r="A4825" s="4" t="s">
        <v>9666</v>
      </c>
      <c r="B4825" s="4" t="s">
        <v>9667</v>
      </c>
      <c r="C4825" s="4" t="s">
        <v>19</v>
      </c>
      <c r="D4825" s="4" t="s">
        <v>13</v>
      </c>
      <c r="E4825" s="5">
        <v>120.3874</v>
      </c>
      <c r="F4825" s="5">
        <v>117.6006</v>
      </c>
      <c r="G4825" s="5">
        <v>116.99769999999999</v>
      </c>
      <c r="H4825" s="4">
        <v>0</v>
      </c>
      <c r="I4825" s="6">
        <v>4753360</v>
      </c>
      <c r="J4825" s="7">
        <v>684.39</v>
      </c>
      <c r="K4825" s="9">
        <f>(PricingDataTable[[#This Row],[Current Price ($)]]-PricingDataTable[[#This Row],[Prior Price ($)]])/PricingDataTable[[#This Row],[Prior Price ($)]]</f>
        <v>-2.3148601930102316E-2</v>
      </c>
      <c r="L4825" s="9">
        <f>(PricingDataTable[[#This Row],[Vendor Price ($)]]-PricingDataTable[[#This Row],[Current Price ($)]])/PricingDataTable[[#This Row],[Current Price ($)]]</f>
        <v>-5.1266745237694821E-3</v>
      </c>
      <c r="M4825" t="str">
        <f t="shared" si="150"/>
        <v>PASS</v>
      </c>
      <c r="N4825" s="10" t="str">
        <f t="shared" si="151"/>
        <v>NONE</v>
      </c>
    </row>
    <row r="4826" spans="1:14">
      <c r="A4826" s="4" t="s">
        <v>9668</v>
      </c>
      <c r="B4826" s="4" t="s">
        <v>9669</v>
      </c>
      <c r="C4826" s="4" t="s">
        <v>35</v>
      </c>
      <c r="D4826" s="4" t="s">
        <v>13</v>
      </c>
      <c r="E4826" s="5">
        <v>111.55889999999999</v>
      </c>
      <c r="F4826" s="5">
        <v>111.89870000000001</v>
      </c>
      <c r="G4826" s="5">
        <v>112.7711</v>
      </c>
      <c r="H4826" s="4">
        <v>0</v>
      </c>
      <c r="I4826" s="6">
        <v>4399619</v>
      </c>
      <c r="J4826" s="7">
        <v>53.29</v>
      </c>
      <c r="K4826" s="9">
        <f>(PricingDataTable[[#This Row],[Current Price ($)]]-PricingDataTable[[#This Row],[Prior Price ($)]])/PricingDataTable[[#This Row],[Prior Price ($)]]</f>
        <v>3.0459246191922923E-3</v>
      </c>
      <c r="L4826" s="9">
        <f>(PricingDataTable[[#This Row],[Vendor Price ($)]]-PricingDataTable[[#This Row],[Current Price ($)]])/PricingDataTable[[#This Row],[Current Price ($)]]</f>
        <v>7.7963372228631693E-3</v>
      </c>
      <c r="M4826" t="str">
        <f t="shared" si="150"/>
        <v>PASS</v>
      </c>
      <c r="N4826" s="10" t="str">
        <f t="shared" si="151"/>
        <v>NONE</v>
      </c>
    </row>
    <row r="4827" spans="1:14">
      <c r="A4827" s="4" t="s">
        <v>9670</v>
      </c>
      <c r="B4827" s="4" t="s">
        <v>9671</v>
      </c>
      <c r="C4827" s="4" t="s">
        <v>12</v>
      </c>
      <c r="D4827" s="4" t="s">
        <v>64</v>
      </c>
      <c r="E4827" s="5">
        <v>104.2919</v>
      </c>
      <c r="F4827" s="5">
        <v>102.4106</v>
      </c>
      <c r="G4827" s="5">
        <v>102.3197</v>
      </c>
      <c r="H4827" s="4">
        <v>0</v>
      </c>
      <c r="I4827" s="6">
        <v>2805182</v>
      </c>
      <c r="J4827" s="7">
        <v>60.39</v>
      </c>
      <c r="K4827" s="9">
        <f>(PricingDataTable[[#This Row],[Current Price ($)]]-PricingDataTable[[#This Row],[Prior Price ($)]])/PricingDataTable[[#This Row],[Prior Price ($)]]</f>
        <v>-1.8038793041453803E-2</v>
      </c>
      <c r="L4827" s="9">
        <f>(PricingDataTable[[#This Row],[Vendor Price ($)]]-PricingDataTable[[#This Row],[Current Price ($)]])/PricingDataTable[[#This Row],[Current Price ($)]]</f>
        <v>-8.8760343167606538E-4</v>
      </c>
      <c r="M4827" t="str">
        <f t="shared" si="150"/>
        <v>PASS</v>
      </c>
      <c r="N4827" s="10" t="str">
        <f t="shared" si="151"/>
        <v>NONE</v>
      </c>
    </row>
    <row r="4828" spans="1:14">
      <c r="A4828" s="4" t="s">
        <v>9672</v>
      </c>
      <c r="B4828" s="4" t="s">
        <v>9673</v>
      </c>
      <c r="C4828" s="4" t="s">
        <v>16</v>
      </c>
      <c r="D4828" s="4" t="s">
        <v>13</v>
      </c>
      <c r="E4828" s="5">
        <v>81.667400000000001</v>
      </c>
      <c r="F4828" s="5">
        <v>82.289900000000003</v>
      </c>
      <c r="G4828" s="5">
        <v>82.283500000000004</v>
      </c>
      <c r="H4828" s="4">
        <v>0</v>
      </c>
      <c r="I4828" s="6">
        <v>4396153</v>
      </c>
      <c r="J4828" s="7">
        <v>431.08</v>
      </c>
      <c r="K4828" s="9">
        <f>(PricingDataTable[[#This Row],[Current Price ($)]]-PricingDataTable[[#This Row],[Prior Price ($)]])/PricingDataTable[[#This Row],[Prior Price ($)]]</f>
        <v>7.6223805337258472E-3</v>
      </c>
      <c r="L4828" s="9">
        <f>(PricingDataTable[[#This Row],[Vendor Price ($)]]-PricingDataTable[[#This Row],[Current Price ($)]])/PricingDataTable[[#This Row],[Current Price ($)]]</f>
        <v>-7.7773821574692584E-5</v>
      </c>
      <c r="M4828" t="str">
        <f t="shared" si="150"/>
        <v>PASS</v>
      </c>
      <c r="N4828" s="10" t="str">
        <f t="shared" si="151"/>
        <v>NONE</v>
      </c>
    </row>
    <row r="4829" spans="1:14">
      <c r="A4829" s="4" t="s">
        <v>9674</v>
      </c>
      <c r="B4829" s="4" t="s">
        <v>9675</v>
      </c>
      <c r="C4829" s="4" t="s">
        <v>16</v>
      </c>
      <c r="D4829" s="4" t="s">
        <v>13</v>
      </c>
      <c r="E4829" s="5">
        <v>123.4259</v>
      </c>
      <c r="F4829" s="5">
        <v>125.0825</v>
      </c>
      <c r="G4829" s="5">
        <v>124.8749</v>
      </c>
      <c r="H4829" s="4">
        <v>0</v>
      </c>
      <c r="I4829" s="6">
        <v>3716452</v>
      </c>
      <c r="J4829" s="7">
        <v>379.92</v>
      </c>
      <c r="K4829" s="9">
        <f>(PricingDataTable[[#This Row],[Current Price ($)]]-PricingDataTable[[#This Row],[Prior Price ($)]])/PricingDataTable[[#This Row],[Prior Price ($)]]</f>
        <v>1.3421818273150104E-2</v>
      </c>
      <c r="L4829" s="9">
        <f>(PricingDataTable[[#This Row],[Vendor Price ($)]]-PricingDataTable[[#This Row],[Current Price ($)]])/PricingDataTable[[#This Row],[Current Price ($)]]</f>
        <v>-1.6597045949673164E-3</v>
      </c>
      <c r="M4829" t="str">
        <f t="shared" si="150"/>
        <v>PASS</v>
      </c>
      <c r="N4829" s="10" t="str">
        <f t="shared" si="151"/>
        <v>NONE</v>
      </c>
    </row>
    <row r="4830" spans="1:14">
      <c r="A4830" s="4" t="s">
        <v>9676</v>
      </c>
      <c r="B4830" s="4" t="s">
        <v>9677</v>
      </c>
      <c r="C4830" s="4" t="s">
        <v>16</v>
      </c>
      <c r="D4830" s="4" t="s">
        <v>13</v>
      </c>
      <c r="E4830" s="5">
        <v>119.14570000000001</v>
      </c>
      <c r="F4830" s="5">
        <v>115.85720000000001</v>
      </c>
      <c r="G4830" s="5">
        <v>115.80540000000001</v>
      </c>
      <c r="H4830" s="4">
        <v>0</v>
      </c>
      <c r="I4830" s="6">
        <v>3806821</v>
      </c>
      <c r="J4830" s="7">
        <v>386.98</v>
      </c>
      <c r="K4830" s="9">
        <f>(PricingDataTable[[#This Row],[Current Price ($)]]-PricingDataTable[[#This Row],[Prior Price ($)]])/PricingDataTable[[#This Row],[Prior Price ($)]]</f>
        <v>-2.7600660367936056E-2</v>
      </c>
      <c r="L4830" s="9">
        <f>(PricingDataTable[[#This Row],[Vendor Price ($)]]-PricingDataTable[[#This Row],[Current Price ($)]])/PricingDataTable[[#This Row],[Current Price ($)]]</f>
        <v>-4.4710212226775777E-4</v>
      </c>
      <c r="M4830" t="str">
        <f t="shared" si="150"/>
        <v>PASS</v>
      </c>
      <c r="N4830" s="10" t="str">
        <f t="shared" si="151"/>
        <v>NONE</v>
      </c>
    </row>
    <row r="4831" spans="1:14">
      <c r="A4831" s="4" t="s">
        <v>9678</v>
      </c>
      <c r="B4831" s="4" t="s">
        <v>9679</v>
      </c>
      <c r="C4831" s="4" t="s">
        <v>12</v>
      </c>
      <c r="D4831" s="4" t="s">
        <v>13</v>
      </c>
      <c r="E4831" s="5">
        <v>79.904600000000002</v>
      </c>
      <c r="F4831" s="5">
        <v>88.847200000000001</v>
      </c>
      <c r="G4831" s="5">
        <v>88.861999999999995</v>
      </c>
      <c r="H4831" s="4">
        <v>1</v>
      </c>
      <c r="I4831" s="6">
        <v>438878</v>
      </c>
      <c r="J4831" s="7">
        <v>658.57</v>
      </c>
      <c r="K4831" s="9">
        <f>(PricingDataTable[[#This Row],[Current Price ($)]]-PricingDataTable[[#This Row],[Prior Price ($)]])/PricingDataTable[[#This Row],[Prior Price ($)]]</f>
        <v>0.11191595978204007</v>
      </c>
      <c r="L4831" s="9">
        <f>(PricingDataTable[[#This Row],[Vendor Price ($)]]-PricingDataTable[[#This Row],[Current Price ($)]])/PricingDataTable[[#This Row],[Current Price ($)]]</f>
        <v>1.6657812514062265E-4</v>
      </c>
      <c r="M4831" t="str">
        <f t="shared" si="150"/>
        <v>LARGE MOVE</v>
      </c>
      <c r="N4831" s="10" t="str">
        <f t="shared" si="151"/>
        <v>HIGH</v>
      </c>
    </row>
    <row r="4832" spans="1:14">
      <c r="A4832" s="4" t="s">
        <v>9680</v>
      </c>
      <c r="B4832" s="4" t="s">
        <v>9681</v>
      </c>
      <c r="C4832" s="4" t="s">
        <v>35</v>
      </c>
      <c r="D4832" s="4" t="s">
        <v>237</v>
      </c>
      <c r="E4832" s="5">
        <v>31.571200000000001</v>
      </c>
      <c r="F4832" s="5">
        <v>32.118099999999998</v>
      </c>
      <c r="G4832" s="5">
        <v>31.961099999999998</v>
      </c>
      <c r="H4832" s="4">
        <v>0</v>
      </c>
      <c r="I4832" s="6">
        <v>1077832</v>
      </c>
      <c r="J4832" s="7">
        <v>120.62</v>
      </c>
      <c r="K4832" s="9">
        <f>(PricingDataTable[[#This Row],[Current Price ($)]]-PricingDataTable[[#This Row],[Prior Price ($)]])/PricingDataTable[[#This Row],[Prior Price ($)]]</f>
        <v>1.7322749847962612E-2</v>
      </c>
      <c r="L4832" s="9">
        <f>(PricingDataTable[[#This Row],[Vendor Price ($)]]-PricingDataTable[[#This Row],[Current Price ($)]])/PricingDataTable[[#This Row],[Current Price ($)]]</f>
        <v>-4.8882094519912458E-3</v>
      </c>
      <c r="M4832" t="str">
        <f t="shared" si="150"/>
        <v>PASS</v>
      </c>
      <c r="N4832" s="10" t="str">
        <f t="shared" si="151"/>
        <v>NONE</v>
      </c>
    </row>
    <row r="4833" spans="1:14">
      <c r="A4833" s="4" t="s">
        <v>9682</v>
      </c>
      <c r="B4833" s="4" t="s">
        <v>9683</v>
      </c>
      <c r="C4833" s="4" t="s">
        <v>39</v>
      </c>
      <c r="D4833" s="4" t="s">
        <v>13</v>
      </c>
      <c r="E4833" s="5">
        <v>153.88550000000001</v>
      </c>
      <c r="F4833" s="5">
        <v>151.94710000000001</v>
      </c>
      <c r="G4833" s="5">
        <v>151.36359999999999</v>
      </c>
      <c r="H4833" s="4">
        <v>0</v>
      </c>
      <c r="I4833" s="6">
        <v>2588952</v>
      </c>
      <c r="J4833" s="7">
        <v>72.010000000000005</v>
      </c>
      <c r="K4833" s="9">
        <f>(PricingDataTable[[#This Row],[Current Price ($)]]-PricingDataTable[[#This Row],[Prior Price ($)]])/PricingDataTable[[#This Row],[Prior Price ($)]]</f>
        <v>-1.259637847620472E-2</v>
      </c>
      <c r="L4833" s="9">
        <f>(PricingDataTable[[#This Row],[Vendor Price ($)]]-PricingDataTable[[#This Row],[Current Price ($)]])/PricingDataTable[[#This Row],[Current Price ($)]]</f>
        <v>-3.8401522635181256E-3</v>
      </c>
      <c r="M4833" t="str">
        <f t="shared" si="150"/>
        <v>PASS</v>
      </c>
      <c r="N4833" s="10" t="str">
        <f t="shared" si="151"/>
        <v>NONE</v>
      </c>
    </row>
    <row r="4834" spans="1:14">
      <c r="A4834" s="4" t="s">
        <v>9684</v>
      </c>
      <c r="B4834" s="4" t="s">
        <v>9685</v>
      </c>
      <c r="C4834" s="4" t="s">
        <v>35</v>
      </c>
      <c r="D4834" s="4" t="s">
        <v>13</v>
      </c>
      <c r="E4834" s="5">
        <v>138.77510000000001</v>
      </c>
      <c r="F4834" s="5">
        <v>140.22919999999999</v>
      </c>
      <c r="G4834" s="5">
        <v>140.45820000000001</v>
      </c>
      <c r="H4834" s="4">
        <v>0</v>
      </c>
      <c r="I4834" s="6">
        <v>1751138</v>
      </c>
      <c r="J4834" s="7">
        <v>653.46</v>
      </c>
      <c r="K4834" s="9">
        <f>(PricingDataTable[[#This Row],[Current Price ($)]]-PricingDataTable[[#This Row],[Prior Price ($)]])/PricingDataTable[[#This Row],[Prior Price ($)]]</f>
        <v>1.0478104501455827E-2</v>
      </c>
      <c r="L4834" s="9">
        <f>(PricingDataTable[[#This Row],[Vendor Price ($)]]-PricingDataTable[[#This Row],[Current Price ($)]])/PricingDataTable[[#This Row],[Current Price ($)]]</f>
        <v>1.6330407646910445E-3</v>
      </c>
      <c r="M4834" t="str">
        <f t="shared" si="150"/>
        <v>PASS</v>
      </c>
      <c r="N4834" s="10" t="str">
        <f t="shared" si="151"/>
        <v>NONE</v>
      </c>
    </row>
    <row r="4835" spans="1:14">
      <c r="A4835" s="4" t="s">
        <v>9686</v>
      </c>
      <c r="B4835" s="4" t="s">
        <v>9687</v>
      </c>
      <c r="C4835" s="4" t="s">
        <v>35</v>
      </c>
      <c r="D4835" s="4" t="s">
        <v>13</v>
      </c>
      <c r="E4835" s="5">
        <v>8.9021000000000008</v>
      </c>
      <c r="F4835" s="5">
        <v>8.9682999999999993</v>
      </c>
      <c r="G4835" s="5">
        <v>8.4870000000000001</v>
      </c>
      <c r="H4835" s="4">
        <v>2</v>
      </c>
      <c r="I4835" s="6">
        <v>1780681</v>
      </c>
      <c r="J4835" s="7">
        <v>37.630000000000003</v>
      </c>
      <c r="K4835" s="9">
        <f>(PricingDataTable[[#This Row],[Current Price ($)]]-PricingDataTable[[#This Row],[Prior Price ($)]])/PricingDataTable[[#This Row],[Prior Price ($)]]</f>
        <v>7.4364475797843738E-3</v>
      </c>
      <c r="L4835" s="9">
        <f>(PricingDataTable[[#This Row],[Vendor Price ($)]]-PricingDataTable[[#This Row],[Current Price ($)]])/PricingDataTable[[#This Row],[Current Price ($)]]</f>
        <v>-5.3666804188084609E-2</v>
      </c>
      <c r="M4835" t="str">
        <f t="shared" si="150"/>
        <v>VENDOR DIFFERENCE</v>
      </c>
      <c r="N4835" s="10" t="str">
        <f t="shared" si="151"/>
        <v>HIGH</v>
      </c>
    </row>
    <row r="4836" spans="1:14">
      <c r="A4836" s="4" t="s">
        <v>9688</v>
      </c>
      <c r="B4836" s="4" t="s">
        <v>9689</v>
      </c>
      <c r="C4836" s="4" t="s">
        <v>39</v>
      </c>
      <c r="D4836" s="4" t="s">
        <v>13</v>
      </c>
      <c r="E4836" s="5">
        <v>220.79150000000001</v>
      </c>
      <c r="F4836" s="5">
        <v>224.97810000000001</v>
      </c>
      <c r="G4836" s="5">
        <v>224.22210000000001</v>
      </c>
      <c r="H4836" s="4">
        <v>0</v>
      </c>
      <c r="I4836" s="6">
        <v>3938390</v>
      </c>
      <c r="J4836" s="7">
        <v>867.77</v>
      </c>
      <c r="K4836" s="9">
        <f>(PricingDataTable[[#This Row],[Current Price ($)]]-PricingDataTable[[#This Row],[Prior Price ($)]])/PricingDataTable[[#This Row],[Prior Price ($)]]</f>
        <v>1.8961780684491922E-2</v>
      </c>
      <c r="L4836" s="9">
        <f>(PricingDataTable[[#This Row],[Vendor Price ($)]]-PricingDataTable[[#This Row],[Current Price ($)]])/PricingDataTable[[#This Row],[Current Price ($)]]</f>
        <v>-3.3603270718349926E-3</v>
      </c>
      <c r="M4836" t="str">
        <f t="shared" si="150"/>
        <v>PASS</v>
      </c>
      <c r="N4836" s="10" t="str">
        <f t="shared" si="151"/>
        <v>NONE</v>
      </c>
    </row>
    <row r="4837" spans="1:14">
      <c r="A4837" s="4" t="s">
        <v>9690</v>
      </c>
      <c r="B4837" s="4" t="s">
        <v>9691</v>
      </c>
      <c r="C4837" s="4" t="s">
        <v>16</v>
      </c>
      <c r="D4837" s="4" t="s">
        <v>13</v>
      </c>
      <c r="E4837" s="5">
        <v>108.2016</v>
      </c>
      <c r="F4837" s="5">
        <v>107.7701</v>
      </c>
      <c r="G4837" s="5">
        <v>107.98990000000001</v>
      </c>
      <c r="H4837" s="4">
        <v>0</v>
      </c>
      <c r="I4837" s="6">
        <v>3698013</v>
      </c>
      <c r="J4837" s="7">
        <v>784.1</v>
      </c>
      <c r="K4837" s="9">
        <f>(PricingDataTable[[#This Row],[Current Price ($)]]-PricingDataTable[[#This Row],[Prior Price ($)]])/PricingDataTable[[#This Row],[Prior Price ($)]]</f>
        <v>-3.9879262413864466E-3</v>
      </c>
      <c r="L4837" s="9">
        <f>(PricingDataTable[[#This Row],[Vendor Price ($)]]-PricingDataTable[[#This Row],[Current Price ($)]])/PricingDataTable[[#This Row],[Current Price ($)]]</f>
        <v>2.0395267332962153E-3</v>
      </c>
      <c r="M4837" t="str">
        <f t="shared" si="150"/>
        <v>PASS</v>
      </c>
      <c r="N4837" s="10" t="str">
        <f t="shared" si="151"/>
        <v>NONE</v>
      </c>
    </row>
    <row r="4838" spans="1:14">
      <c r="A4838" s="4" t="s">
        <v>9692</v>
      </c>
      <c r="B4838" s="4" t="s">
        <v>9693</v>
      </c>
      <c r="C4838" s="4" t="s">
        <v>16</v>
      </c>
      <c r="D4838" s="4" t="s">
        <v>13</v>
      </c>
      <c r="E4838" s="5">
        <v>118.6112</v>
      </c>
      <c r="F4838" s="5">
        <v>117.05119999999999</v>
      </c>
      <c r="G4838" s="5">
        <v>117.1695</v>
      </c>
      <c r="H4838" s="4">
        <v>0</v>
      </c>
      <c r="I4838" s="6">
        <v>4430212</v>
      </c>
      <c r="J4838" s="7">
        <v>855.94</v>
      </c>
      <c r="K4838" s="9">
        <f>(PricingDataTable[[#This Row],[Current Price ($)]]-PricingDataTable[[#This Row],[Prior Price ($)]])/PricingDataTable[[#This Row],[Prior Price ($)]]</f>
        <v>-1.3152214967895126E-2</v>
      </c>
      <c r="L4838" s="9">
        <f>(PricingDataTable[[#This Row],[Vendor Price ($)]]-PricingDataTable[[#This Row],[Current Price ($)]])/PricingDataTable[[#This Row],[Current Price ($)]]</f>
        <v>1.0106688355181746E-3</v>
      </c>
      <c r="M4838" t="str">
        <f t="shared" si="150"/>
        <v>PASS</v>
      </c>
      <c r="N4838" s="10" t="str">
        <f t="shared" si="151"/>
        <v>NONE</v>
      </c>
    </row>
    <row r="4839" spans="1:14">
      <c r="A4839" s="4" t="s">
        <v>9694</v>
      </c>
      <c r="B4839" s="4" t="s">
        <v>9695</v>
      </c>
      <c r="C4839" s="4" t="s">
        <v>19</v>
      </c>
      <c r="D4839" s="4" t="s">
        <v>13</v>
      </c>
      <c r="E4839" s="5">
        <v>73.954999999999998</v>
      </c>
      <c r="F4839" s="5">
        <v>75.629099999999994</v>
      </c>
      <c r="G4839" s="5">
        <v>75.586299999999994</v>
      </c>
      <c r="H4839" s="4">
        <v>0</v>
      </c>
      <c r="I4839" s="6">
        <v>1287638</v>
      </c>
      <c r="J4839" s="7">
        <v>268.42</v>
      </c>
      <c r="K4839" s="9">
        <f>(PricingDataTable[[#This Row],[Current Price ($)]]-PricingDataTable[[#This Row],[Prior Price ($)]])/PricingDataTable[[#This Row],[Prior Price ($)]]</f>
        <v>2.2636738557230692E-2</v>
      </c>
      <c r="L4839" s="9">
        <f>(PricingDataTable[[#This Row],[Vendor Price ($)]]-PricingDataTable[[#This Row],[Current Price ($)]])/PricingDataTable[[#This Row],[Current Price ($)]]</f>
        <v>-5.6591973195502438E-4</v>
      </c>
      <c r="M4839" t="str">
        <f t="shared" si="150"/>
        <v>PASS</v>
      </c>
      <c r="N4839" s="10" t="str">
        <f t="shared" si="151"/>
        <v>NONE</v>
      </c>
    </row>
    <row r="4840" spans="1:14">
      <c r="A4840" s="4" t="s">
        <v>9696</v>
      </c>
      <c r="B4840" s="4" t="s">
        <v>9697</v>
      </c>
      <c r="C4840" s="4" t="s">
        <v>19</v>
      </c>
      <c r="D4840" s="4" t="s">
        <v>13</v>
      </c>
      <c r="E4840" s="5">
        <v>228.01259999999999</v>
      </c>
      <c r="F4840" s="5">
        <v>228.57640000000001</v>
      </c>
      <c r="G4840" s="5">
        <v>229.1507</v>
      </c>
      <c r="H4840" s="4">
        <v>1</v>
      </c>
      <c r="I4840" s="6">
        <v>2837130</v>
      </c>
      <c r="J4840" s="7">
        <v>426.2</v>
      </c>
      <c r="K4840" s="9">
        <f>(PricingDataTable[[#This Row],[Current Price ($)]]-PricingDataTable[[#This Row],[Prior Price ($)]])/PricingDataTable[[#This Row],[Prior Price ($)]]</f>
        <v>2.4726703699708471E-3</v>
      </c>
      <c r="L4840" s="9">
        <f>(PricingDataTable[[#This Row],[Vendor Price ($)]]-PricingDataTable[[#This Row],[Current Price ($)]])/PricingDataTable[[#This Row],[Current Price ($)]]</f>
        <v>2.512507852954171E-3</v>
      </c>
      <c r="M4840" t="str">
        <f t="shared" si="150"/>
        <v>PASS</v>
      </c>
      <c r="N4840" s="10" t="str">
        <f t="shared" si="151"/>
        <v>NONE</v>
      </c>
    </row>
    <row r="4841" spans="1:14">
      <c r="A4841" s="4" t="s">
        <v>9698</v>
      </c>
      <c r="B4841" s="4" t="s">
        <v>9699</v>
      </c>
      <c r="C4841" s="4" t="s">
        <v>19</v>
      </c>
      <c r="D4841" s="4" t="s">
        <v>13</v>
      </c>
      <c r="E4841" s="5">
        <v>15.9063</v>
      </c>
      <c r="F4841" s="5">
        <v>15.786099999999999</v>
      </c>
      <c r="G4841" s="5">
        <v>15.8413</v>
      </c>
      <c r="H4841" s="4">
        <v>0</v>
      </c>
      <c r="I4841" s="6">
        <v>4071734</v>
      </c>
      <c r="J4841" s="7">
        <v>639.82000000000005</v>
      </c>
      <c r="K4841" s="9">
        <f>(PricingDataTable[[#This Row],[Current Price ($)]]-PricingDataTable[[#This Row],[Prior Price ($)]])/PricingDataTable[[#This Row],[Prior Price ($)]]</f>
        <v>-7.556754242029921E-3</v>
      </c>
      <c r="L4841" s="9">
        <f>(PricingDataTable[[#This Row],[Vendor Price ($)]]-PricingDataTable[[#This Row],[Current Price ($)]])/PricingDataTable[[#This Row],[Current Price ($)]]</f>
        <v>3.4967471383052832E-3</v>
      </c>
      <c r="M4841" t="str">
        <f t="shared" si="150"/>
        <v>PASS</v>
      </c>
      <c r="N4841" s="10" t="str">
        <f t="shared" si="151"/>
        <v>NONE</v>
      </c>
    </row>
    <row r="4842" spans="1:14">
      <c r="A4842" s="4" t="s">
        <v>9700</v>
      </c>
      <c r="B4842" s="4" t="s">
        <v>9701</v>
      </c>
      <c r="C4842" s="4" t="s">
        <v>19</v>
      </c>
      <c r="D4842" s="4" t="s">
        <v>13</v>
      </c>
      <c r="E4842" s="5">
        <v>112.31</v>
      </c>
      <c r="F4842" s="5">
        <v>110.4285</v>
      </c>
      <c r="G4842" s="5">
        <v>111.05670000000001</v>
      </c>
      <c r="H4842" s="4">
        <v>0</v>
      </c>
      <c r="I4842" s="6">
        <v>57786</v>
      </c>
      <c r="J4842" s="7">
        <v>23.15</v>
      </c>
      <c r="K4842" s="9">
        <f>(PricingDataTable[[#This Row],[Current Price ($)]]-PricingDataTable[[#This Row],[Prior Price ($)]])/PricingDataTable[[#This Row],[Prior Price ($)]]</f>
        <v>-1.6752737957439253E-2</v>
      </c>
      <c r="L4842" s="9">
        <f>(PricingDataTable[[#This Row],[Vendor Price ($)]]-PricingDataTable[[#This Row],[Current Price ($)]])/PricingDataTable[[#This Row],[Current Price ($)]]</f>
        <v>5.688748828427505E-3</v>
      </c>
      <c r="M4842" t="str">
        <f t="shared" si="150"/>
        <v>PASS</v>
      </c>
      <c r="N4842" s="10" t="str">
        <f t="shared" si="151"/>
        <v>NONE</v>
      </c>
    </row>
    <row r="4843" spans="1:14">
      <c r="A4843" s="4" t="s">
        <v>9702</v>
      </c>
      <c r="B4843" s="4" t="s">
        <v>9703</v>
      </c>
      <c r="C4843" s="4" t="s">
        <v>39</v>
      </c>
      <c r="D4843" s="4" t="s">
        <v>13</v>
      </c>
      <c r="E4843" s="5">
        <v>72.5364</v>
      </c>
      <c r="F4843" s="5">
        <v>78.579899999999995</v>
      </c>
      <c r="G4843" s="5">
        <v>78.619600000000005</v>
      </c>
      <c r="H4843" s="4">
        <v>0</v>
      </c>
      <c r="I4843" s="6">
        <v>4379362</v>
      </c>
      <c r="J4843" s="7">
        <v>844.35</v>
      </c>
      <c r="K4843" s="9">
        <f>(PricingDataTable[[#This Row],[Current Price ($)]]-PricingDataTable[[#This Row],[Prior Price ($)]])/PricingDataTable[[#This Row],[Prior Price ($)]]</f>
        <v>8.3316789915132194E-2</v>
      </c>
      <c r="L4843" s="9">
        <f>(PricingDataTable[[#This Row],[Vendor Price ($)]]-PricingDataTable[[#This Row],[Current Price ($)]])/PricingDataTable[[#This Row],[Current Price ($)]]</f>
        <v>5.0521825555912528E-4</v>
      </c>
      <c r="M4843" t="str">
        <f t="shared" si="150"/>
        <v>LARGE MOVE</v>
      </c>
      <c r="N4843" s="10" t="str">
        <f t="shared" si="151"/>
        <v>MEDIUM</v>
      </c>
    </row>
    <row r="4844" spans="1:14">
      <c r="A4844" s="4" t="s">
        <v>9704</v>
      </c>
      <c r="B4844" s="4" t="s">
        <v>9705</v>
      </c>
      <c r="C4844" s="4" t="s">
        <v>35</v>
      </c>
      <c r="D4844" s="4" t="s">
        <v>13</v>
      </c>
      <c r="E4844" s="5">
        <v>15.4062</v>
      </c>
      <c r="F4844" s="5">
        <v>15.323499999999999</v>
      </c>
      <c r="G4844" s="5">
        <v>15.3378</v>
      </c>
      <c r="H4844" s="4">
        <v>0</v>
      </c>
      <c r="I4844" s="6">
        <v>4429231</v>
      </c>
      <c r="J4844" s="7">
        <v>285.64999999999998</v>
      </c>
      <c r="K4844" s="9">
        <f>(PricingDataTable[[#This Row],[Current Price ($)]]-PricingDataTable[[#This Row],[Prior Price ($)]])/PricingDataTable[[#This Row],[Prior Price ($)]]</f>
        <v>-5.3679687398580367E-3</v>
      </c>
      <c r="L4844" s="9">
        <f>(PricingDataTable[[#This Row],[Vendor Price ($)]]-PricingDataTable[[#This Row],[Current Price ($)]])/PricingDataTable[[#This Row],[Current Price ($)]]</f>
        <v>9.3320716546483663E-4</v>
      </c>
      <c r="M4844" t="str">
        <f t="shared" si="150"/>
        <v>PASS</v>
      </c>
      <c r="N4844" s="10" t="str">
        <f t="shared" si="151"/>
        <v>NONE</v>
      </c>
    </row>
    <row r="4845" spans="1:14">
      <c r="A4845" s="4" t="s">
        <v>9706</v>
      </c>
      <c r="B4845" s="4" t="s">
        <v>9707</v>
      </c>
      <c r="C4845" s="4" t="s">
        <v>12</v>
      </c>
      <c r="D4845" s="4" t="s">
        <v>64</v>
      </c>
      <c r="E4845" s="5">
        <v>91.152100000000004</v>
      </c>
      <c r="F4845" s="5">
        <v>92.455799999999996</v>
      </c>
      <c r="G4845" s="5">
        <v>92.598600000000005</v>
      </c>
      <c r="H4845" s="4">
        <v>0</v>
      </c>
      <c r="I4845" s="6">
        <v>165545</v>
      </c>
      <c r="J4845" s="7">
        <v>113.51</v>
      </c>
      <c r="K4845" s="9">
        <f>(PricingDataTable[[#This Row],[Current Price ($)]]-PricingDataTable[[#This Row],[Prior Price ($)]])/PricingDataTable[[#This Row],[Prior Price ($)]]</f>
        <v>1.4302468072595059E-2</v>
      </c>
      <c r="L4845" s="9">
        <f>(PricingDataTable[[#This Row],[Vendor Price ($)]]-PricingDataTable[[#This Row],[Current Price ($)]])/PricingDataTable[[#This Row],[Current Price ($)]]</f>
        <v>1.5445218147483258E-3</v>
      </c>
      <c r="M4845" t="str">
        <f t="shared" si="150"/>
        <v>PASS</v>
      </c>
      <c r="N4845" s="10" t="str">
        <f t="shared" si="151"/>
        <v>NONE</v>
      </c>
    </row>
    <row r="4846" spans="1:14">
      <c r="A4846" s="4" t="s">
        <v>9708</v>
      </c>
      <c r="B4846" s="4" t="s">
        <v>9709</v>
      </c>
      <c r="C4846" s="4" t="s">
        <v>19</v>
      </c>
      <c r="D4846" s="4" t="s">
        <v>13</v>
      </c>
      <c r="E4846" s="5">
        <v>231.29939999999999</v>
      </c>
      <c r="F4846" s="5">
        <v>232.9785</v>
      </c>
      <c r="G4846" s="5">
        <v>232.7407</v>
      </c>
      <c r="H4846" s="4">
        <v>1</v>
      </c>
      <c r="I4846" s="6">
        <v>4371518</v>
      </c>
      <c r="J4846" s="7">
        <v>686.83</v>
      </c>
      <c r="K4846" s="9">
        <f>(PricingDataTable[[#This Row],[Current Price ($)]]-PricingDataTable[[#This Row],[Prior Price ($)]])/PricingDataTable[[#This Row],[Prior Price ($)]]</f>
        <v>7.2594222034298638E-3</v>
      </c>
      <c r="L4846" s="9">
        <f>(PricingDataTable[[#This Row],[Vendor Price ($)]]-PricingDataTable[[#This Row],[Current Price ($)]])/PricingDataTable[[#This Row],[Current Price ($)]]</f>
        <v>-1.0206950426755812E-3</v>
      </c>
      <c r="M4846" t="str">
        <f t="shared" si="150"/>
        <v>PASS</v>
      </c>
      <c r="N4846" s="10" t="str">
        <f t="shared" si="151"/>
        <v>NONE</v>
      </c>
    </row>
    <row r="4847" spans="1:14">
      <c r="A4847" s="4" t="s">
        <v>9710</v>
      </c>
      <c r="B4847" s="4" t="s">
        <v>9711</v>
      </c>
      <c r="C4847" s="4" t="s">
        <v>16</v>
      </c>
      <c r="D4847" s="4" t="s">
        <v>13</v>
      </c>
      <c r="E4847" s="5">
        <v>97.853200000000001</v>
      </c>
      <c r="F4847" s="5">
        <v>96.414400000000001</v>
      </c>
      <c r="G4847" s="5">
        <v>96.228499999999997</v>
      </c>
      <c r="H4847" s="4">
        <v>0</v>
      </c>
      <c r="I4847" s="6">
        <v>1180901</v>
      </c>
      <c r="J4847" s="7">
        <v>362</v>
      </c>
      <c r="K4847" s="9">
        <f>(PricingDataTable[[#This Row],[Current Price ($)]]-PricingDataTable[[#This Row],[Prior Price ($)]])/PricingDataTable[[#This Row],[Prior Price ($)]]</f>
        <v>-1.4703658132794844E-2</v>
      </c>
      <c r="L4847" s="9">
        <f>(PricingDataTable[[#This Row],[Vendor Price ($)]]-PricingDataTable[[#This Row],[Current Price ($)]])/PricingDataTable[[#This Row],[Current Price ($)]]</f>
        <v>-1.9281352163162736E-3</v>
      </c>
      <c r="M4847" t="str">
        <f t="shared" si="150"/>
        <v>PASS</v>
      </c>
      <c r="N4847" s="10" t="str">
        <f t="shared" si="151"/>
        <v>NONE</v>
      </c>
    </row>
    <row r="4848" spans="1:14">
      <c r="A4848" s="4" t="s">
        <v>9712</v>
      </c>
      <c r="B4848" s="4" t="s">
        <v>9713</v>
      </c>
      <c r="C4848" s="4" t="s">
        <v>19</v>
      </c>
      <c r="D4848" s="4" t="s">
        <v>13</v>
      </c>
      <c r="E4848" s="5">
        <v>40.598199999999999</v>
      </c>
      <c r="F4848" s="5">
        <v>40.209000000000003</v>
      </c>
      <c r="G4848" s="5">
        <v>40.222499999999997</v>
      </c>
      <c r="H4848" s="4">
        <v>0</v>
      </c>
      <c r="I4848" s="6">
        <v>4322201</v>
      </c>
      <c r="J4848" s="7">
        <v>110.47</v>
      </c>
      <c r="K4848" s="9">
        <f>(PricingDataTable[[#This Row],[Current Price ($)]]-PricingDataTable[[#This Row],[Prior Price ($)]])/PricingDataTable[[#This Row],[Prior Price ($)]]</f>
        <v>-9.5866319196416423E-3</v>
      </c>
      <c r="L4848" s="9">
        <f>(PricingDataTable[[#This Row],[Vendor Price ($)]]-PricingDataTable[[#This Row],[Current Price ($)]])/PricingDataTable[[#This Row],[Current Price ($)]]</f>
        <v>3.3574572856806697E-4</v>
      </c>
      <c r="M4848" t="str">
        <f t="shared" si="150"/>
        <v>PASS</v>
      </c>
      <c r="N4848" s="10" t="str">
        <f t="shared" si="151"/>
        <v>NONE</v>
      </c>
    </row>
    <row r="4849" spans="1:14">
      <c r="A4849" s="4" t="s">
        <v>9714</v>
      </c>
      <c r="B4849" s="4" t="s">
        <v>9715</v>
      </c>
      <c r="C4849" s="4" t="s">
        <v>16</v>
      </c>
      <c r="D4849" s="4" t="s">
        <v>13</v>
      </c>
      <c r="E4849" s="5">
        <v>75.700800000000001</v>
      </c>
      <c r="F4849" s="5">
        <v>77.1845</v>
      </c>
      <c r="G4849" s="5">
        <v>77.160899999999998</v>
      </c>
      <c r="H4849" s="4">
        <v>0</v>
      </c>
      <c r="I4849" s="6">
        <v>4447727</v>
      </c>
      <c r="J4849" s="7">
        <v>585.86</v>
      </c>
      <c r="K4849" s="9">
        <f>(PricingDataTable[[#This Row],[Current Price ($)]]-PricingDataTable[[#This Row],[Prior Price ($)]])/PricingDataTable[[#This Row],[Prior Price ($)]]</f>
        <v>1.9599528670767006E-2</v>
      </c>
      <c r="L4849" s="9">
        <f>(PricingDataTable[[#This Row],[Vendor Price ($)]]-PricingDataTable[[#This Row],[Current Price ($)]])/PricingDataTable[[#This Row],[Current Price ($)]]</f>
        <v>-3.0576087167762751E-4</v>
      </c>
      <c r="M4849" t="str">
        <f t="shared" si="150"/>
        <v>PASS</v>
      </c>
      <c r="N4849" s="10" t="str">
        <f t="shared" si="151"/>
        <v>NONE</v>
      </c>
    </row>
    <row r="4850" spans="1:14">
      <c r="A4850" s="4" t="s">
        <v>9716</v>
      </c>
      <c r="B4850" s="4" t="s">
        <v>9717</v>
      </c>
      <c r="C4850" s="4" t="s">
        <v>16</v>
      </c>
      <c r="D4850" s="4" t="s">
        <v>13</v>
      </c>
      <c r="E4850" s="5">
        <v>90.357100000000003</v>
      </c>
      <c r="F4850" s="5">
        <v>88.055899999999994</v>
      </c>
      <c r="G4850" s="5">
        <v>88.432199999999995</v>
      </c>
      <c r="H4850" s="4">
        <v>0</v>
      </c>
      <c r="I4850" s="6">
        <v>4200778</v>
      </c>
      <c r="J4850" s="7">
        <v>301.89</v>
      </c>
      <c r="K4850" s="9">
        <f>(PricingDataTable[[#This Row],[Current Price ($)]]-PricingDataTable[[#This Row],[Prior Price ($)]])/PricingDataTable[[#This Row],[Prior Price ($)]]</f>
        <v>-2.5467838166563651E-2</v>
      </c>
      <c r="L4850" s="9">
        <f>(PricingDataTable[[#This Row],[Vendor Price ($)]]-PricingDataTable[[#This Row],[Current Price ($)]])/PricingDataTable[[#This Row],[Current Price ($)]]</f>
        <v>4.2734217695804657E-3</v>
      </c>
      <c r="M4850" t="str">
        <f t="shared" si="150"/>
        <v>PASS</v>
      </c>
      <c r="N4850" s="10" t="str">
        <f t="shared" si="151"/>
        <v>NONE</v>
      </c>
    </row>
    <row r="4851" spans="1:14">
      <c r="A4851" s="4" t="s">
        <v>9718</v>
      </c>
      <c r="B4851" s="4" t="s">
        <v>9719</v>
      </c>
      <c r="C4851" s="4" t="s">
        <v>39</v>
      </c>
      <c r="D4851" s="4" t="s">
        <v>13</v>
      </c>
      <c r="E4851" s="5">
        <v>321.53500000000003</v>
      </c>
      <c r="F4851" s="5">
        <v>320.7253</v>
      </c>
      <c r="G4851" s="5">
        <v>320.62509999999997</v>
      </c>
      <c r="H4851" s="4">
        <v>0</v>
      </c>
      <c r="I4851" s="6">
        <v>4918055</v>
      </c>
      <c r="J4851" s="7">
        <v>693.18</v>
      </c>
      <c r="K4851" s="9">
        <f>(PricingDataTable[[#This Row],[Current Price ($)]]-PricingDataTable[[#This Row],[Prior Price ($)]])/PricingDataTable[[#This Row],[Prior Price ($)]]</f>
        <v>-2.5182328517891384E-3</v>
      </c>
      <c r="L4851" s="9">
        <f>(PricingDataTable[[#This Row],[Vendor Price ($)]]-PricingDataTable[[#This Row],[Current Price ($)]])/PricingDataTable[[#This Row],[Current Price ($)]]</f>
        <v>-3.1241688759829476E-4</v>
      </c>
      <c r="M4851" t="str">
        <f t="shared" si="150"/>
        <v>PASS</v>
      </c>
      <c r="N4851" s="10" t="str">
        <f t="shared" si="151"/>
        <v>NONE</v>
      </c>
    </row>
    <row r="4852" spans="1:14">
      <c r="A4852" s="4" t="s">
        <v>9720</v>
      </c>
      <c r="B4852" s="4" t="s">
        <v>9721</v>
      </c>
      <c r="C4852" s="4" t="s">
        <v>16</v>
      </c>
      <c r="D4852" s="4" t="s">
        <v>13</v>
      </c>
      <c r="E4852" s="5">
        <v>114.0757</v>
      </c>
      <c r="F4852" s="5">
        <v>111.39870000000001</v>
      </c>
      <c r="G4852" s="5">
        <v>111.4015</v>
      </c>
      <c r="H4852" s="4">
        <v>0</v>
      </c>
      <c r="I4852" s="6">
        <v>2488745</v>
      </c>
      <c r="J4852" s="7">
        <v>804.3</v>
      </c>
      <c r="K4852" s="9">
        <f>(PricingDataTable[[#This Row],[Current Price ($)]]-PricingDataTable[[#This Row],[Prior Price ($)]])/PricingDataTable[[#This Row],[Prior Price ($)]]</f>
        <v>-2.346687331307187E-2</v>
      </c>
      <c r="L4852" s="9">
        <f>(PricingDataTable[[#This Row],[Vendor Price ($)]]-PricingDataTable[[#This Row],[Current Price ($)]])/PricingDataTable[[#This Row],[Current Price ($)]]</f>
        <v>2.5134943226388407E-5</v>
      </c>
      <c r="M4852" t="str">
        <f t="shared" si="150"/>
        <v>PASS</v>
      </c>
      <c r="N4852" s="10" t="str">
        <f t="shared" si="151"/>
        <v>NONE</v>
      </c>
    </row>
    <row r="4853" spans="1:14">
      <c r="A4853" s="4" t="s">
        <v>9722</v>
      </c>
      <c r="B4853" s="4" t="s">
        <v>9723</v>
      </c>
      <c r="C4853" s="4" t="s">
        <v>16</v>
      </c>
      <c r="D4853" s="4" t="s">
        <v>13</v>
      </c>
      <c r="E4853" s="5">
        <v>106.4213</v>
      </c>
      <c r="F4853" s="5">
        <v>107.0822</v>
      </c>
      <c r="G4853" s="5">
        <v>107.2557</v>
      </c>
      <c r="H4853" s="4">
        <v>0</v>
      </c>
      <c r="I4853" s="6">
        <v>2989841</v>
      </c>
      <c r="J4853" s="7">
        <v>862.23</v>
      </c>
      <c r="K4853" s="9">
        <f>(PricingDataTable[[#This Row],[Current Price ($)]]-PricingDataTable[[#This Row],[Prior Price ($)]])/PricingDataTable[[#This Row],[Prior Price ($)]]</f>
        <v>6.2102229534876765E-3</v>
      </c>
      <c r="L4853" s="9">
        <f>(PricingDataTable[[#This Row],[Vendor Price ($)]]-PricingDataTable[[#This Row],[Current Price ($)]])/PricingDataTable[[#This Row],[Current Price ($)]]</f>
        <v>1.6202506112127338E-3</v>
      </c>
      <c r="M4853" t="str">
        <f t="shared" si="150"/>
        <v>PASS</v>
      </c>
      <c r="N4853" s="10" t="str">
        <f t="shared" si="151"/>
        <v>NONE</v>
      </c>
    </row>
    <row r="4854" spans="1:14">
      <c r="A4854" s="4" t="s">
        <v>9724</v>
      </c>
      <c r="B4854" s="4" t="s">
        <v>9725</v>
      </c>
      <c r="C4854" s="4" t="s">
        <v>19</v>
      </c>
      <c r="D4854" s="4" t="s">
        <v>32</v>
      </c>
      <c r="E4854" s="5">
        <v>188.99610000000001</v>
      </c>
      <c r="F4854" s="5">
        <v>187.42269999999999</v>
      </c>
      <c r="G4854" s="5">
        <v>187.88040000000001</v>
      </c>
      <c r="H4854" s="4">
        <v>0</v>
      </c>
      <c r="I4854" s="6">
        <v>3955809</v>
      </c>
      <c r="J4854" s="7">
        <v>576.05999999999995</v>
      </c>
      <c r="K4854" s="9">
        <f>(PricingDataTable[[#This Row],[Current Price ($)]]-PricingDataTable[[#This Row],[Prior Price ($)]])/PricingDataTable[[#This Row],[Prior Price ($)]]</f>
        <v>-8.3250395113974342E-3</v>
      </c>
      <c r="L4854" s="9">
        <f>(PricingDataTable[[#This Row],[Vendor Price ($)]]-PricingDataTable[[#This Row],[Current Price ($)]])/PricingDataTable[[#This Row],[Current Price ($)]]</f>
        <v>2.4420734521486292E-3</v>
      </c>
      <c r="M4854" t="str">
        <f t="shared" si="150"/>
        <v>PASS</v>
      </c>
      <c r="N4854" s="10" t="str">
        <f t="shared" si="151"/>
        <v>NONE</v>
      </c>
    </row>
    <row r="4855" spans="1:14">
      <c r="A4855" s="4" t="s">
        <v>9726</v>
      </c>
      <c r="B4855" s="4" t="s">
        <v>9727</v>
      </c>
      <c r="C4855" s="4" t="s">
        <v>19</v>
      </c>
      <c r="D4855" s="4" t="s">
        <v>13</v>
      </c>
      <c r="E4855" s="5">
        <v>202.4906</v>
      </c>
      <c r="F4855" s="5">
        <v>202.42570000000001</v>
      </c>
      <c r="G4855" s="5">
        <v>202.38470000000001</v>
      </c>
      <c r="H4855" s="4">
        <v>3</v>
      </c>
      <c r="I4855" s="6">
        <v>3799532</v>
      </c>
      <c r="J4855" s="7">
        <v>803.41</v>
      </c>
      <c r="K4855" s="9">
        <f>(PricingDataTable[[#This Row],[Current Price ($)]]-PricingDataTable[[#This Row],[Prior Price ($)]])/PricingDataTable[[#This Row],[Prior Price ($)]]</f>
        <v>-3.2050870509541879E-4</v>
      </c>
      <c r="L4855" s="9">
        <f>(PricingDataTable[[#This Row],[Vendor Price ($)]]-PricingDataTable[[#This Row],[Current Price ($)]])/PricingDataTable[[#This Row],[Current Price ($)]]</f>
        <v>-2.0254345174548891E-4</v>
      </c>
      <c r="M4855" t="str">
        <f t="shared" si="150"/>
        <v>STALE</v>
      </c>
      <c r="N4855" s="10" t="str">
        <f t="shared" si="151"/>
        <v>LOW</v>
      </c>
    </row>
    <row r="4856" spans="1:14">
      <c r="A4856" s="4" t="s">
        <v>9728</v>
      </c>
      <c r="B4856" s="4" t="s">
        <v>9729</v>
      </c>
      <c r="C4856" s="4" t="s">
        <v>19</v>
      </c>
      <c r="D4856" s="4" t="s">
        <v>32</v>
      </c>
      <c r="E4856" s="5">
        <v>245.19370000000001</v>
      </c>
      <c r="F4856" s="5">
        <v>237.3553</v>
      </c>
      <c r="G4856" s="5">
        <v>237.05119999999999</v>
      </c>
      <c r="H4856" s="4">
        <v>0</v>
      </c>
      <c r="I4856" s="6">
        <v>3640206</v>
      </c>
      <c r="J4856" s="7">
        <v>27.5</v>
      </c>
      <c r="K4856" s="9">
        <f>(PricingDataTable[[#This Row],[Current Price ($)]]-PricingDataTable[[#This Row],[Prior Price ($)]])/PricingDataTable[[#This Row],[Prior Price ($)]]</f>
        <v>-3.1968194941387182E-2</v>
      </c>
      <c r="L4856" s="9">
        <f>(PricingDataTable[[#This Row],[Vendor Price ($)]]-PricingDataTable[[#This Row],[Current Price ($)]])/PricingDataTable[[#This Row],[Current Price ($)]]</f>
        <v>-1.2812016415896564E-3</v>
      </c>
      <c r="M4856" t="str">
        <f t="shared" si="150"/>
        <v>PASS</v>
      </c>
      <c r="N4856" s="10" t="str">
        <f t="shared" si="151"/>
        <v>NONE</v>
      </c>
    </row>
    <row r="4857" spans="1:14">
      <c r="A4857" s="4" t="s">
        <v>9730</v>
      </c>
      <c r="B4857" s="4" t="s">
        <v>9731</v>
      </c>
      <c r="C4857" s="4" t="s">
        <v>19</v>
      </c>
      <c r="D4857" s="4" t="s">
        <v>13</v>
      </c>
      <c r="E4857" s="5">
        <v>268.19130000000001</v>
      </c>
      <c r="F4857" s="5">
        <v>274.20580000000001</v>
      </c>
      <c r="G4857" s="5">
        <v>274.50400000000002</v>
      </c>
      <c r="H4857" s="4">
        <v>1</v>
      </c>
      <c r="I4857" s="6">
        <v>4159025</v>
      </c>
      <c r="J4857" s="7">
        <v>426.65</v>
      </c>
      <c r="K4857" s="9">
        <f>(PricingDataTable[[#This Row],[Current Price ($)]]-PricingDataTable[[#This Row],[Prior Price ($)]])/PricingDataTable[[#This Row],[Prior Price ($)]]</f>
        <v>2.2426156254882236E-2</v>
      </c>
      <c r="L4857" s="9">
        <f>(PricingDataTable[[#This Row],[Vendor Price ($)]]-PricingDataTable[[#This Row],[Current Price ($)]])/PricingDataTable[[#This Row],[Current Price ($)]]</f>
        <v>1.0875043489233576E-3</v>
      </c>
      <c r="M4857" t="str">
        <f t="shared" si="150"/>
        <v>PASS</v>
      </c>
      <c r="N4857" s="10" t="str">
        <f t="shared" si="151"/>
        <v>NONE</v>
      </c>
    </row>
    <row r="4858" spans="1:14">
      <c r="A4858" s="4" t="s">
        <v>9732</v>
      </c>
      <c r="B4858" s="4" t="s">
        <v>9733</v>
      </c>
      <c r="C4858" s="4" t="s">
        <v>19</v>
      </c>
      <c r="D4858" s="4" t="s">
        <v>36</v>
      </c>
      <c r="E4858" s="5">
        <v>90.841499999999996</v>
      </c>
      <c r="F4858" s="5">
        <v>89.581800000000001</v>
      </c>
      <c r="G4858" s="5">
        <v>89.829400000000007</v>
      </c>
      <c r="H4858" s="4">
        <v>0</v>
      </c>
      <c r="I4858" s="6">
        <v>4584724</v>
      </c>
      <c r="J4858" s="7">
        <v>301.3</v>
      </c>
      <c r="K4858" s="9">
        <f>(PricingDataTable[[#This Row],[Current Price ($)]]-PricingDataTable[[#This Row],[Prior Price ($)]])/PricingDataTable[[#This Row],[Prior Price ($)]]</f>
        <v>-1.3867010122025673E-2</v>
      </c>
      <c r="L4858" s="9">
        <f>(PricingDataTable[[#This Row],[Vendor Price ($)]]-PricingDataTable[[#This Row],[Current Price ($)]])/PricingDataTable[[#This Row],[Current Price ($)]]</f>
        <v>2.7639542853571328E-3</v>
      </c>
      <c r="M4858" t="str">
        <f t="shared" si="150"/>
        <v>PASS</v>
      </c>
      <c r="N4858" s="10" t="str">
        <f t="shared" si="151"/>
        <v>NONE</v>
      </c>
    </row>
    <row r="4859" spans="1:14">
      <c r="A4859" s="4" t="s">
        <v>9734</v>
      </c>
      <c r="B4859" s="4" t="s">
        <v>9735</v>
      </c>
      <c r="C4859" s="4" t="s">
        <v>19</v>
      </c>
      <c r="D4859" s="4" t="s">
        <v>13</v>
      </c>
      <c r="E4859" s="5">
        <v>254.1414</v>
      </c>
      <c r="F4859" s="5">
        <v>259.35019999999997</v>
      </c>
      <c r="G4859" s="5">
        <v>258.83390000000003</v>
      </c>
      <c r="H4859" s="4">
        <v>0</v>
      </c>
      <c r="I4859" s="6">
        <v>2473575</v>
      </c>
      <c r="J4859" s="7">
        <v>859.6</v>
      </c>
      <c r="K4859" s="9">
        <f>(PricingDataTable[[#This Row],[Current Price ($)]]-PricingDataTable[[#This Row],[Prior Price ($)]])/PricingDataTable[[#This Row],[Prior Price ($)]]</f>
        <v>2.0495676816134515E-2</v>
      </c>
      <c r="L4859" s="9">
        <f>(PricingDataTable[[#This Row],[Vendor Price ($)]]-PricingDataTable[[#This Row],[Current Price ($)]])/PricingDataTable[[#This Row],[Current Price ($)]]</f>
        <v>-1.9907445608291193E-3</v>
      </c>
      <c r="M4859" t="str">
        <f t="shared" si="150"/>
        <v>PASS</v>
      </c>
      <c r="N4859" s="10" t="str">
        <f t="shared" si="151"/>
        <v>NONE</v>
      </c>
    </row>
    <row r="4860" spans="1:14">
      <c r="A4860" s="4" t="s">
        <v>9736</v>
      </c>
      <c r="B4860" s="4" t="s">
        <v>9737</v>
      </c>
      <c r="C4860" s="4" t="s">
        <v>16</v>
      </c>
      <c r="D4860" s="4" t="s">
        <v>13</v>
      </c>
      <c r="E4860" s="5">
        <v>122.6353</v>
      </c>
      <c r="F4860" s="5">
        <v>120.6846</v>
      </c>
      <c r="G4860" s="5">
        <v>120.57680000000001</v>
      </c>
      <c r="H4860" s="4">
        <v>0</v>
      </c>
      <c r="I4860" s="6">
        <v>3981781</v>
      </c>
      <c r="J4860" s="7">
        <v>269.61</v>
      </c>
      <c r="K4860" s="9">
        <f>(PricingDataTable[[#This Row],[Current Price ($)]]-PricingDataTable[[#This Row],[Prior Price ($)]])/PricingDataTable[[#This Row],[Prior Price ($)]]</f>
        <v>-1.590651305129924E-2</v>
      </c>
      <c r="L4860" s="9">
        <f>(PricingDataTable[[#This Row],[Vendor Price ($)]]-PricingDataTable[[#This Row],[Current Price ($)]])/PricingDataTable[[#This Row],[Current Price ($)]]</f>
        <v>-8.9323741388708624E-4</v>
      </c>
      <c r="M4860" t="str">
        <f t="shared" si="150"/>
        <v>PASS</v>
      </c>
      <c r="N4860" s="10" t="str">
        <f t="shared" si="151"/>
        <v>NONE</v>
      </c>
    </row>
    <row r="4861" spans="1:14">
      <c r="A4861" s="4" t="s">
        <v>9738</v>
      </c>
      <c r="B4861" s="4" t="s">
        <v>9739</v>
      </c>
      <c r="C4861" s="4" t="s">
        <v>12</v>
      </c>
      <c r="D4861" s="4" t="s">
        <v>32</v>
      </c>
      <c r="E4861" s="5">
        <v>106.9037</v>
      </c>
      <c r="F4861" s="5">
        <v>84.716499999999996</v>
      </c>
      <c r="G4861" s="5">
        <v>84.717399999999998</v>
      </c>
      <c r="H4861" s="4">
        <v>0</v>
      </c>
      <c r="I4861" s="6">
        <v>4711156</v>
      </c>
      <c r="J4861" s="7">
        <v>340.52</v>
      </c>
      <c r="K4861" s="9">
        <f>(PricingDataTable[[#This Row],[Current Price ($)]]-PricingDataTable[[#This Row],[Prior Price ($)]])/PricingDataTable[[#This Row],[Prior Price ($)]]</f>
        <v>-0.20754379876468265</v>
      </c>
      <c r="L4861" s="9">
        <f>(PricingDataTable[[#This Row],[Vendor Price ($)]]-PricingDataTable[[#This Row],[Current Price ($)]])/PricingDataTable[[#This Row],[Current Price ($)]]</f>
        <v>1.062366835269936E-5</v>
      </c>
      <c r="M4861" t="str">
        <f t="shared" si="150"/>
        <v>LARGE MOVE</v>
      </c>
      <c r="N4861" s="10" t="str">
        <f t="shared" si="151"/>
        <v>HIGH</v>
      </c>
    </row>
    <row r="4862" spans="1:14">
      <c r="A4862" s="4" t="s">
        <v>9740</v>
      </c>
      <c r="B4862" s="4" t="s">
        <v>9741</v>
      </c>
      <c r="C4862" s="4" t="s">
        <v>16</v>
      </c>
      <c r="D4862" s="4" t="s">
        <v>13</v>
      </c>
      <c r="E4862" s="5">
        <v>99.537700000000001</v>
      </c>
      <c r="F4862" s="5">
        <v>99.021500000000003</v>
      </c>
      <c r="G4862" s="5">
        <v>98.840100000000007</v>
      </c>
      <c r="H4862" s="4">
        <v>1</v>
      </c>
      <c r="I4862" s="6">
        <v>3586029</v>
      </c>
      <c r="J4862" s="7">
        <v>590.37</v>
      </c>
      <c r="K4862" s="9">
        <f>(PricingDataTable[[#This Row],[Current Price ($)]]-PricingDataTable[[#This Row],[Prior Price ($)]])/PricingDataTable[[#This Row],[Prior Price ($)]]</f>
        <v>-5.1859747613215669E-3</v>
      </c>
      <c r="L4862" s="9">
        <f>(PricingDataTable[[#This Row],[Vendor Price ($)]]-PricingDataTable[[#This Row],[Current Price ($)]])/PricingDataTable[[#This Row],[Current Price ($)]]</f>
        <v>-1.8319253899405326E-3</v>
      </c>
      <c r="M4862" t="str">
        <f t="shared" si="150"/>
        <v>PASS</v>
      </c>
      <c r="N4862" s="10" t="str">
        <f t="shared" si="151"/>
        <v>NONE</v>
      </c>
    </row>
    <row r="4863" spans="1:14">
      <c r="A4863" s="4" t="s">
        <v>9742</v>
      </c>
      <c r="B4863" s="4" t="s">
        <v>9743</v>
      </c>
      <c r="C4863" s="4" t="s">
        <v>39</v>
      </c>
      <c r="D4863" s="4" t="s">
        <v>13</v>
      </c>
      <c r="E4863" s="5">
        <v>119.9606</v>
      </c>
      <c r="F4863" s="5">
        <v>121.52970000000001</v>
      </c>
      <c r="G4863" s="5">
        <v>121.7334</v>
      </c>
      <c r="H4863" s="4">
        <v>0</v>
      </c>
      <c r="I4863" s="6">
        <v>328097</v>
      </c>
      <c r="J4863" s="7">
        <v>822.31</v>
      </c>
      <c r="K4863" s="9">
        <f>(PricingDataTable[[#This Row],[Current Price ($)]]-PricingDataTable[[#This Row],[Prior Price ($)]])/PricingDataTable[[#This Row],[Prior Price ($)]]</f>
        <v>1.3080127975351956E-2</v>
      </c>
      <c r="L4863" s="9">
        <f>(PricingDataTable[[#This Row],[Vendor Price ($)]]-PricingDataTable[[#This Row],[Current Price ($)]])/PricingDataTable[[#This Row],[Current Price ($)]]</f>
        <v>1.6761334883571486E-3</v>
      </c>
      <c r="M4863" t="str">
        <f t="shared" si="150"/>
        <v>PASS</v>
      </c>
      <c r="N4863" s="10" t="str">
        <f t="shared" si="151"/>
        <v>NONE</v>
      </c>
    </row>
    <row r="4864" spans="1:14">
      <c r="A4864" s="4" t="s">
        <v>9744</v>
      </c>
      <c r="B4864" s="4" t="s">
        <v>9745</v>
      </c>
      <c r="C4864" s="4" t="s">
        <v>35</v>
      </c>
      <c r="D4864" s="4" t="s">
        <v>13</v>
      </c>
      <c r="E4864" s="5">
        <v>68.727599999999995</v>
      </c>
      <c r="F4864" s="5">
        <v>68.091300000000004</v>
      </c>
      <c r="G4864" s="5">
        <v>68.106300000000005</v>
      </c>
      <c r="H4864" s="4">
        <v>2</v>
      </c>
      <c r="I4864" s="6">
        <v>4170461</v>
      </c>
      <c r="J4864" s="7">
        <v>87.93</v>
      </c>
      <c r="K4864" s="9">
        <f>(PricingDataTable[[#This Row],[Current Price ($)]]-PricingDataTable[[#This Row],[Prior Price ($)]])/PricingDataTable[[#This Row],[Prior Price ($)]]</f>
        <v>-9.2582892462415613E-3</v>
      </c>
      <c r="L4864" s="9">
        <f>(PricingDataTable[[#This Row],[Vendor Price ($)]]-PricingDataTable[[#This Row],[Current Price ($)]])/PricingDataTable[[#This Row],[Current Price ($)]]</f>
        <v>2.2029246027026312E-4</v>
      </c>
      <c r="M4864" t="str">
        <f t="shared" si="150"/>
        <v>PASS</v>
      </c>
      <c r="N4864" s="10" t="str">
        <f t="shared" si="151"/>
        <v>NONE</v>
      </c>
    </row>
    <row r="4865" spans="1:14">
      <c r="A4865" s="4" t="s">
        <v>9746</v>
      </c>
      <c r="B4865" s="4" t="s">
        <v>9747</v>
      </c>
      <c r="C4865" s="4" t="s">
        <v>19</v>
      </c>
      <c r="D4865" s="4" t="s">
        <v>64</v>
      </c>
      <c r="E4865" s="5">
        <v>15.620799999999999</v>
      </c>
      <c r="F4865" s="5">
        <v>15.729799999999999</v>
      </c>
      <c r="G4865" s="5">
        <v>15.6839</v>
      </c>
      <c r="H4865" s="4">
        <v>0</v>
      </c>
      <c r="I4865" s="6">
        <v>3327866</v>
      </c>
      <c r="J4865" s="7">
        <v>131.94</v>
      </c>
      <c r="K4865" s="9">
        <f>(PricingDataTable[[#This Row],[Current Price ($)]]-PricingDataTable[[#This Row],[Prior Price ($)]])/PricingDataTable[[#This Row],[Prior Price ($)]]</f>
        <v>6.9778756529755197E-3</v>
      </c>
      <c r="L4865" s="9">
        <f>(PricingDataTable[[#This Row],[Vendor Price ($)]]-PricingDataTable[[#This Row],[Current Price ($)]])/PricingDataTable[[#This Row],[Current Price ($)]]</f>
        <v>-2.9180282012485608E-3</v>
      </c>
      <c r="M4865" t="str">
        <f t="shared" si="150"/>
        <v>PASS</v>
      </c>
      <c r="N4865" s="10" t="str">
        <f t="shared" si="151"/>
        <v>NONE</v>
      </c>
    </row>
    <row r="4866" spans="1:14">
      <c r="A4866" s="4" t="s">
        <v>9748</v>
      </c>
      <c r="B4866" s="4" t="s">
        <v>9749</v>
      </c>
      <c r="C4866" s="4" t="s">
        <v>39</v>
      </c>
      <c r="D4866" s="4" t="s">
        <v>13</v>
      </c>
      <c r="E4866" s="5">
        <v>324.9067</v>
      </c>
      <c r="F4866" s="5">
        <v>325.27460000000002</v>
      </c>
      <c r="G4866" s="5">
        <v>324.9753</v>
      </c>
      <c r="H4866" s="4">
        <v>3</v>
      </c>
      <c r="I4866" s="6">
        <v>1025816</v>
      </c>
      <c r="J4866" s="7">
        <v>792.48</v>
      </c>
      <c r="K4866" s="9">
        <f>(PricingDataTable[[#This Row],[Current Price ($)]]-PricingDataTable[[#This Row],[Prior Price ($)]])/PricingDataTable[[#This Row],[Prior Price ($)]]</f>
        <v>1.1323250643954714E-3</v>
      </c>
      <c r="L4866" s="9">
        <f>(PricingDataTable[[#This Row],[Vendor Price ($)]]-PricingDataTable[[#This Row],[Current Price ($)]])/PricingDataTable[[#This Row],[Current Price ($)]]</f>
        <v>-9.2014562465073059E-4</v>
      </c>
      <c r="M4866" t="str">
        <f t="shared" ref="M4866:M4929" si="152">IF(OR(F4866="",F4866=0),"MISSING",IF(H4866&gt;=3,"STALE",IF(ABS(K4866)&gt;=5%,"LARGE MOVE",IF(ABS(L4866)&gt;=2%,"VENDOR DIFFERENCE","PASS"))))</f>
        <v>STALE</v>
      </c>
      <c r="N4866" s="10" t="str">
        <f t="shared" ref="N4866:N4929" si="153">IF(M4866="PASS","NONE",IF(M4866="MISSING","HIGH",IF(OR(ABS(K4866)&gt;=10%,ABS(L4866)&gt;=5%),"HIGH",IF(OR(ABS(K4866)&gt;=7%,ABS(L4866)&gt;=3%,H4866&gt;=5),"MEDIUM","LOW"))))</f>
        <v>LOW</v>
      </c>
    </row>
    <row r="4867" spans="1:14">
      <c r="A4867" s="4" t="s">
        <v>9750</v>
      </c>
      <c r="B4867" s="4" t="s">
        <v>9751</v>
      </c>
      <c r="C4867" s="4" t="s">
        <v>39</v>
      </c>
      <c r="D4867" s="4" t="s">
        <v>32</v>
      </c>
      <c r="E4867" s="5">
        <v>67.234700000000004</v>
      </c>
      <c r="F4867" s="5">
        <v>67.126800000000003</v>
      </c>
      <c r="G4867" s="5">
        <v>67.037700000000001</v>
      </c>
      <c r="H4867" s="4">
        <v>0</v>
      </c>
      <c r="I4867" s="6">
        <v>4874697</v>
      </c>
      <c r="J4867" s="7">
        <v>237.61</v>
      </c>
      <c r="K4867" s="9">
        <f>(PricingDataTable[[#This Row],[Current Price ($)]]-PricingDataTable[[#This Row],[Prior Price ($)]])/PricingDataTable[[#This Row],[Prior Price ($)]]</f>
        <v>-1.6048260793905642E-3</v>
      </c>
      <c r="L4867" s="9">
        <f>(PricingDataTable[[#This Row],[Vendor Price ($)]]-PricingDataTable[[#This Row],[Current Price ($)]])/PricingDataTable[[#This Row],[Current Price ($)]]</f>
        <v>-1.3273387082357859E-3</v>
      </c>
      <c r="M4867" t="str">
        <f t="shared" si="152"/>
        <v>PASS</v>
      </c>
      <c r="N4867" s="10" t="str">
        <f t="shared" si="153"/>
        <v>NONE</v>
      </c>
    </row>
    <row r="4868" spans="1:14">
      <c r="A4868" s="4" t="s">
        <v>9752</v>
      </c>
      <c r="B4868" s="4" t="s">
        <v>9753</v>
      </c>
      <c r="C4868" s="4" t="s">
        <v>16</v>
      </c>
      <c r="D4868" s="4" t="s">
        <v>13</v>
      </c>
      <c r="E4868" s="5">
        <v>87.7149</v>
      </c>
      <c r="F4868" s="5">
        <v>87.527500000000003</v>
      </c>
      <c r="G4868" s="5">
        <v>87.182199999999995</v>
      </c>
      <c r="H4868" s="4">
        <v>0</v>
      </c>
      <c r="I4868" s="6">
        <v>4907216</v>
      </c>
      <c r="J4868" s="7">
        <v>697.62</v>
      </c>
      <c r="K4868" s="9">
        <f>(PricingDataTable[[#This Row],[Current Price ($)]]-PricingDataTable[[#This Row],[Prior Price ($)]])/PricingDataTable[[#This Row],[Prior Price ($)]]</f>
        <v>-2.1364671224614823E-3</v>
      </c>
      <c r="L4868" s="9">
        <f>(PricingDataTable[[#This Row],[Vendor Price ($)]]-PricingDataTable[[#This Row],[Current Price ($)]])/PricingDataTable[[#This Row],[Current Price ($)]]</f>
        <v>-3.9450458427352413E-3</v>
      </c>
      <c r="M4868" t="str">
        <f t="shared" si="152"/>
        <v>PASS</v>
      </c>
      <c r="N4868" s="10" t="str">
        <f t="shared" si="153"/>
        <v>NONE</v>
      </c>
    </row>
    <row r="4869" spans="1:14">
      <c r="A4869" s="4" t="s">
        <v>9754</v>
      </c>
      <c r="B4869" s="4" t="s">
        <v>9755</v>
      </c>
      <c r="C4869" s="4" t="s">
        <v>39</v>
      </c>
      <c r="D4869" s="4" t="s">
        <v>13</v>
      </c>
      <c r="E4869" s="5">
        <v>110.4331</v>
      </c>
      <c r="F4869" s="5">
        <v>110.682</v>
      </c>
      <c r="G4869" s="5">
        <v>110.9267</v>
      </c>
      <c r="H4869" s="4">
        <v>5</v>
      </c>
      <c r="I4869" s="6">
        <v>4445202</v>
      </c>
      <c r="J4869" s="7">
        <v>550.04999999999995</v>
      </c>
      <c r="K4869" s="9">
        <f>(PricingDataTable[[#This Row],[Current Price ($)]]-PricingDataTable[[#This Row],[Prior Price ($)]])/PricingDataTable[[#This Row],[Prior Price ($)]]</f>
        <v>2.2538532378426949E-3</v>
      </c>
      <c r="L4869" s="9">
        <f>(PricingDataTable[[#This Row],[Vendor Price ($)]]-PricingDataTable[[#This Row],[Current Price ($)]])/PricingDataTable[[#This Row],[Current Price ($)]]</f>
        <v>2.2108382573498364E-3</v>
      </c>
      <c r="M4869" t="str">
        <f t="shared" si="152"/>
        <v>STALE</v>
      </c>
      <c r="N4869" s="10" t="str">
        <f t="shared" si="153"/>
        <v>MEDIUM</v>
      </c>
    </row>
    <row r="4870" spans="1:14">
      <c r="A4870" s="4" t="s">
        <v>9756</v>
      </c>
      <c r="B4870" s="4" t="s">
        <v>9757</v>
      </c>
      <c r="C4870" s="4" t="s">
        <v>12</v>
      </c>
      <c r="D4870" s="4" t="s">
        <v>13</v>
      </c>
      <c r="E4870" s="5">
        <v>99.516900000000007</v>
      </c>
      <c r="F4870" s="5">
        <v>100.5929</v>
      </c>
      <c r="G4870" s="5">
        <v>100.3245</v>
      </c>
      <c r="H4870" s="4">
        <v>1</v>
      </c>
      <c r="I4870" s="6">
        <v>198920</v>
      </c>
      <c r="J4870" s="7">
        <v>710.62</v>
      </c>
      <c r="K4870" s="9">
        <f>(PricingDataTable[[#This Row],[Current Price ($)]]-PricingDataTable[[#This Row],[Prior Price ($)]])/PricingDataTable[[#This Row],[Prior Price ($)]]</f>
        <v>1.0812233901980401E-2</v>
      </c>
      <c r="L4870" s="9">
        <f>(PricingDataTable[[#This Row],[Vendor Price ($)]]-PricingDataTable[[#This Row],[Current Price ($)]])/PricingDataTable[[#This Row],[Current Price ($)]]</f>
        <v>-2.6681803586535405E-3</v>
      </c>
      <c r="M4870" t="str">
        <f t="shared" si="152"/>
        <v>PASS</v>
      </c>
      <c r="N4870" s="10" t="str">
        <f t="shared" si="153"/>
        <v>NONE</v>
      </c>
    </row>
    <row r="4871" spans="1:14">
      <c r="A4871" s="4" t="s">
        <v>9758</v>
      </c>
      <c r="B4871" s="4" t="s">
        <v>9759</v>
      </c>
      <c r="C4871" s="4" t="s">
        <v>19</v>
      </c>
      <c r="D4871" s="4" t="s">
        <v>13</v>
      </c>
      <c r="E4871" s="5">
        <v>319.24630000000002</v>
      </c>
      <c r="F4871" s="5">
        <v>319.65609999999998</v>
      </c>
      <c r="G4871" s="5">
        <v>319.47480000000002</v>
      </c>
      <c r="H4871" s="4">
        <v>0</v>
      </c>
      <c r="I4871" s="6">
        <v>1443627</v>
      </c>
      <c r="J4871" s="7">
        <v>384.78</v>
      </c>
      <c r="K4871" s="9">
        <f>(PricingDataTable[[#This Row],[Current Price ($)]]-PricingDataTable[[#This Row],[Prior Price ($)]])/PricingDataTable[[#This Row],[Prior Price ($)]]</f>
        <v>1.2836483931057666E-3</v>
      </c>
      <c r="L4871" s="9">
        <f>(PricingDataTable[[#This Row],[Vendor Price ($)]]-PricingDataTable[[#This Row],[Current Price ($)]])/PricingDataTable[[#This Row],[Current Price ($)]]</f>
        <v>-5.6717203269377532E-4</v>
      </c>
      <c r="M4871" t="str">
        <f t="shared" si="152"/>
        <v>PASS</v>
      </c>
      <c r="N4871" s="10" t="str">
        <f t="shared" si="153"/>
        <v>NONE</v>
      </c>
    </row>
    <row r="4872" spans="1:14">
      <c r="A4872" s="4" t="s">
        <v>9760</v>
      </c>
      <c r="B4872" s="4" t="s">
        <v>9761</v>
      </c>
      <c r="C4872" s="4" t="s">
        <v>19</v>
      </c>
      <c r="D4872" s="4" t="s">
        <v>13</v>
      </c>
      <c r="E4872" s="5">
        <v>311.11779999999999</v>
      </c>
      <c r="F4872" s="5">
        <v>308.34280000000001</v>
      </c>
      <c r="G4872" s="5">
        <v>326.12560000000002</v>
      </c>
      <c r="H4872" s="4">
        <v>5</v>
      </c>
      <c r="I4872" s="6">
        <v>3819034</v>
      </c>
      <c r="J4872" s="7">
        <v>314.27999999999997</v>
      </c>
      <c r="K4872" s="9">
        <f>(PricingDataTable[[#This Row],[Current Price ($)]]-PricingDataTable[[#This Row],[Prior Price ($)]])/PricingDataTable[[#This Row],[Prior Price ($)]]</f>
        <v>-8.9194510889443728E-3</v>
      </c>
      <c r="L4872" s="9">
        <f>(PricingDataTable[[#This Row],[Vendor Price ($)]]-PricingDataTable[[#This Row],[Current Price ($)]])/PricingDataTable[[#This Row],[Current Price ($)]]</f>
        <v>5.7672175254294925E-2</v>
      </c>
      <c r="M4872" t="str">
        <f t="shared" si="152"/>
        <v>STALE</v>
      </c>
      <c r="N4872" s="10" t="str">
        <f t="shared" si="153"/>
        <v>HIGH</v>
      </c>
    </row>
    <row r="4873" spans="1:14">
      <c r="A4873" s="4" t="s">
        <v>9762</v>
      </c>
      <c r="B4873" s="4" t="s">
        <v>9763</v>
      </c>
      <c r="C4873" s="4" t="s">
        <v>19</v>
      </c>
      <c r="D4873" s="4" t="s">
        <v>32</v>
      </c>
      <c r="E4873" s="5">
        <v>245.0626</v>
      </c>
      <c r="F4873" s="5">
        <v>239.41309999999999</v>
      </c>
      <c r="G4873" s="5">
        <v>239.73480000000001</v>
      </c>
      <c r="H4873" s="4">
        <v>0</v>
      </c>
      <c r="I4873" s="6">
        <v>3228911</v>
      </c>
      <c r="J4873" s="7">
        <v>367.21</v>
      </c>
      <c r="K4873" s="9">
        <f>(PricingDataTable[[#This Row],[Current Price ($)]]-PricingDataTable[[#This Row],[Prior Price ($)]])/PricingDataTable[[#This Row],[Prior Price ($)]]</f>
        <v>-2.3053293321788054E-2</v>
      </c>
      <c r="L4873" s="9">
        <f>(PricingDataTable[[#This Row],[Vendor Price ($)]]-PricingDataTable[[#This Row],[Current Price ($)]])/PricingDataTable[[#This Row],[Current Price ($)]]</f>
        <v>1.3437025793493389E-3</v>
      </c>
      <c r="M4873" t="str">
        <f t="shared" si="152"/>
        <v>PASS</v>
      </c>
      <c r="N4873" s="10" t="str">
        <f t="shared" si="153"/>
        <v>NONE</v>
      </c>
    </row>
    <row r="4874" spans="1:14">
      <c r="A4874" s="4" t="s">
        <v>9764</v>
      </c>
      <c r="B4874" s="4" t="s">
        <v>9765</v>
      </c>
      <c r="C4874" s="4" t="s">
        <v>16</v>
      </c>
      <c r="D4874" s="4" t="s">
        <v>237</v>
      </c>
      <c r="E4874" s="5">
        <v>80.984499999999997</v>
      </c>
      <c r="F4874" s="5">
        <v>81.081599999999995</v>
      </c>
      <c r="G4874" s="5">
        <v>81.076099999999997</v>
      </c>
      <c r="H4874" s="4">
        <v>0</v>
      </c>
      <c r="I4874" s="6">
        <v>2119844</v>
      </c>
      <c r="J4874" s="7">
        <v>51.51</v>
      </c>
      <c r="K4874" s="9">
        <f>(PricingDataTable[[#This Row],[Current Price ($)]]-PricingDataTable[[#This Row],[Prior Price ($)]])/PricingDataTable[[#This Row],[Prior Price ($)]]</f>
        <v>1.198994869388556E-3</v>
      </c>
      <c r="L4874" s="9">
        <f>(PricingDataTable[[#This Row],[Vendor Price ($)]]-PricingDataTable[[#This Row],[Current Price ($)]])/PricingDataTable[[#This Row],[Current Price ($)]]</f>
        <v>-6.7832899202751806E-5</v>
      </c>
      <c r="M4874" t="str">
        <f t="shared" si="152"/>
        <v>PASS</v>
      </c>
      <c r="N4874" s="10" t="str">
        <f t="shared" si="153"/>
        <v>NONE</v>
      </c>
    </row>
    <row r="4875" spans="1:14">
      <c r="A4875" s="4" t="s">
        <v>9766</v>
      </c>
      <c r="B4875" s="4" t="s">
        <v>9767</v>
      </c>
      <c r="C4875" s="4" t="s">
        <v>35</v>
      </c>
      <c r="D4875" s="4" t="s">
        <v>13</v>
      </c>
      <c r="E4875" s="5">
        <v>142.3323</v>
      </c>
      <c r="F4875" s="5">
        <v>144.38149999999999</v>
      </c>
      <c r="G4875" s="5">
        <v>144.1129</v>
      </c>
      <c r="H4875" s="4">
        <v>3</v>
      </c>
      <c r="I4875" s="6">
        <v>729560</v>
      </c>
      <c r="J4875" s="7">
        <v>312.38</v>
      </c>
      <c r="K4875" s="9">
        <f>(PricingDataTable[[#This Row],[Current Price ($)]]-PricingDataTable[[#This Row],[Prior Price ($)]])/PricingDataTable[[#This Row],[Prior Price ($)]]</f>
        <v>1.4397294219231929E-2</v>
      </c>
      <c r="L4875" s="9">
        <f>(PricingDataTable[[#This Row],[Vendor Price ($)]]-PricingDataTable[[#This Row],[Current Price ($)]])/PricingDataTable[[#This Row],[Current Price ($)]]</f>
        <v>-1.8603491444540484E-3</v>
      </c>
      <c r="M4875" t="str">
        <f t="shared" si="152"/>
        <v>STALE</v>
      </c>
      <c r="N4875" s="10" t="str">
        <f t="shared" si="153"/>
        <v>LOW</v>
      </c>
    </row>
    <row r="4876" spans="1:14">
      <c r="A4876" s="4" t="s">
        <v>9768</v>
      </c>
      <c r="B4876" s="4" t="s">
        <v>9769</v>
      </c>
      <c r="C4876" s="4" t="s">
        <v>19</v>
      </c>
      <c r="D4876" s="4" t="s">
        <v>32</v>
      </c>
      <c r="E4876" s="5">
        <v>336.71460000000002</v>
      </c>
      <c r="F4876" s="5">
        <v>335.05799999999999</v>
      </c>
      <c r="G4876" s="5">
        <v>334.68830000000003</v>
      </c>
      <c r="H4876" s="4">
        <v>0</v>
      </c>
      <c r="I4876" s="6">
        <v>91311</v>
      </c>
      <c r="J4876" s="7">
        <v>694.91</v>
      </c>
      <c r="K4876" s="9">
        <f>(PricingDataTable[[#This Row],[Current Price ($)]]-PricingDataTable[[#This Row],[Prior Price ($)]])/PricingDataTable[[#This Row],[Prior Price ($)]]</f>
        <v>-4.919893583468094E-3</v>
      </c>
      <c r="L4876" s="9">
        <f>(PricingDataTable[[#This Row],[Vendor Price ($)]]-PricingDataTable[[#This Row],[Current Price ($)]])/PricingDataTable[[#This Row],[Current Price ($)]]</f>
        <v>-1.1033910546829689E-3</v>
      </c>
      <c r="M4876" t="str">
        <f t="shared" si="152"/>
        <v>PASS</v>
      </c>
      <c r="N4876" s="10" t="str">
        <f t="shared" si="153"/>
        <v>NONE</v>
      </c>
    </row>
    <row r="4877" spans="1:14">
      <c r="A4877" s="4" t="s">
        <v>9770</v>
      </c>
      <c r="B4877" s="4" t="s">
        <v>9771</v>
      </c>
      <c r="C4877" s="4" t="s">
        <v>16</v>
      </c>
      <c r="D4877" s="4" t="s">
        <v>36</v>
      </c>
      <c r="E4877" s="5">
        <v>85.938299999999998</v>
      </c>
      <c r="F4877" s="5">
        <v>86.1768</v>
      </c>
      <c r="G4877" s="5">
        <v>86.357100000000003</v>
      </c>
      <c r="H4877" s="4">
        <v>0</v>
      </c>
      <c r="I4877" s="6">
        <v>1316774</v>
      </c>
      <c r="J4877" s="7">
        <v>607.9</v>
      </c>
      <c r="K4877" s="9">
        <f>(PricingDataTable[[#This Row],[Current Price ($)]]-PricingDataTable[[#This Row],[Prior Price ($)]])/PricingDataTable[[#This Row],[Prior Price ($)]]</f>
        <v>2.7752468922471346E-3</v>
      </c>
      <c r="L4877" s="9">
        <f>(PricingDataTable[[#This Row],[Vendor Price ($)]]-PricingDataTable[[#This Row],[Current Price ($)]])/PricingDataTable[[#This Row],[Current Price ($)]]</f>
        <v>2.0922104325062263E-3</v>
      </c>
      <c r="M4877" t="str">
        <f t="shared" si="152"/>
        <v>PASS</v>
      </c>
      <c r="N4877" s="10" t="str">
        <f t="shared" si="153"/>
        <v>NONE</v>
      </c>
    </row>
    <row r="4878" spans="1:14">
      <c r="A4878" s="4" t="s">
        <v>9772</v>
      </c>
      <c r="B4878" s="4" t="s">
        <v>9773</v>
      </c>
      <c r="C4878" s="4" t="s">
        <v>39</v>
      </c>
      <c r="D4878" s="4" t="s">
        <v>64</v>
      </c>
      <c r="E4878" s="5">
        <v>98.365099999999998</v>
      </c>
      <c r="F4878" s="5">
        <v>99.235900000000001</v>
      </c>
      <c r="G4878" s="5">
        <v>99.374899999999997</v>
      </c>
      <c r="H4878" s="4">
        <v>1</v>
      </c>
      <c r="I4878" s="6">
        <v>2629983</v>
      </c>
      <c r="J4878" s="7">
        <v>73.430000000000007</v>
      </c>
      <c r="K4878" s="9">
        <f>(PricingDataTable[[#This Row],[Current Price ($)]]-PricingDataTable[[#This Row],[Prior Price ($)]])/PricingDataTable[[#This Row],[Prior Price ($)]]</f>
        <v>8.8527333373320683E-3</v>
      </c>
      <c r="L4878" s="9">
        <f>(PricingDataTable[[#This Row],[Vendor Price ($)]]-PricingDataTable[[#This Row],[Current Price ($)]])/PricingDataTable[[#This Row],[Current Price ($)]]</f>
        <v>1.4007027698644924E-3</v>
      </c>
      <c r="M4878" t="str">
        <f t="shared" si="152"/>
        <v>PASS</v>
      </c>
      <c r="N4878" s="10" t="str">
        <f t="shared" si="153"/>
        <v>NONE</v>
      </c>
    </row>
    <row r="4879" spans="1:14">
      <c r="A4879" s="4" t="s">
        <v>9774</v>
      </c>
      <c r="B4879" s="4" t="s">
        <v>9775</v>
      </c>
      <c r="C4879" s="4" t="s">
        <v>19</v>
      </c>
      <c r="D4879" s="4" t="s">
        <v>36</v>
      </c>
      <c r="E4879" s="5">
        <v>33.310499999999998</v>
      </c>
      <c r="F4879" s="5">
        <v>32.967399999999998</v>
      </c>
      <c r="G4879" s="5">
        <v>32.919499999999999</v>
      </c>
      <c r="H4879" s="4">
        <v>0</v>
      </c>
      <c r="I4879" s="6">
        <v>3815933</v>
      </c>
      <c r="J4879" s="7">
        <v>838.81</v>
      </c>
      <c r="K4879" s="9">
        <f>(PricingDataTable[[#This Row],[Current Price ($)]]-PricingDataTable[[#This Row],[Prior Price ($)]])/PricingDataTable[[#This Row],[Prior Price ($)]]</f>
        <v>-1.0300055538043553E-2</v>
      </c>
      <c r="L4879" s="9">
        <f>(PricingDataTable[[#This Row],[Vendor Price ($)]]-PricingDataTable[[#This Row],[Current Price ($)]])/PricingDataTable[[#This Row],[Current Price ($)]]</f>
        <v>-1.4529504904844939E-3</v>
      </c>
      <c r="M4879" t="str">
        <f t="shared" si="152"/>
        <v>PASS</v>
      </c>
      <c r="N4879" s="10" t="str">
        <f t="shared" si="153"/>
        <v>NONE</v>
      </c>
    </row>
    <row r="4880" spans="1:14">
      <c r="A4880" s="4" t="s">
        <v>9776</v>
      </c>
      <c r="B4880" s="4" t="s">
        <v>9777</v>
      </c>
      <c r="C4880" s="4" t="s">
        <v>35</v>
      </c>
      <c r="D4880" s="4" t="s">
        <v>13</v>
      </c>
      <c r="E4880" s="5">
        <v>23.721699999999998</v>
      </c>
      <c r="F4880" s="5">
        <v>23.544699999999999</v>
      </c>
      <c r="G4880" s="5">
        <v>23.619800000000001</v>
      </c>
      <c r="H4880" s="4">
        <v>1</v>
      </c>
      <c r="I4880" s="6">
        <v>2546370</v>
      </c>
      <c r="J4880" s="7">
        <v>8.94</v>
      </c>
      <c r="K4880" s="9">
        <f>(PricingDataTable[[#This Row],[Current Price ($)]]-PricingDataTable[[#This Row],[Prior Price ($)]])/PricingDataTable[[#This Row],[Prior Price ($)]]</f>
        <v>-7.4615225721596521E-3</v>
      </c>
      <c r="L4880" s="9">
        <f>(PricingDataTable[[#This Row],[Vendor Price ($)]]-PricingDataTable[[#This Row],[Current Price ($)]])/PricingDataTable[[#This Row],[Current Price ($)]]</f>
        <v>3.1896775070399119E-3</v>
      </c>
      <c r="M4880" t="str">
        <f t="shared" si="152"/>
        <v>PASS</v>
      </c>
      <c r="N4880" s="10" t="str">
        <f t="shared" si="153"/>
        <v>NONE</v>
      </c>
    </row>
    <row r="4881" spans="1:14">
      <c r="A4881" s="4" t="s">
        <v>9778</v>
      </c>
      <c r="B4881" s="4" t="s">
        <v>9779</v>
      </c>
      <c r="C4881" s="4" t="s">
        <v>19</v>
      </c>
      <c r="D4881" s="4" t="s">
        <v>13</v>
      </c>
      <c r="E4881" s="5">
        <v>297.91480000000001</v>
      </c>
      <c r="F4881" s="5">
        <v>300.27069999999998</v>
      </c>
      <c r="G4881" s="5">
        <v>300.65309999999999</v>
      </c>
      <c r="H4881" s="4">
        <v>1</v>
      </c>
      <c r="I4881" s="6">
        <v>851791</v>
      </c>
      <c r="J4881" s="7">
        <v>552.58000000000004</v>
      </c>
      <c r="K4881" s="9">
        <f>(PricingDataTable[[#This Row],[Current Price ($)]]-PricingDataTable[[#This Row],[Prior Price ($)]])/PricingDataTable[[#This Row],[Prior Price ($)]]</f>
        <v>7.9079656331271977E-3</v>
      </c>
      <c r="L4881" s="9">
        <f>(PricingDataTable[[#This Row],[Vendor Price ($)]]-PricingDataTable[[#This Row],[Current Price ($)]])/PricingDataTable[[#This Row],[Current Price ($)]]</f>
        <v>1.2735175293494114E-3</v>
      </c>
      <c r="M4881" t="str">
        <f t="shared" si="152"/>
        <v>PASS</v>
      </c>
      <c r="N4881" s="10" t="str">
        <f t="shared" si="153"/>
        <v>NONE</v>
      </c>
    </row>
    <row r="4882" spans="1:14">
      <c r="A4882" s="4" t="s">
        <v>9780</v>
      </c>
      <c r="B4882" s="4" t="s">
        <v>9781</v>
      </c>
      <c r="C4882" s="4" t="s">
        <v>19</v>
      </c>
      <c r="D4882" s="4" t="s">
        <v>13</v>
      </c>
      <c r="E4882" s="5">
        <v>184.7773</v>
      </c>
      <c r="F4882" s="5">
        <v>183.3366</v>
      </c>
      <c r="G4882" s="5">
        <v>183.43860000000001</v>
      </c>
      <c r="H4882" s="4">
        <v>0</v>
      </c>
      <c r="I4882" s="6">
        <v>1620907</v>
      </c>
      <c r="J4882" s="7">
        <v>77.790000000000006</v>
      </c>
      <c r="K4882" s="9">
        <f>(PricingDataTable[[#This Row],[Current Price ($)]]-PricingDataTable[[#This Row],[Prior Price ($)]])/PricingDataTable[[#This Row],[Prior Price ($)]]</f>
        <v>-7.7969534136497964E-3</v>
      </c>
      <c r="L4882" s="9">
        <f>(PricingDataTable[[#This Row],[Vendor Price ($)]]-PricingDataTable[[#This Row],[Current Price ($)]])/PricingDataTable[[#This Row],[Current Price ($)]]</f>
        <v>5.5635372315186314E-4</v>
      </c>
      <c r="M4882" t="str">
        <f t="shared" si="152"/>
        <v>PASS</v>
      </c>
      <c r="N4882" s="10" t="str">
        <f t="shared" si="153"/>
        <v>NONE</v>
      </c>
    </row>
    <row r="4883" spans="1:14">
      <c r="A4883" s="4" t="s">
        <v>9782</v>
      </c>
      <c r="B4883" s="4" t="s">
        <v>9783</v>
      </c>
      <c r="C4883" s="4" t="s">
        <v>16</v>
      </c>
      <c r="D4883" s="4" t="s">
        <v>13</v>
      </c>
      <c r="E4883" s="5">
        <v>87.326099999999997</v>
      </c>
      <c r="F4883" s="5">
        <v>86.602400000000003</v>
      </c>
      <c r="G4883" s="5">
        <v>86.506799999999998</v>
      </c>
      <c r="H4883" s="4">
        <v>0</v>
      </c>
      <c r="I4883" s="6">
        <v>4772486</v>
      </c>
      <c r="J4883" s="7">
        <v>482.4</v>
      </c>
      <c r="K4883" s="9">
        <f>(PricingDataTable[[#This Row],[Current Price ($)]]-PricingDataTable[[#This Row],[Prior Price ($)]])/PricingDataTable[[#This Row],[Prior Price ($)]]</f>
        <v>-8.2873276145389967E-3</v>
      </c>
      <c r="L4883" s="9">
        <f>(PricingDataTable[[#This Row],[Vendor Price ($)]]-PricingDataTable[[#This Row],[Current Price ($)]])/PricingDataTable[[#This Row],[Current Price ($)]]</f>
        <v>-1.1038955040507488E-3</v>
      </c>
      <c r="M4883" t="str">
        <f t="shared" si="152"/>
        <v>PASS</v>
      </c>
      <c r="N4883" s="10" t="str">
        <f t="shared" si="153"/>
        <v>NONE</v>
      </c>
    </row>
    <row r="4884" spans="1:14">
      <c r="A4884" s="4" t="s">
        <v>9784</v>
      </c>
      <c r="B4884" s="4" t="s">
        <v>9785</v>
      </c>
      <c r="C4884" s="4" t="s">
        <v>16</v>
      </c>
      <c r="D4884" s="4" t="s">
        <v>13</v>
      </c>
      <c r="E4884" s="5">
        <v>105.7124</v>
      </c>
      <c r="F4884" s="5">
        <v>106.19240000000001</v>
      </c>
      <c r="G4884" s="5">
        <v>106.01900000000001</v>
      </c>
      <c r="H4884" s="4">
        <v>0</v>
      </c>
      <c r="I4884" s="6">
        <v>3006809</v>
      </c>
      <c r="J4884" s="7">
        <v>306.7</v>
      </c>
      <c r="K4884" s="9">
        <f>(PricingDataTable[[#This Row],[Current Price ($)]]-PricingDataTable[[#This Row],[Prior Price ($)]])/PricingDataTable[[#This Row],[Prior Price ($)]]</f>
        <v>4.5406215354112101E-3</v>
      </c>
      <c r="L4884" s="9">
        <f>(PricingDataTable[[#This Row],[Vendor Price ($)]]-PricingDataTable[[#This Row],[Current Price ($)]])/PricingDataTable[[#This Row],[Current Price ($)]]</f>
        <v>-1.6328852158911643E-3</v>
      </c>
      <c r="M4884" t="str">
        <f t="shared" si="152"/>
        <v>PASS</v>
      </c>
      <c r="N4884" s="10" t="str">
        <f t="shared" si="153"/>
        <v>NONE</v>
      </c>
    </row>
    <row r="4885" spans="1:14">
      <c r="A4885" s="4" t="s">
        <v>9786</v>
      </c>
      <c r="B4885" s="4" t="s">
        <v>9787</v>
      </c>
      <c r="C4885" s="4" t="s">
        <v>16</v>
      </c>
      <c r="D4885" s="4" t="s">
        <v>13</v>
      </c>
      <c r="E4885" s="5">
        <v>75.524199999999993</v>
      </c>
      <c r="F4885" s="5">
        <v>74.166899999999998</v>
      </c>
      <c r="G4885" s="5">
        <v>74.220399999999998</v>
      </c>
      <c r="H4885" s="4">
        <v>0</v>
      </c>
      <c r="I4885" s="6">
        <v>163096</v>
      </c>
      <c r="J4885" s="7">
        <v>885.85</v>
      </c>
      <c r="K4885" s="9">
        <f>(PricingDataTable[[#This Row],[Current Price ($)]]-PricingDataTable[[#This Row],[Prior Price ($)]])/PricingDataTable[[#This Row],[Prior Price ($)]]</f>
        <v>-1.7971722970915219E-2</v>
      </c>
      <c r="L4885" s="9">
        <f>(PricingDataTable[[#This Row],[Vendor Price ($)]]-PricingDataTable[[#This Row],[Current Price ($)]])/PricingDataTable[[#This Row],[Current Price ($)]]</f>
        <v>7.2134604520344872E-4</v>
      </c>
      <c r="M4885" t="str">
        <f t="shared" si="152"/>
        <v>PASS</v>
      </c>
      <c r="N4885" s="10" t="str">
        <f t="shared" si="153"/>
        <v>NONE</v>
      </c>
    </row>
    <row r="4886" spans="1:14">
      <c r="A4886" s="4" t="s">
        <v>9788</v>
      </c>
      <c r="B4886" s="4" t="s">
        <v>9789</v>
      </c>
      <c r="C4886" s="4" t="s">
        <v>19</v>
      </c>
      <c r="D4886" s="4" t="s">
        <v>13</v>
      </c>
      <c r="E4886" s="5">
        <v>348.02080000000001</v>
      </c>
      <c r="F4886" s="5">
        <v>350.02780000000001</v>
      </c>
      <c r="G4886" s="5">
        <v>350.50409999999999</v>
      </c>
      <c r="H4886" s="4">
        <v>0</v>
      </c>
      <c r="I4886" s="6">
        <v>1627663</v>
      </c>
      <c r="J4886" s="7">
        <v>308.94</v>
      </c>
      <c r="K4886" s="9">
        <f>(PricingDataTable[[#This Row],[Current Price ($)]]-PricingDataTable[[#This Row],[Prior Price ($)]])/PricingDataTable[[#This Row],[Prior Price ($)]]</f>
        <v>5.7668966912322621E-3</v>
      </c>
      <c r="L4886" s="9">
        <f>(PricingDataTable[[#This Row],[Vendor Price ($)]]-PricingDataTable[[#This Row],[Current Price ($)]])/PricingDataTable[[#This Row],[Current Price ($)]]</f>
        <v>1.3607490605031388E-3</v>
      </c>
      <c r="M4886" t="str">
        <f t="shared" si="152"/>
        <v>PASS</v>
      </c>
      <c r="N4886" s="10" t="str">
        <f t="shared" si="153"/>
        <v>NONE</v>
      </c>
    </row>
    <row r="4887" spans="1:14">
      <c r="A4887" s="4" t="s">
        <v>9790</v>
      </c>
      <c r="B4887" s="4" t="s">
        <v>9791</v>
      </c>
      <c r="C4887" s="4" t="s">
        <v>39</v>
      </c>
      <c r="D4887" s="4" t="s">
        <v>13</v>
      </c>
      <c r="E4887" s="5">
        <v>198.3366</v>
      </c>
      <c r="F4887" s="5">
        <v>202.01679999999999</v>
      </c>
      <c r="G4887" s="5">
        <v>202.29089999999999</v>
      </c>
      <c r="H4887" s="4">
        <v>0</v>
      </c>
      <c r="I4887" s="6">
        <v>2421083</v>
      </c>
      <c r="J4887" s="7">
        <v>77.19</v>
      </c>
      <c r="K4887" s="9">
        <f>(PricingDataTable[[#This Row],[Current Price ($)]]-PricingDataTable[[#This Row],[Prior Price ($)]])/PricingDataTable[[#This Row],[Prior Price ($)]]</f>
        <v>1.8555324634989129E-2</v>
      </c>
      <c r="L4887" s="9">
        <f>(PricingDataTable[[#This Row],[Vendor Price ($)]]-PricingDataTable[[#This Row],[Current Price ($)]])/PricingDataTable[[#This Row],[Current Price ($)]]</f>
        <v>1.356817848812595E-3</v>
      </c>
      <c r="M4887" t="str">
        <f t="shared" si="152"/>
        <v>PASS</v>
      </c>
      <c r="N4887" s="10" t="str">
        <f t="shared" si="153"/>
        <v>NONE</v>
      </c>
    </row>
    <row r="4888" spans="1:14">
      <c r="A4888" s="4" t="s">
        <v>9792</v>
      </c>
      <c r="B4888" s="4" t="s">
        <v>9793</v>
      </c>
      <c r="C4888" s="4" t="s">
        <v>39</v>
      </c>
      <c r="D4888" s="4" t="s">
        <v>13</v>
      </c>
      <c r="E4888" s="5">
        <v>44.225999999999999</v>
      </c>
      <c r="F4888" s="5">
        <v>43.8889</v>
      </c>
      <c r="G4888" s="5">
        <v>43.829099999999997</v>
      </c>
      <c r="H4888" s="4">
        <v>1</v>
      </c>
      <c r="I4888" s="6">
        <v>1410376</v>
      </c>
      <c r="J4888" s="7">
        <v>596.41999999999996</v>
      </c>
      <c r="K4888" s="9">
        <f>(PricingDataTable[[#This Row],[Current Price ($)]]-PricingDataTable[[#This Row],[Prior Price ($)]])/PricingDataTable[[#This Row],[Prior Price ($)]]</f>
        <v>-7.6222131777687226E-3</v>
      </c>
      <c r="L4888" s="9">
        <f>(PricingDataTable[[#This Row],[Vendor Price ($)]]-PricingDataTable[[#This Row],[Current Price ($)]])/PricingDataTable[[#This Row],[Current Price ($)]]</f>
        <v>-1.3625313006250495E-3</v>
      </c>
      <c r="M4888" t="str">
        <f t="shared" si="152"/>
        <v>PASS</v>
      </c>
      <c r="N4888" s="10" t="str">
        <f t="shared" si="153"/>
        <v>NONE</v>
      </c>
    </row>
    <row r="4889" spans="1:14">
      <c r="A4889" s="4" t="s">
        <v>9794</v>
      </c>
      <c r="B4889" s="4" t="s">
        <v>9795</v>
      </c>
      <c r="C4889" s="4" t="s">
        <v>19</v>
      </c>
      <c r="D4889" s="4" t="s">
        <v>13</v>
      </c>
      <c r="E4889" s="5">
        <v>150.0411</v>
      </c>
      <c r="F4889" s="5">
        <v>146.36349999999999</v>
      </c>
      <c r="G4889" s="5">
        <v>146.1388</v>
      </c>
      <c r="H4889" s="4">
        <v>0</v>
      </c>
      <c r="I4889" s="6">
        <v>945149</v>
      </c>
      <c r="J4889" s="7">
        <v>547.52</v>
      </c>
      <c r="K4889" s="9">
        <f>(PricingDataTable[[#This Row],[Current Price ($)]]-PricingDataTable[[#This Row],[Prior Price ($)]])/PricingDataTable[[#This Row],[Prior Price ($)]]</f>
        <v>-2.4510617424159196E-2</v>
      </c>
      <c r="L4889" s="9">
        <f>(PricingDataTable[[#This Row],[Vendor Price ($)]]-PricingDataTable[[#This Row],[Current Price ($)]])/PricingDataTable[[#This Row],[Current Price ($)]]</f>
        <v>-1.5352188216323358E-3</v>
      </c>
      <c r="M4889" t="str">
        <f t="shared" si="152"/>
        <v>PASS</v>
      </c>
      <c r="N4889" s="10" t="str">
        <f t="shared" si="153"/>
        <v>NONE</v>
      </c>
    </row>
    <row r="4890" spans="1:14">
      <c r="A4890" s="4" t="s">
        <v>9796</v>
      </c>
      <c r="B4890" s="4" t="s">
        <v>9797</v>
      </c>
      <c r="C4890" s="4" t="s">
        <v>35</v>
      </c>
      <c r="D4890" s="4" t="s">
        <v>13</v>
      </c>
      <c r="E4890" s="5">
        <v>43.785400000000003</v>
      </c>
      <c r="F4890" s="5">
        <v>43.1173</v>
      </c>
      <c r="G4890" s="5">
        <v>43.070700000000002</v>
      </c>
      <c r="H4890" s="4">
        <v>0</v>
      </c>
      <c r="I4890" s="6">
        <v>4300570</v>
      </c>
      <c r="J4890" s="7">
        <v>422.08</v>
      </c>
      <c r="K4890" s="9">
        <f>(PricingDataTable[[#This Row],[Current Price ($)]]-PricingDataTable[[#This Row],[Prior Price ($)]])/PricingDataTable[[#This Row],[Prior Price ($)]]</f>
        <v>-1.5258510827810242E-2</v>
      </c>
      <c r="L4890" s="9">
        <f>(PricingDataTable[[#This Row],[Vendor Price ($)]]-PricingDataTable[[#This Row],[Current Price ($)]])/PricingDataTable[[#This Row],[Current Price ($)]]</f>
        <v>-1.0807726828905794E-3</v>
      </c>
      <c r="M4890" t="str">
        <f t="shared" si="152"/>
        <v>PASS</v>
      </c>
      <c r="N4890" s="10" t="str">
        <f t="shared" si="153"/>
        <v>NONE</v>
      </c>
    </row>
    <row r="4891" spans="1:14">
      <c r="A4891" s="4" t="s">
        <v>9798</v>
      </c>
      <c r="B4891" s="4" t="s">
        <v>9799</v>
      </c>
      <c r="C4891" s="4" t="s">
        <v>35</v>
      </c>
      <c r="D4891" s="4" t="s">
        <v>13</v>
      </c>
      <c r="E4891" s="5">
        <v>38.014200000000002</v>
      </c>
      <c r="F4891" s="5">
        <v>37.735199999999999</v>
      </c>
      <c r="G4891" s="5">
        <v>37.566000000000003</v>
      </c>
      <c r="H4891" s="4">
        <v>0</v>
      </c>
      <c r="I4891" s="6">
        <v>2705152</v>
      </c>
      <c r="J4891" s="7">
        <v>665.08</v>
      </c>
      <c r="K4891" s="9">
        <f>(PricingDataTable[[#This Row],[Current Price ($)]]-PricingDataTable[[#This Row],[Prior Price ($)]])/PricingDataTable[[#This Row],[Prior Price ($)]]</f>
        <v>-7.3393626592169097E-3</v>
      </c>
      <c r="L4891" s="9">
        <f>(PricingDataTable[[#This Row],[Vendor Price ($)]]-PricingDataTable[[#This Row],[Current Price ($)]])/PricingDataTable[[#This Row],[Current Price ($)]]</f>
        <v>-4.4838771226864164E-3</v>
      </c>
      <c r="M4891" t="str">
        <f t="shared" si="152"/>
        <v>PASS</v>
      </c>
      <c r="N4891" s="10" t="str">
        <f t="shared" si="153"/>
        <v>NONE</v>
      </c>
    </row>
    <row r="4892" spans="1:14">
      <c r="A4892" s="4" t="s">
        <v>9800</v>
      </c>
      <c r="B4892" s="4" t="s">
        <v>9801</v>
      </c>
      <c r="C4892" s="4" t="s">
        <v>16</v>
      </c>
      <c r="D4892" s="4" t="s">
        <v>13</v>
      </c>
      <c r="E4892" s="5">
        <v>121.8642</v>
      </c>
      <c r="F4892" s="5">
        <v>122.48909999999999</v>
      </c>
      <c r="G4892" s="5">
        <v>122.28449999999999</v>
      </c>
      <c r="H4892" s="4">
        <v>0</v>
      </c>
      <c r="I4892" s="6">
        <v>2257091</v>
      </c>
      <c r="J4892" s="7">
        <v>899.45</v>
      </c>
      <c r="K4892" s="9">
        <f>(PricingDataTable[[#This Row],[Current Price ($)]]-PricingDataTable[[#This Row],[Prior Price ($)]])/PricingDataTable[[#This Row],[Prior Price ($)]]</f>
        <v>5.1278390208116635E-3</v>
      </c>
      <c r="L4892" s="9">
        <f>(PricingDataTable[[#This Row],[Vendor Price ($)]]-PricingDataTable[[#This Row],[Current Price ($)]])/PricingDataTable[[#This Row],[Current Price ($)]]</f>
        <v>-1.6703527089349112E-3</v>
      </c>
      <c r="M4892" t="str">
        <f t="shared" si="152"/>
        <v>PASS</v>
      </c>
      <c r="N4892" s="10" t="str">
        <f t="shared" si="153"/>
        <v>NONE</v>
      </c>
    </row>
    <row r="4893" spans="1:14">
      <c r="A4893" s="4" t="s">
        <v>9802</v>
      </c>
      <c r="B4893" s="4" t="s">
        <v>9803</v>
      </c>
      <c r="C4893" s="4" t="s">
        <v>19</v>
      </c>
      <c r="D4893" s="4" t="s">
        <v>13</v>
      </c>
      <c r="E4893" s="5">
        <v>47.7821</v>
      </c>
      <c r="F4893" s="5">
        <v>48.1738</v>
      </c>
      <c r="G4893" s="5">
        <v>48.238900000000001</v>
      </c>
      <c r="H4893" s="4">
        <v>1</v>
      </c>
      <c r="I4893" s="6">
        <v>41295</v>
      </c>
      <c r="J4893" s="7">
        <v>141.44</v>
      </c>
      <c r="K4893" s="9">
        <f>(PricingDataTable[[#This Row],[Current Price ($)]]-PricingDataTable[[#This Row],[Prior Price ($)]])/PricingDataTable[[#This Row],[Prior Price ($)]]</f>
        <v>8.1976304934274578E-3</v>
      </c>
      <c r="L4893" s="9">
        <f>(PricingDataTable[[#This Row],[Vendor Price ($)]]-PricingDataTable[[#This Row],[Current Price ($)]])/PricingDataTable[[#This Row],[Current Price ($)]]</f>
        <v>1.3513569616679824E-3</v>
      </c>
      <c r="M4893" t="str">
        <f t="shared" si="152"/>
        <v>PASS</v>
      </c>
      <c r="N4893" s="10" t="str">
        <f t="shared" si="153"/>
        <v>NONE</v>
      </c>
    </row>
    <row r="4894" spans="1:14">
      <c r="A4894" s="4" t="s">
        <v>9804</v>
      </c>
      <c r="B4894" s="4" t="s">
        <v>9805</v>
      </c>
      <c r="C4894" s="4" t="s">
        <v>16</v>
      </c>
      <c r="D4894" s="4" t="s">
        <v>13</v>
      </c>
      <c r="E4894" s="5">
        <v>116.9316</v>
      </c>
      <c r="F4894" s="5">
        <v>116.2239</v>
      </c>
      <c r="G4894" s="5">
        <v>109.84910000000001</v>
      </c>
      <c r="H4894" s="4">
        <v>0</v>
      </c>
      <c r="I4894" s="6">
        <v>2050341</v>
      </c>
      <c r="J4894" s="7">
        <v>858.05</v>
      </c>
      <c r="K4894" s="9">
        <f>(PricingDataTable[[#This Row],[Current Price ($)]]-PricingDataTable[[#This Row],[Prior Price ($)]])/PricingDataTable[[#This Row],[Prior Price ($)]]</f>
        <v>-6.0522561907987464E-3</v>
      </c>
      <c r="L4894" s="9">
        <f>(PricingDataTable[[#This Row],[Vendor Price ($)]]-PricingDataTable[[#This Row],[Current Price ($)]])/PricingDataTable[[#This Row],[Current Price ($)]]</f>
        <v>-5.4849303800681211E-2</v>
      </c>
      <c r="M4894" t="str">
        <f t="shared" si="152"/>
        <v>VENDOR DIFFERENCE</v>
      </c>
      <c r="N4894" s="10" t="str">
        <f t="shared" si="153"/>
        <v>HIGH</v>
      </c>
    </row>
    <row r="4895" spans="1:14">
      <c r="A4895" s="4" t="s">
        <v>9806</v>
      </c>
      <c r="B4895" s="4" t="s">
        <v>9807</v>
      </c>
      <c r="C4895" s="4" t="s">
        <v>19</v>
      </c>
      <c r="D4895" s="4" t="s">
        <v>13</v>
      </c>
      <c r="E4895" s="5">
        <v>290.68369999999999</v>
      </c>
      <c r="F4895" s="5">
        <v>285.7362</v>
      </c>
      <c r="G4895" s="5">
        <v>286.25049999999999</v>
      </c>
      <c r="H4895" s="4">
        <v>5</v>
      </c>
      <c r="I4895" s="6">
        <v>3955223</v>
      </c>
      <c r="J4895" s="7">
        <v>656.8</v>
      </c>
      <c r="K4895" s="9">
        <f>(PricingDataTable[[#This Row],[Current Price ($)]]-PricingDataTable[[#This Row],[Prior Price ($)]])/PricingDataTable[[#This Row],[Prior Price ($)]]</f>
        <v>-1.7020218195929086E-2</v>
      </c>
      <c r="L4895" s="9">
        <f>(PricingDataTable[[#This Row],[Vendor Price ($)]]-PricingDataTable[[#This Row],[Current Price ($)]])/PricingDataTable[[#This Row],[Current Price ($)]]</f>
        <v>1.7999119467536544E-3</v>
      </c>
      <c r="M4895" t="str">
        <f t="shared" si="152"/>
        <v>STALE</v>
      </c>
      <c r="N4895" s="10" t="str">
        <f t="shared" si="153"/>
        <v>MEDIUM</v>
      </c>
    </row>
    <row r="4896" spans="1:14">
      <c r="A4896" s="4" t="s">
        <v>9808</v>
      </c>
      <c r="B4896" s="4" t="s">
        <v>9809</v>
      </c>
      <c r="C4896" s="4" t="s">
        <v>39</v>
      </c>
      <c r="D4896" s="4" t="s">
        <v>237</v>
      </c>
      <c r="E4896" s="5">
        <v>40.201599999999999</v>
      </c>
      <c r="F4896" s="5">
        <v>40.774999999999999</v>
      </c>
      <c r="G4896" s="5">
        <v>40.7301</v>
      </c>
      <c r="H4896" s="4">
        <v>0</v>
      </c>
      <c r="I4896" s="6">
        <v>3157452</v>
      </c>
      <c r="J4896" s="7">
        <v>583.32000000000005</v>
      </c>
      <c r="K4896" s="9">
        <f>(PricingDataTable[[#This Row],[Current Price ($)]]-PricingDataTable[[#This Row],[Prior Price ($)]])/PricingDataTable[[#This Row],[Prior Price ($)]]</f>
        <v>1.426311390591418E-2</v>
      </c>
      <c r="L4896" s="9">
        <f>(PricingDataTable[[#This Row],[Vendor Price ($)]]-PricingDataTable[[#This Row],[Current Price ($)]])/PricingDataTable[[#This Row],[Current Price ($)]]</f>
        <v>-1.1011649294910702E-3</v>
      </c>
      <c r="M4896" t="str">
        <f t="shared" si="152"/>
        <v>PASS</v>
      </c>
      <c r="N4896" s="10" t="str">
        <f t="shared" si="153"/>
        <v>NONE</v>
      </c>
    </row>
    <row r="4897" spans="1:14">
      <c r="A4897" s="4" t="s">
        <v>9810</v>
      </c>
      <c r="B4897" s="4" t="s">
        <v>9811</v>
      </c>
      <c r="C4897" s="4" t="s">
        <v>12</v>
      </c>
      <c r="D4897" s="4" t="s">
        <v>13</v>
      </c>
      <c r="E4897" s="5">
        <v>111.7677</v>
      </c>
      <c r="F4897" s="5">
        <v>109.89530000000001</v>
      </c>
      <c r="G4897" s="5">
        <v>110.1075</v>
      </c>
      <c r="H4897" s="4">
        <v>1</v>
      </c>
      <c r="I4897" s="6">
        <v>688490</v>
      </c>
      <c r="J4897" s="7">
        <v>676.13</v>
      </c>
      <c r="K4897" s="9">
        <f>(PricingDataTable[[#This Row],[Current Price ($)]]-PricingDataTable[[#This Row],[Prior Price ($)]])/PricingDataTable[[#This Row],[Prior Price ($)]]</f>
        <v>-1.6752603838139275E-2</v>
      </c>
      <c r="L4897" s="9">
        <f>(PricingDataTable[[#This Row],[Vendor Price ($)]]-PricingDataTable[[#This Row],[Current Price ($)]])/PricingDataTable[[#This Row],[Current Price ($)]]</f>
        <v>1.9309288022326316E-3</v>
      </c>
      <c r="M4897" t="str">
        <f t="shared" si="152"/>
        <v>PASS</v>
      </c>
      <c r="N4897" s="10" t="str">
        <f t="shared" si="153"/>
        <v>NONE</v>
      </c>
    </row>
    <row r="4898" spans="1:14">
      <c r="A4898" s="4" t="s">
        <v>9812</v>
      </c>
      <c r="B4898" s="4" t="s">
        <v>9813</v>
      </c>
      <c r="C4898" s="4" t="s">
        <v>19</v>
      </c>
      <c r="D4898" s="4" t="s">
        <v>13</v>
      </c>
      <c r="E4898" s="5">
        <v>271.28530000000001</v>
      </c>
      <c r="F4898" s="5">
        <v>276.51600000000002</v>
      </c>
      <c r="G4898" s="5">
        <v>276.70639999999997</v>
      </c>
      <c r="H4898" s="4">
        <v>0</v>
      </c>
      <c r="I4898" s="6">
        <v>2478708</v>
      </c>
      <c r="J4898" s="7">
        <v>602.09</v>
      </c>
      <c r="K4898" s="9">
        <f>(PricingDataTable[[#This Row],[Current Price ($)]]-PricingDataTable[[#This Row],[Prior Price ($)]])/PricingDataTable[[#This Row],[Prior Price ($)]]</f>
        <v>1.9281177417279936E-2</v>
      </c>
      <c r="L4898" s="9">
        <f>(PricingDataTable[[#This Row],[Vendor Price ($)]]-PricingDataTable[[#This Row],[Current Price ($)]])/PricingDataTable[[#This Row],[Current Price ($)]]</f>
        <v>6.8856775014810765E-4</v>
      </c>
      <c r="M4898" t="str">
        <f t="shared" si="152"/>
        <v>PASS</v>
      </c>
      <c r="N4898" s="10" t="str">
        <f t="shared" si="153"/>
        <v>NONE</v>
      </c>
    </row>
    <row r="4899" spans="1:14">
      <c r="A4899" s="4" t="s">
        <v>9814</v>
      </c>
      <c r="B4899" s="4" t="s">
        <v>9815</v>
      </c>
      <c r="C4899" s="4" t="s">
        <v>12</v>
      </c>
      <c r="D4899" s="4" t="s">
        <v>64</v>
      </c>
      <c r="E4899" s="5">
        <v>124.90730000000001</v>
      </c>
      <c r="F4899" s="5">
        <v>122.90689999999999</v>
      </c>
      <c r="G4899" s="5">
        <v>122.6803</v>
      </c>
      <c r="H4899" s="4">
        <v>2</v>
      </c>
      <c r="I4899" s="6">
        <v>4522844</v>
      </c>
      <c r="J4899" s="7">
        <v>355.65</v>
      </c>
      <c r="K4899" s="9">
        <f>(PricingDataTable[[#This Row],[Current Price ($)]]-PricingDataTable[[#This Row],[Prior Price ($)]])/PricingDataTable[[#This Row],[Prior Price ($)]]</f>
        <v>-1.601507678094085E-2</v>
      </c>
      <c r="L4899" s="9">
        <f>(PricingDataTable[[#This Row],[Vendor Price ($)]]-PricingDataTable[[#This Row],[Current Price ($)]])/PricingDataTable[[#This Row],[Current Price ($)]]</f>
        <v>-1.843671917524489E-3</v>
      </c>
      <c r="M4899" t="str">
        <f t="shared" si="152"/>
        <v>PASS</v>
      </c>
      <c r="N4899" s="10" t="str">
        <f t="shared" si="153"/>
        <v>NONE</v>
      </c>
    </row>
    <row r="4900" spans="1:14">
      <c r="A4900" s="4" t="s">
        <v>9816</v>
      </c>
      <c r="B4900" s="4" t="s">
        <v>9817</v>
      </c>
      <c r="C4900" s="4" t="s">
        <v>16</v>
      </c>
      <c r="D4900" s="4" t="s">
        <v>13</v>
      </c>
      <c r="E4900" s="5">
        <v>114.1024</v>
      </c>
      <c r="F4900" s="5">
        <v>112.28400000000001</v>
      </c>
      <c r="G4900" s="5">
        <v>112.6867</v>
      </c>
      <c r="H4900" s="4">
        <v>0</v>
      </c>
      <c r="I4900" s="6">
        <v>3563487</v>
      </c>
      <c r="J4900" s="7">
        <v>879.99</v>
      </c>
      <c r="K4900" s="9">
        <f>(PricingDataTable[[#This Row],[Current Price ($)]]-PricingDataTable[[#This Row],[Prior Price ($)]])/PricingDataTable[[#This Row],[Prior Price ($)]]</f>
        <v>-1.5936562245842303E-2</v>
      </c>
      <c r="L4900" s="9">
        <f>(PricingDataTable[[#This Row],[Vendor Price ($)]]-PricingDataTable[[#This Row],[Current Price ($)]])/PricingDataTable[[#This Row],[Current Price ($)]]</f>
        <v>3.5864415232802166E-3</v>
      </c>
      <c r="M4900" t="str">
        <f t="shared" si="152"/>
        <v>PASS</v>
      </c>
      <c r="N4900" s="10" t="str">
        <f t="shared" si="153"/>
        <v>NONE</v>
      </c>
    </row>
    <row r="4901" spans="1:14">
      <c r="A4901" s="4" t="s">
        <v>9818</v>
      </c>
      <c r="B4901" s="4" t="s">
        <v>9819</v>
      </c>
      <c r="C4901" s="4" t="s">
        <v>12</v>
      </c>
      <c r="D4901" s="4" t="s">
        <v>64</v>
      </c>
      <c r="E4901" s="5">
        <v>97.421300000000002</v>
      </c>
      <c r="F4901" s="5">
        <v>98.202200000000005</v>
      </c>
      <c r="G4901" s="5">
        <v>98.415999999999997</v>
      </c>
      <c r="H4901" s="4">
        <v>0</v>
      </c>
      <c r="I4901" s="6">
        <v>227549</v>
      </c>
      <c r="J4901" s="7">
        <v>8.56</v>
      </c>
      <c r="K4901" s="9">
        <f>(PricingDataTable[[#This Row],[Current Price ($)]]-PricingDataTable[[#This Row],[Prior Price ($)]])/PricingDataTable[[#This Row],[Prior Price ($)]]</f>
        <v>8.0157008785553315E-3</v>
      </c>
      <c r="L4901" s="9">
        <f>(PricingDataTable[[#This Row],[Vendor Price ($)]]-PricingDataTable[[#This Row],[Current Price ($)]])/PricingDataTable[[#This Row],[Current Price ($)]]</f>
        <v>2.1771406343237929E-3</v>
      </c>
      <c r="M4901" t="str">
        <f t="shared" si="152"/>
        <v>PASS</v>
      </c>
      <c r="N4901" s="10" t="str">
        <f t="shared" si="153"/>
        <v>NONE</v>
      </c>
    </row>
    <row r="4902" spans="1:14">
      <c r="A4902" s="4" t="s">
        <v>9820</v>
      </c>
      <c r="B4902" s="4" t="s">
        <v>9821</v>
      </c>
      <c r="C4902" s="4" t="s">
        <v>19</v>
      </c>
      <c r="D4902" s="4" t="s">
        <v>32</v>
      </c>
      <c r="E4902" s="5">
        <v>265.4701</v>
      </c>
      <c r="F4902" s="5">
        <v>265.0521</v>
      </c>
      <c r="G4902" s="5">
        <v>264.24180000000001</v>
      </c>
      <c r="H4902" s="4">
        <v>2</v>
      </c>
      <c r="I4902" s="6">
        <v>557657</v>
      </c>
      <c r="J4902" s="7">
        <v>412.54</v>
      </c>
      <c r="K4902" s="9">
        <f>(PricingDataTable[[#This Row],[Current Price ($)]]-PricingDataTable[[#This Row],[Prior Price ($)]])/PricingDataTable[[#This Row],[Prior Price ($)]]</f>
        <v>-1.5745652711925235E-3</v>
      </c>
      <c r="L4902" s="9">
        <f>(PricingDataTable[[#This Row],[Vendor Price ($)]]-PricingDataTable[[#This Row],[Current Price ($)]])/PricingDataTable[[#This Row],[Current Price ($)]]</f>
        <v>-3.0571348048175576E-3</v>
      </c>
      <c r="M4902" t="str">
        <f t="shared" si="152"/>
        <v>PASS</v>
      </c>
      <c r="N4902" s="10" t="str">
        <f t="shared" si="153"/>
        <v>NONE</v>
      </c>
    </row>
    <row r="4903" spans="1:14">
      <c r="A4903" s="4" t="s">
        <v>9822</v>
      </c>
      <c r="B4903" s="4" t="s">
        <v>9823</v>
      </c>
      <c r="C4903" s="4" t="s">
        <v>16</v>
      </c>
      <c r="D4903" s="4" t="s">
        <v>13</v>
      </c>
      <c r="E4903" s="5">
        <v>104.4365</v>
      </c>
      <c r="F4903" s="5">
        <v>104.59950000000001</v>
      </c>
      <c r="G4903" s="5">
        <v>104.7303</v>
      </c>
      <c r="H4903" s="4">
        <v>0</v>
      </c>
      <c r="I4903" s="6">
        <v>3706411</v>
      </c>
      <c r="J4903" s="7">
        <v>316.27999999999997</v>
      </c>
      <c r="K4903" s="9">
        <f>(PricingDataTable[[#This Row],[Current Price ($)]]-PricingDataTable[[#This Row],[Prior Price ($)]])/PricingDataTable[[#This Row],[Prior Price ($)]]</f>
        <v>1.5607570150283753E-3</v>
      </c>
      <c r="L4903" s="9">
        <f>(PricingDataTable[[#This Row],[Vendor Price ($)]]-PricingDataTable[[#This Row],[Current Price ($)]])/PricingDataTable[[#This Row],[Current Price ($)]]</f>
        <v>1.2504839889291401E-3</v>
      </c>
      <c r="M4903" t="str">
        <f t="shared" si="152"/>
        <v>PASS</v>
      </c>
      <c r="N4903" s="10" t="str">
        <f t="shared" si="153"/>
        <v>NONE</v>
      </c>
    </row>
    <row r="4904" spans="1:14">
      <c r="A4904" s="4" t="s">
        <v>9824</v>
      </c>
      <c r="B4904" s="4" t="s">
        <v>9825</v>
      </c>
      <c r="C4904" s="4" t="s">
        <v>19</v>
      </c>
      <c r="D4904" s="4" t="s">
        <v>32</v>
      </c>
      <c r="E4904" s="5">
        <v>240.97499999999999</v>
      </c>
      <c r="F4904" s="5">
        <v>238.08850000000001</v>
      </c>
      <c r="G4904" s="5">
        <v>237.80179999999999</v>
      </c>
      <c r="H4904" s="4">
        <v>1</v>
      </c>
      <c r="I4904" s="6">
        <v>1885489</v>
      </c>
      <c r="J4904" s="7">
        <v>127.71</v>
      </c>
      <c r="K4904" s="9">
        <f>(PricingDataTable[[#This Row],[Current Price ($)]]-PricingDataTable[[#This Row],[Prior Price ($)]])/PricingDataTable[[#This Row],[Prior Price ($)]]</f>
        <v>-1.1978420998028774E-2</v>
      </c>
      <c r="L4904" s="9">
        <f>(PricingDataTable[[#This Row],[Vendor Price ($)]]-PricingDataTable[[#This Row],[Current Price ($)]])/PricingDataTable[[#This Row],[Current Price ($)]]</f>
        <v>-1.2041740781265143E-3</v>
      </c>
      <c r="M4904" t="str">
        <f t="shared" si="152"/>
        <v>PASS</v>
      </c>
      <c r="N4904" s="10" t="str">
        <f t="shared" si="153"/>
        <v>NONE</v>
      </c>
    </row>
    <row r="4905" spans="1:14">
      <c r="A4905" s="4" t="s">
        <v>9826</v>
      </c>
      <c r="B4905" s="4" t="s">
        <v>9827</v>
      </c>
      <c r="C4905" s="4" t="s">
        <v>16</v>
      </c>
      <c r="D4905" s="4" t="s">
        <v>36</v>
      </c>
      <c r="E4905" s="5">
        <v>112.1498</v>
      </c>
      <c r="F4905" s="5">
        <v>112.3914</v>
      </c>
      <c r="G4905" s="5">
        <v>112.39749999999999</v>
      </c>
      <c r="H4905" s="4">
        <v>3</v>
      </c>
      <c r="I4905" s="6">
        <v>84768</v>
      </c>
      <c r="J4905" s="7">
        <v>632.30999999999995</v>
      </c>
      <c r="K4905" s="9">
        <f>(PricingDataTable[[#This Row],[Current Price ($)]]-PricingDataTable[[#This Row],[Prior Price ($)]])/PricingDataTable[[#This Row],[Prior Price ($)]]</f>
        <v>2.1542615323433957E-3</v>
      </c>
      <c r="L4905" s="9">
        <f>(PricingDataTable[[#This Row],[Vendor Price ($)]]-PricingDataTable[[#This Row],[Current Price ($)]])/PricingDataTable[[#This Row],[Current Price ($)]]</f>
        <v>5.4274615317447205E-5</v>
      </c>
      <c r="M4905" t="str">
        <f t="shared" si="152"/>
        <v>STALE</v>
      </c>
      <c r="N4905" s="10" t="str">
        <f t="shared" si="153"/>
        <v>LOW</v>
      </c>
    </row>
    <row r="4906" spans="1:14">
      <c r="A4906" s="4" t="s">
        <v>9828</v>
      </c>
      <c r="B4906" s="4" t="s">
        <v>9829</v>
      </c>
      <c r="C4906" s="4" t="s">
        <v>19</v>
      </c>
      <c r="D4906" s="4" t="s">
        <v>36</v>
      </c>
      <c r="E4906" s="5">
        <v>199.6925</v>
      </c>
      <c r="F4906" s="5">
        <v>202.67570000000001</v>
      </c>
      <c r="G4906" s="5">
        <v>201.47190000000001</v>
      </c>
      <c r="H4906" s="4">
        <v>0</v>
      </c>
      <c r="I4906" s="6">
        <v>991827</v>
      </c>
      <c r="J4906" s="7">
        <v>157.15</v>
      </c>
      <c r="K4906" s="9">
        <f>(PricingDataTable[[#This Row],[Current Price ($)]]-PricingDataTable[[#This Row],[Prior Price ($)]])/PricingDataTable[[#This Row],[Prior Price ($)]]</f>
        <v>1.4938968664321449E-2</v>
      </c>
      <c r="L4906" s="9">
        <f>(PricingDataTable[[#This Row],[Vendor Price ($)]]-PricingDataTable[[#This Row],[Current Price ($)]])/PricingDataTable[[#This Row],[Current Price ($)]]</f>
        <v>-5.9395378923077658E-3</v>
      </c>
      <c r="M4906" t="str">
        <f t="shared" si="152"/>
        <v>PASS</v>
      </c>
      <c r="N4906" s="10" t="str">
        <f t="shared" si="153"/>
        <v>NONE</v>
      </c>
    </row>
    <row r="4907" spans="1:14">
      <c r="A4907" s="4" t="s">
        <v>9830</v>
      </c>
      <c r="B4907" s="4" t="s">
        <v>9831</v>
      </c>
      <c r="C4907" s="4" t="s">
        <v>16</v>
      </c>
      <c r="D4907" s="4" t="s">
        <v>13</v>
      </c>
      <c r="E4907" s="5">
        <v>101.66379999999999</v>
      </c>
      <c r="F4907" s="5">
        <v>101.8753</v>
      </c>
      <c r="G4907" s="5">
        <v>102.1733</v>
      </c>
      <c r="H4907" s="4">
        <v>0</v>
      </c>
      <c r="I4907" s="6">
        <v>481141</v>
      </c>
      <c r="J4907" s="7">
        <v>348.83</v>
      </c>
      <c r="K4907" s="9">
        <f>(PricingDataTable[[#This Row],[Current Price ($)]]-PricingDataTable[[#This Row],[Prior Price ($)]])/PricingDataTable[[#This Row],[Prior Price ($)]]</f>
        <v>2.0803865289316446E-3</v>
      </c>
      <c r="L4907" s="9">
        <f>(PricingDataTable[[#This Row],[Vendor Price ($)]]-PricingDataTable[[#This Row],[Current Price ($)]])/PricingDataTable[[#This Row],[Current Price ($)]]</f>
        <v>2.9251447603099263E-3</v>
      </c>
      <c r="M4907" t="str">
        <f t="shared" si="152"/>
        <v>PASS</v>
      </c>
      <c r="N4907" s="10" t="str">
        <f t="shared" si="153"/>
        <v>NONE</v>
      </c>
    </row>
    <row r="4908" spans="1:14">
      <c r="A4908" s="4" t="s">
        <v>9832</v>
      </c>
      <c r="B4908" s="4" t="s">
        <v>9833</v>
      </c>
      <c r="C4908" s="4" t="s">
        <v>19</v>
      </c>
      <c r="D4908" s="4" t="s">
        <v>64</v>
      </c>
      <c r="E4908" s="5">
        <v>77.395300000000006</v>
      </c>
      <c r="F4908" s="5">
        <v>76.121399999999994</v>
      </c>
      <c r="G4908" s="5">
        <v>76.324799999999996</v>
      </c>
      <c r="H4908" s="4">
        <v>0</v>
      </c>
      <c r="I4908" s="6">
        <v>4136185</v>
      </c>
      <c r="J4908" s="7">
        <v>757.44</v>
      </c>
      <c r="K4908" s="9">
        <f>(PricingDataTable[[#This Row],[Current Price ($)]]-PricingDataTable[[#This Row],[Prior Price ($)]])/PricingDataTable[[#This Row],[Prior Price ($)]]</f>
        <v>-1.6459655818893547E-2</v>
      </c>
      <c r="L4908" s="9">
        <f>(PricingDataTable[[#This Row],[Vendor Price ($)]]-PricingDataTable[[#This Row],[Current Price ($)]])/PricingDataTable[[#This Row],[Current Price ($)]]</f>
        <v>2.6720475451056081E-3</v>
      </c>
      <c r="M4908" t="str">
        <f t="shared" si="152"/>
        <v>PASS</v>
      </c>
      <c r="N4908" s="10" t="str">
        <f t="shared" si="153"/>
        <v>NONE</v>
      </c>
    </row>
    <row r="4909" spans="1:14">
      <c r="A4909" s="4" t="s">
        <v>9834</v>
      </c>
      <c r="B4909" s="4" t="s">
        <v>9835</v>
      </c>
      <c r="C4909" s="4" t="s">
        <v>35</v>
      </c>
      <c r="D4909" s="4" t="s">
        <v>13</v>
      </c>
      <c r="E4909" s="5">
        <v>39.701500000000003</v>
      </c>
      <c r="F4909" s="5">
        <v>40.4861</v>
      </c>
      <c r="G4909" s="5">
        <v>40.207299999999996</v>
      </c>
      <c r="H4909" s="4">
        <v>0</v>
      </c>
      <c r="I4909" s="6">
        <v>2840089</v>
      </c>
      <c r="J4909" s="7">
        <v>829.26</v>
      </c>
      <c r="K4909" s="9">
        <f>(PricingDataTable[[#This Row],[Current Price ($)]]-PricingDataTable[[#This Row],[Prior Price ($)]])/PricingDataTable[[#This Row],[Prior Price ($)]]</f>
        <v>1.9762477488256047E-2</v>
      </c>
      <c r="L4909" s="9">
        <f>(PricingDataTable[[#This Row],[Vendor Price ($)]]-PricingDataTable[[#This Row],[Current Price ($)]])/PricingDataTable[[#This Row],[Current Price ($)]]</f>
        <v>-6.8863140682852613E-3</v>
      </c>
      <c r="M4909" t="str">
        <f t="shared" si="152"/>
        <v>PASS</v>
      </c>
      <c r="N4909" s="10" t="str">
        <f t="shared" si="153"/>
        <v>NONE</v>
      </c>
    </row>
    <row r="4910" spans="1:14">
      <c r="A4910" s="4" t="s">
        <v>9836</v>
      </c>
      <c r="B4910" s="4" t="s">
        <v>9837</v>
      </c>
      <c r="C4910" s="4" t="s">
        <v>16</v>
      </c>
      <c r="D4910" s="4" t="s">
        <v>13</v>
      </c>
      <c r="E4910" s="5">
        <v>104.7598</v>
      </c>
      <c r="F4910" s="5">
        <v>104.3373</v>
      </c>
      <c r="G4910" s="5">
        <v>104.3464</v>
      </c>
      <c r="H4910" s="4">
        <v>0</v>
      </c>
      <c r="I4910" s="6">
        <v>137089</v>
      </c>
      <c r="J4910" s="7">
        <v>654.6</v>
      </c>
      <c r="K4910" s="9">
        <f>(PricingDataTable[[#This Row],[Current Price ($)]]-PricingDataTable[[#This Row],[Prior Price ($)]])/PricingDataTable[[#This Row],[Prior Price ($)]]</f>
        <v>-4.0330355728055937E-3</v>
      </c>
      <c r="L4910" s="9">
        <f>(PricingDataTable[[#This Row],[Vendor Price ($)]]-PricingDataTable[[#This Row],[Current Price ($)]])/PricingDataTable[[#This Row],[Current Price ($)]]</f>
        <v>8.7217131361494506E-5</v>
      </c>
      <c r="M4910" t="str">
        <f t="shared" si="152"/>
        <v>PASS</v>
      </c>
      <c r="N4910" s="10" t="str">
        <f t="shared" si="153"/>
        <v>NONE</v>
      </c>
    </row>
    <row r="4911" spans="1:14">
      <c r="A4911" s="4" t="s">
        <v>9838</v>
      </c>
      <c r="B4911" s="4" t="s">
        <v>9839</v>
      </c>
      <c r="C4911" s="4" t="s">
        <v>12</v>
      </c>
      <c r="D4911" s="4" t="s">
        <v>13</v>
      </c>
      <c r="E4911" s="5">
        <v>94.870400000000004</v>
      </c>
      <c r="F4911" s="5">
        <v>96.055899999999994</v>
      </c>
      <c r="G4911" s="5">
        <v>95.892399999999995</v>
      </c>
      <c r="H4911" s="4">
        <v>0</v>
      </c>
      <c r="I4911" s="6">
        <v>4970259</v>
      </c>
      <c r="J4911" s="7">
        <v>668.49</v>
      </c>
      <c r="K4911" s="9">
        <f>(PricingDataTable[[#This Row],[Current Price ($)]]-PricingDataTable[[#This Row],[Prior Price ($)]])/PricingDataTable[[#This Row],[Prior Price ($)]]</f>
        <v>1.2495994535703343E-2</v>
      </c>
      <c r="L4911" s="9">
        <f>(PricingDataTable[[#This Row],[Vendor Price ($)]]-PricingDataTable[[#This Row],[Current Price ($)]])/PricingDataTable[[#This Row],[Current Price ($)]]</f>
        <v>-1.7021338616368083E-3</v>
      </c>
      <c r="M4911" t="str">
        <f t="shared" si="152"/>
        <v>PASS</v>
      </c>
      <c r="N4911" s="10" t="str">
        <f t="shared" si="153"/>
        <v>NONE</v>
      </c>
    </row>
    <row r="4912" spans="1:14">
      <c r="A4912" s="4" t="s">
        <v>9840</v>
      </c>
      <c r="B4912" s="4" t="s">
        <v>9841</v>
      </c>
      <c r="C4912" s="4" t="s">
        <v>19</v>
      </c>
      <c r="D4912" s="4" t="s">
        <v>13</v>
      </c>
      <c r="E4912" s="5">
        <v>17.986999999999998</v>
      </c>
      <c r="F4912" s="5">
        <v>17.771000000000001</v>
      </c>
      <c r="G4912" s="5">
        <v>17.804500000000001</v>
      </c>
      <c r="H4912" s="4">
        <v>0</v>
      </c>
      <c r="I4912" s="6">
        <v>2661662</v>
      </c>
      <c r="J4912" s="7">
        <v>865.09</v>
      </c>
      <c r="K4912" s="9">
        <f>(PricingDataTable[[#This Row],[Current Price ($)]]-PricingDataTable[[#This Row],[Prior Price ($)]])/PricingDataTable[[#This Row],[Prior Price ($)]]</f>
        <v>-1.2008672930449634E-2</v>
      </c>
      <c r="L4912" s="9">
        <f>(PricingDataTable[[#This Row],[Vendor Price ($)]]-PricingDataTable[[#This Row],[Current Price ($)]])/PricingDataTable[[#This Row],[Current Price ($)]]</f>
        <v>1.8850936919700683E-3</v>
      </c>
      <c r="M4912" t="str">
        <f t="shared" si="152"/>
        <v>PASS</v>
      </c>
      <c r="N4912" s="10" t="str">
        <f t="shared" si="153"/>
        <v>NONE</v>
      </c>
    </row>
    <row r="4913" spans="1:14">
      <c r="A4913" s="4" t="s">
        <v>9842</v>
      </c>
      <c r="B4913" s="4" t="s">
        <v>9843</v>
      </c>
      <c r="C4913" s="4" t="s">
        <v>12</v>
      </c>
      <c r="D4913" s="4" t="s">
        <v>36</v>
      </c>
      <c r="E4913" s="5">
        <v>112.8426</v>
      </c>
      <c r="F4913" s="5">
        <v>111.935</v>
      </c>
      <c r="G4913" s="5">
        <v>111.19110000000001</v>
      </c>
      <c r="H4913" s="4">
        <v>3</v>
      </c>
      <c r="I4913" s="6">
        <v>76475</v>
      </c>
      <c r="J4913" s="7">
        <v>731.98</v>
      </c>
      <c r="K4913" s="9">
        <f>(PricingDataTable[[#This Row],[Current Price ($)]]-PricingDataTable[[#This Row],[Prior Price ($)]])/PricingDataTable[[#This Row],[Prior Price ($)]]</f>
        <v>-8.0430617515016688E-3</v>
      </c>
      <c r="L4913" s="9">
        <f>(PricingDataTable[[#This Row],[Vendor Price ($)]]-PricingDataTable[[#This Row],[Current Price ($)]])/PricingDataTable[[#This Row],[Current Price ($)]]</f>
        <v>-6.6458212355384504E-3</v>
      </c>
      <c r="M4913" t="str">
        <f t="shared" si="152"/>
        <v>STALE</v>
      </c>
      <c r="N4913" s="10" t="str">
        <f t="shared" si="153"/>
        <v>LOW</v>
      </c>
    </row>
    <row r="4914" spans="1:14">
      <c r="A4914" s="4" t="s">
        <v>9844</v>
      </c>
      <c r="B4914" s="4" t="s">
        <v>9845</v>
      </c>
      <c r="C4914" s="4" t="s">
        <v>35</v>
      </c>
      <c r="D4914" s="4" t="s">
        <v>36</v>
      </c>
      <c r="E4914" s="5">
        <v>148.9957</v>
      </c>
      <c r="F4914" s="5">
        <v>156.4701</v>
      </c>
      <c r="G4914" s="5">
        <v>156.49700000000001</v>
      </c>
      <c r="H4914" s="4">
        <v>1</v>
      </c>
      <c r="I4914" s="6">
        <v>2278163</v>
      </c>
      <c r="J4914" s="7">
        <v>784.78</v>
      </c>
      <c r="K4914" s="9">
        <f>(PricingDataTable[[#This Row],[Current Price ($)]]-PricingDataTable[[#This Row],[Prior Price ($)]])/PricingDataTable[[#This Row],[Prior Price ($)]]</f>
        <v>5.0165206109975005E-2</v>
      </c>
      <c r="L4914" s="9">
        <f>(PricingDataTable[[#This Row],[Vendor Price ($)]]-PricingDataTable[[#This Row],[Current Price ($)]])/PricingDataTable[[#This Row],[Current Price ($)]]</f>
        <v>1.7191782966849203E-4</v>
      </c>
      <c r="M4914" t="str">
        <f t="shared" si="152"/>
        <v>LARGE MOVE</v>
      </c>
      <c r="N4914" s="10" t="str">
        <f t="shared" si="153"/>
        <v>LOW</v>
      </c>
    </row>
    <row r="4915" spans="1:14">
      <c r="A4915" s="4" t="s">
        <v>9846</v>
      </c>
      <c r="B4915" s="4" t="s">
        <v>9847</v>
      </c>
      <c r="C4915" s="4" t="s">
        <v>19</v>
      </c>
      <c r="D4915" s="4" t="s">
        <v>36</v>
      </c>
      <c r="E4915" s="5">
        <v>128.04480000000001</v>
      </c>
      <c r="F4915" s="5">
        <v>128.18989999999999</v>
      </c>
      <c r="G4915" s="5">
        <v>128.2285</v>
      </c>
      <c r="H4915" s="4">
        <v>5</v>
      </c>
      <c r="I4915" s="6">
        <v>2205535</v>
      </c>
      <c r="J4915" s="7">
        <v>70.66</v>
      </c>
      <c r="K4915" s="9">
        <f>(PricingDataTable[[#This Row],[Current Price ($)]]-PricingDataTable[[#This Row],[Prior Price ($)]])/PricingDataTable[[#This Row],[Prior Price ($)]]</f>
        <v>1.1331971310040323E-3</v>
      </c>
      <c r="L4915" s="9">
        <f>(PricingDataTable[[#This Row],[Vendor Price ($)]]-PricingDataTable[[#This Row],[Current Price ($)]])/PricingDataTable[[#This Row],[Current Price ($)]]</f>
        <v>3.0111576653076732E-4</v>
      </c>
      <c r="M4915" t="str">
        <f t="shared" si="152"/>
        <v>STALE</v>
      </c>
      <c r="N4915" s="10" t="str">
        <f t="shared" si="153"/>
        <v>MEDIUM</v>
      </c>
    </row>
    <row r="4916" spans="1:14">
      <c r="A4916" s="4" t="s">
        <v>9848</v>
      </c>
      <c r="B4916" s="4" t="s">
        <v>9849</v>
      </c>
      <c r="C4916" s="4" t="s">
        <v>19</v>
      </c>
      <c r="D4916" s="4" t="s">
        <v>13</v>
      </c>
      <c r="E4916" s="5">
        <v>71.2911</v>
      </c>
      <c r="F4916" s="5">
        <v>72.042000000000002</v>
      </c>
      <c r="G4916" s="5">
        <v>71.388499999999993</v>
      </c>
      <c r="H4916" s="4">
        <v>0</v>
      </c>
      <c r="I4916" s="6">
        <v>2651055</v>
      </c>
      <c r="J4916" s="7">
        <v>553.16999999999996</v>
      </c>
      <c r="K4916" s="9">
        <f>(PricingDataTable[[#This Row],[Current Price ($)]]-PricingDataTable[[#This Row],[Prior Price ($)]])/PricingDataTable[[#This Row],[Prior Price ($)]]</f>
        <v>1.0532871564613275E-2</v>
      </c>
      <c r="L4916" s="9">
        <f>(PricingDataTable[[#This Row],[Vendor Price ($)]]-PricingDataTable[[#This Row],[Current Price ($)]])/PricingDataTable[[#This Row],[Current Price ($)]]</f>
        <v>-9.0710974153966877E-3</v>
      </c>
      <c r="M4916" t="str">
        <f t="shared" si="152"/>
        <v>PASS</v>
      </c>
      <c r="N4916" s="10" t="str">
        <f t="shared" si="153"/>
        <v>NONE</v>
      </c>
    </row>
    <row r="4917" spans="1:14">
      <c r="A4917" s="4" t="s">
        <v>9850</v>
      </c>
      <c r="B4917" s="4" t="s">
        <v>9851</v>
      </c>
      <c r="C4917" s="4" t="s">
        <v>16</v>
      </c>
      <c r="D4917" s="4" t="s">
        <v>13</v>
      </c>
      <c r="E4917" s="5">
        <v>103.71680000000001</v>
      </c>
      <c r="F4917" s="5">
        <v>103.1754</v>
      </c>
      <c r="G4917" s="5">
        <v>103.6237</v>
      </c>
      <c r="H4917" s="4">
        <v>1</v>
      </c>
      <c r="I4917" s="6">
        <v>1709852</v>
      </c>
      <c r="J4917" s="7">
        <v>166.43</v>
      </c>
      <c r="K4917" s="9">
        <f>(PricingDataTable[[#This Row],[Current Price ($)]]-PricingDataTable[[#This Row],[Prior Price ($)]])/PricingDataTable[[#This Row],[Prior Price ($)]]</f>
        <v>-5.2199836477794343E-3</v>
      </c>
      <c r="L4917" s="9">
        <f>(PricingDataTable[[#This Row],[Vendor Price ($)]]-PricingDataTable[[#This Row],[Current Price ($)]])/PricingDataTable[[#This Row],[Current Price ($)]]</f>
        <v>4.3450279814762367E-3</v>
      </c>
      <c r="M4917" t="str">
        <f t="shared" si="152"/>
        <v>PASS</v>
      </c>
      <c r="N4917" s="10" t="str">
        <f t="shared" si="153"/>
        <v>NONE</v>
      </c>
    </row>
    <row r="4918" spans="1:14">
      <c r="A4918" s="4" t="s">
        <v>9852</v>
      </c>
      <c r="B4918" s="4" t="s">
        <v>9853</v>
      </c>
      <c r="C4918" s="4" t="s">
        <v>16</v>
      </c>
      <c r="D4918" s="4" t="s">
        <v>36</v>
      </c>
      <c r="E4918" s="5">
        <v>108.55110000000001</v>
      </c>
      <c r="F4918" s="5">
        <v>109.9992</v>
      </c>
      <c r="G4918" s="5">
        <v>109.9028</v>
      </c>
      <c r="H4918" s="4">
        <v>0</v>
      </c>
      <c r="I4918" s="6">
        <v>3612711</v>
      </c>
      <c r="J4918" s="7">
        <v>688.66</v>
      </c>
      <c r="K4918" s="9">
        <f>(PricingDataTable[[#This Row],[Current Price ($)]]-PricingDataTable[[#This Row],[Prior Price ($)]])/PricingDataTable[[#This Row],[Prior Price ($)]]</f>
        <v>1.3340260946227136E-2</v>
      </c>
      <c r="L4918" s="9">
        <f>(PricingDataTable[[#This Row],[Vendor Price ($)]]-PricingDataTable[[#This Row],[Current Price ($)]])/PricingDataTable[[#This Row],[Current Price ($)]]</f>
        <v>-8.7637000996373341E-4</v>
      </c>
      <c r="M4918" t="str">
        <f t="shared" si="152"/>
        <v>PASS</v>
      </c>
      <c r="N4918" s="10" t="str">
        <f t="shared" si="153"/>
        <v>NONE</v>
      </c>
    </row>
    <row r="4919" spans="1:14">
      <c r="A4919" s="4" t="s">
        <v>9854</v>
      </c>
      <c r="B4919" s="4" t="s">
        <v>9855</v>
      </c>
      <c r="C4919" s="4" t="s">
        <v>19</v>
      </c>
      <c r="D4919" s="4" t="s">
        <v>13</v>
      </c>
      <c r="E4919" s="5">
        <v>307.70139999999998</v>
      </c>
      <c r="F4919" s="5">
        <v>302.1352</v>
      </c>
      <c r="G4919" s="5">
        <v>302.11669999999998</v>
      </c>
      <c r="H4919" s="4">
        <v>0</v>
      </c>
      <c r="I4919" s="6">
        <v>320505</v>
      </c>
      <c r="J4919" s="7">
        <v>596.70000000000005</v>
      </c>
      <c r="K4919" s="9">
        <f>(PricingDataTable[[#This Row],[Current Price ($)]]-PricingDataTable[[#This Row],[Prior Price ($)]])/PricingDataTable[[#This Row],[Prior Price ($)]]</f>
        <v>-1.8089615451863335E-2</v>
      </c>
      <c r="L4919" s="9">
        <f>(PricingDataTable[[#This Row],[Vendor Price ($)]]-PricingDataTable[[#This Row],[Current Price ($)]])/PricingDataTable[[#This Row],[Current Price ($)]]</f>
        <v>-6.1230866181819529E-5</v>
      </c>
      <c r="M4919" t="str">
        <f t="shared" si="152"/>
        <v>PASS</v>
      </c>
      <c r="N4919" s="10" t="str">
        <f t="shared" si="153"/>
        <v>NONE</v>
      </c>
    </row>
    <row r="4920" spans="1:14">
      <c r="A4920" s="4" t="s">
        <v>9856</v>
      </c>
      <c r="B4920" s="4" t="s">
        <v>9857</v>
      </c>
      <c r="C4920" s="4" t="s">
        <v>19</v>
      </c>
      <c r="D4920" s="4" t="s">
        <v>13</v>
      </c>
      <c r="E4920" s="5">
        <v>51.347200000000001</v>
      </c>
      <c r="F4920" s="5">
        <v>52.3371</v>
      </c>
      <c r="G4920" s="5">
        <v>52.262599999999999</v>
      </c>
      <c r="H4920" s="4">
        <v>0</v>
      </c>
      <c r="I4920" s="6">
        <v>4592585</v>
      </c>
      <c r="J4920" s="7">
        <v>41.03</v>
      </c>
      <c r="K4920" s="9">
        <f>(PricingDataTable[[#This Row],[Current Price ($)]]-PricingDataTable[[#This Row],[Prior Price ($)]])/PricingDataTable[[#This Row],[Prior Price ($)]]</f>
        <v>1.9278558519257111E-2</v>
      </c>
      <c r="L4920" s="9">
        <f>(PricingDataTable[[#This Row],[Vendor Price ($)]]-PricingDataTable[[#This Row],[Current Price ($)]])/PricingDataTable[[#This Row],[Current Price ($)]]</f>
        <v>-1.4234644258088517E-3</v>
      </c>
      <c r="M4920" t="str">
        <f t="shared" si="152"/>
        <v>PASS</v>
      </c>
      <c r="N4920" s="10" t="str">
        <f t="shared" si="153"/>
        <v>NONE</v>
      </c>
    </row>
    <row r="4921" spans="1:14">
      <c r="A4921" s="4" t="s">
        <v>9858</v>
      </c>
      <c r="B4921" s="4" t="s">
        <v>9859</v>
      </c>
      <c r="C4921" s="4" t="s">
        <v>19</v>
      </c>
      <c r="D4921" s="4" t="s">
        <v>13</v>
      </c>
      <c r="E4921" s="5">
        <v>97.422899999999998</v>
      </c>
      <c r="F4921" s="5">
        <v>97.386899999999997</v>
      </c>
      <c r="G4921" s="5">
        <v>97.387200000000007</v>
      </c>
      <c r="H4921" s="4">
        <v>0</v>
      </c>
      <c r="I4921" s="6">
        <v>3654088</v>
      </c>
      <c r="J4921" s="7">
        <v>63.82</v>
      </c>
      <c r="K4921" s="9">
        <f>(PricingDataTable[[#This Row],[Current Price ($)]]-PricingDataTable[[#This Row],[Prior Price ($)]])/PricingDataTable[[#This Row],[Prior Price ($)]]</f>
        <v>-3.6952297663076509E-4</v>
      </c>
      <c r="L4921" s="9">
        <f>(PricingDataTable[[#This Row],[Vendor Price ($)]]-PricingDataTable[[#This Row],[Current Price ($)]])/PricingDataTable[[#This Row],[Current Price ($)]]</f>
        <v>3.0804964529105967E-6</v>
      </c>
      <c r="M4921" t="str">
        <f t="shared" si="152"/>
        <v>PASS</v>
      </c>
      <c r="N4921" s="10" t="str">
        <f t="shared" si="153"/>
        <v>NONE</v>
      </c>
    </row>
    <row r="4922" spans="1:14">
      <c r="A4922" s="4" t="s">
        <v>9860</v>
      </c>
      <c r="B4922" s="4" t="s">
        <v>9861</v>
      </c>
      <c r="C4922" s="4" t="s">
        <v>19</v>
      </c>
      <c r="D4922" s="4" t="s">
        <v>13</v>
      </c>
      <c r="E4922" s="5">
        <v>49.420200000000001</v>
      </c>
      <c r="F4922" s="5">
        <v>50.0747</v>
      </c>
      <c r="G4922" s="5">
        <v>49.991300000000003</v>
      </c>
      <c r="H4922" s="4">
        <v>0</v>
      </c>
      <c r="I4922" s="6">
        <v>1542658</v>
      </c>
      <c r="J4922" s="7">
        <v>353.21</v>
      </c>
      <c r="K4922" s="9">
        <f>(PricingDataTable[[#This Row],[Current Price ($)]]-PricingDataTable[[#This Row],[Prior Price ($)]])/PricingDataTable[[#This Row],[Prior Price ($)]]</f>
        <v>1.3243572466319414E-2</v>
      </c>
      <c r="L4922" s="9">
        <f>(PricingDataTable[[#This Row],[Vendor Price ($)]]-PricingDataTable[[#This Row],[Current Price ($)]])/PricingDataTable[[#This Row],[Current Price ($)]]</f>
        <v>-1.6655117254820793E-3</v>
      </c>
      <c r="M4922" t="str">
        <f t="shared" si="152"/>
        <v>PASS</v>
      </c>
      <c r="N4922" s="10" t="str">
        <f t="shared" si="153"/>
        <v>NONE</v>
      </c>
    </row>
    <row r="4923" spans="1:14">
      <c r="A4923" s="4" t="s">
        <v>9862</v>
      </c>
      <c r="B4923" s="4" t="s">
        <v>9863</v>
      </c>
      <c r="C4923" s="4" t="s">
        <v>16</v>
      </c>
      <c r="D4923" s="4" t="s">
        <v>13</v>
      </c>
      <c r="E4923" s="5">
        <v>119.3843</v>
      </c>
      <c r="F4923" s="5">
        <v>119.947</v>
      </c>
      <c r="G4923" s="5">
        <v>120.1703</v>
      </c>
      <c r="H4923" s="4">
        <v>5</v>
      </c>
      <c r="I4923" s="6">
        <v>2555575</v>
      </c>
      <c r="J4923" s="7">
        <v>875.5</v>
      </c>
      <c r="K4923" s="9">
        <f>(PricingDataTable[[#This Row],[Current Price ($)]]-PricingDataTable[[#This Row],[Prior Price ($)]])/PricingDataTable[[#This Row],[Prior Price ($)]]</f>
        <v>4.7133500803707576E-3</v>
      </c>
      <c r="L4923" s="9">
        <f>(PricingDataTable[[#This Row],[Vendor Price ($)]]-PricingDataTable[[#This Row],[Current Price ($)]])/PricingDataTable[[#This Row],[Current Price ($)]]</f>
        <v>1.8616555645409615E-3</v>
      </c>
      <c r="M4923" t="str">
        <f t="shared" si="152"/>
        <v>STALE</v>
      </c>
      <c r="N4923" s="10" t="str">
        <f t="shared" si="153"/>
        <v>MEDIUM</v>
      </c>
    </row>
    <row r="4924" spans="1:14">
      <c r="A4924" s="4" t="s">
        <v>9864</v>
      </c>
      <c r="B4924" s="4" t="s">
        <v>9865</v>
      </c>
      <c r="C4924" s="4" t="s">
        <v>19</v>
      </c>
      <c r="D4924" s="4" t="s">
        <v>13</v>
      </c>
      <c r="E4924" s="5">
        <v>267.31819999999999</v>
      </c>
      <c r="F4924" s="5">
        <v>265.56020000000001</v>
      </c>
      <c r="G4924" s="5">
        <v>266.53649999999999</v>
      </c>
      <c r="H4924" s="4">
        <v>1</v>
      </c>
      <c r="I4924" s="6">
        <v>3701132</v>
      </c>
      <c r="J4924" s="7">
        <v>701.85</v>
      </c>
      <c r="K4924" s="9">
        <f>(PricingDataTable[[#This Row],[Current Price ($)]]-PricingDataTable[[#This Row],[Prior Price ($)]])/PricingDataTable[[#This Row],[Prior Price ($)]]</f>
        <v>-6.5764321321929503E-3</v>
      </c>
      <c r="L4924" s="9">
        <f>(PricingDataTable[[#This Row],[Vendor Price ($)]]-PricingDataTable[[#This Row],[Current Price ($)]])/PricingDataTable[[#This Row],[Current Price ($)]]</f>
        <v>3.6763792164638399E-3</v>
      </c>
      <c r="M4924" t="str">
        <f t="shared" si="152"/>
        <v>PASS</v>
      </c>
      <c r="N4924" s="10" t="str">
        <f t="shared" si="153"/>
        <v>NONE</v>
      </c>
    </row>
    <row r="4925" spans="1:14">
      <c r="A4925" s="4" t="s">
        <v>9866</v>
      </c>
      <c r="B4925" s="4" t="s">
        <v>9867</v>
      </c>
      <c r="C4925" s="4" t="s">
        <v>35</v>
      </c>
      <c r="D4925" s="4" t="s">
        <v>13</v>
      </c>
      <c r="E4925" s="5">
        <v>57.078800000000001</v>
      </c>
      <c r="F4925" s="5">
        <v>56.646700000000003</v>
      </c>
      <c r="G4925" s="5">
        <v>56.5259</v>
      </c>
      <c r="H4925" s="4">
        <v>0</v>
      </c>
      <c r="I4925" s="6">
        <v>4545091</v>
      </c>
      <c r="J4925" s="7">
        <v>793.16</v>
      </c>
      <c r="K4925" s="9">
        <f>(PricingDataTable[[#This Row],[Current Price ($)]]-PricingDataTable[[#This Row],[Prior Price ($)]])/PricingDataTable[[#This Row],[Prior Price ($)]]</f>
        <v>-7.5702362348192042E-3</v>
      </c>
      <c r="L4925" s="9">
        <f>(PricingDataTable[[#This Row],[Vendor Price ($)]]-PricingDataTable[[#This Row],[Current Price ($)]])/PricingDataTable[[#This Row],[Current Price ($)]]</f>
        <v>-2.1325161042038228E-3</v>
      </c>
      <c r="M4925" t="str">
        <f t="shared" si="152"/>
        <v>PASS</v>
      </c>
      <c r="N4925" s="10" t="str">
        <f t="shared" si="153"/>
        <v>NONE</v>
      </c>
    </row>
    <row r="4926" spans="1:14">
      <c r="A4926" s="4" t="s">
        <v>9868</v>
      </c>
      <c r="B4926" s="4" t="s">
        <v>9869</v>
      </c>
      <c r="C4926" s="4" t="s">
        <v>35</v>
      </c>
      <c r="D4926" s="4" t="s">
        <v>13</v>
      </c>
      <c r="E4926" s="5">
        <v>18.855599999999999</v>
      </c>
      <c r="F4926" s="5">
        <v>18.812200000000001</v>
      </c>
      <c r="G4926" s="5">
        <v>18.787299999999998</v>
      </c>
      <c r="H4926" s="4">
        <v>0</v>
      </c>
      <c r="I4926" s="6">
        <v>3016950</v>
      </c>
      <c r="J4926" s="7">
        <v>353.98</v>
      </c>
      <c r="K4926" s="9">
        <f>(PricingDataTable[[#This Row],[Current Price ($)]]-PricingDataTable[[#This Row],[Prior Price ($)]])/PricingDataTable[[#This Row],[Prior Price ($)]]</f>
        <v>-2.3017034727082844E-3</v>
      </c>
      <c r="L4926" s="9">
        <f>(PricingDataTable[[#This Row],[Vendor Price ($)]]-PricingDataTable[[#This Row],[Current Price ($)]])/PricingDataTable[[#This Row],[Current Price ($)]]</f>
        <v>-1.3236091472556301E-3</v>
      </c>
      <c r="M4926" t="str">
        <f t="shared" si="152"/>
        <v>PASS</v>
      </c>
      <c r="N4926" s="10" t="str">
        <f t="shared" si="153"/>
        <v>NONE</v>
      </c>
    </row>
    <row r="4927" spans="1:14">
      <c r="A4927" s="4" t="s">
        <v>9870</v>
      </c>
      <c r="B4927" s="4" t="s">
        <v>9871</v>
      </c>
      <c r="C4927" s="4" t="s">
        <v>35</v>
      </c>
      <c r="D4927" s="4" t="s">
        <v>36</v>
      </c>
      <c r="E4927" s="5">
        <v>24.7685</v>
      </c>
      <c r="F4927" s="5">
        <v>25.4207</v>
      </c>
      <c r="G4927" s="5">
        <v>25.4893</v>
      </c>
      <c r="H4927" s="4">
        <v>0</v>
      </c>
      <c r="I4927" s="6">
        <v>476482</v>
      </c>
      <c r="J4927" s="7">
        <v>576.79</v>
      </c>
      <c r="K4927" s="9">
        <f>(PricingDataTable[[#This Row],[Current Price ($)]]-PricingDataTable[[#This Row],[Prior Price ($)]])/PricingDataTable[[#This Row],[Prior Price ($)]]</f>
        <v>2.6331832771463778E-2</v>
      </c>
      <c r="L4927" s="9">
        <f>(PricingDataTable[[#This Row],[Vendor Price ($)]]-PricingDataTable[[#This Row],[Current Price ($)]])/PricingDataTable[[#This Row],[Current Price ($)]]</f>
        <v>2.6985881584692785E-3</v>
      </c>
      <c r="M4927" t="str">
        <f t="shared" si="152"/>
        <v>PASS</v>
      </c>
      <c r="N4927" s="10" t="str">
        <f t="shared" si="153"/>
        <v>NONE</v>
      </c>
    </row>
    <row r="4928" spans="1:14">
      <c r="A4928" s="4" t="s">
        <v>9872</v>
      </c>
      <c r="B4928" s="4" t="s">
        <v>9873</v>
      </c>
      <c r="C4928" s="4" t="s">
        <v>19</v>
      </c>
      <c r="D4928" s="4" t="s">
        <v>64</v>
      </c>
      <c r="E4928" s="5">
        <v>123.08880000000001</v>
      </c>
      <c r="F4928" s="5">
        <v>123.312</v>
      </c>
      <c r="G4928" s="5">
        <v>122.70399999999999</v>
      </c>
      <c r="H4928" s="4">
        <v>0</v>
      </c>
      <c r="I4928" s="6">
        <v>1438287</v>
      </c>
      <c r="J4928" s="7">
        <v>893.61</v>
      </c>
      <c r="K4928" s="9">
        <f>(PricingDataTable[[#This Row],[Current Price ($)]]-PricingDataTable[[#This Row],[Prior Price ($)]])/PricingDataTable[[#This Row],[Prior Price ($)]]</f>
        <v>1.813325014136066E-3</v>
      </c>
      <c r="L4928" s="9">
        <f>(PricingDataTable[[#This Row],[Vendor Price ($)]]-PricingDataTable[[#This Row],[Current Price ($)]])/PricingDataTable[[#This Row],[Current Price ($)]]</f>
        <v>-4.9305825872583697E-3</v>
      </c>
      <c r="M4928" t="str">
        <f t="shared" si="152"/>
        <v>PASS</v>
      </c>
      <c r="N4928" s="10" t="str">
        <f t="shared" si="153"/>
        <v>NONE</v>
      </c>
    </row>
    <row r="4929" spans="1:14">
      <c r="A4929" s="4" t="s">
        <v>9874</v>
      </c>
      <c r="B4929" s="4" t="s">
        <v>9875</v>
      </c>
      <c r="C4929" s="4" t="s">
        <v>19</v>
      </c>
      <c r="D4929" s="4" t="s">
        <v>13</v>
      </c>
      <c r="E4929" s="5">
        <v>191.07689999999999</v>
      </c>
      <c r="F4929" s="5">
        <v>190.01179999999999</v>
      </c>
      <c r="G4929" s="5">
        <v>189.93620000000001</v>
      </c>
      <c r="H4929" s="4">
        <v>1</v>
      </c>
      <c r="I4929" s="6">
        <v>3991447</v>
      </c>
      <c r="J4929" s="7">
        <v>146.22999999999999</v>
      </c>
      <c r="K4929" s="9">
        <f>(PricingDataTable[[#This Row],[Current Price ($)]]-PricingDataTable[[#This Row],[Prior Price ($)]])/PricingDataTable[[#This Row],[Prior Price ($)]]</f>
        <v>-5.5741955202329588E-3</v>
      </c>
      <c r="L4929" s="9">
        <f>(PricingDataTable[[#This Row],[Vendor Price ($)]]-PricingDataTable[[#This Row],[Current Price ($)]])/PricingDataTable[[#This Row],[Current Price ($)]]</f>
        <v>-3.9787002701927E-4</v>
      </c>
      <c r="M4929" t="str">
        <f t="shared" si="152"/>
        <v>PASS</v>
      </c>
      <c r="N4929" s="10" t="str">
        <f t="shared" si="153"/>
        <v>NONE</v>
      </c>
    </row>
    <row r="4930" spans="1:14">
      <c r="A4930" s="4" t="s">
        <v>9876</v>
      </c>
      <c r="B4930" s="4" t="s">
        <v>9877</v>
      </c>
      <c r="C4930" s="4" t="s">
        <v>39</v>
      </c>
      <c r="D4930" s="4" t="s">
        <v>32</v>
      </c>
      <c r="E4930" s="5">
        <v>115.9359</v>
      </c>
      <c r="F4930" s="5">
        <v>114.62609999999999</v>
      </c>
      <c r="G4930" s="5">
        <v>114.3875</v>
      </c>
      <c r="H4930" s="4">
        <v>0</v>
      </c>
      <c r="I4930" s="6">
        <v>4189229</v>
      </c>
      <c r="J4930" s="7">
        <v>316.64999999999998</v>
      </c>
      <c r="K4930" s="9">
        <f>(PricingDataTable[[#This Row],[Current Price ($)]]-PricingDataTable[[#This Row],[Prior Price ($)]])/PricingDataTable[[#This Row],[Prior Price ($)]]</f>
        <v>-1.1297622220554719E-2</v>
      </c>
      <c r="L4930" s="9">
        <f>(PricingDataTable[[#This Row],[Vendor Price ($)]]-PricingDataTable[[#This Row],[Current Price ($)]])/PricingDataTable[[#This Row],[Current Price ($)]]</f>
        <v>-2.0815503624391921E-3</v>
      </c>
      <c r="M4930" t="str">
        <f t="shared" ref="M4930:M4993" si="154">IF(OR(F4930="",F4930=0),"MISSING",IF(H4930&gt;=3,"STALE",IF(ABS(K4930)&gt;=5%,"LARGE MOVE",IF(ABS(L4930)&gt;=2%,"VENDOR DIFFERENCE","PASS"))))</f>
        <v>PASS</v>
      </c>
      <c r="N4930" s="10" t="str">
        <f t="shared" ref="N4930:N4993" si="155">IF(M4930="PASS","NONE",IF(M4930="MISSING","HIGH",IF(OR(ABS(K4930)&gt;=10%,ABS(L4930)&gt;=5%),"HIGH",IF(OR(ABS(K4930)&gt;=7%,ABS(L4930)&gt;=3%,H4930&gt;=5),"MEDIUM","LOW"))))</f>
        <v>NONE</v>
      </c>
    </row>
    <row r="4931" spans="1:14">
      <c r="A4931" s="4" t="s">
        <v>9878</v>
      </c>
      <c r="B4931" s="4" t="s">
        <v>9879</v>
      </c>
      <c r="C4931" s="4" t="s">
        <v>19</v>
      </c>
      <c r="D4931" s="4" t="s">
        <v>13</v>
      </c>
      <c r="E4931" s="5">
        <v>196.79990000000001</v>
      </c>
      <c r="F4931" s="5">
        <v>197.095</v>
      </c>
      <c r="G4931" s="5">
        <v>196.69900000000001</v>
      </c>
      <c r="H4931" s="4">
        <v>0</v>
      </c>
      <c r="I4931" s="6">
        <v>3684625</v>
      </c>
      <c r="J4931" s="7">
        <v>689.49</v>
      </c>
      <c r="K4931" s="9">
        <f>(PricingDataTable[[#This Row],[Current Price ($)]]-PricingDataTable[[#This Row],[Prior Price ($)]])/PricingDataTable[[#This Row],[Prior Price ($)]]</f>
        <v>1.4994926318559654E-3</v>
      </c>
      <c r="L4931" s="9">
        <f>(PricingDataTable[[#This Row],[Vendor Price ($)]]-PricingDataTable[[#This Row],[Current Price ($)]])/PricingDataTable[[#This Row],[Current Price ($)]]</f>
        <v>-2.0091833887211068E-3</v>
      </c>
      <c r="M4931" t="str">
        <f t="shared" si="154"/>
        <v>PASS</v>
      </c>
      <c r="N4931" s="10" t="str">
        <f t="shared" si="155"/>
        <v>NONE</v>
      </c>
    </row>
    <row r="4932" spans="1:14">
      <c r="A4932" s="4" t="s">
        <v>9880</v>
      </c>
      <c r="B4932" s="4" t="s">
        <v>9881</v>
      </c>
      <c r="C4932" s="4" t="s">
        <v>35</v>
      </c>
      <c r="D4932" s="4" t="s">
        <v>13</v>
      </c>
      <c r="E4932" s="5">
        <v>135.8614</v>
      </c>
      <c r="F4932" s="5">
        <v>135.86689999999999</v>
      </c>
      <c r="G4932" s="5">
        <v>135.29349999999999</v>
      </c>
      <c r="H4932" s="4">
        <v>0</v>
      </c>
      <c r="I4932" s="6">
        <v>2767410</v>
      </c>
      <c r="J4932" s="7">
        <v>422.04</v>
      </c>
      <c r="K4932" s="9">
        <f>(PricingDataTable[[#This Row],[Current Price ($)]]-PricingDataTable[[#This Row],[Prior Price ($)]])/PricingDataTable[[#This Row],[Prior Price ($)]]</f>
        <v>4.0482432832162991E-5</v>
      </c>
      <c r="L4932" s="9">
        <f>(PricingDataTable[[#This Row],[Vendor Price ($)]]-PricingDataTable[[#This Row],[Current Price ($)]])/PricingDataTable[[#This Row],[Current Price ($)]]</f>
        <v>-4.2203067855378492E-3</v>
      </c>
      <c r="M4932" t="str">
        <f t="shared" si="154"/>
        <v>PASS</v>
      </c>
      <c r="N4932" s="10" t="str">
        <f t="shared" si="155"/>
        <v>NONE</v>
      </c>
    </row>
    <row r="4933" spans="1:14">
      <c r="A4933" s="4" t="s">
        <v>9882</v>
      </c>
      <c r="B4933" s="4" t="s">
        <v>9883</v>
      </c>
      <c r="C4933" s="4" t="s">
        <v>16</v>
      </c>
      <c r="D4933" s="4" t="s">
        <v>13</v>
      </c>
      <c r="E4933" s="5">
        <v>84.4876</v>
      </c>
      <c r="F4933" s="5">
        <v>84.121399999999994</v>
      </c>
      <c r="G4933" s="5">
        <v>84.303799999999995</v>
      </c>
      <c r="H4933" s="4">
        <v>0</v>
      </c>
      <c r="I4933" s="6">
        <v>3640455</v>
      </c>
      <c r="J4933" s="7">
        <v>734.95</v>
      </c>
      <c r="K4933" s="9">
        <f>(PricingDataTable[[#This Row],[Current Price ($)]]-PricingDataTable[[#This Row],[Prior Price ($)]])/PricingDataTable[[#This Row],[Prior Price ($)]]</f>
        <v>-4.3343638593119739E-3</v>
      </c>
      <c r="L4933" s="9">
        <f>(PricingDataTable[[#This Row],[Vendor Price ($)]]-PricingDataTable[[#This Row],[Current Price ($)]])/PricingDataTable[[#This Row],[Current Price ($)]]</f>
        <v>2.1682948690820796E-3</v>
      </c>
      <c r="M4933" t="str">
        <f t="shared" si="154"/>
        <v>PASS</v>
      </c>
      <c r="N4933" s="10" t="str">
        <f t="shared" si="155"/>
        <v>NONE</v>
      </c>
    </row>
    <row r="4934" spans="1:14">
      <c r="A4934" s="4" t="s">
        <v>9884</v>
      </c>
      <c r="B4934" s="4" t="s">
        <v>9885</v>
      </c>
      <c r="C4934" s="4" t="s">
        <v>12</v>
      </c>
      <c r="D4934" s="4" t="s">
        <v>64</v>
      </c>
      <c r="E4934" s="5">
        <v>104.5051</v>
      </c>
      <c r="F4934" s="5">
        <v>105.7927</v>
      </c>
      <c r="G4934" s="5">
        <v>105.65179999999999</v>
      </c>
      <c r="H4934" s="4">
        <v>0</v>
      </c>
      <c r="I4934" s="6">
        <v>3270836</v>
      </c>
      <c r="J4934" s="7">
        <v>539.64</v>
      </c>
      <c r="K4934" s="9">
        <f>(PricingDataTable[[#This Row],[Current Price ($)]]-PricingDataTable[[#This Row],[Prior Price ($)]])/PricingDataTable[[#This Row],[Prior Price ($)]]</f>
        <v>1.2320929791943146E-2</v>
      </c>
      <c r="L4934" s="9">
        <f>(PricingDataTable[[#This Row],[Vendor Price ($)]]-PricingDataTable[[#This Row],[Current Price ($)]])/PricingDataTable[[#This Row],[Current Price ($)]]</f>
        <v>-1.3318499291539211E-3</v>
      </c>
      <c r="M4934" t="str">
        <f t="shared" si="154"/>
        <v>PASS</v>
      </c>
      <c r="N4934" s="10" t="str">
        <f t="shared" si="155"/>
        <v>NONE</v>
      </c>
    </row>
    <row r="4935" spans="1:14">
      <c r="A4935" s="4" t="s">
        <v>9886</v>
      </c>
      <c r="B4935" s="4" t="s">
        <v>9887</v>
      </c>
      <c r="C4935" s="4" t="s">
        <v>39</v>
      </c>
      <c r="D4935" s="4" t="s">
        <v>13</v>
      </c>
      <c r="E4935" s="5">
        <v>31.028300000000002</v>
      </c>
      <c r="F4935" s="5">
        <v>30.7041</v>
      </c>
      <c r="G4935" s="5">
        <v>30.624600000000001</v>
      </c>
      <c r="H4935" s="4">
        <v>1</v>
      </c>
      <c r="I4935" s="6">
        <v>1758580</v>
      </c>
      <c r="J4935" s="7">
        <v>555.38</v>
      </c>
      <c r="K4935" s="9">
        <f>(PricingDataTable[[#This Row],[Current Price ($)]]-PricingDataTable[[#This Row],[Prior Price ($)]])/PricingDataTable[[#This Row],[Prior Price ($)]]</f>
        <v>-1.0448526023017733E-2</v>
      </c>
      <c r="L4935" s="9">
        <f>(PricingDataTable[[#This Row],[Vendor Price ($)]]-PricingDataTable[[#This Row],[Current Price ($)]])/PricingDataTable[[#This Row],[Current Price ($)]]</f>
        <v>-2.589230754198933E-3</v>
      </c>
      <c r="M4935" t="str">
        <f t="shared" si="154"/>
        <v>PASS</v>
      </c>
      <c r="N4935" s="10" t="str">
        <f t="shared" si="155"/>
        <v>NONE</v>
      </c>
    </row>
    <row r="4936" spans="1:14">
      <c r="A4936" s="4" t="s">
        <v>9888</v>
      </c>
      <c r="B4936" s="4" t="s">
        <v>9889</v>
      </c>
      <c r="C4936" s="4" t="s">
        <v>35</v>
      </c>
      <c r="D4936" s="4" t="s">
        <v>13</v>
      </c>
      <c r="E4936" s="5">
        <v>50.3583</v>
      </c>
      <c r="F4936" s="5">
        <v>51.490699999999997</v>
      </c>
      <c r="G4936" s="5">
        <v>51.740400000000001</v>
      </c>
      <c r="H4936" s="4">
        <v>0</v>
      </c>
      <c r="I4936" s="6">
        <v>2169891</v>
      </c>
      <c r="J4936" s="7">
        <v>834.35</v>
      </c>
      <c r="K4936" s="9">
        <f>(PricingDataTable[[#This Row],[Current Price ($)]]-PricingDataTable[[#This Row],[Prior Price ($)]])/PricingDataTable[[#This Row],[Prior Price ($)]]</f>
        <v>2.2486859167207728E-2</v>
      </c>
      <c r="L4936" s="9">
        <f>(PricingDataTable[[#This Row],[Vendor Price ($)]]-PricingDataTable[[#This Row],[Current Price ($)]])/PricingDataTable[[#This Row],[Current Price ($)]]</f>
        <v>4.8494194097187309E-3</v>
      </c>
      <c r="M4936" t="str">
        <f t="shared" si="154"/>
        <v>PASS</v>
      </c>
      <c r="N4936" s="10" t="str">
        <f t="shared" si="155"/>
        <v>NONE</v>
      </c>
    </row>
    <row r="4937" spans="1:14">
      <c r="A4937" s="4" t="s">
        <v>9890</v>
      </c>
      <c r="B4937" s="4" t="s">
        <v>9891</v>
      </c>
      <c r="C4937" s="4" t="s">
        <v>12</v>
      </c>
      <c r="D4937" s="4" t="s">
        <v>237</v>
      </c>
      <c r="E4937" s="5">
        <v>105.85469999999999</v>
      </c>
      <c r="F4937" s="5">
        <v>106.1688</v>
      </c>
      <c r="G4937" s="5">
        <v>106.21120000000001</v>
      </c>
      <c r="H4937" s="4">
        <v>0</v>
      </c>
      <c r="I4937" s="6">
        <v>2362372</v>
      </c>
      <c r="J4937" s="7">
        <v>92.98</v>
      </c>
      <c r="K4937" s="9">
        <f>(PricingDataTable[[#This Row],[Current Price ($)]]-PricingDataTable[[#This Row],[Prior Price ($)]])/PricingDataTable[[#This Row],[Prior Price ($)]]</f>
        <v>2.9672749533087382E-3</v>
      </c>
      <c r="L4937" s="9">
        <f>(PricingDataTable[[#This Row],[Vendor Price ($)]]-PricingDataTable[[#This Row],[Current Price ($)]])/PricingDataTable[[#This Row],[Current Price ($)]]</f>
        <v>3.993640316175812E-4</v>
      </c>
      <c r="M4937" t="str">
        <f t="shared" si="154"/>
        <v>PASS</v>
      </c>
      <c r="N4937" s="10" t="str">
        <f t="shared" si="155"/>
        <v>NONE</v>
      </c>
    </row>
    <row r="4938" spans="1:14">
      <c r="A4938" s="4" t="s">
        <v>9892</v>
      </c>
      <c r="B4938" s="4" t="s">
        <v>9893</v>
      </c>
      <c r="C4938" s="4" t="s">
        <v>19</v>
      </c>
      <c r="D4938" s="4" t="s">
        <v>13</v>
      </c>
      <c r="E4938" s="5">
        <v>298.55079999999998</v>
      </c>
      <c r="F4938" s="5">
        <v>298.61470000000003</v>
      </c>
      <c r="G4938" s="5">
        <v>299.46390000000002</v>
      </c>
      <c r="H4938" s="4">
        <v>0</v>
      </c>
      <c r="I4938" s="6">
        <v>4075339</v>
      </c>
      <c r="J4938" s="7">
        <v>171.59</v>
      </c>
      <c r="K4938" s="9">
        <f>(PricingDataTable[[#This Row],[Current Price ($)]]-PricingDataTable[[#This Row],[Prior Price ($)]])/PricingDataTable[[#This Row],[Prior Price ($)]]</f>
        <v>2.140339265546985E-4</v>
      </c>
      <c r="L4938" s="9">
        <f>(PricingDataTable[[#This Row],[Vendor Price ($)]]-PricingDataTable[[#This Row],[Current Price ($)]])/PricingDataTable[[#This Row],[Current Price ($)]]</f>
        <v>2.843798379651089E-3</v>
      </c>
      <c r="M4938" t="str">
        <f t="shared" si="154"/>
        <v>PASS</v>
      </c>
      <c r="N4938" s="10" t="str">
        <f t="shared" si="155"/>
        <v>NONE</v>
      </c>
    </row>
    <row r="4939" spans="1:14">
      <c r="A4939" s="4" t="s">
        <v>9894</v>
      </c>
      <c r="B4939" s="4" t="s">
        <v>9895</v>
      </c>
      <c r="C4939" s="4" t="s">
        <v>19</v>
      </c>
      <c r="D4939" s="4" t="s">
        <v>13</v>
      </c>
      <c r="E4939" s="5">
        <v>48.767899999999997</v>
      </c>
      <c r="F4939" s="5">
        <v>48.286499999999997</v>
      </c>
      <c r="G4939" s="5">
        <v>48.341900000000003</v>
      </c>
      <c r="H4939" s="4">
        <v>0</v>
      </c>
      <c r="I4939" s="6">
        <v>642028</v>
      </c>
      <c r="J4939" s="7">
        <v>421.93</v>
      </c>
      <c r="K4939" s="9">
        <f>(PricingDataTable[[#This Row],[Current Price ($)]]-PricingDataTable[[#This Row],[Prior Price ($)]])/PricingDataTable[[#This Row],[Prior Price ($)]]</f>
        <v>-9.8712472753594224E-3</v>
      </c>
      <c r="L4939" s="9">
        <f>(PricingDataTable[[#This Row],[Vendor Price ($)]]-PricingDataTable[[#This Row],[Current Price ($)]])/PricingDataTable[[#This Row],[Current Price ($)]]</f>
        <v>1.147318608720986E-3</v>
      </c>
      <c r="M4939" t="str">
        <f t="shared" si="154"/>
        <v>PASS</v>
      </c>
      <c r="N4939" s="10" t="str">
        <f t="shared" si="155"/>
        <v>NONE</v>
      </c>
    </row>
    <row r="4940" spans="1:14">
      <c r="A4940" s="4" t="s">
        <v>9896</v>
      </c>
      <c r="B4940" s="4" t="s">
        <v>9897</v>
      </c>
      <c r="C4940" s="4" t="s">
        <v>16</v>
      </c>
      <c r="D4940" s="4" t="s">
        <v>13</v>
      </c>
      <c r="E4940" s="5">
        <v>105.49550000000001</v>
      </c>
      <c r="F4940" s="5">
        <v>105.0703</v>
      </c>
      <c r="G4940" s="5">
        <v>105.2257</v>
      </c>
      <c r="H4940" s="4">
        <v>1</v>
      </c>
      <c r="I4940" s="6">
        <v>2635614</v>
      </c>
      <c r="J4940" s="7">
        <v>707.48</v>
      </c>
      <c r="K4940" s="9">
        <f>(PricingDataTable[[#This Row],[Current Price ($)]]-PricingDataTable[[#This Row],[Prior Price ($)]])/PricingDataTable[[#This Row],[Prior Price ($)]]</f>
        <v>-4.0305036707727225E-3</v>
      </c>
      <c r="L4940" s="9">
        <f>(PricingDataTable[[#This Row],[Vendor Price ($)]]-PricingDataTable[[#This Row],[Current Price ($)]])/PricingDataTable[[#This Row],[Current Price ($)]]</f>
        <v>1.4790097677459778E-3</v>
      </c>
      <c r="M4940" t="str">
        <f t="shared" si="154"/>
        <v>PASS</v>
      </c>
      <c r="N4940" s="10" t="str">
        <f t="shared" si="155"/>
        <v>NONE</v>
      </c>
    </row>
    <row r="4941" spans="1:14">
      <c r="A4941" s="4" t="s">
        <v>9898</v>
      </c>
      <c r="B4941" s="4" t="s">
        <v>9899</v>
      </c>
      <c r="C4941" s="4" t="s">
        <v>19</v>
      </c>
      <c r="D4941" s="4" t="s">
        <v>64</v>
      </c>
      <c r="E4941" s="5">
        <v>324.81830000000002</v>
      </c>
      <c r="F4941" s="5">
        <v>327.54559999999998</v>
      </c>
      <c r="G4941" s="5">
        <v>326.49340000000001</v>
      </c>
      <c r="H4941" s="4">
        <v>1</v>
      </c>
      <c r="I4941" s="6">
        <v>3502032</v>
      </c>
      <c r="J4941" s="7">
        <v>587.63</v>
      </c>
      <c r="K4941" s="9">
        <f>(PricingDataTable[[#This Row],[Current Price ($)]]-PricingDataTable[[#This Row],[Prior Price ($)]])/PricingDataTable[[#This Row],[Prior Price ($)]]</f>
        <v>8.3963865336403667E-3</v>
      </c>
      <c r="L4941" s="9">
        <f>(PricingDataTable[[#This Row],[Vendor Price ($)]]-PricingDataTable[[#This Row],[Current Price ($)]])/PricingDataTable[[#This Row],[Current Price ($)]]</f>
        <v>-3.2123771468765593E-3</v>
      </c>
      <c r="M4941" t="str">
        <f t="shared" si="154"/>
        <v>PASS</v>
      </c>
      <c r="N4941" s="10" t="str">
        <f t="shared" si="155"/>
        <v>NONE</v>
      </c>
    </row>
    <row r="4942" spans="1:14">
      <c r="A4942" s="4" t="s">
        <v>9900</v>
      </c>
      <c r="B4942" s="4" t="s">
        <v>9901</v>
      </c>
      <c r="C4942" s="4" t="s">
        <v>39</v>
      </c>
      <c r="D4942" s="4" t="s">
        <v>13</v>
      </c>
      <c r="E4942" s="5">
        <v>87.534899999999993</v>
      </c>
      <c r="F4942" s="5">
        <v>86.905000000000001</v>
      </c>
      <c r="G4942" s="5">
        <v>87.032700000000006</v>
      </c>
      <c r="H4942" s="4">
        <v>0</v>
      </c>
      <c r="I4942" s="6">
        <v>715377</v>
      </c>
      <c r="J4942" s="7">
        <v>833.59</v>
      </c>
      <c r="K4942" s="9">
        <f>(PricingDataTable[[#This Row],[Current Price ($)]]-PricingDataTable[[#This Row],[Prior Price ($)]])/PricingDataTable[[#This Row],[Prior Price ($)]]</f>
        <v>-7.1959869720533429E-3</v>
      </c>
      <c r="L4942" s="9">
        <f>(PricingDataTable[[#This Row],[Vendor Price ($)]]-PricingDataTable[[#This Row],[Current Price ($)]])/PricingDataTable[[#This Row],[Current Price ($)]]</f>
        <v>1.4694206317243468E-3</v>
      </c>
      <c r="M4942" t="str">
        <f t="shared" si="154"/>
        <v>PASS</v>
      </c>
      <c r="N4942" s="10" t="str">
        <f t="shared" si="155"/>
        <v>NONE</v>
      </c>
    </row>
    <row r="4943" spans="1:14">
      <c r="A4943" s="4" t="s">
        <v>9902</v>
      </c>
      <c r="B4943" s="4" t="s">
        <v>9903</v>
      </c>
      <c r="C4943" s="4" t="s">
        <v>16</v>
      </c>
      <c r="D4943" s="4" t="s">
        <v>36</v>
      </c>
      <c r="E4943" s="5">
        <v>116.38330000000001</v>
      </c>
      <c r="F4943" s="5">
        <v>115.7795</v>
      </c>
      <c r="G4943" s="5">
        <v>115.8746</v>
      </c>
      <c r="H4943" s="4">
        <v>0</v>
      </c>
      <c r="I4943" s="6">
        <v>2515888</v>
      </c>
      <c r="J4943" s="7">
        <v>42.06</v>
      </c>
      <c r="K4943" s="9">
        <f>(PricingDataTable[[#This Row],[Current Price ($)]]-PricingDataTable[[#This Row],[Prior Price ($)]])/PricingDataTable[[#This Row],[Prior Price ($)]]</f>
        <v>-5.1880295540683826E-3</v>
      </c>
      <c r="L4943" s="9">
        <f>(PricingDataTable[[#This Row],[Vendor Price ($)]]-PricingDataTable[[#This Row],[Current Price ($)]])/PricingDataTable[[#This Row],[Current Price ($)]]</f>
        <v>8.2138893327404403E-4</v>
      </c>
      <c r="M4943" t="str">
        <f t="shared" si="154"/>
        <v>PASS</v>
      </c>
      <c r="N4943" s="10" t="str">
        <f t="shared" si="155"/>
        <v>NONE</v>
      </c>
    </row>
    <row r="4944" spans="1:14">
      <c r="A4944" s="4" t="s">
        <v>9904</v>
      </c>
      <c r="B4944" s="4" t="s">
        <v>9905</v>
      </c>
      <c r="C4944" s="4" t="s">
        <v>16</v>
      </c>
      <c r="D4944" s="4" t="s">
        <v>64</v>
      </c>
      <c r="E4944" s="5">
        <v>101.497</v>
      </c>
      <c r="F4944" s="5">
        <v>101.51009999999999</v>
      </c>
      <c r="G4944" s="5">
        <v>101.3913</v>
      </c>
      <c r="H4944" s="4">
        <v>2</v>
      </c>
      <c r="I4944" s="6">
        <v>1812229</v>
      </c>
      <c r="J4944" s="7">
        <v>147.16</v>
      </c>
      <c r="K4944" s="9">
        <f>(PricingDataTable[[#This Row],[Current Price ($)]]-PricingDataTable[[#This Row],[Prior Price ($)]])/PricingDataTable[[#This Row],[Prior Price ($)]]</f>
        <v>1.290678542222365E-4</v>
      </c>
      <c r="L4944" s="9">
        <f>(PricingDataTable[[#This Row],[Vendor Price ($)]]-PricingDataTable[[#This Row],[Current Price ($)]])/PricingDataTable[[#This Row],[Current Price ($)]]</f>
        <v>-1.1703268935799802E-3</v>
      </c>
      <c r="M4944" t="str">
        <f t="shared" si="154"/>
        <v>PASS</v>
      </c>
      <c r="N4944" s="10" t="str">
        <f t="shared" si="155"/>
        <v>NONE</v>
      </c>
    </row>
    <row r="4945" spans="1:14">
      <c r="A4945" s="4" t="s">
        <v>9906</v>
      </c>
      <c r="B4945" s="4" t="s">
        <v>9907</v>
      </c>
      <c r="C4945" s="4" t="s">
        <v>19</v>
      </c>
      <c r="D4945" s="4" t="s">
        <v>13</v>
      </c>
      <c r="E4945" s="5">
        <v>82.531000000000006</v>
      </c>
      <c r="F4945" s="5">
        <v>82.596599999999995</v>
      </c>
      <c r="G4945" s="5">
        <v>82.180800000000005</v>
      </c>
      <c r="H4945" s="4">
        <v>1</v>
      </c>
      <c r="I4945" s="6">
        <v>2222830</v>
      </c>
      <c r="J4945" s="7">
        <v>170.55</v>
      </c>
      <c r="K4945" s="9">
        <f>(PricingDataTable[[#This Row],[Current Price ($)]]-PricingDataTable[[#This Row],[Prior Price ($)]])/PricingDataTable[[#This Row],[Prior Price ($)]]</f>
        <v>7.9485284317394936E-4</v>
      </c>
      <c r="L4945" s="9">
        <f>(PricingDataTable[[#This Row],[Vendor Price ($)]]-PricingDataTable[[#This Row],[Current Price ($)]])/PricingDataTable[[#This Row],[Current Price ($)]]</f>
        <v>-5.0341055200818219E-3</v>
      </c>
      <c r="M4945" t="str">
        <f t="shared" si="154"/>
        <v>PASS</v>
      </c>
      <c r="N4945" s="10" t="str">
        <f t="shared" si="155"/>
        <v>NONE</v>
      </c>
    </row>
    <row r="4946" spans="1:14">
      <c r="A4946" s="4" t="s">
        <v>9908</v>
      </c>
      <c r="B4946" s="4" t="s">
        <v>9909</v>
      </c>
      <c r="C4946" s="4" t="s">
        <v>16</v>
      </c>
      <c r="D4946" s="4" t="s">
        <v>13</v>
      </c>
      <c r="E4946" s="5">
        <v>98.061599999999999</v>
      </c>
      <c r="F4946" s="5">
        <v>0</v>
      </c>
      <c r="G4946" s="5">
        <v>107.943</v>
      </c>
      <c r="H4946" s="4">
        <v>0</v>
      </c>
      <c r="I4946" s="6">
        <v>4796454</v>
      </c>
      <c r="J4946" s="7">
        <v>574.52</v>
      </c>
      <c r="K4946" s="9">
        <f>(PricingDataTable[[#This Row],[Current Price ($)]]-PricingDataTable[[#This Row],[Prior Price ($)]])/PricingDataTable[[#This Row],[Prior Price ($)]]</f>
        <v>-1</v>
      </c>
      <c r="L4946" s="9" t="e">
        <f>(PricingDataTable[[#This Row],[Vendor Price ($)]]-PricingDataTable[[#This Row],[Current Price ($)]])/PricingDataTable[[#This Row],[Current Price ($)]]</f>
        <v>#DIV/0!</v>
      </c>
      <c r="M4946" t="str">
        <f t="shared" si="154"/>
        <v>MISSING</v>
      </c>
      <c r="N4946" s="10" t="str">
        <f t="shared" si="155"/>
        <v>HIGH</v>
      </c>
    </row>
    <row r="4947" spans="1:14">
      <c r="A4947" s="4" t="s">
        <v>9910</v>
      </c>
      <c r="B4947" s="4" t="s">
        <v>9911</v>
      </c>
      <c r="C4947" s="4" t="s">
        <v>16</v>
      </c>
      <c r="D4947" s="4" t="s">
        <v>13</v>
      </c>
      <c r="E4947" s="5">
        <v>77.372900000000001</v>
      </c>
      <c r="F4947" s="5">
        <v>76.364400000000003</v>
      </c>
      <c r="G4947" s="5">
        <v>76.156099999999995</v>
      </c>
      <c r="H4947" s="4">
        <v>2</v>
      </c>
      <c r="I4947" s="6">
        <v>302156</v>
      </c>
      <c r="J4947" s="7">
        <v>434.75</v>
      </c>
      <c r="K4947" s="9">
        <f>(PricingDataTable[[#This Row],[Current Price ($)]]-PricingDataTable[[#This Row],[Prior Price ($)]])/PricingDataTable[[#This Row],[Prior Price ($)]]</f>
        <v>-1.3034279444094741E-2</v>
      </c>
      <c r="L4947" s="9">
        <f>(PricingDataTable[[#This Row],[Vendor Price ($)]]-PricingDataTable[[#This Row],[Current Price ($)]])/PricingDataTable[[#This Row],[Current Price ($)]]</f>
        <v>-2.7277108181300233E-3</v>
      </c>
      <c r="M4947" t="str">
        <f t="shared" si="154"/>
        <v>PASS</v>
      </c>
      <c r="N4947" s="10" t="str">
        <f t="shared" si="155"/>
        <v>NONE</v>
      </c>
    </row>
    <row r="4948" spans="1:14">
      <c r="A4948" s="4" t="s">
        <v>9912</v>
      </c>
      <c r="B4948" s="4" t="s">
        <v>9913</v>
      </c>
      <c r="C4948" s="4" t="s">
        <v>19</v>
      </c>
      <c r="D4948" s="4" t="s">
        <v>13</v>
      </c>
      <c r="E4948" s="5">
        <v>125.955</v>
      </c>
      <c r="F4948" s="5">
        <v>126.7706</v>
      </c>
      <c r="G4948" s="5">
        <v>126.3643</v>
      </c>
      <c r="H4948" s="4">
        <v>2</v>
      </c>
      <c r="I4948" s="6">
        <v>4025791</v>
      </c>
      <c r="J4948" s="7">
        <v>78.59</v>
      </c>
      <c r="K4948" s="9">
        <f>(PricingDataTable[[#This Row],[Current Price ($)]]-PricingDataTable[[#This Row],[Prior Price ($)]])/PricingDataTable[[#This Row],[Prior Price ($)]]</f>
        <v>6.4753284903338766E-3</v>
      </c>
      <c r="L4948" s="9">
        <f>(PricingDataTable[[#This Row],[Vendor Price ($)]]-PricingDataTable[[#This Row],[Current Price ($)]])/PricingDataTable[[#This Row],[Current Price ($)]]</f>
        <v>-3.2050017906360122E-3</v>
      </c>
      <c r="M4948" t="str">
        <f t="shared" si="154"/>
        <v>PASS</v>
      </c>
      <c r="N4948" s="10" t="str">
        <f t="shared" si="155"/>
        <v>NONE</v>
      </c>
    </row>
    <row r="4949" spans="1:14">
      <c r="A4949" s="4" t="s">
        <v>9914</v>
      </c>
      <c r="B4949" s="4" t="s">
        <v>9915</v>
      </c>
      <c r="C4949" s="4" t="s">
        <v>19</v>
      </c>
      <c r="D4949" s="4" t="s">
        <v>36</v>
      </c>
      <c r="E4949" s="5">
        <v>293.26639999999998</v>
      </c>
      <c r="F4949" s="5">
        <v>295.29570000000001</v>
      </c>
      <c r="G4949" s="5">
        <v>295.77370000000002</v>
      </c>
      <c r="H4949" s="4">
        <v>1</v>
      </c>
      <c r="I4949" s="6">
        <v>2080172</v>
      </c>
      <c r="J4949" s="7">
        <v>190.1</v>
      </c>
      <c r="K4949" s="9">
        <f>(PricingDataTable[[#This Row],[Current Price ($)]]-PricingDataTable[[#This Row],[Prior Price ($)]])/PricingDataTable[[#This Row],[Prior Price ($)]]</f>
        <v>6.9196471194792001E-3</v>
      </c>
      <c r="L4949" s="9">
        <f>(PricingDataTable[[#This Row],[Vendor Price ($)]]-PricingDataTable[[#This Row],[Current Price ($)]])/PricingDataTable[[#This Row],[Current Price ($)]]</f>
        <v>1.6187164256032465E-3</v>
      </c>
      <c r="M4949" t="str">
        <f t="shared" si="154"/>
        <v>PASS</v>
      </c>
      <c r="N4949" s="10" t="str">
        <f t="shared" si="155"/>
        <v>NONE</v>
      </c>
    </row>
    <row r="4950" spans="1:14">
      <c r="A4950" s="4" t="s">
        <v>9916</v>
      </c>
      <c r="B4950" s="4" t="s">
        <v>9917</v>
      </c>
      <c r="C4950" s="4" t="s">
        <v>19</v>
      </c>
      <c r="D4950" s="4" t="s">
        <v>13</v>
      </c>
      <c r="E4950" s="5">
        <v>298.71350000000001</v>
      </c>
      <c r="F4950" s="5">
        <v>296.15019999999998</v>
      </c>
      <c r="G4950" s="5">
        <v>297.1352</v>
      </c>
      <c r="H4950" s="4">
        <v>0</v>
      </c>
      <c r="I4950" s="6">
        <v>1181796</v>
      </c>
      <c r="J4950" s="7">
        <v>675.61</v>
      </c>
      <c r="K4950" s="9">
        <f>(PricingDataTable[[#This Row],[Current Price ($)]]-PricingDataTable[[#This Row],[Prior Price ($)]])/PricingDataTable[[#This Row],[Prior Price ($)]]</f>
        <v>-8.5811320881045774E-3</v>
      </c>
      <c r="L4950" s="9">
        <f>(PricingDataTable[[#This Row],[Vendor Price ($)]]-PricingDataTable[[#This Row],[Current Price ($)]])/PricingDataTable[[#This Row],[Current Price ($)]]</f>
        <v>3.3260149748337623E-3</v>
      </c>
      <c r="M4950" t="str">
        <f t="shared" si="154"/>
        <v>PASS</v>
      </c>
      <c r="N4950" s="10" t="str">
        <f t="shared" si="155"/>
        <v>NONE</v>
      </c>
    </row>
    <row r="4951" spans="1:14">
      <c r="A4951" s="4" t="s">
        <v>9918</v>
      </c>
      <c r="B4951" s="4" t="s">
        <v>9919</v>
      </c>
      <c r="C4951" s="4" t="s">
        <v>39</v>
      </c>
      <c r="D4951" s="4" t="s">
        <v>32</v>
      </c>
      <c r="E4951" s="5">
        <v>217.3425</v>
      </c>
      <c r="F4951" s="5">
        <v>218.4581</v>
      </c>
      <c r="G4951" s="5">
        <v>217.73949999999999</v>
      </c>
      <c r="H4951" s="4">
        <v>0</v>
      </c>
      <c r="I4951" s="6">
        <v>2092802</v>
      </c>
      <c r="J4951" s="7">
        <v>799.35</v>
      </c>
      <c r="K4951" s="9">
        <f>(PricingDataTable[[#This Row],[Current Price ($)]]-PricingDataTable[[#This Row],[Prior Price ($)]])/PricingDataTable[[#This Row],[Prior Price ($)]]</f>
        <v>5.1329123388200674E-3</v>
      </c>
      <c r="L4951" s="9">
        <f>(PricingDataTable[[#This Row],[Vendor Price ($)]]-PricingDataTable[[#This Row],[Current Price ($)]])/PricingDataTable[[#This Row],[Current Price ($)]]</f>
        <v>-3.2894179707688076E-3</v>
      </c>
      <c r="M4951" t="str">
        <f t="shared" si="154"/>
        <v>PASS</v>
      </c>
      <c r="N4951" s="10" t="str">
        <f t="shared" si="155"/>
        <v>NONE</v>
      </c>
    </row>
    <row r="4952" spans="1:14">
      <c r="A4952" s="4" t="s">
        <v>9920</v>
      </c>
      <c r="B4952" s="4" t="s">
        <v>9921</v>
      </c>
      <c r="C4952" s="4" t="s">
        <v>16</v>
      </c>
      <c r="D4952" s="4" t="s">
        <v>13</v>
      </c>
      <c r="E4952" s="5">
        <v>108.55500000000001</v>
      </c>
      <c r="F4952" s="5">
        <v>109.12309999999999</v>
      </c>
      <c r="G4952" s="5">
        <v>108.9867</v>
      </c>
      <c r="H4952" s="4">
        <v>0</v>
      </c>
      <c r="I4952" s="6">
        <v>4870269</v>
      </c>
      <c r="J4952" s="7">
        <v>815.22</v>
      </c>
      <c r="K4952" s="9">
        <f>(PricingDataTable[[#This Row],[Current Price ($)]]-PricingDataTable[[#This Row],[Prior Price ($)]])/PricingDataTable[[#This Row],[Prior Price ($)]]</f>
        <v>5.2332918796922012E-3</v>
      </c>
      <c r="L4952" s="9">
        <f>(PricingDataTable[[#This Row],[Vendor Price ($)]]-PricingDataTable[[#This Row],[Current Price ($)]])/PricingDataTable[[#This Row],[Current Price ($)]]</f>
        <v>-1.2499644896451325E-3</v>
      </c>
      <c r="M4952" t="str">
        <f t="shared" si="154"/>
        <v>PASS</v>
      </c>
      <c r="N4952" s="10" t="str">
        <f t="shared" si="155"/>
        <v>NONE</v>
      </c>
    </row>
    <row r="4953" spans="1:14">
      <c r="A4953" s="4" t="s">
        <v>9922</v>
      </c>
      <c r="B4953" s="4" t="s">
        <v>9923</v>
      </c>
      <c r="C4953" s="4" t="s">
        <v>16</v>
      </c>
      <c r="D4953" s="4" t="s">
        <v>13</v>
      </c>
      <c r="E4953" s="5">
        <v>115.6979</v>
      </c>
      <c r="F4953" s="5">
        <v>117.5063</v>
      </c>
      <c r="G4953" s="5">
        <v>117.4413</v>
      </c>
      <c r="H4953" s="4">
        <v>0</v>
      </c>
      <c r="I4953" s="6">
        <v>1781541</v>
      </c>
      <c r="J4953" s="7">
        <v>389.33</v>
      </c>
      <c r="K4953" s="9">
        <f>(PricingDataTable[[#This Row],[Current Price ($)]]-PricingDataTable[[#This Row],[Prior Price ($)]])/PricingDataTable[[#This Row],[Prior Price ($)]]</f>
        <v>1.5630361484521255E-2</v>
      </c>
      <c r="L4953" s="9">
        <f>(PricingDataTable[[#This Row],[Vendor Price ($)]]-PricingDataTable[[#This Row],[Current Price ($)]])/PricingDataTable[[#This Row],[Current Price ($)]]</f>
        <v>-5.5316183047204902E-4</v>
      </c>
      <c r="M4953" t="str">
        <f t="shared" si="154"/>
        <v>PASS</v>
      </c>
      <c r="N4953" s="10" t="str">
        <f t="shared" si="155"/>
        <v>NONE</v>
      </c>
    </row>
    <row r="4954" spans="1:14">
      <c r="A4954" s="4" t="s">
        <v>9924</v>
      </c>
      <c r="B4954" s="4" t="s">
        <v>9925</v>
      </c>
      <c r="C4954" s="4" t="s">
        <v>12</v>
      </c>
      <c r="D4954" s="4" t="s">
        <v>13</v>
      </c>
      <c r="E4954" s="5">
        <v>96.137699999999995</v>
      </c>
      <c r="F4954" s="5">
        <v>96.337100000000007</v>
      </c>
      <c r="G4954" s="5">
        <v>106.61879999999999</v>
      </c>
      <c r="H4954" s="4">
        <v>0</v>
      </c>
      <c r="I4954" s="6">
        <v>4920072</v>
      </c>
      <c r="J4954" s="7">
        <v>761.93</v>
      </c>
      <c r="K4954" s="9">
        <f>(PricingDataTable[[#This Row],[Current Price ($)]]-PricingDataTable[[#This Row],[Prior Price ($)]])/PricingDataTable[[#This Row],[Prior Price ($)]]</f>
        <v>2.0741082842632118E-3</v>
      </c>
      <c r="L4954" s="9">
        <f>(PricingDataTable[[#This Row],[Vendor Price ($)]]-PricingDataTable[[#This Row],[Current Price ($)]])/PricingDataTable[[#This Row],[Current Price ($)]]</f>
        <v>0.10672627679263737</v>
      </c>
      <c r="M4954" t="str">
        <f t="shared" si="154"/>
        <v>VENDOR DIFFERENCE</v>
      </c>
      <c r="N4954" s="10" t="str">
        <f t="shared" si="155"/>
        <v>HIGH</v>
      </c>
    </row>
    <row r="4955" spans="1:14">
      <c r="A4955" s="4" t="s">
        <v>9926</v>
      </c>
      <c r="B4955" s="4" t="s">
        <v>9927</v>
      </c>
      <c r="C4955" s="4" t="s">
        <v>12</v>
      </c>
      <c r="D4955" s="4" t="s">
        <v>13</v>
      </c>
      <c r="E4955" s="5">
        <v>107.64830000000001</v>
      </c>
      <c r="F4955" s="5">
        <v>106.4402</v>
      </c>
      <c r="G4955" s="5">
        <v>106.61750000000001</v>
      </c>
      <c r="H4955" s="4">
        <v>1</v>
      </c>
      <c r="I4955" s="6">
        <v>2148054</v>
      </c>
      <c r="J4955" s="7">
        <v>733.16</v>
      </c>
      <c r="K4955" s="9">
        <f>(PricingDataTable[[#This Row],[Current Price ($)]]-PricingDataTable[[#This Row],[Prior Price ($)]])/PricingDataTable[[#This Row],[Prior Price ($)]]</f>
        <v>-1.1222657487391827E-2</v>
      </c>
      <c r="L4955" s="9">
        <f>(PricingDataTable[[#This Row],[Vendor Price ($)]]-PricingDataTable[[#This Row],[Current Price ($)]])/PricingDataTable[[#This Row],[Current Price ($)]]</f>
        <v>1.6657240403531979E-3</v>
      </c>
      <c r="M4955" t="str">
        <f t="shared" si="154"/>
        <v>PASS</v>
      </c>
      <c r="N4955" s="10" t="str">
        <f t="shared" si="155"/>
        <v>NONE</v>
      </c>
    </row>
    <row r="4956" spans="1:14">
      <c r="A4956" s="4" t="s">
        <v>9928</v>
      </c>
      <c r="B4956" s="4" t="s">
        <v>9929</v>
      </c>
      <c r="C4956" s="4" t="s">
        <v>35</v>
      </c>
      <c r="D4956" s="4" t="s">
        <v>13</v>
      </c>
      <c r="E4956" s="5">
        <v>122.9046</v>
      </c>
      <c r="F4956" s="5"/>
      <c r="G4956" s="5">
        <v>124.1048</v>
      </c>
      <c r="H4956" s="4">
        <v>2</v>
      </c>
      <c r="I4956" s="6">
        <v>774004</v>
      </c>
      <c r="J4956" s="7">
        <v>291.83999999999997</v>
      </c>
      <c r="K4956" s="9">
        <f>(PricingDataTable[[#This Row],[Current Price ($)]]-PricingDataTable[[#This Row],[Prior Price ($)]])/PricingDataTable[[#This Row],[Prior Price ($)]]</f>
        <v>-1</v>
      </c>
      <c r="L4956" s="9" t="e">
        <f>(PricingDataTable[[#This Row],[Vendor Price ($)]]-PricingDataTable[[#This Row],[Current Price ($)]])/PricingDataTable[[#This Row],[Current Price ($)]]</f>
        <v>#DIV/0!</v>
      </c>
      <c r="M4956" t="str">
        <f t="shared" si="154"/>
        <v>MISSING</v>
      </c>
      <c r="N4956" s="10" t="str">
        <f t="shared" si="155"/>
        <v>HIGH</v>
      </c>
    </row>
    <row r="4957" spans="1:14">
      <c r="A4957" s="4" t="s">
        <v>9930</v>
      </c>
      <c r="B4957" s="4" t="s">
        <v>9931</v>
      </c>
      <c r="C4957" s="4" t="s">
        <v>19</v>
      </c>
      <c r="D4957" s="4" t="s">
        <v>13</v>
      </c>
      <c r="E4957" s="5">
        <v>228.32490000000001</v>
      </c>
      <c r="F4957" s="5">
        <v>234.73</v>
      </c>
      <c r="G4957" s="5">
        <v>234.8656</v>
      </c>
      <c r="H4957" s="4">
        <v>0</v>
      </c>
      <c r="I4957" s="6">
        <v>2496911</v>
      </c>
      <c r="J4957" s="7">
        <v>669.02</v>
      </c>
      <c r="K4957" s="9">
        <f>(PricingDataTable[[#This Row],[Current Price ($)]]-PricingDataTable[[#This Row],[Prior Price ($)]])/PricingDataTable[[#This Row],[Prior Price ($)]]</f>
        <v>2.805256894889684E-2</v>
      </c>
      <c r="L4957" s="9">
        <f>(PricingDataTable[[#This Row],[Vendor Price ($)]]-PricingDataTable[[#This Row],[Current Price ($)]])/PricingDataTable[[#This Row],[Current Price ($)]]</f>
        <v>5.7768499978703546E-4</v>
      </c>
      <c r="M4957" t="str">
        <f t="shared" si="154"/>
        <v>PASS</v>
      </c>
      <c r="N4957" s="10" t="str">
        <f t="shared" si="155"/>
        <v>NONE</v>
      </c>
    </row>
    <row r="4958" spans="1:14">
      <c r="A4958" s="4" t="s">
        <v>9932</v>
      </c>
      <c r="B4958" s="4" t="s">
        <v>9933</v>
      </c>
      <c r="C4958" s="4" t="s">
        <v>16</v>
      </c>
      <c r="D4958" s="4" t="s">
        <v>13</v>
      </c>
      <c r="E4958" s="5">
        <v>113.6056</v>
      </c>
      <c r="F4958" s="5">
        <v>112.2174</v>
      </c>
      <c r="G4958" s="5">
        <v>112.1725</v>
      </c>
      <c r="H4958" s="4">
        <v>0</v>
      </c>
      <c r="I4958" s="6">
        <v>2838828</v>
      </c>
      <c r="J4958" s="7">
        <v>497.48</v>
      </c>
      <c r="K4958" s="9">
        <f>(PricingDataTable[[#This Row],[Current Price ($)]]-PricingDataTable[[#This Row],[Prior Price ($)]])/PricingDataTable[[#This Row],[Prior Price ($)]]</f>
        <v>-1.2219468054391665E-2</v>
      </c>
      <c r="L4958" s="9">
        <f>(PricingDataTable[[#This Row],[Vendor Price ($)]]-PricingDataTable[[#This Row],[Current Price ($)]])/PricingDataTable[[#This Row],[Current Price ($)]]</f>
        <v>-4.0011620301306562E-4</v>
      </c>
      <c r="M4958" t="str">
        <f t="shared" si="154"/>
        <v>PASS</v>
      </c>
      <c r="N4958" s="10" t="str">
        <f t="shared" si="155"/>
        <v>NONE</v>
      </c>
    </row>
    <row r="4959" spans="1:14">
      <c r="A4959" s="4" t="s">
        <v>9934</v>
      </c>
      <c r="B4959" s="4" t="s">
        <v>9935</v>
      </c>
      <c r="C4959" s="4" t="s">
        <v>19</v>
      </c>
      <c r="D4959" s="4" t="s">
        <v>13</v>
      </c>
      <c r="E4959" s="5">
        <v>293.19630000000001</v>
      </c>
      <c r="F4959" s="5">
        <v>293.09800000000001</v>
      </c>
      <c r="G4959" s="5">
        <v>293.19850000000002</v>
      </c>
      <c r="H4959" s="4">
        <v>0</v>
      </c>
      <c r="I4959" s="6">
        <v>2692813</v>
      </c>
      <c r="J4959" s="7">
        <v>234.89</v>
      </c>
      <c r="K4959" s="9">
        <f>(PricingDataTable[[#This Row],[Current Price ($)]]-PricingDataTable[[#This Row],[Prior Price ($)]])/PricingDataTable[[#This Row],[Prior Price ($)]]</f>
        <v>-3.3527026091391578E-4</v>
      </c>
      <c r="L4959" s="9">
        <f>(PricingDataTable[[#This Row],[Vendor Price ($)]]-PricingDataTable[[#This Row],[Current Price ($)]])/PricingDataTable[[#This Row],[Current Price ($)]]</f>
        <v>3.4288872663754415E-4</v>
      </c>
      <c r="M4959" t="str">
        <f t="shared" si="154"/>
        <v>PASS</v>
      </c>
      <c r="N4959" s="10" t="str">
        <f t="shared" si="155"/>
        <v>NONE</v>
      </c>
    </row>
    <row r="4960" spans="1:14">
      <c r="A4960" s="4" t="s">
        <v>9936</v>
      </c>
      <c r="B4960" s="4" t="s">
        <v>9937</v>
      </c>
      <c r="C4960" s="4" t="s">
        <v>16</v>
      </c>
      <c r="D4960" s="4" t="s">
        <v>32</v>
      </c>
      <c r="E4960" s="5">
        <v>109.2145</v>
      </c>
      <c r="F4960" s="5">
        <v>110.89360000000001</v>
      </c>
      <c r="G4960" s="5">
        <v>111.18899999999999</v>
      </c>
      <c r="H4960" s="4">
        <v>0</v>
      </c>
      <c r="I4960" s="6">
        <v>1903832</v>
      </c>
      <c r="J4960" s="7">
        <v>650.30999999999995</v>
      </c>
      <c r="K4960" s="9">
        <f>(PricingDataTable[[#This Row],[Current Price ($)]]-PricingDataTable[[#This Row],[Prior Price ($)]])/PricingDataTable[[#This Row],[Prior Price ($)]]</f>
        <v>1.5374332162853882E-2</v>
      </c>
      <c r="L4960" s="9">
        <f>(PricingDataTable[[#This Row],[Vendor Price ($)]]-PricingDataTable[[#This Row],[Current Price ($)]])/PricingDataTable[[#This Row],[Current Price ($)]]</f>
        <v>2.6638146836245424E-3</v>
      </c>
      <c r="M4960" t="str">
        <f t="shared" si="154"/>
        <v>PASS</v>
      </c>
      <c r="N4960" s="10" t="str">
        <f t="shared" si="155"/>
        <v>NONE</v>
      </c>
    </row>
    <row r="4961" spans="1:14">
      <c r="A4961" s="4" t="s">
        <v>9938</v>
      </c>
      <c r="B4961" s="4" t="s">
        <v>9939</v>
      </c>
      <c r="C4961" s="4" t="s">
        <v>16</v>
      </c>
      <c r="D4961" s="4" t="s">
        <v>13</v>
      </c>
      <c r="E4961" s="5">
        <v>88.608199999999997</v>
      </c>
      <c r="F4961" s="5">
        <v>89.631</v>
      </c>
      <c r="G4961" s="5">
        <v>89.761300000000006</v>
      </c>
      <c r="H4961" s="4">
        <v>0</v>
      </c>
      <c r="I4961" s="6">
        <v>3222129</v>
      </c>
      <c r="J4961" s="7">
        <v>401.63</v>
      </c>
      <c r="K4961" s="9">
        <f>(PricingDataTable[[#This Row],[Current Price ($)]]-PricingDataTable[[#This Row],[Prior Price ($)]])/PricingDataTable[[#This Row],[Prior Price ($)]]</f>
        <v>1.1542949749571752E-2</v>
      </c>
      <c r="L4961" s="9">
        <f>(PricingDataTable[[#This Row],[Vendor Price ($)]]-PricingDataTable[[#This Row],[Current Price ($)]])/PricingDataTable[[#This Row],[Current Price ($)]]</f>
        <v>1.4537381040042553E-3</v>
      </c>
      <c r="M4961" t="str">
        <f t="shared" si="154"/>
        <v>PASS</v>
      </c>
      <c r="N4961" s="10" t="str">
        <f t="shared" si="155"/>
        <v>NONE</v>
      </c>
    </row>
    <row r="4962" spans="1:14">
      <c r="A4962" s="4" t="s">
        <v>9940</v>
      </c>
      <c r="B4962" s="4" t="s">
        <v>9941</v>
      </c>
      <c r="C4962" s="4" t="s">
        <v>12</v>
      </c>
      <c r="D4962" s="4" t="s">
        <v>36</v>
      </c>
      <c r="E4962" s="5">
        <v>79.976500000000001</v>
      </c>
      <c r="F4962" s="5">
        <v>77.741799999999998</v>
      </c>
      <c r="G4962" s="5">
        <v>77.676299999999998</v>
      </c>
      <c r="H4962" s="4">
        <v>2</v>
      </c>
      <c r="I4962" s="6">
        <v>3068457</v>
      </c>
      <c r="J4962" s="7">
        <v>172.12</v>
      </c>
      <c r="K4962" s="9">
        <f>(PricingDataTable[[#This Row],[Current Price ($)]]-PricingDataTable[[#This Row],[Prior Price ($)]])/PricingDataTable[[#This Row],[Prior Price ($)]]</f>
        <v>-2.7941957950147901E-2</v>
      </c>
      <c r="L4962" s="9">
        <f>(PricingDataTable[[#This Row],[Vendor Price ($)]]-PricingDataTable[[#This Row],[Current Price ($)]])/PricingDataTable[[#This Row],[Current Price ($)]]</f>
        <v>-8.4253258864600662E-4</v>
      </c>
      <c r="M4962" t="str">
        <f t="shared" si="154"/>
        <v>PASS</v>
      </c>
      <c r="N4962" s="10" t="str">
        <f t="shared" si="155"/>
        <v>NONE</v>
      </c>
    </row>
    <row r="4963" spans="1:14">
      <c r="A4963" s="4" t="s">
        <v>9942</v>
      </c>
      <c r="B4963" s="4" t="s">
        <v>9943</v>
      </c>
      <c r="C4963" s="4" t="s">
        <v>19</v>
      </c>
      <c r="D4963" s="4" t="s">
        <v>237</v>
      </c>
      <c r="E4963" s="5">
        <v>57.849499999999999</v>
      </c>
      <c r="F4963" s="5">
        <v>59.1008</v>
      </c>
      <c r="G4963" s="5">
        <v>58.876800000000003</v>
      </c>
      <c r="H4963" s="4">
        <v>1</v>
      </c>
      <c r="I4963" s="6">
        <v>243830</v>
      </c>
      <c r="J4963" s="7">
        <v>690.22</v>
      </c>
      <c r="K4963" s="9">
        <f>(PricingDataTable[[#This Row],[Current Price ($)]]-PricingDataTable[[#This Row],[Prior Price ($)]])/PricingDataTable[[#This Row],[Prior Price ($)]]</f>
        <v>2.1630264738675364E-2</v>
      </c>
      <c r="L4963" s="9">
        <f>(PricingDataTable[[#This Row],[Vendor Price ($)]]-PricingDataTable[[#This Row],[Current Price ($)]])/PricingDataTable[[#This Row],[Current Price ($)]]</f>
        <v>-3.7901348205099873E-3</v>
      </c>
      <c r="M4963" t="str">
        <f t="shared" si="154"/>
        <v>PASS</v>
      </c>
      <c r="N4963" s="10" t="str">
        <f t="shared" si="155"/>
        <v>NONE</v>
      </c>
    </row>
    <row r="4964" spans="1:14">
      <c r="A4964" s="4" t="s">
        <v>9944</v>
      </c>
      <c r="B4964" s="4" t="s">
        <v>9945</v>
      </c>
      <c r="C4964" s="4" t="s">
        <v>19</v>
      </c>
      <c r="D4964" s="4" t="s">
        <v>13</v>
      </c>
      <c r="E4964" s="5">
        <v>268.43990000000002</v>
      </c>
      <c r="F4964" s="5">
        <v>269.23590000000002</v>
      </c>
      <c r="G4964" s="5">
        <v>269.43540000000002</v>
      </c>
      <c r="H4964" s="4">
        <v>0</v>
      </c>
      <c r="I4964" s="6">
        <v>2441271</v>
      </c>
      <c r="J4964" s="7">
        <v>568.66</v>
      </c>
      <c r="K4964" s="9">
        <f>(PricingDataTable[[#This Row],[Current Price ($)]]-PricingDataTable[[#This Row],[Prior Price ($)]])/PricingDataTable[[#This Row],[Prior Price ($)]]</f>
        <v>2.9652819867687038E-3</v>
      </c>
      <c r="L4964" s="9">
        <f>(PricingDataTable[[#This Row],[Vendor Price ($)]]-PricingDataTable[[#This Row],[Current Price ($)]])/PricingDataTable[[#This Row],[Current Price ($)]]</f>
        <v>7.4098587892625187E-4</v>
      </c>
      <c r="M4964" t="str">
        <f t="shared" si="154"/>
        <v>PASS</v>
      </c>
      <c r="N4964" s="10" t="str">
        <f t="shared" si="155"/>
        <v>NONE</v>
      </c>
    </row>
    <row r="4965" spans="1:14">
      <c r="A4965" s="4" t="s">
        <v>9946</v>
      </c>
      <c r="B4965" s="4" t="s">
        <v>9947</v>
      </c>
      <c r="C4965" s="4" t="s">
        <v>19</v>
      </c>
      <c r="D4965" s="4" t="s">
        <v>36</v>
      </c>
      <c r="E4965" s="5">
        <v>253.17240000000001</v>
      </c>
      <c r="F4965" s="5">
        <v>251.66130000000001</v>
      </c>
      <c r="G4965" s="5">
        <v>252.49969999999999</v>
      </c>
      <c r="H4965" s="4">
        <v>1</v>
      </c>
      <c r="I4965" s="6">
        <v>3816503</v>
      </c>
      <c r="J4965" s="7">
        <v>283.99</v>
      </c>
      <c r="K4965" s="9">
        <f>(PricingDataTable[[#This Row],[Current Price ($)]]-PricingDataTable[[#This Row],[Prior Price ($)]])/PricingDataTable[[#This Row],[Prior Price ($)]]</f>
        <v>-5.9686600909103797E-3</v>
      </c>
      <c r="L4965" s="9">
        <f>(PricingDataTable[[#This Row],[Vendor Price ($)]]-PricingDataTable[[#This Row],[Current Price ($)]])/PricingDataTable[[#This Row],[Current Price ($)]]</f>
        <v>3.3314617702442876E-3</v>
      </c>
      <c r="M4965" t="str">
        <f t="shared" si="154"/>
        <v>PASS</v>
      </c>
      <c r="N4965" s="10" t="str">
        <f t="shared" si="155"/>
        <v>NONE</v>
      </c>
    </row>
    <row r="4966" spans="1:14">
      <c r="A4966" s="4" t="s">
        <v>9948</v>
      </c>
      <c r="B4966" s="4" t="s">
        <v>9949</v>
      </c>
      <c r="C4966" s="4" t="s">
        <v>16</v>
      </c>
      <c r="D4966" s="4" t="s">
        <v>32</v>
      </c>
      <c r="E4966" s="5">
        <v>122.52249999999999</v>
      </c>
      <c r="F4966" s="5">
        <v>122.8287</v>
      </c>
      <c r="G4966" s="5">
        <v>122.9512</v>
      </c>
      <c r="H4966" s="4">
        <v>0</v>
      </c>
      <c r="I4966" s="6">
        <v>590325</v>
      </c>
      <c r="J4966" s="7">
        <v>460.5</v>
      </c>
      <c r="K4966" s="9">
        <f>(PricingDataTable[[#This Row],[Current Price ($)]]-PricingDataTable[[#This Row],[Prior Price ($)]])/PricingDataTable[[#This Row],[Prior Price ($)]]</f>
        <v>2.4991328123406234E-3</v>
      </c>
      <c r="L4966" s="9">
        <f>(PricingDataTable[[#This Row],[Vendor Price ($)]]-PricingDataTable[[#This Row],[Current Price ($)]])/PricingDataTable[[#This Row],[Current Price ($)]]</f>
        <v>9.9732391533902316E-4</v>
      </c>
      <c r="M4966" t="str">
        <f t="shared" si="154"/>
        <v>PASS</v>
      </c>
      <c r="N4966" s="10" t="str">
        <f t="shared" si="155"/>
        <v>NONE</v>
      </c>
    </row>
    <row r="4967" spans="1:14">
      <c r="A4967" s="4" t="s">
        <v>9950</v>
      </c>
      <c r="B4967" s="4" t="s">
        <v>9951</v>
      </c>
      <c r="C4967" s="4" t="s">
        <v>12</v>
      </c>
      <c r="D4967" s="4" t="s">
        <v>13</v>
      </c>
      <c r="E4967" s="5">
        <v>85.142600000000002</v>
      </c>
      <c r="F4967" s="5">
        <v>84.269000000000005</v>
      </c>
      <c r="G4967" s="5">
        <v>83.881799999999998</v>
      </c>
      <c r="H4967" s="4">
        <v>4</v>
      </c>
      <c r="I4967" s="6">
        <v>3561160</v>
      </c>
      <c r="J4967" s="7">
        <v>791.43</v>
      </c>
      <c r="K4967" s="9">
        <f>(PricingDataTable[[#This Row],[Current Price ($)]]-PricingDataTable[[#This Row],[Prior Price ($)]])/PricingDataTable[[#This Row],[Prior Price ($)]]</f>
        <v>-1.0260433672450643E-2</v>
      </c>
      <c r="L4967" s="9">
        <f>(PricingDataTable[[#This Row],[Vendor Price ($)]]-PricingDataTable[[#This Row],[Current Price ($)]])/PricingDataTable[[#This Row],[Current Price ($)]]</f>
        <v>-4.5948094791679866E-3</v>
      </c>
      <c r="M4967" t="str">
        <f t="shared" si="154"/>
        <v>STALE</v>
      </c>
      <c r="N4967" s="10" t="str">
        <f t="shared" si="155"/>
        <v>LOW</v>
      </c>
    </row>
    <row r="4968" spans="1:14">
      <c r="A4968" s="4" t="s">
        <v>9952</v>
      </c>
      <c r="B4968" s="4" t="s">
        <v>9953</v>
      </c>
      <c r="C4968" s="4" t="s">
        <v>16</v>
      </c>
      <c r="D4968" s="4" t="s">
        <v>13</v>
      </c>
      <c r="E4968" s="5">
        <v>104.318</v>
      </c>
      <c r="F4968" s="5">
        <v>105.39660000000001</v>
      </c>
      <c r="G4968" s="5">
        <v>105.3528</v>
      </c>
      <c r="H4968" s="4">
        <v>1</v>
      </c>
      <c r="I4968" s="6">
        <v>1215000</v>
      </c>
      <c r="J4968" s="7">
        <v>495.08</v>
      </c>
      <c r="K4968" s="9">
        <f>(PricingDataTable[[#This Row],[Current Price ($)]]-PricingDataTable[[#This Row],[Prior Price ($)]])/PricingDataTable[[#This Row],[Prior Price ($)]]</f>
        <v>1.0339538718150354E-2</v>
      </c>
      <c r="L4968" s="9">
        <f>(PricingDataTable[[#This Row],[Vendor Price ($)]]-PricingDataTable[[#This Row],[Current Price ($)]])/PricingDataTable[[#This Row],[Current Price ($)]]</f>
        <v>-4.1557317788244117E-4</v>
      </c>
      <c r="M4968" t="str">
        <f t="shared" si="154"/>
        <v>PASS</v>
      </c>
      <c r="N4968" s="10" t="str">
        <f t="shared" si="155"/>
        <v>NONE</v>
      </c>
    </row>
    <row r="4969" spans="1:14">
      <c r="A4969" s="4" t="s">
        <v>9954</v>
      </c>
      <c r="B4969" s="4" t="s">
        <v>9955</v>
      </c>
      <c r="C4969" s="4" t="s">
        <v>12</v>
      </c>
      <c r="D4969" s="4" t="s">
        <v>13</v>
      </c>
      <c r="E4969" s="5">
        <v>120.13160000000001</v>
      </c>
      <c r="F4969" s="5">
        <v>119.0698</v>
      </c>
      <c r="G4969" s="5">
        <v>118.5608</v>
      </c>
      <c r="H4969" s="4">
        <v>1</v>
      </c>
      <c r="I4969" s="6">
        <v>1324819</v>
      </c>
      <c r="J4969" s="7">
        <v>353.85</v>
      </c>
      <c r="K4969" s="9">
        <f>(PricingDataTable[[#This Row],[Current Price ($)]]-PricingDataTable[[#This Row],[Prior Price ($)]])/PricingDataTable[[#This Row],[Prior Price ($)]]</f>
        <v>-8.838640291147417E-3</v>
      </c>
      <c r="L4969" s="9">
        <f>(PricingDataTable[[#This Row],[Vendor Price ($)]]-PricingDataTable[[#This Row],[Current Price ($)]])/PricingDataTable[[#This Row],[Current Price ($)]]</f>
        <v>-4.2748035186084155E-3</v>
      </c>
      <c r="M4969" t="str">
        <f t="shared" si="154"/>
        <v>PASS</v>
      </c>
      <c r="N4969" s="10" t="str">
        <f t="shared" si="155"/>
        <v>NONE</v>
      </c>
    </row>
    <row r="4970" spans="1:14">
      <c r="A4970" s="4" t="s">
        <v>9956</v>
      </c>
      <c r="B4970" s="4" t="s">
        <v>9957</v>
      </c>
      <c r="C4970" s="4" t="s">
        <v>39</v>
      </c>
      <c r="D4970" s="4" t="s">
        <v>13</v>
      </c>
      <c r="E4970" s="5">
        <v>147.25819999999999</v>
      </c>
      <c r="F4970" s="5">
        <v>145.41560000000001</v>
      </c>
      <c r="G4970" s="5">
        <v>145.2448</v>
      </c>
      <c r="H4970" s="4">
        <v>0</v>
      </c>
      <c r="I4970" s="6">
        <v>1038630</v>
      </c>
      <c r="J4970" s="7">
        <v>236.65</v>
      </c>
      <c r="K4970" s="9">
        <f>(PricingDataTable[[#This Row],[Current Price ($)]]-PricingDataTable[[#This Row],[Prior Price ($)]])/PricingDataTable[[#This Row],[Prior Price ($)]]</f>
        <v>-1.2512715760480408E-2</v>
      </c>
      <c r="L4970" s="9">
        <f>(PricingDataTable[[#This Row],[Vendor Price ($)]]-PricingDataTable[[#This Row],[Current Price ($)]])/PricingDataTable[[#This Row],[Current Price ($)]]</f>
        <v>-1.1745644896421982E-3</v>
      </c>
      <c r="M4970" t="str">
        <f t="shared" si="154"/>
        <v>PASS</v>
      </c>
      <c r="N4970" s="10" t="str">
        <f t="shared" si="155"/>
        <v>NONE</v>
      </c>
    </row>
    <row r="4971" spans="1:14">
      <c r="A4971" s="4" t="s">
        <v>9958</v>
      </c>
      <c r="B4971" s="4" t="s">
        <v>9959</v>
      </c>
      <c r="C4971" s="4" t="s">
        <v>19</v>
      </c>
      <c r="D4971" s="4" t="s">
        <v>13</v>
      </c>
      <c r="E4971" s="5">
        <v>205.00649999999999</v>
      </c>
      <c r="F4971" s="5">
        <v>207.7972</v>
      </c>
      <c r="G4971" s="5">
        <v>208.2277</v>
      </c>
      <c r="H4971" s="4">
        <v>0</v>
      </c>
      <c r="I4971" s="6">
        <v>1404537</v>
      </c>
      <c r="J4971" s="7">
        <v>546.15</v>
      </c>
      <c r="K4971" s="9">
        <f>(PricingDataTable[[#This Row],[Current Price ($)]]-PricingDataTable[[#This Row],[Prior Price ($)]])/PricingDataTable[[#This Row],[Prior Price ($)]]</f>
        <v>1.3612739108272253E-2</v>
      </c>
      <c r="L4971" s="9">
        <f>(PricingDataTable[[#This Row],[Vendor Price ($)]]-PricingDataTable[[#This Row],[Current Price ($)]])/PricingDataTable[[#This Row],[Current Price ($)]]</f>
        <v>2.0717314766512496E-3</v>
      </c>
      <c r="M4971" t="str">
        <f t="shared" si="154"/>
        <v>PASS</v>
      </c>
      <c r="N4971" s="10" t="str">
        <f t="shared" si="155"/>
        <v>NONE</v>
      </c>
    </row>
    <row r="4972" spans="1:14">
      <c r="A4972" s="4" t="s">
        <v>9960</v>
      </c>
      <c r="B4972" s="4" t="s">
        <v>9961</v>
      </c>
      <c r="C4972" s="4" t="s">
        <v>19</v>
      </c>
      <c r="D4972" s="4" t="s">
        <v>36</v>
      </c>
      <c r="E4972" s="5">
        <v>32.995600000000003</v>
      </c>
      <c r="F4972" s="5">
        <v>33.031199999999998</v>
      </c>
      <c r="G4972" s="5">
        <v>32.917200000000001</v>
      </c>
      <c r="H4972" s="4">
        <v>0</v>
      </c>
      <c r="I4972" s="6">
        <v>3540718</v>
      </c>
      <c r="J4972" s="7">
        <v>348.72</v>
      </c>
      <c r="K4972" s="9">
        <f>(PricingDataTable[[#This Row],[Current Price ($)]]-PricingDataTable[[#This Row],[Prior Price ($)]])/PricingDataTable[[#This Row],[Prior Price ($)]]</f>
        <v>1.07893173635258E-3</v>
      </c>
      <c r="L4972" s="9">
        <f>(PricingDataTable[[#This Row],[Vendor Price ($)]]-PricingDataTable[[#This Row],[Current Price ($)]])/PricingDataTable[[#This Row],[Current Price ($)]]</f>
        <v>-3.4512824238900563E-3</v>
      </c>
      <c r="M4972" t="str">
        <f t="shared" si="154"/>
        <v>PASS</v>
      </c>
      <c r="N4972" s="10" t="str">
        <f t="shared" si="155"/>
        <v>NONE</v>
      </c>
    </row>
    <row r="4973" spans="1:14">
      <c r="A4973" s="4" t="s">
        <v>9962</v>
      </c>
      <c r="B4973" s="4" t="s">
        <v>9963</v>
      </c>
      <c r="C4973" s="4" t="s">
        <v>12</v>
      </c>
      <c r="D4973" s="4" t="s">
        <v>13</v>
      </c>
      <c r="E4973" s="5">
        <v>97.180599999999998</v>
      </c>
      <c r="F4973" s="5">
        <v>83.392899999999997</v>
      </c>
      <c r="G4973" s="5">
        <v>83.572000000000003</v>
      </c>
      <c r="H4973" s="4">
        <v>0</v>
      </c>
      <c r="I4973" s="6">
        <v>1987774</v>
      </c>
      <c r="J4973" s="7">
        <v>555.35</v>
      </c>
      <c r="K4973" s="9">
        <f>(PricingDataTable[[#This Row],[Current Price ($)]]-PricingDataTable[[#This Row],[Prior Price ($)]])/PricingDataTable[[#This Row],[Prior Price ($)]]</f>
        <v>-0.14187708246296071</v>
      </c>
      <c r="L4973" s="9">
        <f>(PricingDataTable[[#This Row],[Vendor Price ($)]]-PricingDataTable[[#This Row],[Current Price ($)]])/PricingDataTable[[#This Row],[Current Price ($)]]</f>
        <v>2.1476648491658805E-3</v>
      </c>
      <c r="M4973" t="str">
        <f t="shared" si="154"/>
        <v>LARGE MOVE</v>
      </c>
      <c r="N4973" s="10" t="str">
        <f t="shared" si="155"/>
        <v>HIGH</v>
      </c>
    </row>
    <row r="4974" spans="1:14">
      <c r="A4974" s="4" t="s">
        <v>9964</v>
      </c>
      <c r="B4974" s="4" t="s">
        <v>9965</v>
      </c>
      <c r="C4974" s="4" t="s">
        <v>39</v>
      </c>
      <c r="D4974" s="4" t="s">
        <v>13</v>
      </c>
      <c r="E4974" s="5">
        <v>83.066500000000005</v>
      </c>
      <c r="F4974" s="5">
        <v>81.739699999999999</v>
      </c>
      <c r="G4974" s="5">
        <v>81.6327</v>
      </c>
      <c r="H4974" s="4">
        <v>5</v>
      </c>
      <c r="I4974" s="6">
        <v>2458956</v>
      </c>
      <c r="J4974" s="7">
        <v>386.59</v>
      </c>
      <c r="K4974" s="9">
        <f>(PricingDataTable[[#This Row],[Current Price ($)]]-PricingDataTable[[#This Row],[Prior Price ($)]])/PricingDataTable[[#This Row],[Prior Price ($)]]</f>
        <v>-1.5972744728621112E-2</v>
      </c>
      <c r="L4974" s="9">
        <f>(PricingDataTable[[#This Row],[Vendor Price ($)]]-PricingDataTable[[#This Row],[Current Price ($)]])/PricingDataTable[[#This Row],[Current Price ($)]]</f>
        <v>-1.3090334317351216E-3</v>
      </c>
      <c r="M4974" t="str">
        <f t="shared" si="154"/>
        <v>STALE</v>
      </c>
      <c r="N4974" s="10" t="str">
        <f t="shared" si="155"/>
        <v>MEDIUM</v>
      </c>
    </row>
    <row r="4975" spans="1:14">
      <c r="A4975" s="4" t="s">
        <v>9966</v>
      </c>
      <c r="B4975" s="4" t="s">
        <v>9967</v>
      </c>
      <c r="C4975" s="4" t="s">
        <v>16</v>
      </c>
      <c r="D4975" s="4" t="s">
        <v>13</v>
      </c>
      <c r="E4975" s="5">
        <v>106.801</v>
      </c>
      <c r="F4975" s="5">
        <v>106.1142</v>
      </c>
      <c r="G4975" s="5">
        <v>105.7706</v>
      </c>
      <c r="H4975" s="4">
        <v>0</v>
      </c>
      <c r="I4975" s="6">
        <v>1424803</v>
      </c>
      <c r="J4975" s="7">
        <v>267.14</v>
      </c>
      <c r="K4975" s="9">
        <f>(PricingDataTable[[#This Row],[Current Price ($)]]-PricingDataTable[[#This Row],[Prior Price ($)]])/PricingDataTable[[#This Row],[Prior Price ($)]]</f>
        <v>-6.4306513983951943E-3</v>
      </c>
      <c r="L4975" s="9">
        <f>(PricingDataTable[[#This Row],[Vendor Price ($)]]-PricingDataTable[[#This Row],[Current Price ($)]])/PricingDataTable[[#This Row],[Current Price ($)]]</f>
        <v>-3.2380209246264404E-3</v>
      </c>
      <c r="M4975" t="str">
        <f t="shared" si="154"/>
        <v>PASS</v>
      </c>
      <c r="N4975" s="10" t="str">
        <f t="shared" si="155"/>
        <v>NONE</v>
      </c>
    </row>
    <row r="4976" spans="1:14">
      <c r="A4976" s="4" t="s">
        <v>9968</v>
      </c>
      <c r="B4976" s="4" t="s">
        <v>9969</v>
      </c>
      <c r="C4976" s="4" t="s">
        <v>19</v>
      </c>
      <c r="D4976" s="4" t="s">
        <v>13</v>
      </c>
      <c r="E4976" s="5">
        <v>112.5531</v>
      </c>
      <c r="F4976" s="5">
        <v>112.9126</v>
      </c>
      <c r="G4976" s="5">
        <v>113.1643</v>
      </c>
      <c r="H4976" s="4">
        <v>0</v>
      </c>
      <c r="I4976" s="6">
        <v>4780022</v>
      </c>
      <c r="J4976" s="7">
        <v>773.59</v>
      </c>
      <c r="K4976" s="9">
        <f>(PricingDataTable[[#This Row],[Current Price ($)]]-PricingDataTable[[#This Row],[Prior Price ($)]])/PricingDataTable[[#This Row],[Prior Price ($)]]</f>
        <v>3.1940479649160891E-3</v>
      </c>
      <c r="L4976" s="9">
        <f>(PricingDataTable[[#This Row],[Vendor Price ($)]]-PricingDataTable[[#This Row],[Current Price ($)]])/PricingDataTable[[#This Row],[Current Price ($)]]</f>
        <v>2.2291577733574426E-3</v>
      </c>
      <c r="M4976" t="str">
        <f t="shared" si="154"/>
        <v>PASS</v>
      </c>
      <c r="N4976" s="10" t="str">
        <f t="shared" si="155"/>
        <v>NONE</v>
      </c>
    </row>
    <row r="4977" spans="1:14">
      <c r="A4977" s="4" t="s">
        <v>9970</v>
      </c>
      <c r="B4977" s="4" t="s">
        <v>9971</v>
      </c>
      <c r="C4977" s="4" t="s">
        <v>19</v>
      </c>
      <c r="D4977" s="4" t="s">
        <v>237</v>
      </c>
      <c r="E4977" s="5">
        <v>177.90260000000001</v>
      </c>
      <c r="F4977" s="5">
        <v>181.64150000000001</v>
      </c>
      <c r="G4977" s="5">
        <v>181.56610000000001</v>
      </c>
      <c r="H4977" s="4">
        <v>0</v>
      </c>
      <c r="I4977" s="6">
        <v>3790628</v>
      </c>
      <c r="J4977" s="7">
        <v>543.29999999999995</v>
      </c>
      <c r="K4977" s="9">
        <f>(PricingDataTable[[#This Row],[Current Price ($)]]-PricingDataTable[[#This Row],[Prior Price ($)]])/PricingDataTable[[#This Row],[Prior Price ($)]]</f>
        <v>2.1016556250442662E-2</v>
      </c>
      <c r="L4977" s="9">
        <f>(PricingDataTable[[#This Row],[Vendor Price ($)]]-PricingDataTable[[#This Row],[Current Price ($)]])/PricingDataTable[[#This Row],[Current Price ($)]]</f>
        <v>-4.1510337670632488E-4</v>
      </c>
      <c r="M4977" t="str">
        <f t="shared" si="154"/>
        <v>PASS</v>
      </c>
      <c r="N4977" s="10" t="str">
        <f t="shared" si="155"/>
        <v>NONE</v>
      </c>
    </row>
    <row r="4978" spans="1:14">
      <c r="A4978" s="4" t="s">
        <v>9972</v>
      </c>
      <c r="B4978" s="4" t="s">
        <v>9973</v>
      </c>
      <c r="C4978" s="4" t="s">
        <v>12</v>
      </c>
      <c r="D4978" s="4" t="s">
        <v>32</v>
      </c>
      <c r="E4978" s="5">
        <v>79.154499999999999</v>
      </c>
      <c r="F4978" s="5">
        <v>78.541499999999999</v>
      </c>
      <c r="G4978" s="5">
        <v>78.443700000000007</v>
      </c>
      <c r="H4978" s="4">
        <v>0</v>
      </c>
      <c r="I4978" s="6">
        <v>1725288</v>
      </c>
      <c r="J4978" s="7">
        <v>221.59</v>
      </c>
      <c r="K4978" s="9">
        <f>(PricingDataTable[[#This Row],[Current Price ($)]]-PricingDataTable[[#This Row],[Prior Price ($)]])/PricingDataTable[[#This Row],[Prior Price ($)]]</f>
        <v>-7.7443480787573616E-3</v>
      </c>
      <c r="L4978" s="9">
        <f>(PricingDataTable[[#This Row],[Vendor Price ($)]]-PricingDataTable[[#This Row],[Current Price ($)]])/PricingDataTable[[#This Row],[Current Price ($)]]</f>
        <v>-1.245201581329518E-3</v>
      </c>
      <c r="M4978" t="str">
        <f t="shared" si="154"/>
        <v>PASS</v>
      </c>
      <c r="N4978" s="10" t="str">
        <f t="shared" si="155"/>
        <v>NONE</v>
      </c>
    </row>
    <row r="4979" spans="1:14">
      <c r="A4979" s="4" t="s">
        <v>9974</v>
      </c>
      <c r="B4979" s="4" t="s">
        <v>9975</v>
      </c>
      <c r="C4979" s="4" t="s">
        <v>12</v>
      </c>
      <c r="D4979" s="4" t="s">
        <v>13</v>
      </c>
      <c r="E4979" s="5">
        <v>118.3638</v>
      </c>
      <c r="F4979" s="5">
        <v>120.131</v>
      </c>
      <c r="G4979" s="5">
        <v>120.2186</v>
      </c>
      <c r="H4979" s="4">
        <v>0</v>
      </c>
      <c r="I4979" s="6">
        <v>416342</v>
      </c>
      <c r="J4979" s="7">
        <v>183.62</v>
      </c>
      <c r="K4979" s="9">
        <f>(PricingDataTable[[#This Row],[Current Price ($)]]-PricingDataTable[[#This Row],[Prior Price ($)]])/PricingDataTable[[#This Row],[Prior Price ($)]]</f>
        <v>1.4930240495827293E-2</v>
      </c>
      <c r="L4979" s="9">
        <f>(PricingDataTable[[#This Row],[Vendor Price ($)]]-PricingDataTable[[#This Row],[Current Price ($)]])/PricingDataTable[[#This Row],[Current Price ($)]]</f>
        <v>7.2920395235197234E-4</v>
      </c>
      <c r="M4979" t="str">
        <f t="shared" si="154"/>
        <v>PASS</v>
      </c>
      <c r="N4979" s="10" t="str">
        <f t="shared" si="155"/>
        <v>NONE</v>
      </c>
    </row>
    <row r="4980" spans="1:14">
      <c r="A4980" s="4" t="s">
        <v>9976</v>
      </c>
      <c r="B4980" s="4" t="s">
        <v>9977</v>
      </c>
      <c r="C4980" s="4" t="s">
        <v>16</v>
      </c>
      <c r="D4980" s="4" t="s">
        <v>13</v>
      </c>
      <c r="E4980" s="5">
        <v>83.153400000000005</v>
      </c>
      <c r="F4980" s="5">
        <v>84.656999999999996</v>
      </c>
      <c r="G4980" s="5">
        <v>85.202799999999996</v>
      </c>
      <c r="H4980" s="4">
        <v>0</v>
      </c>
      <c r="I4980" s="6">
        <v>2172792</v>
      </c>
      <c r="J4980" s="7">
        <v>283.33</v>
      </c>
      <c r="K4980" s="9">
        <f>(PricingDataTable[[#This Row],[Current Price ($)]]-PricingDataTable[[#This Row],[Prior Price ($)]])/PricingDataTable[[#This Row],[Prior Price ($)]]</f>
        <v>1.8082243179473018E-2</v>
      </c>
      <c r="L4980" s="9">
        <f>(PricingDataTable[[#This Row],[Vendor Price ($)]]-PricingDataTable[[#This Row],[Current Price ($)]])/PricingDataTable[[#This Row],[Current Price ($)]]</f>
        <v>6.4471927897279593E-3</v>
      </c>
      <c r="M4980" t="str">
        <f t="shared" si="154"/>
        <v>PASS</v>
      </c>
      <c r="N4980" s="10" t="str">
        <f t="shared" si="155"/>
        <v>NONE</v>
      </c>
    </row>
    <row r="4981" spans="1:14">
      <c r="A4981" s="4" t="s">
        <v>9978</v>
      </c>
      <c r="B4981" s="4" t="s">
        <v>9979</v>
      </c>
      <c r="C4981" s="4" t="s">
        <v>12</v>
      </c>
      <c r="D4981" s="4" t="s">
        <v>32</v>
      </c>
      <c r="E4981" s="5">
        <v>98.222099999999998</v>
      </c>
      <c r="F4981" s="5">
        <v>97.924000000000007</v>
      </c>
      <c r="G4981" s="5">
        <v>98.337100000000007</v>
      </c>
      <c r="H4981" s="4">
        <v>1</v>
      </c>
      <c r="I4981" s="6">
        <v>4888522</v>
      </c>
      <c r="J4981" s="7">
        <v>619.71</v>
      </c>
      <c r="K4981" s="9">
        <f>(PricingDataTable[[#This Row],[Current Price ($)]]-PricingDataTable[[#This Row],[Prior Price ($)]])/PricingDataTable[[#This Row],[Prior Price ($)]]</f>
        <v>-3.0349585276632338E-3</v>
      </c>
      <c r="L4981" s="9">
        <f>(PricingDataTable[[#This Row],[Vendor Price ($)]]-PricingDataTable[[#This Row],[Current Price ($)]])/PricingDataTable[[#This Row],[Current Price ($)]]</f>
        <v>4.218577672480699E-3</v>
      </c>
      <c r="M4981" t="str">
        <f t="shared" si="154"/>
        <v>PASS</v>
      </c>
      <c r="N4981" s="10" t="str">
        <f t="shared" si="155"/>
        <v>NONE</v>
      </c>
    </row>
    <row r="4982" spans="1:14">
      <c r="A4982" s="4" t="s">
        <v>9980</v>
      </c>
      <c r="B4982" s="4" t="s">
        <v>9981</v>
      </c>
      <c r="C4982" s="4" t="s">
        <v>19</v>
      </c>
      <c r="D4982" s="4" t="s">
        <v>64</v>
      </c>
      <c r="E4982" s="5">
        <v>185.14340000000001</v>
      </c>
      <c r="F4982" s="5">
        <v>188.19919999999999</v>
      </c>
      <c r="G4982" s="5">
        <v>188.17949999999999</v>
      </c>
      <c r="H4982" s="4">
        <v>5</v>
      </c>
      <c r="I4982" s="6">
        <v>4805108</v>
      </c>
      <c r="J4982" s="7">
        <v>658.28</v>
      </c>
      <c r="K4982" s="9">
        <f>(PricingDataTable[[#This Row],[Current Price ($)]]-PricingDataTable[[#This Row],[Prior Price ($)]])/PricingDataTable[[#This Row],[Prior Price ($)]]</f>
        <v>1.6505044198172749E-2</v>
      </c>
      <c r="L4982" s="9">
        <f>(PricingDataTable[[#This Row],[Vendor Price ($)]]-PricingDataTable[[#This Row],[Current Price ($)]])/PricingDataTable[[#This Row],[Current Price ($)]]</f>
        <v>-1.0467632168468449E-4</v>
      </c>
      <c r="M4982" t="str">
        <f t="shared" si="154"/>
        <v>STALE</v>
      </c>
      <c r="N4982" s="10" t="str">
        <f t="shared" si="155"/>
        <v>MEDIUM</v>
      </c>
    </row>
    <row r="4983" spans="1:14">
      <c r="A4983" s="4" t="s">
        <v>9982</v>
      </c>
      <c r="B4983" s="4" t="s">
        <v>9983</v>
      </c>
      <c r="C4983" s="4" t="s">
        <v>16</v>
      </c>
      <c r="D4983" s="4" t="s">
        <v>13</v>
      </c>
      <c r="E4983" s="5">
        <v>108.3377</v>
      </c>
      <c r="F4983" s="5">
        <v>109.6874</v>
      </c>
      <c r="G4983" s="5">
        <v>109.7052</v>
      </c>
      <c r="H4983" s="4">
        <v>0</v>
      </c>
      <c r="I4983" s="6">
        <v>3346269</v>
      </c>
      <c r="J4983" s="7">
        <v>318.58999999999997</v>
      </c>
      <c r="K4983" s="9">
        <f>(PricingDataTable[[#This Row],[Current Price ($)]]-PricingDataTable[[#This Row],[Prior Price ($)]])/PricingDataTable[[#This Row],[Prior Price ($)]]</f>
        <v>1.2458267066773603E-2</v>
      </c>
      <c r="L4983" s="9">
        <f>(PricingDataTable[[#This Row],[Vendor Price ($)]]-PricingDataTable[[#This Row],[Current Price ($)]])/PricingDataTable[[#This Row],[Current Price ($)]]</f>
        <v>1.622793502262635E-4</v>
      </c>
      <c r="M4983" t="str">
        <f t="shared" si="154"/>
        <v>PASS</v>
      </c>
      <c r="N4983" s="10" t="str">
        <f t="shared" si="155"/>
        <v>NONE</v>
      </c>
    </row>
    <row r="4984" spans="1:14">
      <c r="A4984" s="4" t="s">
        <v>9984</v>
      </c>
      <c r="B4984" s="4" t="s">
        <v>9985</v>
      </c>
      <c r="C4984" s="4" t="s">
        <v>35</v>
      </c>
      <c r="D4984" s="4" t="s">
        <v>13</v>
      </c>
      <c r="E4984" s="5">
        <v>59.6663</v>
      </c>
      <c r="F4984" s="5">
        <v>59.437899999999999</v>
      </c>
      <c r="G4984" s="5">
        <v>59.4985</v>
      </c>
      <c r="H4984" s="4">
        <v>1</v>
      </c>
      <c r="I4984" s="6">
        <v>3490665</v>
      </c>
      <c r="J4984" s="7">
        <v>360.02</v>
      </c>
      <c r="K4984" s="9">
        <f>(PricingDataTable[[#This Row],[Current Price ($)]]-PricingDataTable[[#This Row],[Prior Price ($)]])/PricingDataTable[[#This Row],[Prior Price ($)]]</f>
        <v>-3.8279564846487985E-3</v>
      </c>
      <c r="L4984" s="9">
        <f>(PricingDataTable[[#This Row],[Vendor Price ($)]]-PricingDataTable[[#This Row],[Current Price ($)]])/PricingDataTable[[#This Row],[Current Price ($)]]</f>
        <v>1.0195514982864616E-3</v>
      </c>
      <c r="M4984" t="str">
        <f t="shared" si="154"/>
        <v>PASS</v>
      </c>
      <c r="N4984" s="10" t="str">
        <f t="shared" si="155"/>
        <v>NONE</v>
      </c>
    </row>
    <row r="4985" spans="1:14">
      <c r="A4985" s="4" t="s">
        <v>9986</v>
      </c>
      <c r="B4985" s="4" t="s">
        <v>9987</v>
      </c>
      <c r="C4985" s="4" t="s">
        <v>16</v>
      </c>
      <c r="D4985" s="4" t="s">
        <v>13</v>
      </c>
      <c r="E4985" s="5">
        <v>113.0849</v>
      </c>
      <c r="F4985" s="5">
        <v>110.6794</v>
      </c>
      <c r="G4985" s="5">
        <v>110.75360000000001</v>
      </c>
      <c r="H4985" s="4">
        <v>0</v>
      </c>
      <c r="I4985" s="6">
        <v>1794680</v>
      </c>
      <c r="J4985" s="7">
        <v>486.04</v>
      </c>
      <c r="K4985" s="9">
        <f>(PricingDataTable[[#This Row],[Current Price ($)]]-PricingDataTable[[#This Row],[Prior Price ($)]])/PricingDataTable[[#This Row],[Prior Price ($)]]</f>
        <v>-2.1271628661297868E-2</v>
      </c>
      <c r="L4985" s="9">
        <f>(PricingDataTable[[#This Row],[Vendor Price ($)]]-PricingDataTable[[#This Row],[Current Price ($)]])/PricingDataTable[[#This Row],[Current Price ($)]]</f>
        <v>6.704047907741161E-4</v>
      </c>
      <c r="M4985" t="str">
        <f t="shared" si="154"/>
        <v>PASS</v>
      </c>
      <c r="N4985" s="10" t="str">
        <f t="shared" si="155"/>
        <v>NONE</v>
      </c>
    </row>
    <row r="4986" spans="1:14">
      <c r="A4986" s="4" t="s">
        <v>9988</v>
      </c>
      <c r="B4986" s="4" t="s">
        <v>9989</v>
      </c>
      <c r="C4986" s="4" t="s">
        <v>35</v>
      </c>
      <c r="D4986" s="4" t="s">
        <v>32</v>
      </c>
      <c r="E4986" s="5">
        <v>109.2654</v>
      </c>
      <c r="F4986" s="5">
        <v>109.4273</v>
      </c>
      <c r="G4986" s="5">
        <v>109.8284</v>
      </c>
      <c r="H4986" s="4">
        <v>0</v>
      </c>
      <c r="I4986" s="6">
        <v>4190999</v>
      </c>
      <c r="J4986" s="7">
        <v>596.32000000000005</v>
      </c>
      <c r="K4986" s="9">
        <f>(PricingDataTable[[#This Row],[Current Price ($)]]-PricingDataTable[[#This Row],[Prior Price ($)]])/PricingDataTable[[#This Row],[Prior Price ($)]]</f>
        <v>1.4817133328574538E-3</v>
      </c>
      <c r="L4986" s="9">
        <f>(PricingDataTable[[#This Row],[Vendor Price ($)]]-PricingDataTable[[#This Row],[Current Price ($)]])/PricingDataTable[[#This Row],[Current Price ($)]]</f>
        <v>3.6654472878340193E-3</v>
      </c>
      <c r="M4986" t="str">
        <f t="shared" si="154"/>
        <v>PASS</v>
      </c>
      <c r="N4986" s="10" t="str">
        <f t="shared" si="155"/>
        <v>NONE</v>
      </c>
    </row>
    <row r="4987" spans="1:14">
      <c r="A4987" s="4" t="s">
        <v>9990</v>
      </c>
      <c r="B4987" s="4" t="s">
        <v>9991</v>
      </c>
      <c r="C4987" s="4" t="s">
        <v>39</v>
      </c>
      <c r="D4987" s="4" t="s">
        <v>13</v>
      </c>
      <c r="E4987" s="5">
        <v>42.043799999999997</v>
      </c>
      <c r="F4987" s="5">
        <v>41.485399999999998</v>
      </c>
      <c r="G4987" s="5">
        <v>41.609299999999998</v>
      </c>
      <c r="H4987" s="4">
        <v>2</v>
      </c>
      <c r="I4987" s="6">
        <v>4560784</v>
      </c>
      <c r="J4987" s="7">
        <v>37.979999999999997</v>
      </c>
      <c r="K4987" s="9">
        <f>(PricingDataTable[[#This Row],[Current Price ($)]]-PricingDataTable[[#This Row],[Prior Price ($)]])/PricingDataTable[[#This Row],[Prior Price ($)]]</f>
        <v>-1.3281387505410998E-2</v>
      </c>
      <c r="L4987" s="9">
        <f>(PricingDataTable[[#This Row],[Vendor Price ($)]]-PricingDataTable[[#This Row],[Current Price ($)]])/PricingDataTable[[#This Row],[Current Price ($)]]</f>
        <v>2.9865928736374486E-3</v>
      </c>
      <c r="M4987" t="str">
        <f t="shared" si="154"/>
        <v>PASS</v>
      </c>
      <c r="N4987" s="10" t="str">
        <f t="shared" si="155"/>
        <v>NONE</v>
      </c>
    </row>
    <row r="4988" spans="1:14">
      <c r="A4988" s="4" t="s">
        <v>9992</v>
      </c>
      <c r="B4988" s="4" t="s">
        <v>9993</v>
      </c>
      <c r="C4988" s="4" t="s">
        <v>19</v>
      </c>
      <c r="D4988" s="4" t="s">
        <v>13</v>
      </c>
      <c r="E4988" s="5">
        <v>121.018</v>
      </c>
      <c r="F4988" s="5">
        <v>121.30240000000001</v>
      </c>
      <c r="G4988" s="5">
        <v>121.2432</v>
      </c>
      <c r="H4988" s="4">
        <v>0</v>
      </c>
      <c r="I4988" s="6">
        <v>1562794</v>
      </c>
      <c r="J4988" s="7">
        <v>9.1</v>
      </c>
      <c r="K4988" s="9">
        <f>(PricingDataTable[[#This Row],[Current Price ($)]]-PricingDataTable[[#This Row],[Prior Price ($)]])/PricingDataTable[[#This Row],[Prior Price ($)]]</f>
        <v>2.35006362689852E-3</v>
      </c>
      <c r="L4988" s="9">
        <f>(PricingDataTable[[#This Row],[Vendor Price ($)]]-PricingDataTable[[#This Row],[Current Price ($)]])/PricingDataTable[[#This Row],[Current Price ($)]]</f>
        <v>-4.8803651040708293E-4</v>
      </c>
      <c r="M4988" t="str">
        <f t="shared" si="154"/>
        <v>PASS</v>
      </c>
      <c r="N4988" s="10" t="str">
        <f t="shared" si="155"/>
        <v>NONE</v>
      </c>
    </row>
    <row r="4989" spans="1:14">
      <c r="A4989" s="4" t="s">
        <v>9994</v>
      </c>
      <c r="B4989" s="4" t="s">
        <v>9995</v>
      </c>
      <c r="C4989" s="4" t="s">
        <v>35</v>
      </c>
      <c r="D4989" s="4" t="s">
        <v>36</v>
      </c>
      <c r="E4989" s="5">
        <v>66.937200000000004</v>
      </c>
      <c r="F4989" s="5">
        <v>66.715999999999994</v>
      </c>
      <c r="G4989" s="5">
        <v>66.6374</v>
      </c>
      <c r="H4989" s="4">
        <v>0</v>
      </c>
      <c r="I4989" s="6">
        <v>2725922</v>
      </c>
      <c r="J4989" s="7">
        <v>837.38</v>
      </c>
      <c r="K4989" s="9">
        <f>(PricingDataTable[[#This Row],[Current Price ($)]]-PricingDataTable[[#This Row],[Prior Price ($)]])/PricingDataTable[[#This Row],[Prior Price ($)]]</f>
        <v>-3.3045899738861242E-3</v>
      </c>
      <c r="L4989" s="9">
        <f>(PricingDataTable[[#This Row],[Vendor Price ($)]]-PricingDataTable[[#This Row],[Current Price ($)]])/PricingDataTable[[#This Row],[Current Price ($)]]</f>
        <v>-1.1781281851429111E-3</v>
      </c>
      <c r="M4989" t="str">
        <f t="shared" si="154"/>
        <v>PASS</v>
      </c>
      <c r="N4989" s="10" t="str">
        <f t="shared" si="155"/>
        <v>NONE</v>
      </c>
    </row>
    <row r="4990" spans="1:14">
      <c r="A4990" s="4" t="s">
        <v>9996</v>
      </c>
      <c r="B4990" s="4" t="s">
        <v>9997</v>
      </c>
      <c r="C4990" s="4" t="s">
        <v>39</v>
      </c>
      <c r="D4990" s="4" t="s">
        <v>13</v>
      </c>
      <c r="E4990" s="5">
        <v>52.829599999999999</v>
      </c>
      <c r="F4990" s="5">
        <v>52.5471</v>
      </c>
      <c r="G4990" s="5">
        <v>52.648800000000001</v>
      </c>
      <c r="H4990" s="4">
        <v>0</v>
      </c>
      <c r="I4990" s="6">
        <v>1461695</v>
      </c>
      <c r="J4990" s="7">
        <v>580.53</v>
      </c>
      <c r="K4990" s="9">
        <f>(PricingDataTable[[#This Row],[Current Price ($)]]-PricingDataTable[[#This Row],[Prior Price ($)]])/PricingDataTable[[#This Row],[Prior Price ($)]]</f>
        <v>-5.3473810136741313E-3</v>
      </c>
      <c r="L4990" s="9">
        <f>(PricingDataTable[[#This Row],[Vendor Price ($)]]-PricingDataTable[[#This Row],[Current Price ($)]])/PricingDataTable[[#This Row],[Current Price ($)]]</f>
        <v>1.9354065210068873E-3</v>
      </c>
      <c r="M4990" t="str">
        <f t="shared" si="154"/>
        <v>PASS</v>
      </c>
      <c r="N4990" s="10" t="str">
        <f t="shared" si="155"/>
        <v>NONE</v>
      </c>
    </row>
    <row r="4991" spans="1:14">
      <c r="A4991" s="4" t="s">
        <v>9998</v>
      </c>
      <c r="B4991" s="4" t="s">
        <v>9999</v>
      </c>
      <c r="C4991" s="4" t="s">
        <v>12</v>
      </c>
      <c r="D4991" s="4" t="s">
        <v>13</v>
      </c>
      <c r="E4991" s="5">
        <v>75.363299999999995</v>
      </c>
      <c r="F4991" s="5">
        <v>74.717699999999994</v>
      </c>
      <c r="G4991" s="5">
        <v>75.004300000000001</v>
      </c>
      <c r="H4991" s="4">
        <v>0</v>
      </c>
      <c r="I4991" s="6">
        <v>1134151</v>
      </c>
      <c r="J4991" s="7">
        <v>125.86</v>
      </c>
      <c r="K4991" s="9">
        <f>(PricingDataTable[[#This Row],[Current Price ($)]]-PricingDataTable[[#This Row],[Prior Price ($)]])/PricingDataTable[[#This Row],[Prior Price ($)]]</f>
        <v>-8.5665038553248297E-3</v>
      </c>
      <c r="L4991" s="9">
        <f>(PricingDataTable[[#This Row],[Vendor Price ($)]]-PricingDataTable[[#This Row],[Current Price ($)]])/PricingDataTable[[#This Row],[Current Price ($)]]</f>
        <v>3.8357711760400428E-3</v>
      </c>
      <c r="M4991" t="str">
        <f t="shared" si="154"/>
        <v>PASS</v>
      </c>
      <c r="N4991" s="10" t="str">
        <f t="shared" si="155"/>
        <v>NONE</v>
      </c>
    </row>
    <row r="4992" spans="1:14">
      <c r="A4992" s="4" t="s">
        <v>10000</v>
      </c>
      <c r="B4992" s="4" t="s">
        <v>10001</v>
      </c>
      <c r="C4992" s="4" t="s">
        <v>39</v>
      </c>
      <c r="D4992" s="4" t="s">
        <v>13</v>
      </c>
      <c r="E4992" s="5">
        <v>95.298599999999993</v>
      </c>
      <c r="F4992" s="5">
        <v>94.252399999999994</v>
      </c>
      <c r="G4992" s="5">
        <v>93.8994</v>
      </c>
      <c r="H4992" s="4">
        <v>0</v>
      </c>
      <c r="I4992" s="6">
        <v>4308616</v>
      </c>
      <c r="J4992" s="7">
        <v>91.91</v>
      </c>
      <c r="K4992" s="9">
        <f>(PricingDataTable[[#This Row],[Current Price ($)]]-PricingDataTable[[#This Row],[Prior Price ($)]])/PricingDataTable[[#This Row],[Prior Price ($)]]</f>
        <v>-1.0978125596808337E-2</v>
      </c>
      <c r="L4992" s="9">
        <f>(PricingDataTable[[#This Row],[Vendor Price ($)]]-PricingDataTable[[#This Row],[Current Price ($)]])/PricingDataTable[[#This Row],[Current Price ($)]]</f>
        <v>-3.7452627201004372E-3</v>
      </c>
      <c r="M4992" t="str">
        <f t="shared" si="154"/>
        <v>PASS</v>
      </c>
      <c r="N4992" s="10" t="str">
        <f t="shared" si="155"/>
        <v>NONE</v>
      </c>
    </row>
    <row r="4993" spans="1:14">
      <c r="A4993" s="4" t="s">
        <v>10002</v>
      </c>
      <c r="B4993" s="4" t="s">
        <v>10003</v>
      </c>
      <c r="C4993" s="4" t="s">
        <v>35</v>
      </c>
      <c r="D4993" s="4" t="s">
        <v>32</v>
      </c>
      <c r="E4993" s="5">
        <v>4.3738999999999999</v>
      </c>
      <c r="F4993" s="5">
        <v>4.3647</v>
      </c>
      <c r="G4993" s="5">
        <v>4.3480999999999996</v>
      </c>
      <c r="H4993" s="4">
        <v>0</v>
      </c>
      <c r="I4993" s="6">
        <v>1662473</v>
      </c>
      <c r="J4993" s="7">
        <v>261.36</v>
      </c>
      <c r="K4993" s="9">
        <f>(PricingDataTable[[#This Row],[Current Price ($)]]-PricingDataTable[[#This Row],[Prior Price ($)]])/PricingDataTable[[#This Row],[Prior Price ($)]]</f>
        <v>-2.1033859941927972E-3</v>
      </c>
      <c r="L4993" s="9">
        <f>(PricingDataTable[[#This Row],[Vendor Price ($)]]-PricingDataTable[[#This Row],[Current Price ($)]])/PricingDataTable[[#This Row],[Current Price ($)]]</f>
        <v>-3.8032396270076736E-3</v>
      </c>
      <c r="M4993" t="str">
        <f t="shared" si="154"/>
        <v>PASS</v>
      </c>
      <c r="N4993" s="10" t="str">
        <f t="shared" si="155"/>
        <v>NONE</v>
      </c>
    </row>
    <row r="4994" spans="1:14">
      <c r="A4994" s="4" t="s">
        <v>10004</v>
      </c>
      <c r="B4994" s="4" t="s">
        <v>10005</v>
      </c>
      <c r="C4994" s="4" t="s">
        <v>12</v>
      </c>
      <c r="D4994" s="4" t="s">
        <v>13</v>
      </c>
      <c r="E4994" s="5">
        <v>113.8126</v>
      </c>
      <c r="F4994" s="5">
        <v>112.8549</v>
      </c>
      <c r="G4994" s="5">
        <v>112.8365</v>
      </c>
      <c r="H4994" s="4">
        <v>0</v>
      </c>
      <c r="I4994" s="6">
        <v>1672058</v>
      </c>
      <c r="J4994" s="7">
        <v>178.17</v>
      </c>
      <c r="K4994" s="9">
        <f>(PricingDataTable[[#This Row],[Current Price ($)]]-PricingDataTable[[#This Row],[Prior Price ($)]])/PricingDataTable[[#This Row],[Prior Price ($)]]</f>
        <v>-8.4147097948733506E-3</v>
      </c>
      <c r="L4994" s="9">
        <f>(PricingDataTable[[#This Row],[Vendor Price ($)]]-PricingDataTable[[#This Row],[Current Price ($)]])/PricingDataTable[[#This Row],[Current Price ($)]]</f>
        <v>-1.6304121486971103E-4</v>
      </c>
      <c r="M4994" t="str">
        <f t="shared" ref="M4994:M5057" si="156">IF(OR(F4994="",F4994=0),"MISSING",IF(H4994&gt;=3,"STALE",IF(ABS(K4994)&gt;=5%,"LARGE MOVE",IF(ABS(L4994)&gt;=2%,"VENDOR DIFFERENCE","PASS"))))</f>
        <v>PASS</v>
      </c>
      <c r="N4994" s="10" t="str">
        <f t="shared" ref="N4994:N5057" si="157">IF(M4994="PASS","NONE",IF(M4994="MISSING","HIGH",IF(OR(ABS(K4994)&gt;=10%,ABS(L4994)&gt;=5%),"HIGH",IF(OR(ABS(K4994)&gt;=7%,ABS(L4994)&gt;=3%,H4994&gt;=5),"MEDIUM","LOW"))))</f>
        <v>NONE</v>
      </c>
    </row>
    <row r="4995" spans="1:14">
      <c r="A4995" s="4" t="s">
        <v>10006</v>
      </c>
      <c r="B4995" s="4" t="s">
        <v>10007</v>
      </c>
      <c r="C4995" s="4" t="s">
        <v>19</v>
      </c>
      <c r="D4995" s="4" t="s">
        <v>13</v>
      </c>
      <c r="E4995" s="5">
        <v>249.28489999999999</v>
      </c>
      <c r="F4995" s="5">
        <v>247.8433</v>
      </c>
      <c r="G4995" s="5">
        <v>248.53389999999999</v>
      </c>
      <c r="H4995" s="4">
        <v>4</v>
      </c>
      <c r="I4995" s="6">
        <v>946020</v>
      </c>
      <c r="J4995" s="7">
        <v>355.7</v>
      </c>
      <c r="K4995" s="9">
        <f>(PricingDataTable[[#This Row],[Current Price ($)]]-PricingDataTable[[#This Row],[Prior Price ($)]])/PricingDataTable[[#This Row],[Prior Price ($)]]</f>
        <v>-5.7829415259407768E-3</v>
      </c>
      <c r="L4995" s="9">
        <f>(PricingDataTable[[#This Row],[Vendor Price ($)]]-PricingDataTable[[#This Row],[Current Price ($)]])/PricingDataTable[[#This Row],[Current Price ($)]]</f>
        <v>2.7864380437154818E-3</v>
      </c>
      <c r="M4995" t="str">
        <f t="shared" si="156"/>
        <v>STALE</v>
      </c>
      <c r="N4995" s="10" t="str">
        <f t="shared" si="157"/>
        <v>LOW</v>
      </c>
    </row>
    <row r="4996" spans="1:14">
      <c r="A4996" s="4" t="s">
        <v>10008</v>
      </c>
      <c r="B4996" s="4" t="s">
        <v>10009</v>
      </c>
      <c r="C4996" s="4" t="s">
        <v>16</v>
      </c>
      <c r="D4996" s="4" t="s">
        <v>36</v>
      </c>
      <c r="E4996" s="5">
        <v>89.382199999999997</v>
      </c>
      <c r="F4996" s="5">
        <v>90.471199999999996</v>
      </c>
      <c r="G4996" s="5">
        <v>90.167599999999993</v>
      </c>
      <c r="H4996" s="4">
        <v>0</v>
      </c>
      <c r="I4996" s="6">
        <v>2023740</v>
      </c>
      <c r="J4996" s="7">
        <v>11.74</v>
      </c>
      <c r="K4996" s="9">
        <f>(PricingDataTable[[#This Row],[Current Price ($)]]-PricingDataTable[[#This Row],[Prior Price ($)]])/PricingDataTable[[#This Row],[Prior Price ($)]]</f>
        <v>1.2183633877886187E-2</v>
      </c>
      <c r="L4996" s="9">
        <f>(PricingDataTable[[#This Row],[Vendor Price ($)]]-PricingDataTable[[#This Row],[Current Price ($)]])/PricingDataTable[[#This Row],[Current Price ($)]]</f>
        <v>-3.3557640442483687E-3</v>
      </c>
      <c r="M4996" t="str">
        <f t="shared" si="156"/>
        <v>PASS</v>
      </c>
      <c r="N4996" s="10" t="str">
        <f t="shared" si="157"/>
        <v>NONE</v>
      </c>
    </row>
    <row r="4997" spans="1:14">
      <c r="A4997" s="4" t="s">
        <v>10010</v>
      </c>
      <c r="B4997" s="4" t="s">
        <v>10011</v>
      </c>
      <c r="C4997" s="4" t="s">
        <v>39</v>
      </c>
      <c r="D4997" s="4" t="s">
        <v>32</v>
      </c>
      <c r="E4997" s="5">
        <v>9.2743000000000002</v>
      </c>
      <c r="F4997" s="5">
        <v>9.1982999999999997</v>
      </c>
      <c r="G4997" s="5">
        <v>9.2057000000000002</v>
      </c>
      <c r="H4997" s="4">
        <v>0</v>
      </c>
      <c r="I4997" s="6">
        <v>1133125</v>
      </c>
      <c r="J4997" s="7">
        <v>573.03</v>
      </c>
      <c r="K4997" s="9">
        <f>(PricingDataTable[[#This Row],[Current Price ($)]]-PricingDataTable[[#This Row],[Prior Price ($)]])/PricingDataTable[[#This Row],[Prior Price ($)]]</f>
        <v>-8.1946885479228099E-3</v>
      </c>
      <c r="L4997" s="9">
        <f>(PricingDataTable[[#This Row],[Vendor Price ($)]]-PricingDataTable[[#This Row],[Current Price ($)]])/PricingDataTable[[#This Row],[Current Price ($)]]</f>
        <v>8.0449648304583643E-4</v>
      </c>
      <c r="M4997" t="str">
        <f t="shared" si="156"/>
        <v>PASS</v>
      </c>
      <c r="N4997" s="10" t="str">
        <f t="shared" si="157"/>
        <v>NONE</v>
      </c>
    </row>
    <row r="4998" spans="1:14">
      <c r="A4998" s="4" t="s">
        <v>10012</v>
      </c>
      <c r="B4998" s="4" t="s">
        <v>10013</v>
      </c>
      <c r="C4998" s="4" t="s">
        <v>19</v>
      </c>
      <c r="D4998" s="4" t="s">
        <v>13</v>
      </c>
      <c r="E4998" s="5">
        <v>262.79840000000002</v>
      </c>
      <c r="F4998" s="5">
        <v>267.77510000000001</v>
      </c>
      <c r="G4998" s="5">
        <v>267.9051</v>
      </c>
      <c r="H4998" s="4">
        <v>0</v>
      </c>
      <c r="I4998" s="6">
        <v>2219727</v>
      </c>
      <c r="J4998" s="7">
        <v>885.45</v>
      </c>
      <c r="K4998" s="9">
        <f>(PricingDataTable[[#This Row],[Current Price ($)]]-PricingDataTable[[#This Row],[Prior Price ($)]])/PricingDataTable[[#This Row],[Prior Price ($)]]</f>
        <v>1.8937329907640205E-2</v>
      </c>
      <c r="L4998" s="9">
        <f>(PricingDataTable[[#This Row],[Vendor Price ($)]]-PricingDataTable[[#This Row],[Current Price ($)]])/PricingDataTable[[#This Row],[Current Price ($)]]</f>
        <v>4.8548203324355193E-4</v>
      </c>
      <c r="M4998" t="str">
        <f t="shared" si="156"/>
        <v>PASS</v>
      </c>
      <c r="N4998" s="10" t="str">
        <f t="shared" si="157"/>
        <v>NONE</v>
      </c>
    </row>
    <row r="4999" spans="1:14">
      <c r="A4999" s="4" t="s">
        <v>10014</v>
      </c>
      <c r="B4999" s="4" t="s">
        <v>10015</v>
      </c>
      <c r="C4999" s="4" t="s">
        <v>16</v>
      </c>
      <c r="D4999" s="4" t="s">
        <v>13</v>
      </c>
      <c r="E4999" s="5">
        <v>117.6921</v>
      </c>
      <c r="F4999" s="5">
        <v>114.7308</v>
      </c>
      <c r="G4999" s="5">
        <v>114.4576</v>
      </c>
      <c r="H4999" s="4">
        <v>1</v>
      </c>
      <c r="I4999" s="6">
        <v>4396087</v>
      </c>
      <c r="J4999" s="7">
        <v>593.47</v>
      </c>
      <c r="K4999" s="9">
        <f>(PricingDataTable[[#This Row],[Current Price ($)]]-PricingDataTable[[#This Row],[Prior Price ($)]])/PricingDataTable[[#This Row],[Prior Price ($)]]</f>
        <v>-2.5161416951520063E-2</v>
      </c>
      <c r="L4999" s="9">
        <f>(PricingDataTable[[#This Row],[Vendor Price ($)]]-PricingDataTable[[#This Row],[Current Price ($)]])/PricingDataTable[[#This Row],[Current Price ($)]]</f>
        <v>-2.3812263141196853E-3</v>
      </c>
      <c r="M4999" t="str">
        <f t="shared" si="156"/>
        <v>PASS</v>
      </c>
      <c r="N4999" s="10" t="str">
        <f t="shared" si="157"/>
        <v>NONE</v>
      </c>
    </row>
    <row r="5000" spans="1:14">
      <c r="A5000" s="4" t="s">
        <v>10016</v>
      </c>
      <c r="B5000" s="4" t="s">
        <v>10017</v>
      </c>
      <c r="C5000" s="4" t="s">
        <v>19</v>
      </c>
      <c r="D5000" s="4" t="s">
        <v>64</v>
      </c>
      <c r="E5000" s="5">
        <v>83.995099999999994</v>
      </c>
      <c r="F5000" s="5">
        <v>84.435900000000004</v>
      </c>
      <c r="G5000" s="5">
        <v>84.347399999999993</v>
      </c>
      <c r="H5000" s="4">
        <v>1</v>
      </c>
      <c r="I5000" s="6">
        <v>1711382</v>
      </c>
      <c r="J5000" s="7">
        <v>195.97</v>
      </c>
      <c r="K5000" s="9">
        <f>(PricingDataTable[[#This Row],[Current Price ($)]]-PricingDataTable[[#This Row],[Prior Price ($)]])/PricingDataTable[[#This Row],[Prior Price ($)]]</f>
        <v>5.2479251765878022E-3</v>
      </c>
      <c r="L5000" s="9">
        <f>(PricingDataTable[[#This Row],[Vendor Price ($)]]-PricingDataTable[[#This Row],[Current Price ($)]])/PricingDataTable[[#This Row],[Current Price ($)]]</f>
        <v>-1.0481323702360068E-3</v>
      </c>
      <c r="M5000" t="str">
        <f t="shared" si="156"/>
        <v>PASS</v>
      </c>
      <c r="N5000" s="10" t="str">
        <f t="shared" si="157"/>
        <v>NONE</v>
      </c>
    </row>
    <row r="5001" spans="1:14">
      <c r="A5001" s="4" t="s">
        <v>10018</v>
      </c>
      <c r="B5001" s="4" t="s">
        <v>10019</v>
      </c>
      <c r="C5001" s="4" t="s">
        <v>39</v>
      </c>
      <c r="D5001" s="4" t="s">
        <v>13</v>
      </c>
      <c r="E5001" s="5">
        <v>20.756599999999999</v>
      </c>
      <c r="F5001" s="5"/>
      <c r="G5001" s="5">
        <v>20.8383</v>
      </c>
      <c r="H5001" s="4">
        <v>0</v>
      </c>
      <c r="I5001" s="6">
        <v>1083435</v>
      </c>
      <c r="J5001" s="7">
        <v>536.69000000000005</v>
      </c>
      <c r="K5001" s="9">
        <f>(PricingDataTable[[#This Row],[Current Price ($)]]-PricingDataTable[[#This Row],[Prior Price ($)]])/PricingDataTable[[#This Row],[Prior Price ($)]]</f>
        <v>-1</v>
      </c>
      <c r="L5001" s="9" t="e">
        <f>(PricingDataTable[[#This Row],[Vendor Price ($)]]-PricingDataTable[[#This Row],[Current Price ($)]])/PricingDataTable[[#This Row],[Current Price ($)]]</f>
        <v>#DIV/0!</v>
      </c>
      <c r="M5001" t="str">
        <f t="shared" si="156"/>
        <v>MISSING</v>
      </c>
      <c r="N5001" s="10" t="str">
        <f t="shared" si="157"/>
        <v>HIGH</v>
      </c>
    </row>
  </sheetData>
  <conditionalFormatting sqref="F2:F5001">
    <cfRule type="expression" dxfId="9" priority="8">
      <formula>OR(F2=0,F2="")</formula>
    </cfRule>
  </conditionalFormatting>
  <conditionalFormatting sqref="H2:H5001">
    <cfRule type="cellIs" dxfId="8" priority="9" operator="greaterThan">
      <formula>2</formula>
    </cfRule>
  </conditionalFormatting>
  <conditionalFormatting sqref="N2">
    <cfRule type="containsText" dxfId="1" priority="7" operator="containsText" text="HIGH">
      <formula>NOT(ISERROR(SEARCH("HIGH",N2)))</formula>
    </cfRule>
    <cfRule type="containsText" dxfId="2" priority="6" operator="containsText" text="HIGH">
      <formula>NOT(ISERROR(SEARCH("HIGH",N2)))</formula>
    </cfRule>
    <cfRule type="containsText" dxfId="3" priority="1" operator="containsText" text="NONE">
      <formula>NOT(ISERROR(SEARCH("NONE",N2)))</formula>
    </cfRule>
  </conditionalFormatting>
  <conditionalFormatting sqref="N2:N5001">
    <cfRule type="containsText" dxfId="7" priority="5" operator="containsText" text="HIGH">
      <formula>NOT(ISERROR(SEARCH("HIGH",N2)))</formula>
    </cfRule>
    <cfRule type="containsText" dxfId="6" priority="3" operator="containsText" text="MEDIUM">
      <formula>NOT(ISERROR(SEARCH("MEDIUM",N2)))</formula>
    </cfRule>
    <cfRule type="containsText" dxfId="5" priority="2" operator="containsText" text="LOW">
      <formula>NOT(ISERROR(SEARCH("LOW",N2)))</formula>
    </cfRule>
  </conditionalFormatting>
  <conditionalFormatting sqref="L16">
    <cfRule type="containsText" dxfId="4" priority="4" operator="containsText" text="MEDIUM">
      <formula>NOT(ISERROR(SEARCH("MEDIUM",L16)))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1"/>
    </sheetView>
  </sheetViews>
  <sheetFormatPr defaultRowHeight="14.25"/>
  <cols>
    <col min="1" max="1" width="24" customWidth="1"/>
    <col min="2" max="2" width="75" customWidth="1"/>
  </cols>
  <sheetData>
    <row r="1" spans="1:2" ht="30" customHeight="1">
      <c r="A1" s="8" t="s">
        <v>10020</v>
      </c>
      <c r="B1" s="8"/>
    </row>
    <row r="2" spans="1:2" ht="30" customHeight="1">
      <c r="A2" s="1" t="s">
        <v>10021</v>
      </c>
      <c r="B2" s="2" t="s">
        <v>10022</v>
      </c>
    </row>
    <row r="3" spans="1:2" ht="30" customHeight="1">
      <c r="A3" s="1" t="s">
        <v>10023</v>
      </c>
      <c r="B3" s="2" t="s">
        <v>10024</v>
      </c>
    </row>
    <row r="4" spans="1:2" ht="30" customHeight="1">
      <c r="A4" s="1" t="s">
        <v>10025</v>
      </c>
      <c r="B4" s="2" t="s">
        <v>10026</v>
      </c>
    </row>
    <row r="5" spans="1:2" ht="30" customHeight="1">
      <c r="A5" s="1" t="s">
        <v>10027</v>
      </c>
      <c r="B5" s="2" t="s">
        <v>10028</v>
      </c>
    </row>
    <row r="6" spans="1:2" ht="30" customHeight="1">
      <c r="A6" s="1" t="s">
        <v>10029</v>
      </c>
      <c r="B6" s="2" t="s">
        <v>10030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DB77F-42C9-4A58-B4F7-E841907C5157}">
  <dimension ref="A1:H22"/>
  <sheetViews>
    <sheetView tabSelected="1" zoomScale="93" zoomScaleNormal="93" workbookViewId="0">
      <selection activeCell="J4" sqref="J4"/>
    </sheetView>
  </sheetViews>
  <sheetFormatPr defaultRowHeight="14.25"/>
  <cols>
    <col min="1" max="1" width="33.375" bestFit="1" customWidth="1"/>
    <col min="2" max="2" width="13.5" bestFit="1" customWidth="1"/>
  </cols>
  <sheetData>
    <row r="1" spans="1:8" ht="23.25">
      <c r="A1" s="11" t="s">
        <v>10035</v>
      </c>
      <c r="B1" s="11"/>
      <c r="C1" s="11"/>
      <c r="D1" s="11"/>
      <c r="E1" s="11"/>
      <c r="F1" s="11"/>
      <c r="G1" s="11"/>
      <c r="H1" s="11"/>
    </row>
    <row r="3" spans="1:8" ht="15">
      <c r="A3" s="13" t="s">
        <v>10036</v>
      </c>
      <c r="B3" s="13">
        <f>COUNTA('Pricing Data'!A2:A5001)</f>
        <v>5000</v>
      </c>
    </row>
    <row r="4" spans="1:8">
      <c r="A4" s="14" t="s">
        <v>10037</v>
      </c>
      <c r="B4" s="14">
        <f>COUNTIF('Pricing Data'!M2:M5001,"&lt;&gt;PASS")</f>
        <v>822</v>
      </c>
    </row>
    <row r="5" spans="1:8">
      <c r="A5" s="14" t="s">
        <v>10038</v>
      </c>
      <c r="B5" s="15">
        <f>B4/B3</f>
        <v>0.16439999999999999</v>
      </c>
    </row>
    <row r="6" spans="1:8">
      <c r="A6" s="14" t="s">
        <v>10039</v>
      </c>
      <c r="B6" s="14">
        <f>COUNTIF('Pricing Data'!N2:N5001,"HIGH")</f>
        <v>307</v>
      </c>
    </row>
    <row r="7" spans="1:8">
      <c r="A7" s="14" t="s">
        <v>10040</v>
      </c>
      <c r="B7" s="14">
        <f>COUNTIF('Pricing Data'!N2:N5001,"MEDIUM")</f>
        <v>160</v>
      </c>
    </row>
    <row r="8" spans="1:8">
      <c r="A8" s="14" t="s">
        <v>10041</v>
      </c>
      <c r="B8" s="14">
        <f>COUNTIF('Pricing Data'!N2:N5001,"LOW")</f>
        <v>355</v>
      </c>
    </row>
    <row r="9" spans="1:8" hidden="1">
      <c r="A9" t="s">
        <v>10042</v>
      </c>
      <c r="B9">
        <f>B4-SUM(B6:B8)</f>
        <v>0</v>
      </c>
    </row>
    <row r="12" spans="1:8" ht="15">
      <c r="A12" s="13" t="s">
        <v>10043</v>
      </c>
      <c r="B12" s="13" t="s">
        <v>10048</v>
      </c>
    </row>
    <row r="13" spans="1:8">
      <c r="A13" t="s">
        <v>10044</v>
      </c>
      <c r="B13">
        <f>COUNTIF('Pricing Data'!M2:M5001,"MISSING")</f>
        <v>58</v>
      </c>
    </row>
    <row r="14" spans="1:8">
      <c r="A14" t="s">
        <v>10045</v>
      </c>
      <c r="B14">
        <f>COUNTIF('Pricing Data'!M2:M5001,"STALE")</f>
        <v>467</v>
      </c>
    </row>
    <row r="15" spans="1:8">
      <c r="A15" t="s">
        <v>10046</v>
      </c>
      <c r="B15">
        <f>COUNTIF('Pricing Data'!M2:M5001,"LARGE MOVE")</f>
        <v>145</v>
      </c>
    </row>
    <row r="16" spans="1:8">
      <c r="A16" t="s">
        <v>10047</v>
      </c>
      <c r="B16">
        <f>COUNTIF('Pricing Data'!M2:M5001,"VENDOR DIFFERENCE")</f>
        <v>152</v>
      </c>
    </row>
    <row r="19" spans="1:1" ht="15">
      <c r="A19" s="12" t="s">
        <v>10049</v>
      </c>
    </row>
    <row r="20" spans="1:1">
      <c r="A20" t="s">
        <v>10050</v>
      </c>
    </row>
    <row r="21" spans="1:1">
      <c r="A21" t="s">
        <v>10051</v>
      </c>
    </row>
    <row r="22" spans="1:1">
      <c r="A22" t="s">
        <v>10052</v>
      </c>
    </row>
  </sheetData>
  <mergeCells count="1">
    <mergeCell ref="A1:H1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Pricing Data</vt:lpstr>
      <vt:lpstr>Project Guide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oumar rafiou</dc:creator>
  <cp:lastModifiedBy>oumar rafiou</cp:lastModifiedBy>
  <dcterms:created xsi:type="dcterms:W3CDTF">2026-09-11T14:43:24Z</dcterms:created>
  <dcterms:modified xsi:type="dcterms:W3CDTF">2026-09-11T14:43:24Z</dcterms:modified>
</cp:coreProperties>
</file>